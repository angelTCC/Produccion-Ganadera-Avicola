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nagri/Desktop/TRABAJOS ELBA - 2020 CASA/Anuario PECUARIA Y AVICOLA 2019/DATA 2019/"/>
    </mc:Choice>
  </mc:AlternateContent>
  <xr:revisionPtr revIDLastSave="0" documentId="13_ncr:1_{28C2437D-DD2C-C74D-A10B-05FA5BF9DD2F}" xr6:coauthVersionLast="45" xr6:coauthVersionMax="45" xr10:uidLastSave="{00000000-0000-0000-0000-000000000000}"/>
  <bookViews>
    <workbookView xWindow="27520" yWindow="460" windowWidth="23680" windowHeight="28340" firstSheet="131" activeTab="138" xr2:uid="{00000000-000D-0000-FFFF-FFFF00000000}"/>
  </bookViews>
  <sheets>
    <sheet name="1. INDICADORES ECONÓMICOS" sheetId="160" r:id="rId1"/>
    <sheet name="C 1 - C 2 - C 3" sheetId="5" r:id="rId2"/>
    <sheet name="2. POBLACION Y ..." sheetId="161" r:id="rId3"/>
    <sheet name="C-4" sheetId="6" r:id="rId4"/>
    <sheet name="C 5" sheetId="7" r:id="rId5"/>
    <sheet name="C -6" sheetId="8" r:id="rId6"/>
    <sheet name="C 7" sheetId="9" r:id="rId7"/>
    <sheet name="C 8" sheetId="10" r:id="rId8"/>
    <sheet name="C 9" sheetId="11" r:id="rId9"/>
    <sheet name="C 10" sheetId="12" r:id="rId10"/>
    <sheet name="C 11" sheetId="13" r:id="rId11"/>
    <sheet name="C 12" sheetId="14" r:id="rId12"/>
    <sheet name="C 13" sheetId="15" r:id="rId13"/>
    <sheet name="C 14" sheetId="117" r:id="rId14"/>
    <sheet name="C 15" sheetId="118" r:id="rId15"/>
    <sheet name="C 16" sheetId="119" r:id="rId16"/>
    <sheet name="C 17" sheetId="120" r:id="rId17"/>
    <sheet name="C 18" sheetId="121" r:id="rId18"/>
    <sheet name="C 19" sheetId="122" r:id="rId19"/>
    <sheet name="C 20" sheetId="123" r:id="rId20"/>
    <sheet name="C 21" sheetId="124" r:id="rId21"/>
    <sheet name="C 22" sheetId="125" r:id="rId22"/>
    <sheet name="C 23" sheetId="126" r:id="rId23"/>
    <sheet name="C 24" sheetId="127" r:id="rId24"/>
    <sheet name="C 25" sheetId="128" r:id="rId25"/>
    <sheet name="C 26" sheetId="129" r:id="rId26"/>
    <sheet name="C 27" sheetId="130" r:id="rId27"/>
    <sheet name="C 28" sheetId="131" r:id="rId28"/>
    <sheet name="C 29" sheetId="132" r:id="rId29"/>
    <sheet name="C 30" sheetId="133" r:id="rId30"/>
    <sheet name="C 31" sheetId="134" r:id="rId31"/>
    <sheet name="C 32" sheetId="135" r:id="rId32"/>
    <sheet name="C 33" sheetId="136" r:id="rId33"/>
    <sheet name="C 34" sheetId="137" r:id="rId34"/>
    <sheet name="C 35" sheetId="138" r:id="rId35"/>
    <sheet name="C 36" sheetId="139" r:id="rId36"/>
    <sheet name="C 37" sheetId="140" r:id="rId37"/>
    <sheet name="C 38" sheetId="141" r:id="rId38"/>
    <sheet name="C 39" sheetId="142" r:id="rId39"/>
    <sheet name="C 40" sheetId="143" r:id="rId40"/>
    <sheet name="C 41" sheetId="144" r:id="rId41"/>
    <sheet name="C 42" sheetId="145" r:id="rId42"/>
    <sheet name="C 43" sheetId="146" r:id="rId43"/>
    <sheet name="C 44" sheetId="147" r:id="rId44"/>
    <sheet name="C 45" sheetId="148" r:id="rId45"/>
    <sheet name="C 46" sheetId="149" r:id="rId46"/>
    <sheet name="C 47" sheetId="150" r:id="rId47"/>
    <sheet name="C 48" sheetId="151" r:id="rId48"/>
    <sheet name="C 49" sheetId="152" r:id="rId49"/>
    <sheet name="C-50" sheetId="16" r:id="rId50"/>
    <sheet name="C-51" sheetId="17" r:id="rId51"/>
    <sheet name="C-52" sheetId="18" r:id="rId52"/>
    <sheet name="C-53" sheetId="19" r:id="rId53"/>
    <sheet name="C-54" sheetId="20" r:id="rId54"/>
    <sheet name="C-55" sheetId="21" r:id="rId55"/>
    <sheet name="C-56" sheetId="22" r:id="rId56"/>
    <sheet name="C-57" sheetId="23" r:id="rId57"/>
    <sheet name="C-58" sheetId="24" r:id="rId58"/>
    <sheet name="C-59" sheetId="25" r:id="rId59"/>
    <sheet name="C-60" sheetId="26" r:id="rId60"/>
    <sheet name="C-61" sheetId="27" r:id="rId61"/>
    <sheet name="C-62" sheetId="28" r:id="rId62"/>
    <sheet name="C-63" sheetId="29" r:id="rId63"/>
    <sheet name="C-64" sheetId="30" r:id="rId64"/>
    <sheet name="C-65" sheetId="31" r:id="rId65"/>
    <sheet name="C-66" sheetId="32" r:id="rId66"/>
    <sheet name="C-67" sheetId="33" r:id="rId67"/>
    <sheet name="C-68" sheetId="34" r:id="rId68"/>
    <sheet name="C-69" sheetId="35" r:id="rId69"/>
    <sheet name="C-70" sheetId="36" r:id="rId70"/>
    <sheet name="C-71" sheetId="37" r:id="rId71"/>
    <sheet name="C-72" sheetId="38" r:id="rId72"/>
    <sheet name="C-73" sheetId="39" r:id="rId73"/>
    <sheet name="C-74" sheetId="40" r:id="rId74"/>
    <sheet name="C-75" sheetId="41" r:id="rId75"/>
    <sheet name="C-76" sheetId="42" r:id="rId76"/>
    <sheet name="C-77" sheetId="43" r:id="rId77"/>
    <sheet name="C-78" sheetId="44" r:id="rId78"/>
    <sheet name="C-79" sheetId="45" r:id="rId79"/>
    <sheet name="C-80" sheetId="46" r:id="rId80"/>
    <sheet name="C-81" sheetId="47" r:id="rId81"/>
    <sheet name="C-82" sheetId="48" r:id="rId82"/>
    <sheet name="C-83" sheetId="49" r:id="rId83"/>
    <sheet name="C-84" sheetId="50" r:id="rId84"/>
    <sheet name="C-85" sheetId="51" r:id="rId85"/>
    <sheet name="3. BENEFICIO DE ..." sheetId="162" r:id="rId86"/>
    <sheet name="C 86-C87" sheetId="52" r:id="rId87"/>
    <sheet name="C-88" sheetId="53" r:id="rId88"/>
    <sheet name="C-89" sheetId="54" r:id="rId89"/>
    <sheet name="C 90" sheetId="55" r:id="rId90"/>
    <sheet name="C 91 - 99" sheetId="56" r:id="rId91"/>
    <sheet name="4. ABASTECIMIENTO Y ..." sheetId="163" r:id="rId92"/>
    <sheet name="C 100 - 101" sheetId="58" r:id="rId93"/>
    <sheet name="C 102 - 103" sheetId="59" r:id="rId94"/>
    <sheet name="C 104-105" sheetId="62" r:id="rId95"/>
    <sheet name="C 106 - 107" sheetId="116" r:id="rId96"/>
    <sheet name="C 108 - 109 " sheetId="66" r:id="rId97"/>
    <sheet name="5. PRECIOS AL..." sheetId="164" r:id="rId98"/>
    <sheet name="C 110 _ 111" sheetId="69" r:id="rId99"/>
    <sheet name="C-112" sheetId="73" r:id="rId100"/>
    <sheet name="C-113" sheetId="74" r:id="rId101"/>
    <sheet name="C-114" sheetId="75" r:id="rId102"/>
    <sheet name="C-115" sheetId="76" r:id="rId103"/>
    <sheet name="C-116" sheetId="77" r:id="rId104"/>
    <sheet name="C-117" sheetId="78" r:id="rId105"/>
    <sheet name="C-118" sheetId="79" r:id="rId106"/>
    <sheet name="C-119" sheetId="80" r:id="rId107"/>
    <sheet name="C-120" sheetId="81" r:id="rId108"/>
    <sheet name="C-121" sheetId="82" r:id="rId109"/>
    <sheet name="C_122" sheetId="83" r:id="rId110"/>
    <sheet name="C-123" sheetId="84" r:id="rId111"/>
    <sheet name="C-124" sheetId="85" r:id="rId112"/>
    <sheet name="6. ESTADÍSTICA AVÍCOLA" sheetId="165" r:id="rId113"/>
    <sheet name="C-125" sheetId="86" r:id="rId114"/>
    <sheet name="C-126" sheetId="87" r:id="rId115"/>
    <sheet name="C 127 - 128" sheetId="91" r:id="rId116"/>
    <sheet name="C 129 - 130" sheetId="92" r:id="rId117"/>
    <sheet name="C 131 - 132" sheetId="93" r:id="rId118"/>
    <sheet name="C 133 - 134" sheetId="94" r:id="rId119"/>
    <sheet name="C 135 " sheetId="95" r:id="rId120"/>
    <sheet name="C-136-137" sheetId="96" r:id="rId121"/>
    <sheet name="C 138 - 139" sheetId="97" r:id="rId122"/>
    <sheet name="C 140 - 141 " sheetId="106" r:id="rId123"/>
    <sheet name="C 142 - C 143" sheetId="107" r:id="rId124"/>
    <sheet name="C 144" sheetId="110" r:id="rId125"/>
    <sheet name="C 145" sheetId="111" r:id="rId126"/>
    <sheet name="C 146" sheetId="112" r:id="rId127"/>
    <sheet name="C-147" sheetId="153" r:id="rId128"/>
    <sheet name="C-148" sheetId="154" r:id="rId129"/>
    <sheet name="C-149" sheetId="155" r:id="rId130"/>
    <sheet name="C-150" sheetId="156" r:id="rId131"/>
    <sheet name="C-151" sheetId="157" r:id="rId132"/>
    <sheet name="C-152" sheetId="158" r:id="rId133"/>
    <sheet name="C-153" sheetId="159" r:id="rId134"/>
    <sheet name="C 154" sheetId="113" r:id="rId135"/>
    <sheet name="G1" sheetId="166" r:id="rId136"/>
    <sheet name="G2" sheetId="171" r:id="rId137"/>
    <sheet name="G3" sheetId="172" r:id="rId138"/>
    <sheet name="G4" sheetId="173" r:id="rId139"/>
  </sheets>
  <externalReferences>
    <externalReference r:id="rId140"/>
    <externalReference r:id="rId141"/>
    <externalReference r:id="rId142"/>
    <externalReference r:id="rId143"/>
  </externalReferences>
  <definedNames>
    <definedName name="_Regression_Int" localSheetId="92" hidden="1">1</definedName>
    <definedName name="_Regression_Int" localSheetId="93" hidden="1">1</definedName>
    <definedName name="_Regression_Int" localSheetId="94" hidden="1">1</definedName>
    <definedName name="_Regression_Int" localSheetId="95" hidden="1">1</definedName>
    <definedName name="_Regression_Int" localSheetId="96" hidden="1">1</definedName>
    <definedName name="_Regression_Int" localSheetId="4" hidden="1">1</definedName>
    <definedName name="_Regression_Int" localSheetId="89" hidden="1">1</definedName>
    <definedName name="_Regression_Int" localSheetId="87" hidden="1">1</definedName>
    <definedName name="_Regression_Int" localSheetId="88" hidden="1">1</definedName>
    <definedName name="\c">#REF!</definedName>
    <definedName name="\x" localSheetId="4">'C 5'!$AF$3</definedName>
    <definedName name="\x">#REF!</definedName>
    <definedName name="A" localSheetId="4">'C 5'!$W$21:$DC$21</definedName>
    <definedName name="A">#REF!</definedName>
    <definedName name="A_IMPRESION_IM" localSheetId="90">'C 91 - 99'!#REF!</definedName>
    <definedName name="A_IMPRESION_IM">#REF!</definedName>
    <definedName name="A_impresión_IM" localSheetId="92">'C 100 - 101'!$A$1:$K$50</definedName>
    <definedName name="A_impresión_IM" localSheetId="93">'C 102 - 103'!$A$1:$I$45</definedName>
    <definedName name="A_impresión_IM" localSheetId="94">'C 104-105'!$A$1:$K$51</definedName>
    <definedName name="A_impresión_IM" localSheetId="95">'C 106 - 107'!$A$1:$H$45</definedName>
    <definedName name="A_impresión_IM" localSheetId="96">'C 108 - 109 '!#REF!</definedName>
    <definedName name="A_IMPRESIÓN_IM" localSheetId="124">[1]CYPPOLLO!#REF!</definedName>
    <definedName name="A_IMPRESIÓN_IM" localSheetId="125">[1]CYPPOLLO!#REF!</definedName>
    <definedName name="A_IMPRESIÓN_IM" localSheetId="126">[1]CYPPOLLO!#REF!</definedName>
    <definedName name="A_impresión_IM" localSheetId="86">#REF!</definedName>
    <definedName name="A_impresión_IM" localSheetId="89">'C 90'!$A$1:$D$44</definedName>
    <definedName name="A_IMPRESIÓN_IM" localSheetId="90">'C 91 - 99'!$A$3:$DH$40</definedName>
    <definedName name="A_IMPRESIÓN_IM" localSheetId="114">[1]CYPPOLLO!#REF!</definedName>
    <definedName name="A_impresión_IM" localSheetId="3">#REF!</definedName>
    <definedName name="A_impresión_IM" localSheetId="87">'C-88'!$A$1:$D$44</definedName>
    <definedName name="A_impresión_IM" localSheetId="88">'C-89'!$A$1:$D$44</definedName>
    <definedName name="A_impresión_IM">#REF!</definedName>
    <definedName name="_xlnm.Print_Area" localSheetId="5">'C -6'!$A$1:$O$65</definedName>
    <definedName name="_xlnm.Print_Area" localSheetId="1">'C 1 - C 2 - C 3'!$A$2:$X$79</definedName>
    <definedName name="_xlnm.Print_Area" localSheetId="9">'C 10'!$A$1:$F$39</definedName>
    <definedName name="_xlnm.Print_Area" localSheetId="92">'C 100 - 101'!$A$2:$K$48</definedName>
    <definedName name="_xlnm.Print_Area" localSheetId="93">'C 102 - 103'!$A$3:$I$46</definedName>
    <definedName name="_xlnm.Print_Area" localSheetId="94">'C 104-105'!$A$2:$K$48</definedName>
    <definedName name="_xlnm.Print_Area" localSheetId="95">'C 106 - 107'!$A$3:$I$46</definedName>
    <definedName name="_xlnm.Print_Area" localSheetId="96">'C 108 - 109 '!$A$3:$N$51</definedName>
    <definedName name="_xlnm.Print_Area" localSheetId="10">'C 11'!$A$2:$F$39</definedName>
    <definedName name="_xlnm.Print_Area" localSheetId="98">'C 110 _ 111'!$A$3:$M$50</definedName>
    <definedName name="_xlnm.Print_Area" localSheetId="11">'C 12'!$A$1:$F$39</definedName>
    <definedName name="_xlnm.Print_Area" localSheetId="115">'C 127 - 128'!$A$2:$U$42</definedName>
    <definedName name="_xlnm.Print_Area" localSheetId="116">'C 129 - 130'!$A$2:$U$42</definedName>
    <definedName name="_xlnm.Print_Area" localSheetId="12">'C 13'!$A$1:$O$32</definedName>
    <definedName name="_xlnm.Print_Area" localSheetId="117">'C 131 - 132'!$A$2:$U$42</definedName>
    <definedName name="_xlnm.Print_Area" localSheetId="118">'C 133 - 134'!$A$2:$U$42</definedName>
    <definedName name="_xlnm.Print_Area" localSheetId="119">'C 135 '!$A$2:$U$21</definedName>
    <definedName name="_xlnm.Print_Area" localSheetId="13">'C 14'!$A$2:$Q$34</definedName>
    <definedName name="_xlnm.Print_Area" localSheetId="122">'C 140 - 141 '!$A$1:$U$42</definedName>
    <definedName name="_xlnm.Print_Area" localSheetId="123">'C 142 - C 143'!$A$2:$U$42</definedName>
    <definedName name="_xlnm.Print_Area" localSheetId="124">'C 144'!$A$2:$N$42</definedName>
    <definedName name="_xlnm.Print_Area" localSheetId="125">'C 145'!$A$2:$N$42</definedName>
    <definedName name="_xlnm.Print_Area" localSheetId="126">'C 146'!$A$2:$N$42</definedName>
    <definedName name="_xlnm.Print_Area" localSheetId="14">'C 15'!$A$1:$Q$34</definedName>
    <definedName name="_xlnm.Print_Area" localSheetId="134">'C 154'!$A$2:$O$47</definedName>
    <definedName name="_xlnm.Print_Area" localSheetId="15">'C 16'!$A$1:$Q$34</definedName>
    <definedName name="_xlnm.Print_Area" localSheetId="16">'C 17'!$A$2:$Q$34</definedName>
    <definedName name="_xlnm.Print_Area" localSheetId="17">'C 18'!$A$2:$Q$34</definedName>
    <definedName name="_xlnm.Print_Area" localSheetId="18">'C 19'!$A$2:$Q$34</definedName>
    <definedName name="_xlnm.Print_Area" localSheetId="19">'C 20'!$A$1:$Q$34</definedName>
    <definedName name="_xlnm.Print_Area" localSheetId="20">'C 21'!$A$2:$Q$34</definedName>
    <definedName name="_xlnm.Print_Area" localSheetId="21">'C 22'!$A$1:$Q$34</definedName>
    <definedName name="_xlnm.Print_Area" localSheetId="22">'C 23'!$A$2:$Q$34</definedName>
    <definedName name="_xlnm.Print_Area" localSheetId="23">'C 24'!$A$1:$Q$34</definedName>
    <definedName name="_xlnm.Print_Area" localSheetId="24">'C 25'!$A$1:$Q$34</definedName>
    <definedName name="_xlnm.Print_Area" localSheetId="25">'C 26'!$A$1:$Q$34</definedName>
    <definedName name="_xlnm.Print_Area" localSheetId="26">'C 27'!$A$1:$Q$34</definedName>
    <definedName name="_xlnm.Print_Area" localSheetId="27">'C 28'!$A$1:$Q$34</definedName>
    <definedName name="_xlnm.Print_Area" localSheetId="28">'C 29'!$A$1:$Q$34</definedName>
    <definedName name="_xlnm.Print_Area" localSheetId="29">'C 30'!$A$1:$Q$34</definedName>
    <definedName name="_xlnm.Print_Area" localSheetId="30">'C 31'!$A$1:$Q$34</definedName>
    <definedName name="_xlnm.Print_Area" localSheetId="31">'C 32'!$A$1:$Q$34</definedName>
    <definedName name="_xlnm.Print_Area" localSheetId="32">'C 33'!$A$1:$Q$34</definedName>
    <definedName name="_xlnm.Print_Area" localSheetId="33">'C 34'!$A$1:$Q$34</definedName>
    <definedName name="_xlnm.Print_Area" localSheetId="34">'C 35'!$A$1:$Q$34</definedName>
    <definedName name="_xlnm.Print_Area" localSheetId="35">'C 36'!$A$1:$Q$34</definedName>
    <definedName name="_xlnm.Print_Area" localSheetId="36">'C 37'!$A$1:$Q$34</definedName>
    <definedName name="_xlnm.Print_Area" localSheetId="37">'C 38'!$A$1:$Q$34</definedName>
    <definedName name="_xlnm.Print_Area" localSheetId="38">'C 39'!$A$1:$Q$34</definedName>
    <definedName name="_xlnm.Print_Area" localSheetId="39">'C 40'!$A$1:$Q$34</definedName>
    <definedName name="_xlnm.Print_Area" localSheetId="40">'C 41'!$A$1:$Q$34</definedName>
    <definedName name="_xlnm.Print_Area" localSheetId="41">'C 42'!$A$1:$Q$34</definedName>
    <definedName name="_xlnm.Print_Area" localSheetId="42">'C 43'!$A$1:$Q$34</definedName>
    <definedName name="_xlnm.Print_Area" localSheetId="43">'C 44'!$A$1:$Q$34</definedName>
    <definedName name="_xlnm.Print_Area" localSheetId="44">'C 45'!$A$2:$Q$34</definedName>
    <definedName name="_xlnm.Print_Area" localSheetId="45">'C 46'!$A$1:$Q$34</definedName>
    <definedName name="_xlnm.Print_Area" localSheetId="46">'C 47'!$A$2:$Q$34</definedName>
    <definedName name="_xlnm.Print_Area" localSheetId="47">'C 48'!$A$2:$Q$34</definedName>
    <definedName name="_xlnm.Print_Area" localSheetId="48">'C 49'!$A$1:$Q$34</definedName>
    <definedName name="_xlnm.Print_Area" localSheetId="4">'C 5'!$A$1:$V$66</definedName>
    <definedName name="_xlnm.Print_Area" localSheetId="6">'C 7'!$A$2:$H$39</definedName>
    <definedName name="_xlnm.Print_Area" localSheetId="7">'C 8'!$A$2:$H$39</definedName>
    <definedName name="_xlnm.Print_Area" localSheetId="86">'C 86-C87'!$A$4:$J$46</definedName>
    <definedName name="_xlnm.Print_Area" localSheetId="8">'C 9'!$A$1:$H$39</definedName>
    <definedName name="_xlnm.Print_Area" localSheetId="89">'C 90'!$A$3:$G$41</definedName>
    <definedName name="_xlnm.Print_Area" localSheetId="90">'C 91 - 99'!$A$2:$DV$39</definedName>
    <definedName name="_xlnm.Print_Area" localSheetId="109">C_122!$A$1:$N$37</definedName>
    <definedName name="_xlnm.Print_Area" localSheetId="99">'C-112'!$A$1:$M$39</definedName>
    <definedName name="_xlnm.Print_Area" localSheetId="100">'C-113'!$A$1:$N$37</definedName>
    <definedName name="_xlnm.Print_Area" localSheetId="101">'C-114'!#REF!</definedName>
    <definedName name="_xlnm.Print_Area" localSheetId="102">'C-115'!$A$1:$N$37</definedName>
    <definedName name="_xlnm.Print_Area" localSheetId="103">'C-116'!#REF!</definedName>
    <definedName name="_xlnm.Print_Area" localSheetId="104">'C-117'!#REF!</definedName>
    <definedName name="_xlnm.Print_Area" localSheetId="105">'C-118'!#REF!</definedName>
    <definedName name="_xlnm.Print_Area" localSheetId="106">'C-119'!#REF!</definedName>
    <definedName name="_xlnm.Print_Area" localSheetId="107">'C-120'!#REF!</definedName>
    <definedName name="_xlnm.Print_Area" localSheetId="108">'C-121'!$A$1:$N$37</definedName>
    <definedName name="_xlnm.Print_Area" localSheetId="110">'C-123'!$A$1:$N$37</definedName>
    <definedName name="_xlnm.Print_Area" localSheetId="111">'C-124'!$A$1:$N$37</definedName>
    <definedName name="_xlnm.Print_Area" localSheetId="113">'C-125'!$A$2:$M$57</definedName>
    <definedName name="_xlnm.Print_Area" localSheetId="114">'C-126'!$A$3:$R$52</definedName>
    <definedName name="_xlnm.Print_Area" localSheetId="120">'C-136-137'!$A$2:$U$42</definedName>
    <definedName name="_xlnm.Print_Area" localSheetId="127">'C-147'!$A$2:$Q$35</definedName>
    <definedName name="_xlnm.Print_Area" localSheetId="128">'C-148'!$A$2:$Q$35</definedName>
    <definedName name="_xlnm.Print_Area" localSheetId="129">'C-149'!$A$2:$Q$35</definedName>
    <definedName name="_xlnm.Print_Area" localSheetId="130">'C-150'!$A$2:$O$35</definedName>
    <definedName name="_xlnm.Print_Area" localSheetId="131">'C-151'!$A$1:$O$35</definedName>
    <definedName name="_xlnm.Print_Area" localSheetId="132">'C-152'!$A$2:$Q$35</definedName>
    <definedName name="_xlnm.Print_Area" localSheetId="133">'C-153'!$A$2:$Q$35</definedName>
    <definedName name="_xlnm.Print_Area" localSheetId="3">'C-4'!$A$1:$I$39</definedName>
    <definedName name="_xlnm.Print_Area" localSheetId="49">'C-50'!$A$4:$N$40</definedName>
    <definedName name="_xlnm.Print_Area" localSheetId="50">'C-51'!$A$4:$N$40</definedName>
    <definedName name="_xlnm.Print_Area" localSheetId="51">'C-52'!$A$4:$N$40</definedName>
    <definedName name="_xlnm.Print_Area" localSheetId="52">'C-53'!$A$4:$N$40</definedName>
    <definedName name="_xlnm.Print_Area" localSheetId="53">'C-54'!$A$4:$N$40</definedName>
    <definedName name="_xlnm.Print_Area" localSheetId="54">'C-55'!$A$4:$N$40</definedName>
    <definedName name="_xlnm.Print_Area" localSheetId="55">'C-56'!$A$4:$N$40</definedName>
    <definedName name="_xlnm.Print_Area" localSheetId="56">'C-57'!$A$4:$N$40</definedName>
    <definedName name="_xlnm.Print_Area" localSheetId="57">'C-58'!$A$4:$N$40</definedName>
    <definedName name="_xlnm.Print_Area" localSheetId="58">'C-59'!$A$1:$N$40</definedName>
    <definedName name="_xlnm.Print_Area" localSheetId="59">'C-60'!$A$4:$N$40</definedName>
    <definedName name="_xlnm.Print_Area" localSheetId="60">'C-61'!$A$4:$N$40</definedName>
    <definedName name="_xlnm.Print_Area" localSheetId="61">'C-62'!$A$4:$N$40</definedName>
    <definedName name="_xlnm.Print_Area" localSheetId="62">'C-63'!$A$4:$N$40</definedName>
    <definedName name="_xlnm.Print_Area" localSheetId="63">'C-64'!$A$4:$N$40</definedName>
    <definedName name="_xlnm.Print_Area" localSheetId="64">'C-65'!$A$4:$N$40</definedName>
    <definedName name="_xlnm.Print_Area" localSheetId="65">'C-66'!$A$4:$N$40</definedName>
    <definedName name="_xlnm.Print_Area" localSheetId="66">'C-67'!$A$1:$N$40</definedName>
    <definedName name="_xlnm.Print_Area" localSheetId="67">'C-68'!$A$4:$N$40</definedName>
    <definedName name="_xlnm.Print_Area" localSheetId="68">'C-69'!$A$4:$N$40</definedName>
    <definedName name="_xlnm.Print_Area" localSheetId="69">'C-70'!$A$4:$N$40</definedName>
    <definedName name="_xlnm.Print_Area" localSheetId="70">'C-71'!$A$4:$N$40</definedName>
    <definedName name="_xlnm.Print_Area" localSheetId="71">'C-72'!$A$4:$N$40</definedName>
    <definedName name="_xlnm.Print_Area" localSheetId="72">'C-73'!$A$4:$N$40</definedName>
    <definedName name="_xlnm.Print_Area" localSheetId="73">'C-74'!$A$4:$N$40</definedName>
    <definedName name="_xlnm.Print_Area" localSheetId="74">'C-75'!$A$4:$N$40</definedName>
    <definedName name="_xlnm.Print_Area" localSheetId="75">'C-76'!$A$4:$N$40</definedName>
    <definedName name="_xlnm.Print_Area" localSheetId="76">'C-77'!$A$4:$N$41</definedName>
    <definedName name="_xlnm.Print_Area" localSheetId="77">'C-78'!$A$4:$N$40</definedName>
    <definedName name="_xlnm.Print_Area" localSheetId="78">'C-79'!$A$4:$N$40</definedName>
    <definedName name="_xlnm.Print_Area" localSheetId="79">'C-80'!$A$4:$N$40</definedName>
    <definedName name="_xlnm.Print_Area" localSheetId="80">'C-81'!$A$4:$N$40</definedName>
    <definedName name="_xlnm.Print_Area" localSheetId="81">'C-82'!$A$4:$N$40</definedName>
    <definedName name="_xlnm.Print_Area" localSheetId="82">'C-83'!$A$4:$N$40</definedName>
    <definedName name="_xlnm.Print_Area" localSheetId="83">'C-84'!$A$4:$N$40</definedName>
    <definedName name="_xlnm.Print_Area" localSheetId="84">'C-85'!$A$4:$N$40</definedName>
    <definedName name="_xlnm.Print_Area" localSheetId="87">'C-88'!$A$3:$G$41</definedName>
    <definedName name="_xlnm.Print_Area" localSheetId="88">'C-89'!$A$3:$G$41</definedName>
    <definedName name="_xlnm.Print_Area">#REF!</definedName>
  </definedNames>
  <calcPr calcId="191029" refMode="R1C1"/>
  <webPublishing allowPng="1" targetScreenSize="1024x768" codePage="10000"/>
</workbook>
</file>

<file path=xl/calcChain.xml><?xml version="1.0" encoding="utf-8"?>
<calcChain xmlns="http://schemas.openxmlformats.org/spreadsheetml/2006/main">
  <c r="G28" i="91" l="1"/>
  <c r="U27" i="91"/>
  <c r="T27" i="91"/>
  <c r="F27" i="91"/>
  <c r="E27" i="91"/>
  <c r="D27" i="91"/>
  <c r="C27" i="91"/>
  <c r="B27" i="91"/>
  <c r="U6" i="91"/>
  <c r="T6" i="91"/>
  <c r="K44" i="62" l="1"/>
  <c r="K43" i="62"/>
  <c r="K42" i="62"/>
  <c r="K41" i="62"/>
  <c r="K40" i="62"/>
  <c r="K39" i="62"/>
  <c r="K38" i="62"/>
  <c r="K37" i="62"/>
  <c r="K36" i="62"/>
  <c r="J44" i="62"/>
  <c r="J43" i="62"/>
  <c r="J42" i="62"/>
  <c r="J41" i="62"/>
  <c r="J40" i="62"/>
  <c r="J39" i="62"/>
  <c r="J38" i="62"/>
  <c r="J37" i="62"/>
  <c r="J36" i="62"/>
  <c r="I8" i="59"/>
  <c r="H8" i="59"/>
  <c r="I31" i="59"/>
  <c r="H31" i="59"/>
  <c r="J18" i="52" l="1"/>
  <c r="I18" i="52"/>
  <c r="H18" i="52"/>
  <c r="G18" i="52"/>
  <c r="F18" i="52"/>
  <c r="E18" i="52"/>
  <c r="D18" i="52"/>
  <c r="C18" i="52"/>
  <c r="J14" i="52"/>
  <c r="I14" i="52"/>
  <c r="H14" i="52"/>
  <c r="G14" i="52"/>
  <c r="F14" i="52"/>
  <c r="E14" i="52"/>
  <c r="D14" i="52"/>
  <c r="C14" i="52"/>
  <c r="J10" i="52"/>
  <c r="I10" i="52"/>
  <c r="H10" i="52"/>
  <c r="G10" i="52"/>
  <c r="F10" i="52"/>
  <c r="E10" i="52"/>
  <c r="D10" i="52"/>
  <c r="C10" i="52"/>
  <c r="BZ31" i="116"/>
  <c r="BY31" i="116"/>
  <c r="BW31" i="116"/>
  <c r="BV31" i="116"/>
  <c r="BU31" i="116"/>
  <c r="BT31" i="116"/>
  <c r="BS31" i="116"/>
  <c r="BR31" i="116"/>
  <c r="I31" i="116"/>
  <c r="H31" i="116"/>
  <c r="G31" i="116"/>
  <c r="F31" i="116"/>
  <c r="E31" i="116"/>
  <c r="D31" i="116"/>
  <c r="C31" i="116"/>
  <c r="B31" i="116"/>
  <c r="BZ8" i="116"/>
  <c r="BY8" i="116"/>
  <c r="BW8" i="116"/>
  <c r="BV8" i="116"/>
  <c r="BU8" i="116"/>
  <c r="BT8" i="116"/>
  <c r="BS8" i="116"/>
  <c r="BR8" i="116"/>
  <c r="I8" i="116"/>
  <c r="H8" i="116"/>
  <c r="G8" i="116"/>
  <c r="F8" i="116"/>
  <c r="E8" i="116"/>
  <c r="D8" i="116"/>
  <c r="C8" i="116"/>
  <c r="B8" i="116"/>
  <c r="I44" i="62"/>
  <c r="H44" i="62"/>
  <c r="G44" i="62"/>
  <c r="F44" i="62"/>
  <c r="E44" i="62"/>
  <c r="D44" i="62"/>
  <c r="I43" i="62"/>
  <c r="H43" i="62"/>
  <c r="G43" i="62"/>
  <c r="F43" i="62"/>
  <c r="E43" i="62"/>
  <c r="D43" i="62"/>
  <c r="I42" i="62"/>
  <c r="H42" i="62"/>
  <c r="G42" i="62"/>
  <c r="F42" i="62"/>
  <c r="E42" i="62"/>
  <c r="D42" i="62"/>
  <c r="I41" i="62"/>
  <c r="H41" i="62"/>
  <c r="G41" i="62"/>
  <c r="F41" i="62"/>
  <c r="E41" i="62"/>
  <c r="D41" i="62"/>
  <c r="I40" i="62"/>
  <c r="H40" i="62"/>
  <c r="G40" i="62"/>
  <c r="F40" i="62"/>
  <c r="E40" i="62"/>
  <c r="D40" i="62"/>
  <c r="I39" i="62"/>
  <c r="H39" i="62"/>
  <c r="G39" i="62"/>
  <c r="F39" i="62"/>
  <c r="E39" i="62"/>
  <c r="D39" i="62"/>
  <c r="I38" i="62"/>
  <c r="H38" i="62"/>
  <c r="G38" i="62"/>
  <c r="F38" i="62"/>
  <c r="E38" i="62"/>
  <c r="D38" i="62"/>
  <c r="I37" i="62"/>
  <c r="H37" i="62"/>
  <c r="G37" i="62"/>
  <c r="F37" i="62"/>
  <c r="E37" i="62"/>
  <c r="D37" i="62"/>
  <c r="I36" i="62"/>
  <c r="H36" i="62"/>
  <c r="G36" i="62"/>
  <c r="F36" i="62"/>
  <c r="E36" i="62"/>
  <c r="D36" i="62"/>
  <c r="B20" i="62"/>
  <c r="C44" i="62" s="1"/>
  <c r="B19" i="62"/>
  <c r="C43" i="62" s="1"/>
  <c r="B18" i="62"/>
  <c r="C42" i="62" s="1"/>
  <c r="B17" i="62"/>
  <c r="C41" i="62" s="1"/>
  <c r="B16" i="62"/>
  <c r="C40" i="62" s="1"/>
  <c r="B15" i="62"/>
  <c r="C39" i="62" s="1"/>
  <c r="B14" i="62"/>
  <c r="C38" i="62" s="1"/>
  <c r="B13" i="62"/>
  <c r="C37" i="62" s="1"/>
  <c r="B12" i="62"/>
  <c r="C36" i="62" s="1"/>
  <c r="B11" i="62"/>
  <c r="B10" i="62"/>
  <c r="B9" i="62"/>
  <c r="B8" i="62"/>
  <c r="BX31" i="59"/>
  <c r="BW31" i="59"/>
  <c r="BU31" i="59"/>
  <c r="BT31" i="59"/>
  <c r="BS31" i="59"/>
  <c r="BR31" i="59"/>
  <c r="BQ31" i="59"/>
  <c r="BP31" i="59"/>
  <c r="G31" i="59"/>
  <c r="F31" i="59"/>
  <c r="E31" i="59"/>
  <c r="D31" i="59"/>
  <c r="C31" i="59"/>
  <c r="B31" i="59"/>
  <c r="BX8" i="59"/>
  <c r="BW8" i="59"/>
  <c r="BU8" i="59"/>
  <c r="BT8" i="59"/>
  <c r="BS8" i="59"/>
  <c r="BR8" i="59"/>
  <c r="BQ8" i="59"/>
  <c r="BP8" i="59"/>
  <c r="G8" i="59"/>
  <c r="F8" i="59"/>
  <c r="E8" i="59"/>
  <c r="D8" i="59"/>
  <c r="C8" i="59"/>
  <c r="B8" i="59"/>
  <c r="K44" i="58"/>
  <c r="J44" i="58"/>
  <c r="I44" i="58"/>
  <c r="H44" i="58"/>
  <c r="G44" i="58"/>
  <c r="F44" i="58"/>
  <c r="E44" i="58"/>
  <c r="D44" i="58"/>
  <c r="C44" i="58"/>
  <c r="B8" i="45" l="1"/>
  <c r="Q6" i="151" l="1"/>
  <c r="Q6" i="150"/>
  <c r="Q6" i="148"/>
  <c r="Q6" i="147"/>
  <c r="Q6" i="144"/>
  <c r="Q6" i="143"/>
  <c r="Q6" i="141"/>
  <c r="N22" i="48"/>
  <c r="M22" i="48"/>
  <c r="L22" i="48"/>
  <c r="B33" i="48"/>
  <c r="B32" i="48"/>
  <c r="B31" i="48"/>
  <c r="B30" i="48"/>
  <c r="B29" i="48"/>
  <c r="B28" i="48"/>
  <c r="B26" i="48"/>
  <c r="B25" i="48"/>
  <c r="B24" i="48"/>
  <c r="B23" i="48"/>
  <c r="B22" i="48"/>
  <c r="I19" i="48"/>
  <c r="H19" i="48"/>
  <c r="G19" i="48"/>
  <c r="F19" i="48"/>
  <c r="B19" i="48"/>
  <c r="U11" i="5"/>
  <c r="U38" i="5" s="1"/>
  <c r="T11" i="5"/>
  <c r="T38" i="5" s="1"/>
  <c r="S11" i="5"/>
  <c r="S38" i="5" s="1"/>
  <c r="R11" i="5"/>
  <c r="R38" i="5" s="1"/>
  <c r="Q11" i="5"/>
  <c r="P11" i="5"/>
  <c r="P38" i="5" s="1"/>
  <c r="O11" i="5"/>
  <c r="O38" i="5" s="1"/>
  <c r="N11" i="5"/>
  <c r="N38" i="5" s="1"/>
  <c r="M11" i="5"/>
  <c r="L11" i="5"/>
  <c r="L38" i="5" s="1"/>
  <c r="K11" i="5"/>
  <c r="J11" i="5"/>
  <c r="V11" i="5"/>
  <c r="W11" i="5" s="1"/>
  <c r="G10" i="45"/>
  <c r="F10" i="45"/>
  <c r="B29" i="43"/>
  <c r="F29" i="44"/>
  <c r="E29" i="44"/>
  <c r="D29" i="44"/>
  <c r="C29" i="44"/>
  <c r="W24" i="5"/>
  <c r="W23" i="5"/>
  <c r="W22" i="5"/>
  <c r="W21" i="5"/>
  <c r="W20" i="5"/>
  <c r="W19" i="5"/>
  <c r="W18" i="5"/>
  <c r="W17" i="5"/>
  <c r="W16" i="5"/>
  <c r="W15" i="5"/>
  <c r="W14" i="5"/>
  <c r="W13" i="5"/>
  <c r="W12" i="5"/>
  <c r="W9" i="5"/>
  <c r="W8" i="5"/>
  <c r="W7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6" i="5"/>
  <c r="V35" i="5"/>
  <c r="V34" i="5"/>
  <c r="C11" i="15"/>
  <c r="L18" i="15"/>
  <c r="H18" i="15"/>
  <c r="L17" i="15"/>
  <c r="C9" i="15"/>
  <c r="L16" i="15"/>
  <c r="C8" i="15"/>
  <c r="C7" i="15"/>
  <c r="C25" i="112"/>
  <c r="D25" i="112"/>
  <c r="E25" i="112"/>
  <c r="F25" i="112"/>
  <c r="G25" i="112"/>
  <c r="H25" i="112"/>
  <c r="I25" i="112"/>
  <c r="J25" i="112"/>
  <c r="K25" i="112"/>
  <c r="L25" i="112"/>
  <c r="M25" i="112"/>
  <c r="N25" i="112"/>
  <c r="C16" i="112"/>
  <c r="D16" i="112"/>
  <c r="E16" i="112"/>
  <c r="F16" i="112"/>
  <c r="G16" i="112"/>
  <c r="H16" i="112"/>
  <c r="I16" i="112"/>
  <c r="J16" i="112"/>
  <c r="K16" i="112"/>
  <c r="L16" i="112"/>
  <c r="M16" i="112"/>
  <c r="N16" i="112"/>
  <c r="V34" i="7"/>
  <c r="V29" i="7"/>
  <c r="V24" i="7"/>
  <c r="V19" i="7"/>
  <c r="V14" i="7"/>
  <c r="V9" i="7"/>
  <c r="U9" i="7"/>
  <c r="T9" i="7"/>
  <c r="S9" i="7"/>
  <c r="R9" i="7"/>
  <c r="Q9" i="7"/>
  <c r="P9" i="7"/>
  <c r="O9" i="7"/>
  <c r="N9" i="7"/>
  <c r="M9" i="7"/>
  <c r="L9" i="7"/>
  <c r="K9" i="7"/>
  <c r="J9" i="7"/>
  <c r="I28" i="6"/>
  <c r="H28" i="6"/>
  <c r="G28" i="6"/>
  <c r="G6" i="6" s="1"/>
  <c r="F28" i="6"/>
  <c r="E28" i="6"/>
  <c r="D28" i="6"/>
  <c r="C28" i="6"/>
  <c r="B28" i="6"/>
  <c r="I12" i="6"/>
  <c r="H12" i="6"/>
  <c r="G12" i="6"/>
  <c r="F12" i="6"/>
  <c r="F6" i="6" s="1"/>
  <c r="E12" i="6"/>
  <c r="D12" i="6"/>
  <c r="C12" i="6"/>
  <c r="C6" i="6" s="1"/>
  <c r="B12" i="6"/>
  <c r="M17" i="86"/>
  <c r="I8" i="69"/>
  <c r="P6" i="137"/>
  <c r="P6" i="136"/>
  <c r="P6" i="135"/>
  <c r="P6" i="133"/>
  <c r="P6" i="132"/>
  <c r="P6" i="130"/>
  <c r="P6" i="129"/>
  <c r="P6" i="128"/>
  <c r="P6" i="126"/>
  <c r="P6" i="125"/>
  <c r="P6" i="124"/>
  <c r="P6" i="122"/>
  <c r="P6" i="121"/>
  <c r="P6" i="119"/>
  <c r="P6" i="118"/>
  <c r="P6" i="117"/>
  <c r="V50" i="7"/>
  <c r="U62" i="7"/>
  <c r="U58" i="7"/>
  <c r="U54" i="7"/>
  <c r="U50" i="7"/>
  <c r="U46" i="7"/>
  <c r="U42" i="7"/>
  <c r="U34" i="7"/>
  <c r="U29" i="7"/>
  <c r="U24" i="7"/>
  <c r="U19" i="7"/>
  <c r="U14" i="7"/>
  <c r="F32" i="113"/>
  <c r="T27" i="107"/>
  <c r="T6" i="107"/>
  <c r="T27" i="106"/>
  <c r="T6" i="106"/>
  <c r="T27" i="97"/>
  <c r="T27" i="96"/>
  <c r="T6" i="95"/>
  <c r="T27" i="94"/>
  <c r="T27" i="93"/>
  <c r="T6" i="93"/>
  <c r="T27" i="92"/>
  <c r="T6" i="92"/>
  <c r="L17" i="86"/>
  <c r="K32" i="69"/>
  <c r="H32" i="69"/>
  <c r="E32" i="69"/>
  <c r="B32" i="69"/>
  <c r="I43" i="52"/>
  <c r="I39" i="52"/>
  <c r="I35" i="52"/>
  <c r="U40" i="5"/>
  <c r="T40" i="5"/>
  <c r="S40" i="5"/>
  <c r="R40" i="5"/>
  <c r="Q40" i="5"/>
  <c r="P40" i="5"/>
  <c r="O40" i="5"/>
  <c r="N40" i="5"/>
  <c r="M40" i="5"/>
  <c r="L40" i="5"/>
  <c r="K40" i="5"/>
  <c r="J40" i="5"/>
  <c r="N25" i="110"/>
  <c r="M25" i="110"/>
  <c r="L25" i="110"/>
  <c r="K25" i="110"/>
  <c r="J25" i="110"/>
  <c r="I25" i="110"/>
  <c r="H25" i="110"/>
  <c r="G25" i="110"/>
  <c r="F25" i="110"/>
  <c r="E25" i="110"/>
  <c r="D25" i="110"/>
  <c r="C25" i="110"/>
  <c r="U6" i="107"/>
  <c r="U27" i="107"/>
  <c r="U27" i="106"/>
  <c r="U6" i="106"/>
  <c r="U27" i="97"/>
  <c r="U27" i="96"/>
  <c r="U6" i="95"/>
  <c r="U27" i="94"/>
  <c r="U27" i="93"/>
  <c r="U6" i="93"/>
  <c r="U27" i="92"/>
  <c r="U6" i="92"/>
  <c r="D6" i="6"/>
  <c r="N8" i="45"/>
  <c r="M8" i="45"/>
  <c r="L8" i="45"/>
  <c r="K8" i="45"/>
  <c r="J8" i="45"/>
  <c r="I8" i="45"/>
  <c r="H8" i="45"/>
  <c r="G8" i="45"/>
  <c r="F8" i="45"/>
  <c r="E8" i="45"/>
  <c r="D8" i="45"/>
  <c r="C8" i="45"/>
  <c r="N8" i="48"/>
  <c r="M8" i="48"/>
  <c r="L8" i="48"/>
  <c r="K8" i="48"/>
  <c r="I8" i="48"/>
  <c r="H8" i="48"/>
  <c r="G8" i="48"/>
  <c r="F8" i="48"/>
  <c r="E8" i="48"/>
  <c r="D8" i="48"/>
  <c r="C8" i="48"/>
  <c r="B8" i="48"/>
  <c r="K12" i="51"/>
  <c r="N8" i="51"/>
  <c r="M8" i="51"/>
  <c r="L8" i="51"/>
  <c r="K8" i="51"/>
  <c r="H8" i="51"/>
  <c r="G8" i="51"/>
  <c r="F8" i="51"/>
  <c r="E8" i="51"/>
  <c r="D8" i="51"/>
  <c r="C8" i="51"/>
  <c r="B8" i="51"/>
  <c r="I8" i="51"/>
  <c r="J8" i="51"/>
  <c r="N33" i="51"/>
  <c r="M33" i="51"/>
  <c r="E33" i="51"/>
  <c r="D33" i="51"/>
  <c r="N32" i="51"/>
  <c r="E32" i="51"/>
  <c r="D32" i="51"/>
  <c r="C32" i="51"/>
  <c r="E31" i="51"/>
  <c r="D31" i="51"/>
  <c r="C31" i="51"/>
  <c r="N30" i="51"/>
  <c r="M30" i="51"/>
  <c r="G30" i="51"/>
  <c r="F30" i="51"/>
  <c r="E30" i="51"/>
  <c r="D30" i="51"/>
  <c r="C30" i="51"/>
  <c r="N29" i="51"/>
  <c r="M29" i="51"/>
  <c r="G29" i="51"/>
  <c r="F29" i="51"/>
  <c r="E29" i="51"/>
  <c r="D29" i="51"/>
  <c r="C29" i="51"/>
  <c r="N28" i="51"/>
  <c r="M28" i="51"/>
  <c r="L28" i="51"/>
  <c r="G28" i="51"/>
  <c r="F28" i="51"/>
  <c r="E28" i="51"/>
  <c r="D28" i="51"/>
  <c r="C28" i="51"/>
  <c r="N25" i="51"/>
  <c r="E25" i="51"/>
  <c r="D25" i="51"/>
  <c r="C25" i="51"/>
  <c r="F24" i="51"/>
  <c r="E24" i="51"/>
  <c r="D24" i="51"/>
  <c r="F23" i="51"/>
  <c r="E23" i="51"/>
  <c r="D23" i="51"/>
  <c r="C23" i="51"/>
  <c r="E22" i="51"/>
  <c r="D22" i="51"/>
  <c r="C22" i="51"/>
  <c r="I19" i="51"/>
  <c r="H19" i="51"/>
  <c r="G19" i="51"/>
  <c r="F19" i="51"/>
  <c r="D19" i="51"/>
  <c r="C19" i="51"/>
  <c r="E18" i="51"/>
  <c r="D18" i="51"/>
  <c r="C18" i="51"/>
  <c r="J17" i="51"/>
  <c r="I17" i="51"/>
  <c r="H17" i="51"/>
  <c r="K15" i="51"/>
  <c r="J15" i="51"/>
  <c r="I15" i="51"/>
  <c r="K14" i="51"/>
  <c r="J14" i="51"/>
  <c r="I14" i="51"/>
  <c r="H14" i="51"/>
  <c r="G14" i="51"/>
  <c r="K13" i="51"/>
  <c r="J13" i="51"/>
  <c r="I13" i="51"/>
  <c r="H13" i="51"/>
  <c r="G13" i="51"/>
  <c r="N12" i="51"/>
  <c r="M12" i="51"/>
  <c r="L12" i="51"/>
  <c r="J12" i="51"/>
  <c r="I12" i="51"/>
  <c r="H12" i="51"/>
  <c r="G12" i="51"/>
  <c r="F12" i="51"/>
  <c r="C12" i="51"/>
  <c r="M10" i="51"/>
  <c r="G10" i="51"/>
  <c r="B33" i="50"/>
  <c r="B32" i="50"/>
  <c r="B31" i="50"/>
  <c r="B30" i="50"/>
  <c r="B30" i="51" s="1"/>
  <c r="B29" i="50"/>
  <c r="B29" i="51" s="1"/>
  <c r="B28" i="50"/>
  <c r="B26" i="50"/>
  <c r="B25" i="50"/>
  <c r="B24" i="50"/>
  <c r="B23" i="50"/>
  <c r="B22" i="50"/>
  <c r="B21" i="50"/>
  <c r="B19" i="50"/>
  <c r="B18" i="50"/>
  <c r="B17" i="50"/>
  <c r="B15" i="50"/>
  <c r="B14" i="50"/>
  <c r="B13" i="50"/>
  <c r="B12" i="50"/>
  <c r="B11" i="50"/>
  <c r="B10" i="50"/>
  <c r="B10" i="49"/>
  <c r="B33" i="49"/>
  <c r="B32" i="49"/>
  <c r="B32" i="51" s="1"/>
  <c r="B31" i="49"/>
  <c r="B30" i="49"/>
  <c r="B29" i="49"/>
  <c r="B28" i="49"/>
  <c r="B28" i="51" s="1"/>
  <c r="B27" i="49"/>
  <c r="B26" i="49"/>
  <c r="B25" i="49"/>
  <c r="B25" i="51" s="1"/>
  <c r="B24" i="49"/>
  <c r="B24" i="51"/>
  <c r="B23" i="49"/>
  <c r="B22" i="49"/>
  <c r="B21" i="49"/>
  <c r="B20" i="49"/>
  <c r="B19" i="49"/>
  <c r="B18" i="49"/>
  <c r="B17" i="49"/>
  <c r="B16" i="49"/>
  <c r="B15" i="49"/>
  <c r="B14" i="49"/>
  <c r="B13" i="49"/>
  <c r="B12" i="49"/>
  <c r="N33" i="48"/>
  <c r="M33" i="48"/>
  <c r="E33" i="48"/>
  <c r="D33" i="48"/>
  <c r="N32" i="48"/>
  <c r="E32" i="48"/>
  <c r="D32" i="48"/>
  <c r="C32" i="48"/>
  <c r="G31" i="48"/>
  <c r="F31" i="48"/>
  <c r="E31" i="48"/>
  <c r="D31" i="48"/>
  <c r="C31" i="48"/>
  <c r="N30" i="48"/>
  <c r="M30" i="48"/>
  <c r="G30" i="48"/>
  <c r="F30" i="48"/>
  <c r="E30" i="48"/>
  <c r="D30" i="48"/>
  <c r="C30" i="48"/>
  <c r="N29" i="48"/>
  <c r="M29" i="48"/>
  <c r="G29" i="48"/>
  <c r="F29" i="48"/>
  <c r="E29" i="48"/>
  <c r="D29" i="48"/>
  <c r="C29" i="48"/>
  <c r="N28" i="48"/>
  <c r="M28" i="48"/>
  <c r="H28" i="48"/>
  <c r="G28" i="48"/>
  <c r="F28" i="48"/>
  <c r="E28" i="48"/>
  <c r="D28" i="48"/>
  <c r="C28" i="48"/>
  <c r="N26" i="48"/>
  <c r="M26" i="48"/>
  <c r="L26" i="48"/>
  <c r="K26" i="48"/>
  <c r="N25" i="48"/>
  <c r="E25" i="48"/>
  <c r="D25" i="48"/>
  <c r="C25" i="48"/>
  <c r="N24" i="48"/>
  <c r="M24" i="48"/>
  <c r="H24" i="48"/>
  <c r="G24" i="48"/>
  <c r="F24" i="48"/>
  <c r="E24" i="48"/>
  <c r="D24" i="48"/>
  <c r="N23" i="48"/>
  <c r="M23" i="48"/>
  <c r="L23" i="48"/>
  <c r="D29" i="17"/>
  <c r="C29" i="16"/>
  <c r="K13" i="16"/>
  <c r="F13" i="16"/>
  <c r="E13" i="16"/>
  <c r="J29" i="16"/>
  <c r="I29" i="16"/>
  <c r="K13" i="17"/>
  <c r="J13" i="16"/>
  <c r="D13" i="16"/>
  <c r="U51" i="5"/>
  <c r="U50" i="5"/>
  <c r="U49" i="5"/>
  <c r="U48" i="5"/>
  <c r="U47" i="5"/>
  <c r="U46" i="5"/>
  <c r="U45" i="5"/>
  <c r="U44" i="5"/>
  <c r="U43" i="5"/>
  <c r="U42" i="5"/>
  <c r="U41" i="5"/>
  <c r="U39" i="5"/>
  <c r="U36" i="5"/>
  <c r="U35" i="5"/>
  <c r="U34" i="5"/>
  <c r="C35" i="14"/>
  <c r="F27" i="14"/>
  <c r="E34" i="11"/>
  <c r="E33" i="11"/>
  <c r="F17" i="11"/>
  <c r="D32" i="11"/>
  <c r="B21" i="11"/>
  <c r="E30" i="14"/>
  <c r="H28" i="11"/>
  <c r="C12" i="11"/>
  <c r="D28" i="14"/>
  <c r="E8" i="53"/>
  <c r="L27" i="45"/>
  <c r="F26" i="45"/>
  <c r="E26" i="45"/>
  <c r="D26" i="45"/>
  <c r="K24" i="45"/>
  <c r="D19" i="45"/>
  <c r="J12" i="45"/>
  <c r="F12" i="45"/>
  <c r="B31" i="44"/>
  <c r="B30" i="44"/>
  <c r="B33" i="44"/>
  <c r="B32" i="44"/>
  <c r="B28" i="44"/>
  <c r="B27" i="44"/>
  <c r="B27" i="45" s="1"/>
  <c r="B26" i="44"/>
  <c r="B25" i="44"/>
  <c r="B24" i="44"/>
  <c r="B23" i="44"/>
  <c r="B23" i="45" s="1"/>
  <c r="B22" i="44"/>
  <c r="B21" i="44"/>
  <c r="B19" i="44"/>
  <c r="B12" i="44"/>
  <c r="B10" i="44"/>
  <c r="B31" i="43"/>
  <c r="B30" i="43"/>
  <c r="B10" i="43"/>
  <c r="B8" i="43"/>
  <c r="B33" i="43"/>
  <c r="B32" i="43"/>
  <c r="B28" i="43"/>
  <c r="B27" i="43"/>
  <c r="B26" i="43"/>
  <c r="B25" i="43"/>
  <c r="B24" i="43"/>
  <c r="B24" i="45" s="1"/>
  <c r="B23" i="43"/>
  <c r="B22" i="43"/>
  <c r="B21" i="43"/>
  <c r="B19" i="43"/>
  <c r="B12" i="43"/>
  <c r="Q6" i="135"/>
  <c r="Q6" i="133"/>
  <c r="Q6" i="128"/>
  <c r="Q6" i="117"/>
  <c r="Q6" i="137"/>
  <c r="Q6" i="136"/>
  <c r="Q6" i="130"/>
  <c r="Q6" i="129"/>
  <c r="Q6" i="126"/>
  <c r="Q6" i="125"/>
  <c r="Q6" i="122"/>
  <c r="Q6" i="121"/>
  <c r="Q6" i="119"/>
  <c r="Q6" i="118"/>
  <c r="N6" i="118"/>
  <c r="O6" i="118"/>
  <c r="B36" i="14"/>
  <c r="F32" i="14"/>
  <c r="C31" i="14"/>
  <c r="B31" i="14"/>
  <c r="D30" i="14"/>
  <c r="F29" i="14"/>
  <c r="E29" i="14"/>
  <c r="C29" i="14"/>
  <c r="F28" i="14"/>
  <c r="E27" i="14"/>
  <c r="D27" i="14"/>
  <c r="C26" i="14"/>
  <c r="E25" i="14"/>
  <c r="C25" i="14"/>
  <c r="C24" i="14"/>
  <c r="E22" i="14"/>
  <c r="D21" i="14"/>
  <c r="C21" i="14"/>
  <c r="B21" i="14"/>
  <c r="C6" i="13"/>
  <c r="B18" i="14"/>
  <c r="F17" i="14"/>
  <c r="C17" i="14"/>
  <c r="B17" i="14"/>
  <c r="C15" i="14"/>
  <c r="C9" i="14"/>
  <c r="C6" i="12"/>
  <c r="B34" i="14"/>
  <c r="B32" i="14"/>
  <c r="E31" i="14"/>
  <c r="B30" i="14"/>
  <c r="B29" i="14"/>
  <c r="E28" i="14"/>
  <c r="B28" i="14"/>
  <c r="C27" i="14"/>
  <c r="B27" i="14"/>
  <c r="D25" i="14"/>
  <c r="B25" i="14"/>
  <c r="E24" i="14"/>
  <c r="C23" i="14"/>
  <c r="F21" i="14"/>
  <c r="B19" i="14"/>
  <c r="C16" i="14"/>
  <c r="C13" i="14"/>
  <c r="F12" i="14"/>
  <c r="F11" i="14"/>
  <c r="D11" i="14"/>
  <c r="C10" i="14"/>
  <c r="E6" i="12"/>
  <c r="D36" i="11"/>
  <c r="H6" i="10"/>
  <c r="D34" i="11"/>
  <c r="B34" i="11"/>
  <c r="C33" i="11"/>
  <c r="E32" i="11"/>
  <c r="F31" i="11"/>
  <c r="D31" i="11"/>
  <c r="C31" i="11"/>
  <c r="B31" i="11"/>
  <c r="H30" i="11"/>
  <c r="F28" i="11"/>
  <c r="E28" i="11"/>
  <c r="E27" i="11"/>
  <c r="E26" i="11"/>
  <c r="D26" i="11"/>
  <c r="H25" i="11"/>
  <c r="C24" i="11"/>
  <c r="B23" i="11"/>
  <c r="H22" i="11"/>
  <c r="H21" i="11"/>
  <c r="E21" i="11"/>
  <c r="F20" i="11"/>
  <c r="D20" i="11"/>
  <c r="F19" i="11"/>
  <c r="B19" i="11"/>
  <c r="D18" i="11"/>
  <c r="B18" i="11"/>
  <c r="D17" i="11"/>
  <c r="C16" i="11"/>
  <c r="C15" i="11"/>
  <c r="F11" i="11"/>
  <c r="C10" i="11"/>
  <c r="D9" i="11"/>
  <c r="C36" i="11"/>
  <c r="E35" i="11"/>
  <c r="D35" i="11"/>
  <c r="D33" i="11"/>
  <c r="E31" i="11"/>
  <c r="F29" i="11"/>
  <c r="E29" i="11"/>
  <c r="C29" i="11"/>
  <c r="C28" i="11"/>
  <c r="H26" i="11"/>
  <c r="G25" i="11"/>
  <c r="B25" i="11"/>
  <c r="C20" i="11"/>
  <c r="B20" i="11"/>
  <c r="H18" i="11"/>
  <c r="C18" i="11"/>
  <c r="G17" i="11"/>
  <c r="F16" i="11"/>
  <c r="E16" i="11"/>
  <c r="E15" i="11"/>
  <c r="E14" i="11"/>
  <c r="D14" i="11"/>
  <c r="F13" i="11"/>
  <c r="C11" i="11"/>
  <c r="B10" i="11"/>
  <c r="E9" i="11"/>
  <c r="D8" i="11"/>
  <c r="C32" i="69"/>
  <c r="F32" i="69"/>
  <c r="L32" i="69"/>
  <c r="DH6" i="56"/>
  <c r="DG6" i="56"/>
  <c r="DF6" i="56"/>
  <c r="DE6" i="56"/>
  <c r="DD6" i="56"/>
  <c r="DC6" i="56"/>
  <c r="DB6" i="56"/>
  <c r="DA6" i="56"/>
  <c r="CZ6" i="56"/>
  <c r="CY6" i="56"/>
  <c r="CX6" i="56"/>
  <c r="CW6" i="56"/>
  <c r="CT6" i="56"/>
  <c r="CS6" i="56"/>
  <c r="CR6" i="56"/>
  <c r="CQ6" i="56"/>
  <c r="CP6" i="56"/>
  <c r="CO6" i="56"/>
  <c r="CN6" i="56"/>
  <c r="CM6" i="56"/>
  <c r="CL6" i="56"/>
  <c r="CK6" i="56"/>
  <c r="CJ6" i="56"/>
  <c r="CI6" i="56"/>
  <c r="BR6" i="56"/>
  <c r="BQ6" i="56"/>
  <c r="BP6" i="56"/>
  <c r="BO6" i="56"/>
  <c r="BN6" i="56"/>
  <c r="BM6" i="56"/>
  <c r="BL6" i="56"/>
  <c r="BK6" i="56"/>
  <c r="BJ6" i="56"/>
  <c r="BI6" i="56"/>
  <c r="BH6" i="56"/>
  <c r="BG6" i="56"/>
  <c r="BD6" i="56"/>
  <c r="CF6" i="56" s="1"/>
  <c r="BC6" i="56"/>
  <c r="BB6" i="56"/>
  <c r="BA6" i="56"/>
  <c r="AZ6" i="56"/>
  <c r="CB6" i="56" s="1"/>
  <c r="AY6" i="56"/>
  <c r="AX6" i="56"/>
  <c r="AW6" i="56"/>
  <c r="AV6" i="56"/>
  <c r="AU6" i="56"/>
  <c r="BW6" i="56" s="1"/>
  <c r="AT6" i="56"/>
  <c r="AS6" i="56"/>
  <c r="BU6" i="56"/>
  <c r="AB6" i="56"/>
  <c r="AP6" i="56" s="1"/>
  <c r="AA6" i="56"/>
  <c r="Z6" i="56"/>
  <c r="Y6" i="56"/>
  <c r="X6" i="56"/>
  <c r="W6" i="56"/>
  <c r="V6" i="56"/>
  <c r="U6" i="56"/>
  <c r="T6" i="56"/>
  <c r="S6" i="56"/>
  <c r="R6" i="56"/>
  <c r="Q6" i="56"/>
  <c r="N6" i="56"/>
  <c r="M6" i="56"/>
  <c r="AO6" i="56" s="1"/>
  <c r="L6" i="56"/>
  <c r="K6" i="56"/>
  <c r="J6" i="56"/>
  <c r="I6" i="56"/>
  <c r="H6" i="56"/>
  <c r="G6" i="56"/>
  <c r="F6" i="56"/>
  <c r="E6" i="56"/>
  <c r="D6" i="56"/>
  <c r="C6" i="56"/>
  <c r="N32" i="113"/>
  <c r="L32" i="113"/>
  <c r="K32" i="113"/>
  <c r="H32" i="113"/>
  <c r="T62" i="7"/>
  <c r="T58" i="7"/>
  <c r="T54" i="7"/>
  <c r="T50" i="7"/>
  <c r="T46" i="7"/>
  <c r="T42" i="7"/>
  <c r="T34" i="7"/>
  <c r="T29" i="7"/>
  <c r="T24" i="7"/>
  <c r="T19" i="7"/>
  <c r="T14" i="7"/>
  <c r="O6" i="117"/>
  <c r="O6" i="119"/>
  <c r="O6" i="121"/>
  <c r="O6" i="122"/>
  <c r="O6" i="124"/>
  <c r="O6" i="125"/>
  <c r="O6" i="126"/>
  <c r="O6" i="128"/>
  <c r="O6" i="129"/>
  <c r="O6" i="130"/>
  <c r="O6" i="132"/>
  <c r="O6" i="133"/>
  <c r="O6" i="135"/>
  <c r="O6" i="136"/>
  <c r="O6" i="137"/>
  <c r="H43" i="52"/>
  <c r="H39" i="52"/>
  <c r="H35" i="52"/>
  <c r="K17" i="86"/>
  <c r="N25" i="111"/>
  <c r="M25" i="111"/>
  <c r="L25" i="111"/>
  <c r="K25" i="111"/>
  <c r="J25" i="111"/>
  <c r="I25" i="111"/>
  <c r="H25" i="111"/>
  <c r="G25" i="111"/>
  <c r="F25" i="111"/>
  <c r="E25" i="111"/>
  <c r="D25" i="111"/>
  <c r="D6" i="158"/>
  <c r="C6" i="158"/>
  <c r="D6" i="155"/>
  <c r="C6" i="155"/>
  <c r="D6" i="154"/>
  <c r="C6" i="154"/>
  <c r="D6" i="153"/>
  <c r="C6" i="153"/>
  <c r="D6" i="151"/>
  <c r="C6" i="151"/>
  <c r="D6" i="150"/>
  <c r="C6" i="150"/>
  <c r="D6" i="148"/>
  <c r="C6" i="148"/>
  <c r="D6" i="147"/>
  <c r="C6" i="147"/>
  <c r="D6" i="146"/>
  <c r="C6" i="146"/>
  <c r="D6" i="144"/>
  <c r="C6" i="144"/>
  <c r="D6" i="143"/>
  <c r="C6" i="143"/>
  <c r="D6" i="141"/>
  <c r="C6" i="141"/>
  <c r="D6" i="140"/>
  <c r="C6" i="140"/>
  <c r="D6" i="139"/>
  <c r="C6" i="139"/>
  <c r="N6" i="137"/>
  <c r="M6" i="137"/>
  <c r="L6" i="137"/>
  <c r="K6" i="137"/>
  <c r="J6" i="137"/>
  <c r="I6" i="137"/>
  <c r="H6" i="137"/>
  <c r="G6" i="137"/>
  <c r="F6" i="137"/>
  <c r="E6" i="137"/>
  <c r="D6" i="137"/>
  <c r="C6" i="137"/>
  <c r="N6" i="136"/>
  <c r="M6" i="136"/>
  <c r="L6" i="136"/>
  <c r="K6" i="136"/>
  <c r="J6" i="136"/>
  <c r="I6" i="136"/>
  <c r="H6" i="136"/>
  <c r="G6" i="136"/>
  <c r="F6" i="136"/>
  <c r="E6" i="136"/>
  <c r="D6" i="136"/>
  <c r="C6" i="136"/>
  <c r="N6" i="135"/>
  <c r="M6" i="135"/>
  <c r="L6" i="135"/>
  <c r="K6" i="135"/>
  <c r="J6" i="135"/>
  <c r="I6" i="135"/>
  <c r="H6" i="135"/>
  <c r="G6" i="135"/>
  <c r="F6" i="135"/>
  <c r="E6" i="135"/>
  <c r="D6" i="135"/>
  <c r="C6" i="135"/>
  <c r="N6" i="133"/>
  <c r="M6" i="133"/>
  <c r="L6" i="133"/>
  <c r="K6" i="133"/>
  <c r="J6" i="133"/>
  <c r="I6" i="133"/>
  <c r="H6" i="133"/>
  <c r="G6" i="133"/>
  <c r="F6" i="133"/>
  <c r="E6" i="133"/>
  <c r="D6" i="133"/>
  <c r="C6" i="133"/>
  <c r="Q6" i="132"/>
  <c r="N6" i="132"/>
  <c r="M6" i="132"/>
  <c r="L6" i="132"/>
  <c r="K6" i="132"/>
  <c r="J6" i="132"/>
  <c r="I6" i="132"/>
  <c r="H6" i="132"/>
  <c r="G6" i="132"/>
  <c r="F6" i="132"/>
  <c r="E6" i="132"/>
  <c r="D6" i="132"/>
  <c r="C6" i="132"/>
  <c r="N6" i="130"/>
  <c r="M6" i="130"/>
  <c r="L6" i="130"/>
  <c r="K6" i="130"/>
  <c r="J6" i="130"/>
  <c r="I6" i="130"/>
  <c r="H6" i="130"/>
  <c r="G6" i="130"/>
  <c r="F6" i="130"/>
  <c r="E6" i="130"/>
  <c r="D6" i="130"/>
  <c r="C6" i="130"/>
  <c r="N6" i="129"/>
  <c r="M6" i="129"/>
  <c r="L6" i="129"/>
  <c r="K6" i="129"/>
  <c r="J6" i="129"/>
  <c r="I6" i="129"/>
  <c r="H6" i="129"/>
  <c r="G6" i="129"/>
  <c r="F6" i="129"/>
  <c r="E6" i="129"/>
  <c r="D6" i="129"/>
  <c r="C6" i="129"/>
  <c r="N6" i="128"/>
  <c r="M6" i="128"/>
  <c r="L6" i="128"/>
  <c r="K6" i="128"/>
  <c r="J6" i="128"/>
  <c r="I6" i="128"/>
  <c r="H6" i="128"/>
  <c r="G6" i="128"/>
  <c r="F6" i="128"/>
  <c r="E6" i="128"/>
  <c r="D6" i="128"/>
  <c r="C6" i="128"/>
  <c r="N6" i="126"/>
  <c r="M6" i="126"/>
  <c r="L6" i="126"/>
  <c r="K6" i="126"/>
  <c r="J6" i="126"/>
  <c r="I6" i="126"/>
  <c r="H6" i="126"/>
  <c r="G6" i="126"/>
  <c r="F6" i="126"/>
  <c r="E6" i="126"/>
  <c r="D6" i="126"/>
  <c r="C6" i="126"/>
  <c r="N6" i="125"/>
  <c r="M6" i="125"/>
  <c r="L6" i="125"/>
  <c r="K6" i="125"/>
  <c r="J6" i="125"/>
  <c r="I6" i="125"/>
  <c r="H6" i="125"/>
  <c r="G6" i="125"/>
  <c r="F6" i="125"/>
  <c r="E6" i="125"/>
  <c r="D6" i="125"/>
  <c r="C6" i="125"/>
  <c r="Q6" i="124"/>
  <c r="N6" i="124"/>
  <c r="M6" i="124"/>
  <c r="L6" i="124"/>
  <c r="K6" i="124"/>
  <c r="J6" i="124"/>
  <c r="I6" i="124"/>
  <c r="H6" i="124"/>
  <c r="G6" i="124"/>
  <c r="F6" i="124"/>
  <c r="E6" i="124"/>
  <c r="D6" i="124"/>
  <c r="C6" i="124"/>
  <c r="N6" i="122"/>
  <c r="M6" i="122"/>
  <c r="L6" i="122"/>
  <c r="K6" i="122"/>
  <c r="J6" i="122"/>
  <c r="I6" i="122"/>
  <c r="H6" i="122"/>
  <c r="G6" i="122"/>
  <c r="F6" i="122"/>
  <c r="E6" i="122"/>
  <c r="D6" i="122"/>
  <c r="C6" i="122"/>
  <c r="N6" i="121"/>
  <c r="M6" i="121"/>
  <c r="L6" i="121"/>
  <c r="K6" i="121"/>
  <c r="J6" i="121"/>
  <c r="I6" i="121"/>
  <c r="H6" i="121"/>
  <c r="G6" i="121"/>
  <c r="F6" i="121"/>
  <c r="E6" i="121"/>
  <c r="D6" i="121"/>
  <c r="C6" i="121"/>
  <c r="N6" i="119"/>
  <c r="M6" i="119"/>
  <c r="L6" i="119"/>
  <c r="K6" i="119"/>
  <c r="J6" i="119"/>
  <c r="I6" i="119"/>
  <c r="H6" i="119"/>
  <c r="G6" i="119"/>
  <c r="F6" i="119"/>
  <c r="E6" i="119"/>
  <c r="D6" i="119"/>
  <c r="C6" i="119"/>
  <c r="M6" i="118"/>
  <c r="L6" i="118"/>
  <c r="K6" i="118"/>
  <c r="J6" i="118"/>
  <c r="I6" i="118"/>
  <c r="H6" i="118"/>
  <c r="G6" i="118"/>
  <c r="F6" i="118"/>
  <c r="E6" i="118"/>
  <c r="D6" i="118"/>
  <c r="C6" i="118"/>
  <c r="N6" i="117"/>
  <c r="M6" i="117"/>
  <c r="L6" i="117"/>
  <c r="K6" i="117"/>
  <c r="J6" i="117"/>
  <c r="I6" i="117"/>
  <c r="H6" i="117"/>
  <c r="G6" i="117"/>
  <c r="F6" i="117"/>
  <c r="E6" i="117"/>
  <c r="D6" i="117"/>
  <c r="C6" i="117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51" i="5"/>
  <c r="C50" i="5"/>
  <c r="C49" i="5"/>
  <c r="C48" i="5"/>
  <c r="C47" i="5"/>
  <c r="C46" i="5"/>
  <c r="C45" i="5"/>
  <c r="C44" i="5"/>
  <c r="C43" i="5"/>
  <c r="C42" i="5"/>
  <c r="C41" i="5"/>
  <c r="C39" i="5"/>
  <c r="C36" i="5"/>
  <c r="C35" i="5"/>
  <c r="C34" i="5"/>
  <c r="H39" i="92"/>
  <c r="G39" i="92"/>
  <c r="H38" i="92"/>
  <c r="G38" i="92"/>
  <c r="H37" i="92"/>
  <c r="G37" i="92"/>
  <c r="H36" i="92"/>
  <c r="G36" i="92"/>
  <c r="H35" i="92"/>
  <c r="G35" i="92"/>
  <c r="H34" i="92"/>
  <c r="G34" i="92"/>
  <c r="H33" i="92"/>
  <c r="G33" i="92"/>
  <c r="H32" i="92"/>
  <c r="G32" i="92"/>
  <c r="H31" i="92"/>
  <c r="G31" i="92"/>
  <c r="H30" i="92"/>
  <c r="G30" i="92"/>
  <c r="H29" i="92"/>
  <c r="G29" i="92"/>
  <c r="H28" i="92"/>
  <c r="G28" i="92"/>
  <c r="F27" i="92"/>
  <c r="E27" i="92"/>
  <c r="D27" i="92"/>
  <c r="C27" i="92"/>
  <c r="B27" i="92"/>
  <c r="H6" i="92"/>
  <c r="G6" i="92"/>
  <c r="F6" i="92"/>
  <c r="E6" i="92"/>
  <c r="D6" i="92"/>
  <c r="C6" i="92"/>
  <c r="B6" i="92"/>
  <c r="H39" i="91"/>
  <c r="G39" i="91"/>
  <c r="H38" i="91"/>
  <c r="G38" i="91"/>
  <c r="H37" i="91"/>
  <c r="G37" i="91"/>
  <c r="H36" i="91"/>
  <c r="G36" i="91"/>
  <c r="H35" i="91"/>
  <c r="G35" i="91"/>
  <c r="H34" i="91"/>
  <c r="G34" i="91"/>
  <c r="H33" i="91"/>
  <c r="G33" i="91"/>
  <c r="H32" i="91"/>
  <c r="G32" i="91"/>
  <c r="H31" i="91"/>
  <c r="G31" i="91"/>
  <c r="H30" i="91"/>
  <c r="G30" i="91"/>
  <c r="H29" i="91"/>
  <c r="G29" i="91"/>
  <c r="H28" i="91"/>
  <c r="N37" i="40"/>
  <c r="M37" i="40"/>
  <c r="L37" i="40"/>
  <c r="K37" i="40"/>
  <c r="J37" i="40"/>
  <c r="I37" i="40"/>
  <c r="H37" i="40"/>
  <c r="G37" i="40"/>
  <c r="F37" i="40"/>
  <c r="E37" i="40"/>
  <c r="D37" i="40"/>
  <c r="N36" i="40"/>
  <c r="M36" i="40"/>
  <c r="L36" i="40"/>
  <c r="K36" i="40"/>
  <c r="J36" i="40"/>
  <c r="I36" i="40"/>
  <c r="H36" i="40"/>
  <c r="G36" i="40"/>
  <c r="F36" i="40"/>
  <c r="E36" i="40"/>
  <c r="D36" i="40"/>
  <c r="N35" i="40"/>
  <c r="M35" i="40"/>
  <c r="L35" i="40"/>
  <c r="K35" i="40"/>
  <c r="J35" i="40"/>
  <c r="I35" i="40"/>
  <c r="H35" i="40"/>
  <c r="G35" i="40"/>
  <c r="F35" i="40"/>
  <c r="E35" i="40"/>
  <c r="D35" i="40"/>
  <c r="N34" i="40"/>
  <c r="M34" i="40"/>
  <c r="L34" i="40"/>
  <c r="K34" i="40"/>
  <c r="J34" i="40"/>
  <c r="I34" i="40"/>
  <c r="H34" i="40"/>
  <c r="G34" i="40"/>
  <c r="F34" i="40"/>
  <c r="E34" i="40"/>
  <c r="D34" i="40"/>
  <c r="N33" i="40"/>
  <c r="M33" i="40"/>
  <c r="L33" i="40"/>
  <c r="K33" i="40"/>
  <c r="J33" i="40"/>
  <c r="I33" i="40"/>
  <c r="H33" i="40"/>
  <c r="G33" i="40"/>
  <c r="F33" i="40"/>
  <c r="E33" i="40"/>
  <c r="D33" i="40"/>
  <c r="N32" i="40"/>
  <c r="M32" i="40"/>
  <c r="L32" i="40"/>
  <c r="K32" i="40"/>
  <c r="J32" i="40"/>
  <c r="I32" i="40"/>
  <c r="H32" i="40"/>
  <c r="G32" i="40"/>
  <c r="F32" i="40"/>
  <c r="E32" i="40"/>
  <c r="D32" i="40"/>
  <c r="N31" i="40"/>
  <c r="M31" i="40"/>
  <c r="L31" i="40"/>
  <c r="K31" i="40"/>
  <c r="J31" i="40"/>
  <c r="I31" i="40"/>
  <c r="H31" i="40"/>
  <c r="G31" i="40"/>
  <c r="F31" i="40"/>
  <c r="E31" i="40"/>
  <c r="D31" i="40"/>
  <c r="N30" i="40"/>
  <c r="M30" i="40"/>
  <c r="L30" i="40"/>
  <c r="K30" i="40"/>
  <c r="J30" i="40"/>
  <c r="I30" i="40"/>
  <c r="H30" i="40"/>
  <c r="G30" i="40"/>
  <c r="F30" i="40"/>
  <c r="E30" i="40"/>
  <c r="D30" i="40"/>
  <c r="N29" i="40"/>
  <c r="M29" i="40"/>
  <c r="L29" i="40"/>
  <c r="K29" i="40"/>
  <c r="J29" i="40"/>
  <c r="I29" i="40"/>
  <c r="H29" i="40"/>
  <c r="G29" i="40"/>
  <c r="F29" i="40"/>
  <c r="E29" i="40"/>
  <c r="D29" i="40"/>
  <c r="N28" i="40"/>
  <c r="M28" i="40"/>
  <c r="L28" i="40"/>
  <c r="K28" i="40"/>
  <c r="J28" i="40"/>
  <c r="I28" i="40"/>
  <c r="H28" i="40"/>
  <c r="G28" i="40"/>
  <c r="F28" i="40"/>
  <c r="E28" i="40"/>
  <c r="D28" i="40"/>
  <c r="N27" i="40"/>
  <c r="M27" i="40"/>
  <c r="L27" i="40"/>
  <c r="K27" i="40"/>
  <c r="J27" i="40"/>
  <c r="I27" i="40"/>
  <c r="H27" i="40"/>
  <c r="G27" i="40"/>
  <c r="F27" i="40"/>
  <c r="E27" i="40"/>
  <c r="D27" i="40"/>
  <c r="N26" i="40"/>
  <c r="M26" i="40"/>
  <c r="L26" i="40"/>
  <c r="K26" i="40"/>
  <c r="J26" i="40"/>
  <c r="I26" i="40"/>
  <c r="H26" i="40"/>
  <c r="G26" i="40"/>
  <c r="F26" i="40"/>
  <c r="E26" i="40"/>
  <c r="D26" i="40"/>
  <c r="N25" i="40"/>
  <c r="M25" i="40"/>
  <c r="L25" i="40"/>
  <c r="K25" i="40"/>
  <c r="J25" i="40"/>
  <c r="I25" i="40"/>
  <c r="H25" i="40"/>
  <c r="G25" i="40"/>
  <c r="F25" i="40"/>
  <c r="E25" i="40"/>
  <c r="D25" i="40"/>
  <c r="N24" i="40"/>
  <c r="M24" i="40"/>
  <c r="L24" i="40"/>
  <c r="K24" i="40"/>
  <c r="J24" i="40"/>
  <c r="I24" i="40"/>
  <c r="H24" i="40"/>
  <c r="G24" i="40"/>
  <c r="F24" i="40"/>
  <c r="E24" i="40"/>
  <c r="D24" i="40"/>
  <c r="N23" i="40"/>
  <c r="M23" i="40"/>
  <c r="L23" i="40"/>
  <c r="K23" i="40"/>
  <c r="J23" i="40"/>
  <c r="I23" i="40"/>
  <c r="H23" i="40"/>
  <c r="G23" i="40"/>
  <c r="F23" i="40"/>
  <c r="E23" i="40"/>
  <c r="D23" i="40"/>
  <c r="N22" i="40"/>
  <c r="M22" i="40"/>
  <c r="L22" i="40"/>
  <c r="K22" i="40"/>
  <c r="J22" i="40"/>
  <c r="I22" i="40"/>
  <c r="H22" i="40"/>
  <c r="G22" i="40"/>
  <c r="F22" i="40"/>
  <c r="E22" i="40"/>
  <c r="D22" i="40"/>
  <c r="N21" i="40"/>
  <c r="M21" i="40"/>
  <c r="L21" i="40"/>
  <c r="K21" i="40"/>
  <c r="J21" i="40"/>
  <c r="I21" i="40"/>
  <c r="I21" i="42" s="1"/>
  <c r="H21" i="40"/>
  <c r="G21" i="40"/>
  <c r="F21" i="40"/>
  <c r="E21" i="40"/>
  <c r="D21" i="40"/>
  <c r="N20" i="40"/>
  <c r="M20" i="40"/>
  <c r="L20" i="40"/>
  <c r="K20" i="40"/>
  <c r="J20" i="40"/>
  <c r="I20" i="40"/>
  <c r="H20" i="40"/>
  <c r="G20" i="40"/>
  <c r="F20" i="40"/>
  <c r="E20" i="40"/>
  <c r="D20" i="40"/>
  <c r="N19" i="40"/>
  <c r="M19" i="40"/>
  <c r="L19" i="40"/>
  <c r="K19" i="40"/>
  <c r="J19" i="40"/>
  <c r="I19" i="40"/>
  <c r="H19" i="40"/>
  <c r="G19" i="40"/>
  <c r="F19" i="40"/>
  <c r="E19" i="40"/>
  <c r="D19" i="40"/>
  <c r="N18" i="40"/>
  <c r="M18" i="40"/>
  <c r="L18" i="40"/>
  <c r="K18" i="40"/>
  <c r="J18" i="40"/>
  <c r="I18" i="40"/>
  <c r="H18" i="40"/>
  <c r="G18" i="40"/>
  <c r="F18" i="40"/>
  <c r="E18" i="40"/>
  <c r="D18" i="40"/>
  <c r="N17" i="40"/>
  <c r="M17" i="40"/>
  <c r="L17" i="40"/>
  <c r="K17" i="40"/>
  <c r="J17" i="40"/>
  <c r="I17" i="40"/>
  <c r="H17" i="40"/>
  <c r="G17" i="40"/>
  <c r="F17" i="40"/>
  <c r="E17" i="40"/>
  <c r="D17" i="40"/>
  <c r="N16" i="40"/>
  <c r="M16" i="40"/>
  <c r="L16" i="40"/>
  <c r="K16" i="40"/>
  <c r="J16" i="40"/>
  <c r="I16" i="40"/>
  <c r="H16" i="40"/>
  <c r="G16" i="40"/>
  <c r="F16" i="40"/>
  <c r="E16" i="40"/>
  <c r="D16" i="40"/>
  <c r="N15" i="40"/>
  <c r="M15" i="40"/>
  <c r="L15" i="40"/>
  <c r="K15" i="40"/>
  <c r="J15" i="40"/>
  <c r="I15" i="40"/>
  <c r="H15" i="40"/>
  <c r="G15" i="40"/>
  <c r="F15" i="40"/>
  <c r="E15" i="40"/>
  <c r="D15" i="40"/>
  <c r="N14" i="40"/>
  <c r="M14" i="40"/>
  <c r="L14" i="40"/>
  <c r="K14" i="40"/>
  <c r="J14" i="40"/>
  <c r="I14" i="40"/>
  <c r="H14" i="40"/>
  <c r="G14" i="40"/>
  <c r="F14" i="40"/>
  <c r="E14" i="40"/>
  <c r="D14" i="40"/>
  <c r="N13" i="40"/>
  <c r="M13" i="40"/>
  <c r="L13" i="40"/>
  <c r="K13" i="40"/>
  <c r="J13" i="40"/>
  <c r="I13" i="40"/>
  <c r="H13" i="40"/>
  <c r="G13" i="40"/>
  <c r="F13" i="40"/>
  <c r="E13" i="40"/>
  <c r="D13" i="40"/>
  <c r="N12" i="40"/>
  <c r="M12" i="40"/>
  <c r="L12" i="40"/>
  <c r="K12" i="40"/>
  <c r="J12" i="40"/>
  <c r="I12" i="40"/>
  <c r="H12" i="40"/>
  <c r="G12" i="40"/>
  <c r="F12" i="40"/>
  <c r="E12" i="40"/>
  <c r="D12" i="40"/>
  <c r="N11" i="40"/>
  <c r="M11" i="40"/>
  <c r="L11" i="40"/>
  <c r="K11" i="40"/>
  <c r="J11" i="40"/>
  <c r="I11" i="40"/>
  <c r="H11" i="40"/>
  <c r="G11" i="40"/>
  <c r="F11" i="40"/>
  <c r="E11" i="40"/>
  <c r="D11" i="40"/>
  <c r="N10" i="40"/>
  <c r="M10" i="40"/>
  <c r="L10" i="40"/>
  <c r="K10" i="40"/>
  <c r="J10" i="40"/>
  <c r="I10" i="40"/>
  <c r="H10" i="40"/>
  <c r="G10" i="40"/>
  <c r="F10" i="40"/>
  <c r="E10" i="40"/>
  <c r="D10" i="40"/>
  <c r="N9" i="40"/>
  <c r="M9" i="40"/>
  <c r="L9" i="40"/>
  <c r="K9" i="40"/>
  <c r="J9" i="40"/>
  <c r="I9" i="40"/>
  <c r="H9" i="40"/>
  <c r="G9" i="40"/>
  <c r="F9" i="40"/>
  <c r="E9" i="40"/>
  <c r="D9" i="40"/>
  <c r="E43" i="52"/>
  <c r="D43" i="52"/>
  <c r="C43" i="52"/>
  <c r="E39" i="52"/>
  <c r="D39" i="52"/>
  <c r="C39" i="52"/>
  <c r="E35" i="52"/>
  <c r="D35" i="52"/>
  <c r="C35" i="52"/>
  <c r="O44" i="113"/>
  <c r="N44" i="113"/>
  <c r="M44" i="113"/>
  <c r="L44" i="113"/>
  <c r="K44" i="113"/>
  <c r="J44" i="113"/>
  <c r="I44" i="113"/>
  <c r="H44" i="113"/>
  <c r="G44" i="113"/>
  <c r="F44" i="113"/>
  <c r="E44" i="113"/>
  <c r="D44" i="113"/>
  <c r="C43" i="113"/>
  <c r="C42" i="113"/>
  <c r="O40" i="113"/>
  <c r="N40" i="113"/>
  <c r="M40" i="113"/>
  <c r="L40" i="113"/>
  <c r="K40" i="113"/>
  <c r="J40" i="113"/>
  <c r="I40" i="113"/>
  <c r="H40" i="113"/>
  <c r="G40" i="113"/>
  <c r="F40" i="113"/>
  <c r="E40" i="113"/>
  <c r="D40" i="113"/>
  <c r="C39" i="113"/>
  <c r="C40" i="113" s="1"/>
  <c r="C38" i="113"/>
  <c r="O36" i="113"/>
  <c r="C35" i="113"/>
  <c r="C34" i="113"/>
  <c r="C31" i="113"/>
  <c r="C32" i="113" s="1"/>
  <c r="C30" i="113"/>
  <c r="O28" i="113"/>
  <c r="N28" i="113"/>
  <c r="M28" i="113"/>
  <c r="L28" i="113"/>
  <c r="K28" i="113"/>
  <c r="J28" i="113"/>
  <c r="I28" i="113"/>
  <c r="H28" i="113"/>
  <c r="G28" i="113"/>
  <c r="F28" i="113"/>
  <c r="E28" i="113"/>
  <c r="D28" i="113"/>
  <c r="C27" i="113"/>
  <c r="C28" i="113" s="1"/>
  <c r="C26" i="113"/>
  <c r="C23" i="113"/>
  <c r="C22" i="113"/>
  <c r="C19" i="113"/>
  <c r="C18" i="113"/>
  <c r="O16" i="113"/>
  <c r="N16" i="113"/>
  <c r="M16" i="113"/>
  <c r="L16" i="113"/>
  <c r="K16" i="113"/>
  <c r="J16" i="113"/>
  <c r="I16" i="113"/>
  <c r="H16" i="113"/>
  <c r="G16" i="113"/>
  <c r="F16" i="113"/>
  <c r="E16" i="113"/>
  <c r="D16" i="113"/>
  <c r="C15" i="113"/>
  <c r="C16" i="113" s="1"/>
  <c r="C14" i="113"/>
  <c r="O12" i="113"/>
  <c r="N12" i="113"/>
  <c r="M12" i="113"/>
  <c r="L12" i="113"/>
  <c r="K12" i="113"/>
  <c r="J12" i="113"/>
  <c r="I12" i="113"/>
  <c r="H12" i="113"/>
  <c r="G12" i="113"/>
  <c r="F12" i="113"/>
  <c r="E12" i="113"/>
  <c r="D12" i="113"/>
  <c r="C11" i="113"/>
  <c r="C10" i="113"/>
  <c r="C12" i="113" s="1"/>
  <c r="O8" i="113"/>
  <c r="N8" i="113"/>
  <c r="M8" i="113"/>
  <c r="L8" i="113"/>
  <c r="K8" i="113"/>
  <c r="J8" i="113"/>
  <c r="I8" i="113"/>
  <c r="H8" i="113"/>
  <c r="G8" i="113"/>
  <c r="F8" i="113"/>
  <c r="E8" i="113"/>
  <c r="D8" i="113"/>
  <c r="C7" i="113"/>
  <c r="C6" i="113"/>
  <c r="B38" i="112"/>
  <c r="B37" i="112"/>
  <c r="B36" i="112"/>
  <c r="B35" i="112"/>
  <c r="N34" i="112"/>
  <c r="M34" i="112"/>
  <c r="L34" i="112"/>
  <c r="K34" i="112"/>
  <c r="J34" i="112"/>
  <c r="I34" i="112"/>
  <c r="H34" i="112"/>
  <c r="G34" i="112"/>
  <c r="F34" i="112"/>
  <c r="E34" i="112"/>
  <c r="D34" i="112"/>
  <c r="C34" i="112"/>
  <c r="B32" i="112"/>
  <c r="B31" i="112"/>
  <c r="B30" i="112"/>
  <c r="B29" i="112"/>
  <c r="B28" i="112"/>
  <c r="B27" i="112"/>
  <c r="B26" i="112"/>
  <c r="B23" i="112"/>
  <c r="B22" i="112"/>
  <c r="B21" i="112"/>
  <c r="B20" i="112"/>
  <c r="B19" i="112"/>
  <c r="B18" i="112"/>
  <c r="B17" i="112"/>
  <c r="B14" i="112"/>
  <c r="B13" i="112"/>
  <c r="B12" i="112"/>
  <c r="B11" i="112"/>
  <c r="B10" i="112"/>
  <c r="B9" i="112"/>
  <c r="N8" i="112"/>
  <c r="M8" i="112"/>
  <c r="L8" i="112"/>
  <c r="L6" i="112" s="1"/>
  <c r="K8" i="112"/>
  <c r="J8" i="112"/>
  <c r="I8" i="112"/>
  <c r="H8" i="112"/>
  <c r="G8" i="112"/>
  <c r="G6" i="112" s="1"/>
  <c r="F8" i="112"/>
  <c r="F6" i="112" s="1"/>
  <c r="E8" i="112"/>
  <c r="D8" i="112"/>
  <c r="C8" i="112"/>
  <c r="C6" i="112" s="1"/>
  <c r="B38" i="111"/>
  <c r="B37" i="111"/>
  <c r="B36" i="111"/>
  <c r="B35" i="111"/>
  <c r="N34" i="111"/>
  <c r="M34" i="111"/>
  <c r="L34" i="111"/>
  <c r="K34" i="111"/>
  <c r="J34" i="111"/>
  <c r="I34" i="111"/>
  <c r="H34" i="111"/>
  <c r="G34" i="111"/>
  <c r="F34" i="111"/>
  <c r="E34" i="111"/>
  <c r="D34" i="111"/>
  <c r="C34" i="111"/>
  <c r="B32" i="111"/>
  <c r="B31" i="111"/>
  <c r="B30" i="111"/>
  <c r="B29" i="111"/>
  <c r="B28" i="111"/>
  <c r="B27" i="111"/>
  <c r="B26" i="111"/>
  <c r="C25" i="111"/>
  <c r="B23" i="111"/>
  <c r="B22" i="111"/>
  <c r="B21" i="111"/>
  <c r="B20" i="111"/>
  <c r="F16" i="111"/>
  <c r="K16" i="111"/>
  <c r="J16" i="111"/>
  <c r="I16" i="111"/>
  <c r="G16" i="111"/>
  <c r="B18" i="111"/>
  <c r="B17" i="111"/>
  <c r="N16" i="111"/>
  <c r="M16" i="111"/>
  <c r="L16" i="111"/>
  <c r="E16" i="111"/>
  <c r="D16" i="111"/>
  <c r="C16" i="111"/>
  <c r="B14" i="111"/>
  <c r="B13" i="111"/>
  <c r="B12" i="111"/>
  <c r="B11" i="111"/>
  <c r="B10" i="111"/>
  <c r="B9" i="111"/>
  <c r="N8" i="111"/>
  <c r="M8" i="111"/>
  <c r="L8" i="111"/>
  <c r="K8" i="111"/>
  <c r="J8" i="111"/>
  <c r="I8" i="111"/>
  <c r="H8" i="111"/>
  <c r="G8" i="111"/>
  <c r="G6" i="111" s="1"/>
  <c r="F8" i="111"/>
  <c r="E8" i="111"/>
  <c r="D8" i="111"/>
  <c r="C8" i="111"/>
  <c r="B38" i="110"/>
  <c r="B37" i="110"/>
  <c r="B36" i="110"/>
  <c r="B35" i="110"/>
  <c r="N34" i="110"/>
  <c r="M34" i="110"/>
  <c r="L34" i="110"/>
  <c r="K34" i="110"/>
  <c r="J34" i="110"/>
  <c r="I34" i="110"/>
  <c r="H34" i="110"/>
  <c r="G34" i="110"/>
  <c r="F34" i="110"/>
  <c r="E34" i="110"/>
  <c r="B34" i="110" s="1"/>
  <c r="D34" i="110"/>
  <c r="C34" i="110"/>
  <c r="B32" i="110"/>
  <c r="B31" i="110"/>
  <c r="B30" i="110"/>
  <c r="B29" i="110"/>
  <c r="B28" i="110"/>
  <c r="B26" i="110"/>
  <c r="B23" i="110"/>
  <c r="B22" i="110"/>
  <c r="B21" i="110"/>
  <c r="B20" i="110"/>
  <c r="B19" i="110"/>
  <c r="B18" i="110"/>
  <c r="B17" i="110"/>
  <c r="N16" i="110"/>
  <c r="M16" i="110"/>
  <c r="L16" i="110"/>
  <c r="K16" i="110"/>
  <c r="J16" i="110"/>
  <c r="I16" i="110"/>
  <c r="H16" i="110"/>
  <c r="G16" i="110"/>
  <c r="F16" i="110"/>
  <c r="E16" i="110"/>
  <c r="D16" i="110"/>
  <c r="C16" i="110"/>
  <c r="B14" i="110"/>
  <c r="B13" i="110"/>
  <c r="B12" i="110"/>
  <c r="B11" i="110"/>
  <c r="B10" i="110"/>
  <c r="B9" i="110"/>
  <c r="N8" i="110"/>
  <c r="M8" i="110"/>
  <c r="L8" i="110"/>
  <c r="L6" i="110" s="1"/>
  <c r="K8" i="110"/>
  <c r="J8" i="110"/>
  <c r="I8" i="110"/>
  <c r="H8" i="110"/>
  <c r="H6" i="110" s="1"/>
  <c r="G8" i="110"/>
  <c r="G6" i="110"/>
  <c r="F8" i="110"/>
  <c r="E8" i="110"/>
  <c r="D8" i="110"/>
  <c r="C8" i="110"/>
  <c r="J17" i="86"/>
  <c r="I17" i="86"/>
  <c r="H17" i="86"/>
  <c r="G17" i="86"/>
  <c r="L8" i="69"/>
  <c r="K8" i="69"/>
  <c r="H8" i="69"/>
  <c r="F8" i="69"/>
  <c r="E8" i="69"/>
  <c r="C8" i="69"/>
  <c r="B8" i="69"/>
  <c r="DV36" i="56"/>
  <c r="DU36" i="56"/>
  <c r="DT36" i="56"/>
  <c r="DS36" i="56"/>
  <c r="DR36" i="56"/>
  <c r="DQ36" i="56"/>
  <c r="DP36" i="56"/>
  <c r="DO36" i="56"/>
  <c r="DN36" i="56"/>
  <c r="DM36" i="56"/>
  <c r="DL36" i="56"/>
  <c r="DK36" i="56"/>
  <c r="CV36" i="56"/>
  <c r="CH36" i="56"/>
  <c r="DV35" i="56"/>
  <c r="DU35" i="56"/>
  <c r="DT35" i="56"/>
  <c r="DS35" i="56"/>
  <c r="DR35" i="56"/>
  <c r="DQ35" i="56"/>
  <c r="DP35" i="56"/>
  <c r="DO35" i="56"/>
  <c r="DN35" i="56"/>
  <c r="DM35" i="56"/>
  <c r="DL35" i="56"/>
  <c r="DK35" i="56"/>
  <c r="CV35" i="56"/>
  <c r="CH35" i="56"/>
  <c r="CF35" i="56"/>
  <c r="CE35" i="56"/>
  <c r="CD35" i="56"/>
  <c r="CC35" i="56"/>
  <c r="CB35" i="56"/>
  <c r="CA35" i="56"/>
  <c r="BZ35" i="56"/>
  <c r="BY35" i="56"/>
  <c r="BX35" i="56"/>
  <c r="BW35" i="56"/>
  <c r="BV35" i="56"/>
  <c r="BU35" i="56"/>
  <c r="BF35" i="56"/>
  <c r="AR35" i="56"/>
  <c r="AM35" i="56"/>
  <c r="AL35" i="56"/>
  <c r="AK35" i="56"/>
  <c r="AJ35" i="56"/>
  <c r="AI35" i="56"/>
  <c r="AH35" i="56"/>
  <c r="AG35" i="56"/>
  <c r="AF35" i="56"/>
  <c r="AE35" i="56"/>
  <c r="P35" i="56"/>
  <c r="B35" i="56"/>
  <c r="DV34" i="56"/>
  <c r="DU34" i="56"/>
  <c r="DT34" i="56"/>
  <c r="DS34" i="56"/>
  <c r="DR34" i="56"/>
  <c r="DQ34" i="56"/>
  <c r="DP34" i="56"/>
  <c r="DO34" i="56"/>
  <c r="DN34" i="56"/>
  <c r="DM34" i="56"/>
  <c r="DL34" i="56"/>
  <c r="DK34" i="56"/>
  <c r="CV34" i="56"/>
  <c r="DJ34" i="56" s="1"/>
  <c r="CH34" i="56"/>
  <c r="CF34" i="56"/>
  <c r="CE34" i="56"/>
  <c r="CD34" i="56"/>
  <c r="CC34" i="56"/>
  <c r="CB34" i="56"/>
  <c r="CA34" i="56"/>
  <c r="BZ34" i="56"/>
  <c r="BY34" i="56"/>
  <c r="BX34" i="56"/>
  <c r="BW34" i="56"/>
  <c r="BV34" i="56"/>
  <c r="BU34" i="56"/>
  <c r="BF34" i="56"/>
  <c r="AR34" i="56"/>
  <c r="BT34" i="56" s="1"/>
  <c r="AP34" i="56"/>
  <c r="AO34" i="56"/>
  <c r="AN34" i="56"/>
  <c r="AM34" i="56"/>
  <c r="AL34" i="56"/>
  <c r="AK34" i="56"/>
  <c r="AJ34" i="56"/>
  <c r="AI34" i="56"/>
  <c r="AH34" i="56"/>
  <c r="AG34" i="56"/>
  <c r="AF34" i="56"/>
  <c r="AE34" i="56"/>
  <c r="P34" i="56"/>
  <c r="B34" i="56"/>
  <c r="DV33" i="56"/>
  <c r="DU33" i="56"/>
  <c r="DT33" i="56"/>
  <c r="DS33" i="56"/>
  <c r="DR33" i="56"/>
  <c r="DQ33" i="56"/>
  <c r="DP33" i="56"/>
  <c r="DO33" i="56"/>
  <c r="DN33" i="56"/>
  <c r="DM33" i="56"/>
  <c r="DL33" i="56"/>
  <c r="DK33" i="56"/>
  <c r="CV33" i="56"/>
  <c r="DJ33" i="56" s="1"/>
  <c r="CH33" i="56"/>
  <c r="CF33" i="56"/>
  <c r="CE33" i="56"/>
  <c r="CD33" i="56"/>
  <c r="CC33" i="56"/>
  <c r="CB33" i="56"/>
  <c r="CA33" i="56"/>
  <c r="BZ33" i="56"/>
  <c r="BY33" i="56"/>
  <c r="BX33" i="56"/>
  <c r="BW33" i="56"/>
  <c r="BV33" i="56"/>
  <c r="BU33" i="56"/>
  <c r="BF33" i="56"/>
  <c r="AR33" i="56"/>
  <c r="AP33" i="56"/>
  <c r="AO33" i="56"/>
  <c r="AN33" i="56"/>
  <c r="AM33" i="56"/>
  <c r="AL33" i="56"/>
  <c r="AK33" i="56"/>
  <c r="AJ33" i="56"/>
  <c r="AI33" i="56"/>
  <c r="AH33" i="56"/>
  <c r="AG33" i="56"/>
  <c r="AF33" i="56"/>
  <c r="AE33" i="56"/>
  <c r="P33" i="56"/>
  <c r="B33" i="56"/>
  <c r="DV32" i="56"/>
  <c r="DU32" i="56"/>
  <c r="DT32" i="56"/>
  <c r="DS32" i="56"/>
  <c r="DR32" i="56"/>
  <c r="DQ32" i="56"/>
  <c r="DP32" i="56"/>
  <c r="DO32" i="56"/>
  <c r="DN32" i="56"/>
  <c r="DM32" i="56"/>
  <c r="DL32" i="56"/>
  <c r="DK32" i="56"/>
  <c r="CV32" i="56"/>
  <c r="DJ32" i="56" s="1"/>
  <c r="CH32" i="56"/>
  <c r="CF32" i="56"/>
  <c r="CE32" i="56"/>
  <c r="CD32" i="56"/>
  <c r="CC32" i="56"/>
  <c r="CB32" i="56"/>
  <c r="CA32" i="56"/>
  <c r="BZ32" i="56"/>
  <c r="BY32" i="56"/>
  <c r="BX32" i="56"/>
  <c r="BW32" i="56"/>
  <c r="BV32" i="56"/>
  <c r="BU32" i="56"/>
  <c r="BF32" i="56"/>
  <c r="AR32" i="56"/>
  <c r="AP32" i="56"/>
  <c r="AO32" i="56"/>
  <c r="AN32" i="56"/>
  <c r="AM32" i="56"/>
  <c r="AL32" i="56"/>
  <c r="AK32" i="56"/>
  <c r="AJ32" i="56"/>
  <c r="AI32" i="56"/>
  <c r="AH32" i="56"/>
  <c r="AG32" i="56"/>
  <c r="AF32" i="56"/>
  <c r="AE32" i="56"/>
  <c r="P32" i="56"/>
  <c r="B32" i="56"/>
  <c r="DV31" i="56"/>
  <c r="DU31" i="56"/>
  <c r="DT31" i="56"/>
  <c r="DS31" i="56"/>
  <c r="DR31" i="56"/>
  <c r="DQ31" i="56"/>
  <c r="DP31" i="56"/>
  <c r="DO31" i="56"/>
  <c r="DN31" i="56"/>
  <c r="DM31" i="56"/>
  <c r="DL31" i="56"/>
  <c r="DK31" i="56"/>
  <c r="CV31" i="56"/>
  <c r="DJ31" i="56" s="1"/>
  <c r="CH31" i="56"/>
  <c r="AP31" i="56"/>
  <c r="AO31" i="56"/>
  <c r="AN31" i="56"/>
  <c r="AM31" i="56"/>
  <c r="AL31" i="56"/>
  <c r="AK31" i="56"/>
  <c r="AJ31" i="56"/>
  <c r="AI31" i="56"/>
  <c r="AH31" i="56"/>
  <c r="AG31" i="56"/>
  <c r="AF31" i="56"/>
  <c r="AE31" i="56"/>
  <c r="P31" i="56"/>
  <c r="B31" i="56"/>
  <c r="AD31" i="56" s="1"/>
  <c r="DV30" i="56"/>
  <c r="DU30" i="56"/>
  <c r="DT30" i="56"/>
  <c r="DS30" i="56"/>
  <c r="DR30" i="56"/>
  <c r="DQ30" i="56"/>
  <c r="DP30" i="56"/>
  <c r="DO30" i="56"/>
  <c r="DN30" i="56"/>
  <c r="DM30" i="56"/>
  <c r="DL30" i="56"/>
  <c r="DK30" i="56"/>
  <c r="CV30" i="56"/>
  <c r="CH30" i="56"/>
  <c r="CF30" i="56"/>
  <c r="CE30" i="56"/>
  <c r="CD30" i="56"/>
  <c r="CC30" i="56"/>
  <c r="CB30" i="56"/>
  <c r="CA30" i="56"/>
  <c r="BZ30" i="56"/>
  <c r="BY30" i="56"/>
  <c r="BX30" i="56"/>
  <c r="BW30" i="56"/>
  <c r="BV30" i="56"/>
  <c r="BU30" i="56"/>
  <c r="BF30" i="56"/>
  <c r="AR30" i="56"/>
  <c r="AP30" i="56"/>
  <c r="AO30" i="56"/>
  <c r="AN30" i="56"/>
  <c r="AM30" i="56"/>
  <c r="AL30" i="56"/>
  <c r="AK30" i="56"/>
  <c r="AJ30" i="56"/>
  <c r="AI30" i="56"/>
  <c r="AH30" i="56"/>
  <c r="AG30" i="56"/>
  <c r="AF30" i="56"/>
  <c r="AE30" i="56"/>
  <c r="P30" i="56"/>
  <c r="B30" i="56"/>
  <c r="DV29" i="56"/>
  <c r="DU29" i="56"/>
  <c r="DT29" i="56"/>
  <c r="DS29" i="56"/>
  <c r="DR29" i="56"/>
  <c r="DQ29" i="56"/>
  <c r="DP29" i="56"/>
  <c r="DO29" i="56"/>
  <c r="DN29" i="56"/>
  <c r="DM29" i="56"/>
  <c r="DL29" i="56"/>
  <c r="DK29" i="56"/>
  <c r="CV29" i="56"/>
  <c r="CH29" i="56"/>
  <c r="CF29" i="56"/>
  <c r="CE29" i="56"/>
  <c r="CD29" i="56"/>
  <c r="CC29" i="56"/>
  <c r="CB29" i="56"/>
  <c r="CA29" i="56"/>
  <c r="BZ29" i="56"/>
  <c r="BY29" i="56"/>
  <c r="BX29" i="56"/>
  <c r="BW29" i="56"/>
  <c r="BV29" i="56"/>
  <c r="BU29" i="56"/>
  <c r="BF29" i="56"/>
  <c r="AR29" i="56"/>
  <c r="AP29" i="56"/>
  <c r="AO29" i="56"/>
  <c r="AN29" i="56"/>
  <c r="AM29" i="56"/>
  <c r="AL29" i="56"/>
  <c r="AK29" i="56"/>
  <c r="AJ29" i="56"/>
  <c r="AI29" i="56"/>
  <c r="AH29" i="56"/>
  <c r="AG29" i="56"/>
  <c r="AF29" i="56"/>
  <c r="AE29" i="56"/>
  <c r="P29" i="56"/>
  <c r="B29" i="56"/>
  <c r="DV28" i="56"/>
  <c r="DU28" i="56"/>
  <c r="DT28" i="56"/>
  <c r="DS28" i="56"/>
  <c r="DR28" i="56"/>
  <c r="DQ28" i="56"/>
  <c r="DP28" i="56"/>
  <c r="DO28" i="56"/>
  <c r="DN28" i="56"/>
  <c r="DM28" i="56"/>
  <c r="DL28" i="56"/>
  <c r="DK28" i="56"/>
  <c r="CV28" i="56"/>
  <c r="CH28" i="56"/>
  <c r="DJ28" i="56" s="1"/>
  <c r="CF28" i="56"/>
  <c r="CE28" i="56"/>
  <c r="CD28" i="56"/>
  <c r="CC28" i="56"/>
  <c r="CB28" i="56"/>
  <c r="CA28" i="56"/>
  <c r="BZ28" i="56"/>
  <c r="BY28" i="56"/>
  <c r="BX28" i="56"/>
  <c r="BW28" i="56"/>
  <c r="BV28" i="56"/>
  <c r="BU28" i="56"/>
  <c r="BF28" i="56"/>
  <c r="AR28" i="56"/>
  <c r="AP28" i="56"/>
  <c r="AO28" i="56"/>
  <c r="AN28" i="56"/>
  <c r="AM28" i="56"/>
  <c r="AL28" i="56"/>
  <c r="AK28" i="56"/>
  <c r="AJ28" i="56"/>
  <c r="AI28" i="56"/>
  <c r="AH28" i="56"/>
  <c r="AG28" i="56"/>
  <c r="AF28" i="56"/>
  <c r="AE28" i="56"/>
  <c r="P28" i="56"/>
  <c r="B28" i="56"/>
  <c r="DV27" i="56"/>
  <c r="DU27" i="56"/>
  <c r="DT27" i="56"/>
  <c r="DS27" i="56"/>
  <c r="DR27" i="56"/>
  <c r="DQ27" i="56"/>
  <c r="DP27" i="56"/>
  <c r="DO27" i="56"/>
  <c r="DN27" i="56"/>
  <c r="DM27" i="56"/>
  <c r="DL27" i="56"/>
  <c r="DK27" i="56"/>
  <c r="CV27" i="56"/>
  <c r="CH27" i="56"/>
  <c r="CF27" i="56"/>
  <c r="CE27" i="56"/>
  <c r="CD27" i="56"/>
  <c r="CC27" i="56"/>
  <c r="CB27" i="56"/>
  <c r="CA27" i="56"/>
  <c r="BZ27" i="56"/>
  <c r="BY27" i="56"/>
  <c r="BX27" i="56"/>
  <c r="BW27" i="56"/>
  <c r="BV27" i="56"/>
  <c r="BU27" i="56"/>
  <c r="BF27" i="56"/>
  <c r="AR27" i="56"/>
  <c r="AP27" i="56"/>
  <c r="AO27" i="56"/>
  <c r="AN27" i="56"/>
  <c r="AM27" i="56"/>
  <c r="AL27" i="56"/>
  <c r="AK27" i="56"/>
  <c r="AJ27" i="56"/>
  <c r="AI27" i="56"/>
  <c r="AH27" i="56"/>
  <c r="AG27" i="56"/>
  <c r="AF27" i="56"/>
  <c r="AE27" i="56"/>
  <c r="P27" i="56"/>
  <c r="B27" i="56"/>
  <c r="DV26" i="56"/>
  <c r="DU26" i="56"/>
  <c r="DT26" i="56"/>
  <c r="DS26" i="56"/>
  <c r="DR26" i="56"/>
  <c r="DQ26" i="56"/>
  <c r="DP26" i="56"/>
  <c r="DO26" i="56"/>
  <c r="DN26" i="56"/>
  <c r="DM26" i="56"/>
  <c r="DL26" i="56"/>
  <c r="DK26" i="56"/>
  <c r="CV26" i="56"/>
  <c r="CH26" i="56"/>
  <c r="CF26" i="56"/>
  <c r="CE26" i="56"/>
  <c r="CD26" i="56"/>
  <c r="CC26" i="56"/>
  <c r="CB26" i="56"/>
  <c r="CA26" i="56"/>
  <c r="BZ26" i="56"/>
  <c r="BY26" i="56"/>
  <c r="BX26" i="56"/>
  <c r="BW26" i="56"/>
  <c r="BV26" i="56"/>
  <c r="BU26" i="56"/>
  <c r="BF26" i="56"/>
  <c r="AR26" i="56"/>
  <c r="AP26" i="56"/>
  <c r="AO26" i="56"/>
  <c r="AN26" i="56"/>
  <c r="AM26" i="56"/>
  <c r="AL26" i="56"/>
  <c r="AK26" i="56"/>
  <c r="AJ26" i="56"/>
  <c r="AI26" i="56"/>
  <c r="AH26" i="56"/>
  <c r="AG26" i="56"/>
  <c r="AF26" i="56"/>
  <c r="AE26" i="56"/>
  <c r="P26" i="56"/>
  <c r="B26" i="56"/>
  <c r="DV25" i="56"/>
  <c r="DU25" i="56"/>
  <c r="DT25" i="56"/>
  <c r="DS25" i="56"/>
  <c r="DR25" i="56"/>
  <c r="DQ25" i="56"/>
  <c r="DP25" i="56"/>
  <c r="DO25" i="56"/>
  <c r="DN25" i="56"/>
  <c r="DM25" i="56"/>
  <c r="DL25" i="56"/>
  <c r="DK25" i="56"/>
  <c r="CV25" i="56"/>
  <c r="CH25" i="56"/>
  <c r="CF25" i="56"/>
  <c r="CE25" i="56"/>
  <c r="CD25" i="56"/>
  <c r="CC25" i="56"/>
  <c r="CB25" i="56"/>
  <c r="CA25" i="56"/>
  <c r="BZ25" i="56"/>
  <c r="BY25" i="56"/>
  <c r="BX25" i="56"/>
  <c r="BW25" i="56"/>
  <c r="BV25" i="56"/>
  <c r="BU25" i="56"/>
  <c r="BF25" i="56"/>
  <c r="AR25" i="56"/>
  <c r="AP25" i="56"/>
  <c r="AO25" i="56"/>
  <c r="AN25" i="56"/>
  <c r="AM25" i="56"/>
  <c r="AL25" i="56"/>
  <c r="AK25" i="56"/>
  <c r="AJ25" i="56"/>
  <c r="AI25" i="56"/>
  <c r="AH25" i="56"/>
  <c r="AG25" i="56"/>
  <c r="AF25" i="56"/>
  <c r="AE25" i="56"/>
  <c r="P25" i="56"/>
  <c r="B25" i="56"/>
  <c r="DV24" i="56"/>
  <c r="DU24" i="56"/>
  <c r="DT24" i="56"/>
  <c r="DS24" i="56"/>
  <c r="DR24" i="56"/>
  <c r="DQ24" i="56"/>
  <c r="DP24" i="56"/>
  <c r="DO24" i="56"/>
  <c r="DN24" i="56"/>
  <c r="DM24" i="56"/>
  <c r="DL24" i="56"/>
  <c r="DK24" i="56"/>
  <c r="CV24" i="56"/>
  <c r="CH24" i="56"/>
  <c r="CF24" i="56"/>
  <c r="CE24" i="56"/>
  <c r="CD24" i="56"/>
  <c r="CC24" i="56"/>
  <c r="CB24" i="56"/>
  <c r="CA24" i="56"/>
  <c r="BZ24" i="56"/>
  <c r="BY24" i="56"/>
  <c r="BX24" i="56"/>
  <c r="BW24" i="56"/>
  <c r="BV24" i="56"/>
  <c r="BU24" i="56"/>
  <c r="BF24" i="56"/>
  <c r="AR24" i="56"/>
  <c r="AP24" i="56"/>
  <c r="AO24" i="56"/>
  <c r="AN24" i="56"/>
  <c r="AM24" i="56"/>
  <c r="AL24" i="56"/>
  <c r="AK24" i="56"/>
  <c r="AJ24" i="56"/>
  <c r="AI24" i="56"/>
  <c r="AH24" i="56"/>
  <c r="AG24" i="56"/>
  <c r="AF24" i="56"/>
  <c r="AE24" i="56"/>
  <c r="P24" i="56"/>
  <c r="B24" i="56"/>
  <c r="DV23" i="56"/>
  <c r="DU23" i="56"/>
  <c r="DT23" i="56"/>
  <c r="DS23" i="56"/>
  <c r="DR23" i="56"/>
  <c r="DQ23" i="56"/>
  <c r="DP23" i="56"/>
  <c r="DO23" i="56"/>
  <c r="DN23" i="56"/>
  <c r="DM23" i="56"/>
  <c r="DL23" i="56"/>
  <c r="DK23" i="56"/>
  <c r="CV23" i="56"/>
  <c r="CH23" i="56"/>
  <c r="DJ23" i="56" s="1"/>
  <c r="CF23" i="56"/>
  <c r="CE23" i="56"/>
  <c r="CD23" i="56"/>
  <c r="CC23" i="56"/>
  <c r="CB23" i="56"/>
  <c r="CA23" i="56"/>
  <c r="BZ23" i="56"/>
  <c r="BY23" i="56"/>
  <c r="BX23" i="56"/>
  <c r="BW23" i="56"/>
  <c r="BV23" i="56"/>
  <c r="BU23" i="56"/>
  <c r="BF23" i="56"/>
  <c r="AR23" i="56"/>
  <c r="AP23" i="56"/>
  <c r="AO23" i="56"/>
  <c r="AN23" i="56"/>
  <c r="AM23" i="56"/>
  <c r="AL23" i="56"/>
  <c r="AK23" i="56"/>
  <c r="AJ23" i="56"/>
  <c r="AI23" i="56"/>
  <c r="AH23" i="56"/>
  <c r="AG23" i="56"/>
  <c r="AF23" i="56"/>
  <c r="AE23" i="56"/>
  <c r="P23" i="56"/>
  <c r="B23" i="56"/>
  <c r="DV22" i="56"/>
  <c r="DU22" i="56"/>
  <c r="DT22" i="56"/>
  <c r="DS22" i="56"/>
  <c r="DR22" i="56"/>
  <c r="DQ22" i="56"/>
  <c r="DP22" i="56"/>
  <c r="DO22" i="56"/>
  <c r="DN22" i="56"/>
  <c r="DM22" i="56"/>
  <c r="DL22" i="56"/>
  <c r="DK22" i="56"/>
  <c r="CV22" i="56"/>
  <c r="CH22" i="56"/>
  <c r="CF22" i="56"/>
  <c r="CE22" i="56"/>
  <c r="CD22" i="56"/>
  <c r="CC22" i="56"/>
  <c r="CB22" i="56"/>
  <c r="CA22" i="56"/>
  <c r="BZ22" i="56"/>
  <c r="BY22" i="56"/>
  <c r="BX22" i="56"/>
  <c r="BW22" i="56"/>
  <c r="BV22" i="56"/>
  <c r="BU22" i="56"/>
  <c r="BF22" i="56"/>
  <c r="AR22" i="56"/>
  <c r="AP22" i="56"/>
  <c r="AO22" i="56"/>
  <c r="AN22" i="56"/>
  <c r="AM22" i="56"/>
  <c r="AL22" i="56"/>
  <c r="AK22" i="56"/>
  <c r="AJ22" i="56"/>
  <c r="AI22" i="56"/>
  <c r="AH22" i="56"/>
  <c r="AG22" i="56"/>
  <c r="AF22" i="56"/>
  <c r="AE22" i="56"/>
  <c r="P22" i="56"/>
  <c r="B22" i="56"/>
  <c r="DV21" i="56"/>
  <c r="DU21" i="56"/>
  <c r="DT21" i="56"/>
  <c r="DS21" i="56"/>
  <c r="DR21" i="56"/>
  <c r="DQ21" i="56"/>
  <c r="DP21" i="56"/>
  <c r="DO21" i="56"/>
  <c r="DN21" i="56"/>
  <c r="DM21" i="56"/>
  <c r="DL21" i="56"/>
  <c r="DK21" i="56"/>
  <c r="CV21" i="56"/>
  <c r="CH21" i="56"/>
  <c r="CF21" i="56"/>
  <c r="CE21" i="56"/>
  <c r="CD21" i="56"/>
  <c r="CC21" i="56"/>
  <c r="CB21" i="56"/>
  <c r="CA21" i="56"/>
  <c r="BZ21" i="56"/>
  <c r="BY21" i="56"/>
  <c r="BX21" i="56"/>
  <c r="BW21" i="56"/>
  <c r="BV21" i="56"/>
  <c r="BU21" i="56"/>
  <c r="BF21" i="56"/>
  <c r="AR21" i="56"/>
  <c r="AP21" i="56"/>
  <c r="AO21" i="56"/>
  <c r="AN21" i="56"/>
  <c r="AM21" i="56"/>
  <c r="AL21" i="56"/>
  <c r="AK21" i="56"/>
  <c r="AJ21" i="56"/>
  <c r="AI21" i="56"/>
  <c r="AH21" i="56"/>
  <c r="AG21" i="56"/>
  <c r="AF21" i="56"/>
  <c r="AE21" i="56"/>
  <c r="P21" i="56"/>
  <c r="B21" i="56"/>
  <c r="DV20" i="56"/>
  <c r="DU20" i="56"/>
  <c r="DT20" i="56"/>
  <c r="DS20" i="56"/>
  <c r="DR20" i="56"/>
  <c r="DQ20" i="56"/>
  <c r="DP20" i="56"/>
  <c r="DO20" i="56"/>
  <c r="DN20" i="56"/>
  <c r="DM20" i="56"/>
  <c r="DL20" i="56"/>
  <c r="DK20" i="56"/>
  <c r="CV20" i="56"/>
  <c r="CH20" i="56"/>
  <c r="CF20" i="56"/>
  <c r="CE20" i="56"/>
  <c r="CD20" i="56"/>
  <c r="CC20" i="56"/>
  <c r="CB20" i="56"/>
  <c r="CA20" i="56"/>
  <c r="BZ20" i="56"/>
  <c r="BY20" i="56"/>
  <c r="BX20" i="56"/>
  <c r="BW20" i="56"/>
  <c r="BV20" i="56"/>
  <c r="BU20" i="56"/>
  <c r="BF20" i="56"/>
  <c r="AR20" i="56"/>
  <c r="AP20" i="56"/>
  <c r="AO20" i="56"/>
  <c r="AN20" i="56"/>
  <c r="AM20" i="56"/>
  <c r="AL20" i="56"/>
  <c r="AK20" i="56"/>
  <c r="AJ20" i="56"/>
  <c r="AI20" i="56"/>
  <c r="AH20" i="56"/>
  <c r="AG20" i="56"/>
  <c r="AF20" i="56"/>
  <c r="AE20" i="56"/>
  <c r="P20" i="56"/>
  <c r="B20" i="56"/>
  <c r="DV19" i="56"/>
  <c r="DU19" i="56"/>
  <c r="DT19" i="56"/>
  <c r="DS19" i="56"/>
  <c r="DR19" i="56"/>
  <c r="DQ19" i="56"/>
  <c r="DP19" i="56"/>
  <c r="DO19" i="56"/>
  <c r="DN19" i="56"/>
  <c r="DM19" i="56"/>
  <c r="DL19" i="56"/>
  <c r="DK19" i="56"/>
  <c r="CV19" i="56"/>
  <c r="CH19" i="56"/>
  <c r="CF19" i="56"/>
  <c r="CE19" i="56"/>
  <c r="CD19" i="56"/>
  <c r="CC19" i="56"/>
  <c r="CB19" i="56"/>
  <c r="CA19" i="56"/>
  <c r="BZ19" i="56"/>
  <c r="BY19" i="56"/>
  <c r="BX19" i="56"/>
  <c r="BW19" i="56"/>
  <c r="BV19" i="56"/>
  <c r="BU19" i="56"/>
  <c r="BF19" i="56"/>
  <c r="AR19" i="56"/>
  <c r="AP19" i="56"/>
  <c r="AO19" i="56"/>
  <c r="AN19" i="56"/>
  <c r="AM19" i="56"/>
  <c r="AL19" i="56"/>
  <c r="AK19" i="56"/>
  <c r="AJ19" i="56"/>
  <c r="AI19" i="56"/>
  <c r="AH19" i="56"/>
  <c r="AG19" i="56"/>
  <c r="AF19" i="56"/>
  <c r="AE19" i="56"/>
  <c r="P19" i="56"/>
  <c r="B19" i="56"/>
  <c r="DV18" i="56"/>
  <c r="DU18" i="56"/>
  <c r="DT18" i="56"/>
  <c r="DS18" i="56"/>
  <c r="DR18" i="56"/>
  <c r="DQ18" i="56"/>
  <c r="DP18" i="56"/>
  <c r="DO18" i="56"/>
  <c r="DN18" i="56"/>
  <c r="DM18" i="56"/>
  <c r="DL18" i="56"/>
  <c r="DK18" i="56"/>
  <c r="CV18" i="56"/>
  <c r="CH18" i="56"/>
  <c r="DJ18" i="56" s="1"/>
  <c r="CF18" i="56"/>
  <c r="CE18" i="56"/>
  <c r="CD18" i="56"/>
  <c r="CC18" i="56"/>
  <c r="CB18" i="56"/>
  <c r="CA18" i="56"/>
  <c r="BZ18" i="56"/>
  <c r="BY18" i="56"/>
  <c r="BX18" i="56"/>
  <c r="BW18" i="56"/>
  <c r="BV18" i="56"/>
  <c r="BU18" i="56"/>
  <c r="BF18" i="56"/>
  <c r="AR18" i="56"/>
  <c r="AP18" i="56"/>
  <c r="AO18" i="56"/>
  <c r="AN18" i="56"/>
  <c r="AM18" i="56"/>
  <c r="AL18" i="56"/>
  <c r="AK18" i="56"/>
  <c r="AJ18" i="56"/>
  <c r="AI18" i="56"/>
  <c r="AH18" i="56"/>
  <c r="AG18" i="56"/>
  <c r="AF18" i="56"/>
  <c r="AE18" i="56"/>
  <c r="P18" i="56"/>
  <c r="B18" i="56"/>
  <c r="DV17" i="56"/>
  <c r="DU17" i="56"/>
  <c r="DT17" i="56"/>
  <c r="DS17" i="56"/>
  <c r="DR17" i="56"/>
  <c r="DQ17" i="56"/>
  <c r="DP17" i="56"/>
  <c r="DO17" i="56"/>
  <c r="DN17" i="56"/>
  <c r="DM17" i="56"/>
  <c r="DL17" i="56"/>
  <c r="DK17" i="56"/>
  <c r="CV17" i="56"/>
  <c r="CH17" i="56"/>
  <c r="CF17" i="56"/>
  <c r="CE17" i="56"/>
  <c r="CD17" i="56"/>
  <c r="CC17" i="56"/>
  <c r="CB17" i="56"/>
  <c r="CA17" i="56"/>
  <c r="BZ17" i="56"/>
  <c r="BY17" i="56"/>
  <c r="BX17" i="56"/>
  <c r="BW17" i="56"/>
  <c r="BV17" i="56"/>
  <c r="BU17" i="56"/>
  <c r="BF17" i="56"/>
  <c r="AR17" i="56"/>
  <c r="AP17" i="56"/>
  <c r="AO17" i="56"/>
  <c r="AN17" i="56"/>
  <c r="AM17" i="56"/>
  <c r="AL17" i="56"/>
  <c r="AK17" i="56"/>
  <c r="AJ17" i="56"/>
  <c r="AI17" i="56"/>
  <c r="AH17" i="56"/>
  <c r="AG17" i="56"/>
  <c r="AF17" i="56"/>
  <c r="AE17" i="56"/>
  <c r="P17" i="56"/>
  <c r="B17" i="56"/>
  <c r="DV16" i="56"/>
  <c r="DU16" i="56"/>
  <c r="DT16" i="56"/>
  <c r="DS16" i="56"/>
  <c r="DR16" i="56"/>
  <c r="DQ16" i="56"/>
  <c r="DP16" i="56"/>
  <c r="DO16" i="56"/>
  <c r="DN16" i="56"/>
  <c r="DM16" i="56"/>
  <c r="DL16" i="56"/>
  <c r="DK16" i="56"/>
  <c r="CV16" i="56"/>
  <c r="CH16" i="56"/>
  <c r="DJ16" i="56" s="1"/>
  <c r="CF16" i="56"/>
  <c r="CE16" i="56"/>
  <c r="CD16" i="56"/>
  <c r="CC16" i="56"/>
  <c r="CB16" i="56"/>
  <c r="CA16" i="56"/>
  <c r="BZ16" i="56"/>
  <c r="BY16" i="56"/>
  <c r="BX16" i="56"/>
  <c r="BW16" i="56"/>
  <c r="BV16" i="56"/>
  <c r="BU16" i="56"/>
  <c r="BF16" i="56"/>
  <c r="AR16" i="56"/>
  <c r="AP16" i="56"/>
  <c r="AO16" i="56"/>
  <c r="AN16" i="56"/>
  <c r="AM16" i="56"/>
  <c r="AL16" i="56"/>
  <c r="AK16" i="56"/>
  <c r="AJ16" i="56"/>
  <c r="AI16" i="56"/>
  <c r="AH16" i="56"/>
  <c r="AG16" i="56"/>
  <c r="AF16" i="56"/>
  <c r="AE16" i="56"/>
  <c r="P16" i="56"/>
  <c r="B16" i="56"/>
  <c r="DV15" i="56"/>
  <c r="DU15" i="56"/>
  <c r="DT15" i="56"/>
  <c r="DS15" i="56"/>
  <c r="DR15" i="56"/>
  <c r="DQ15" i="56"/>
  <c r="DP15" i="56"/>
  <c r="DO15" i="56"/>
  <c r="DN15" i="56"/>
  <c r="DM15" i="56"/>
  <c r="DL15" i="56"/>
  <c r="DK15" i="56"/>
  <c r="CV15" i="56"/>
  <c r="CH15" i="56"/>
  <c r="CF15" i="56"/>
  <c r="CE15" i="56"/>
  <c r="CD15" i="56"/>
  <c r="CC15" i="56"/>
  <c r="CB15" i="56"/>
  <c r="CA15" i="56"/>
  <c r="BZ15" i="56"/>
  <c r="BY15" i="56"/>
  <c r="BX15" i="56"/>
  <c r="BW15" i="56"/>
  <c r="BV15" i="56"/>
  <c r="BU15" i="56"/>
  <c r="BF15" i="56"/>
  <c r="AR15" i="56"/>
  <c r="AP15" i="56"/>
  <c r="AO15" i="56"/>
  <c r="AN15" i="56"/>
  <c r="AM15" i="56"/>
  <c r="AL15" i="56"/>
  <c r="AK15" i="56"/>
  <c r="AJ15" i="56"/>
  <c r="AI15" i="56"/>
  <c r="AH15" i="56"/>
  <c r="AG15" i="56"/>
  <c r="AF15" i="56"/>
  <c r="AE15" i="56"/>
  <c r="P15" i="56"/>
  <c r="B15" i="56"/>
  <c r="DV14" i="56"/>
  <c r="DU14" i="56"/>
  <c r="DT14" i="56"/>
  <c r="DS14" i="56"/>
  <c r="DR14" i="56"/>
  <c r="DQ14" i="56"/>
  <c r="DP14" i="56"/>
  <c r="DO14" i="56"/>
  <c r="DN14" i="56"/>
  <c r="DM14" i="56"/>
  <c r="DL14" i="56"/>
  <c r="DK14" i="56"/>
  <c r="CV14" i="56"/>
  <c r="CH14" i="56"/>
  <c r="DJ14" i="56" s="1"/>
  <c r="CF14" i="56"/>
  <c r="CE14" i="56"/>
  <c r="CD14" i="56"/>
  <c r="CC14" i="56"/>
  <c r="CB14" i="56"/>
  <c r="CA14" i="56"/>
  <c r="BZ14" i="56"/>
  <c r="BY14" i="56"/>
  <c r="BX14" i="56"/>
  <c r="BW14" i="56"/>
  <c r="BV14" i="56"/>
  <c r="BU14" i="56"/>
  <c r="BF14" i="56"/>
  <c r="AR14" i="56"/>
  <c r="AP14" i="56"/>
  <c r="AO14" i="56"/>
  <c r="AN14" i="56"/>
  <c r="AM14" i="56"/>
  <c r="AL14" i="56"/>
  <c r="AK14" i="56"/>
  <c r="AJ14" i="56"/>
  <c r="AI14" i="56"/>
  <c r="AH14" i="56"/>
  <c r="AG14" i="56"/>
  <c r="AF14" i="56"/>
  <c r="AE14" i="56"/>
  <c r="P14" i="56"/>
  <c r="B14" i="56"/>
  <c r="DV13" i="56"/>
  <c r="DU13" i="56"/>
  <c r="DT13" i="56"/>
  <c r="DS13" i="56"/>
  <c r="DR13" i="56"/>
  <c r="DQ13" i="56"/>
  <c r="DP13" i="56"/>
  <c r="DO13" i="56"/>
  <c r="DN13" i="56"/>
  <c r="DM13" i="56"/>
  <c r="DL13" i="56"/>
  <c r="DK13" i="56"/>
  <c r="CV13" i="56"/>
  <c r="CH13" i="56"/>
  <c r="DJ13" i="56" s="1"/>
  <c r="CF13" i="56"/>
  <c r="CE13" i="56"/>
  <c r="CD13" i="56"/>
  <c r="CC13" i="56"/>
  <c r="CB13" i="56"/>
  <c r="CA13" i="56"/>
  <c r="BZ13" i="56"/>
  <c r="BY13" i="56"/>
  <c r="BX13" i="56"/>
  <c r="BW13" i="56"/>
  <c r="BV13" i="56"/>
  <c r="BU13" i="56"/>
  <c r="BF13" i="56"/>
  <c r="AR13" i="56"/>
  <c r="AP13" i="56"/>
  <c r="AO13" i="56"/>
  <c r="AN13" i="56"/>
  <c r="AM13" i="56"/>
  <c r="AL13" i="56"/>
  <c r="AK13" i="56"/>
  <c r="AJ13" i="56"/>
  <c r="AI13" i="56"/>
  <c r="AH13" i="56"/>
  <c r="AG13" i="56"/>
  <c r="AF13" i="56"/>
  <c r="AE13" i="56"/>
  <c r="P13" i="56"/>
  <c r="B13" i="56"/>
  <c r="DV12" i="56"/>
  <c r="DU12" i="56"/>
  <c r="DT12" i="56"/>
  <c r="DS12" i="56"/>
  <c r="DR12" i="56"/>
  <c r="DQ12" i="56"/>
  <c r="DP12" i="56"/>
  <c r="DO12" i="56"/>
  <c r="DN12" i="56"/>
  <c r="DM12" i="56"/>
  <c r="DL12" i="56"/>
  <c r="DK12" i="56"/>
  <c r="CV12" i="56"/>
  <c r="CH12" i="56"/>
  <c r="CF12" i="56"/>
  <c r="CE12" i="56"/>
  <c r="CD12" i="56"/>
  <c r="CC12" i="56"/>
  <c r="CB12" i="56"/>
  <c r="CA12" i="56"/>
  <c r="BZ12" i="56"/>
  <c r="BY12" i="56"/>
  <c r="BX12" i="56"/>
  <c r="BW12" i="56"/>
  <c r="BV12" i="56"/>
  <c r="BU12" i="56"/>
  <c r="BF12" i="56"/>
  <c r="AR12" i="56"/>
  <c r="AP12" i="56"/>
  <c r="AO12" i="56"/>
  <c r="AN12" i="56"/>
  <c r="AM12" i="56"/>
  <c r="AL12" i="56"/>
  <c r="AK12" i="56"/>
  <c r="AJ12" i="56"/>
  <c r="AI12" i="56"/>
  <c r="AH12" i="56"/>
  <c r="AG12" i="56"/>
  <c r="AF12" i="56"/>
  <c r="AE12" i="56"/>
  <c r="P12" i="56"/>
  <c r="B12" i="56"/>
  <c r="DV11" i="56"/>
  <c r="DU11" i="56"/>
  <c r="DT11" i="56"/>
  <c r="DS11" i="56"/>
  <c r="DR11" i="56"/>
  <c r="DQ11" i="56"/>
  <c r="DP11" i="56"/>
  <c r="DO11" i="56"/>
  <c r="DN11" i="56"/>
  <c r="DM11" i="56"/>
  <c r="DL11" i="56"/>
  <c r="DK11" i="56"/>
  <c r="CV11" i="56"/>
  <c r="CH11" i="56"/>
  <c r="CF11" i="56"/>
  <c r="CE11" i="56"/>
  <c r="CD11" i="56"/>
  <c r="CC11" i="56"/>
  <c r="CB11" i="56"/>
  <c r="CA11" i="56"/>
  <c r="BZ11" i="56"/>
  <c r="BY11" i="56"/>
  <c r="BX11" i="56"/>
  <c r="BW11" i="56"/>
  <c r="BV11" i="56"/>
  <c r="BU11" i="56"/>
  <c r="BF11" i="56"/>
  <c r="AR11" i="56"/>
  <c r="AP11" i="56"/>
  <c r="AO11" i="56"/>
  <c r="AN11" i="56"/>
  <c r="AM11" i="56"/>
  <c r="AL11" i="56"/>
  <c r="AK11" i="56"/>
  <c r="AJ11" i="56"/>
  <c r="AI11" i="56"/>
  <c r="AH11" i="56"/>
  <c r="AG11" i="56"/>
  <c r="AF11" i="56"/>
  <c r="AE11" i="56"/>
  <c r="P11" i="56"/>
  <c r="B11" i="56"/>
  <c r="DV10" i="56"/>
  <c r="DU10" i="56"/>
  <c r="DT10" i="56"/>
  <c r="DS10" i="56"/>
  <c r="DR10" i="56"/>
  <c r="DQ10" i="56"/>
  <c r="DP10" i="56"/>
  <c r="DO10" i="56"/>
  <c r="DN10" i="56"/>
  <c r="DM10" i="56"/>
  <c r="DL10" i="56"/>
  <c r="DK10" i="56"/>
  <c r="CV10" i="56"/>
  <c r="CH10" i="56"/>
  <c r="DJ10" i="56" s="1"/>
  <c r="CF10" i="56"/>
  <c r="CE10" i="56"/>
  <c r="CD10" i="56"/>
  <c r="CC10" i="56"/>
  <c r="CB10" i="56"/>
  <c r="CA10" i="56"/>
  <c r="BZ10" i="56"/>
  <c r="BY10" i="56"/>
  <c r="BX10" i="56"/>
  <c r="BW10" i="56"/>
  <c r="BV10" i="56"/>
  <c r="BU10" i="56"/>
  <c r="BF10" i="56"/>
  <c r="AR10" i="56"/>
  <c r="AP10" i="56"/>
  <c r="AO10" i="56"/>
  <c r="AN10" i="56"/>
  <c r="AM10" i="56"/>
  <c r="AL10" i="56"/>
  <c r="AK10" i="56"/>
  <c r="AJ10" i="56"/>
  <c r="AI10" i="56"/>
  <c r="AH10" i="56"/>
  <c r="AG10" i="56"/>
  <c r="AF10" i="56"/>
  <c r="AE10" i="56"/>
  <c r="P10" i="56"/>
  <c r="B10" i="56"/>
  <c r="DV9" i="56"/>
  <c r="DU9" i="56"/>
  <c r="DT9" i="56"/>
  <c r="DS9" i="56"/>
  <c r="DR9" i="56"/>
  <c r="DQ9" i="56"/>
  <c r="DP9" i="56"/>
  <c r="DO9" i="56"/>
  <c r="DN9" i="56"/>
  <c r="DM9" i="56"/>
  <c r="DL9" i="56"/>
  <c r="DK9" i="56"/>
  <c r="CV9" i="56"/>
  <c r="CH9" i="56"/>
  <c r="CF9" i="56"/>
  <c r="CE9" i="56"/>
  <c r="CD9" i="56"/>
  <c r="CC9" i="56"/>
  <c r="CB9" i="56"/>
  <c r="CA9" i="56"/>
  <c r="BZ9" i="56"/>
  <c r="BY9" i="56"/>
  <c r="BX9" i="56"/>
  <c r="BW9" i="56"/>
  <c r="BV9" i="56"/>
  <c r="BU9" i="56"/>
  <c r="BF9" i="56"/>
  <c r="AR9" i="56"/>
  <c r="AP9" i="56"/>
  <c r="AO9" i="56"/>
  <c r="AN9" i="56"/>
  <c r="AM9" i="56"/>
  <c r="AL9" i="56"/>
  <c r="AK9" i="56"/>
  <c r="AJ9" i="56"/>
  <c r="AI9" i="56"/>
  <c r="AH9" i="56"/>
  <c r="AG9" i="56"/>
  <c r="AF9" i="56"/>
  <c r="AE9" i="56"/>
  <c r="P9" i="56"/>
  <c r="B9" i="56"/>
  <c r="DV8" i="56"/>
  <c r="DU8" i="56"/>
  <c r="DT8" i="56"/>
  <c r="DS8" i="56"/>
  <c r="DR8" i="56"/>
  <c r="DQ8" i="56"/>
  <c r="DP8" i="56"/>
  <c r="DO8" i="56"/>
  <c r="DN8" i="56"/>
  <c r="DM8" i="56"/>
  <c r="DL8" i="56"/>
  <c r="DK8" i="56"/>
  <c r="CV8" i="56"/>
  <c r="CH8" i="56"/>
  <c r="DJ8" i="56" s="1"/>
  <c r="CF8" i="56"/>
  <c r="CE8" i="56"/>
  <c r="CD8" i="56"/>
  <c r="CC8" i="56"/>
  <c r="CB8" i="56"/>
  <c r="CA8" i="56"/>
  <c r="BZ8" i="56"/>
  <c r="BY8" i="56"/>
  <c r="BX8" i="56"/>
  <c r="BW8" i="56"/>
  <c r="BV8" i="56"/>
  <c r="BU8" i="56"/>
  <c r="BF8" i="56"/>
  <c r="AR8" i="56"/>
  <c r="AP8" i="56"/>
  <c r="AO8" i="56"/>
  <c r="AN8" i="56"/>
  <c r="AM8" i="56"/>
  <c r="AL8" i="56"/>
  <c r="AK8" i="56"/>
  <c r="AJ8" i="56"/>
  <c r="AI8" i="56"/>
  <c r="AH8" i="56"/>
  <c r="AG8" i="56"/>
  <c r="AF8" i="56"/>
  <c r="AE8" i="56"/>
  <c r="P8" i="56"/>
  <c r="B8" i="56"/>
  <c r="DT6" i="56"/>
  <c r="DN6" i="56"/>
  <c r="AF6" i="56"/>
  <c r="G37" i="55"/>
  <c r="D37" i="55"/>
  <c r="G36" i="55"/>
  <c r="D36" i="55"/>
  <c r="G35" i="55"/>
  <c r="D35" i="55"/>
  <c r="G34" i="55"/>
  <c r="D34" i="55"/>
  <c r="G33" i="55"/>
  <c r="D33" i="55"/>
  <c r="G32" i="55"/>
  <c r="D32" i="55"/>
  <c r="G31" i="55"/>
  <c r="D31" i="55"/>
  <c r="G30" i="55"/>
  <c r="D30" i="55"/>
  <c r="G29" i="55"/>
  <c r="D29" i="55"/>
  <c r="G28" i="55"/>
  <c r="D28" i="55"/>
  <c r="G27" i="55"/>
  <c r="D27" i="55"/>
  <c r="G26" i="55"/>
  <c r="D26" i="55"/>
  <c r="G25" i="55"/>
  <c r="D25" i="55"/>
  <c r="G24" i="55"/>
  <c r="D24" i="55"/>
  <c r="G23" i="55"/>
  <c r="D23" i="55"/>
  <c r="G22" i="55"/>
  <c r="D22" i="55"/>
  <c r="G21" i="55"/>
  <c r="D21" i="55"/>
  <c r="G20" i="55"/>
  <c r="D20" i="55"/>
  <c r="G19" i="55"/>
  <c r="D19" i="55"/>
  <c r="G18" i="55"/>
  <c r="D18" i="55"/>
  <c r="G17" i="55"/>
  <c r="D17" i="55"/>
  <c r="G16" i="55"/>
  <c r="D16" i="55"/>
  <c r="G15" i="55"/>
  <c r="D15" i="55"/>
  <c r="G14" i="55"/>
  <c r="D14" i="55"/>
  <c r="G13" i="55"/>
  <c r="D13" i="55"/>
  <c r="G12" i="55"/>
  <c r="D12" i="55"/>
  <c r="G11" i="55"/>
  <c r="D11" i="55"/>
  <c r="G10" i="55"/>
  <c r="D10" i="55"/>
  <c r="F8" i="55"/>
  <c r="E8" i="55"/>
  <c r="C8" i="55"/>
  <c r="B8" i="55"/>
  <c r="G37" i="54"/>
  <c r="D37" i="54"/>
  <c r="G36" i="54"/>
  <c r="D36" i="54"/>
  <c r="G35" i="54"/>
  <c r="D35" i="54"/>
  <c r="G34" i="54"/>
  <c r="D34" i="54"/>
  <c r="G32" i="54"/>
  <c r="D32" i="54"/>
  <c r="G31" i="54"/>
  <c r="D31" i="54"/>
  <c r="G30" i="54"/>
  <c r="D30" i="54"/>
  <c r="G29" i="54"/>
  <c r="D29" i="54"/>
  <c r="G28" i="54"/>
  <c r="D28" i="54"/>
  <c r="G27" i="54"/>
  <c r="D27" i="54"/>
  <c r="G26" i="54"/>
  <c r="D26" i="54"/>
  <c r="G25" i="54"/>
  <c r="D25" i="54"/>
  <c r="G24" i="54"/>
  <c r="D24" i="54"/>
  <c r="G23" i="54"/>
  <c r="D23" i="54"/>
  <c r="G22" i="54"/>
  <c r="D22" i="54"/>
  <c r="G21" i="54"/>
  <c r="D21" i="54"/>
  <c r="G20" i="54"/>
  <c r="D20" i="54"/>
  <c r="G19" i="54"/>
  <c r="D19" i="54"/>
  <c r="G18" i="54"/>
  <c r="D18" i="54"/>
  <c r="G17" i="54"/>
  <c r="D17" i="54"/>
  <c r="G16" i="54"/>
  <c r="D16" i="54"/>
  <c r="G15" i="54"/>
  <c r="D15" i="54"/>
  <c r="G14" i="54"/>
  <c r="D14" i="54"/>
  <c r="G13" i="54"/>
  <c r="D13" i="54"/>
  <c r="G12" i="54"/>
  <c r="D12" i="54"/>
  <c r="G11" i="54"/>
  <c r="D11" i="54"/>
  <c r="G10" i="54"/>
  <c r="D10" i="54"/>
  <c r="F8" i="54"/>
  <c r="E8" i="54"/>
  <c r="C8" i="54"/>
  <c r="B8" i="54"/>
  <c r="G37" i="53"/>
  <c r="D37" i="53"/>
  <c r="G36" i="53"/>
  <c r="D36" i="53"/>
  <c r="G34" i="53"/>
  <c r="D34" i="53"/>
  <c r="G32" i="53"/>
  <c r="D32" i="53"/>
  <c r="G31" i="53"/>
  <c r="D31" i="53"/>
  <c r="G30" i="53"/>
  <c r="D30" i="53"/>
  <c r="G29" i="53"/>
  <c r="D29" i="53"/>
  <c r="G28" i="53"/>
  <c r="D28" i="53"/>
  <c r="G27" i="53"/>
  <c r="D27" i="53"/>
  <c r="G26" i="53"/>
  <c r="D26" i="53"/>
  <c r="G25" i="53"/>
  <c r="D25" i="53"/>
  <c r="G24" i="53"/>
  <c r="D24" i="53"/>
  <c r="G23" i="53"/>
  <c r="D23" i="53"/>
  <c r="G22" i="53"/>
  <c r="D22" i="53"/>
  <c r="G21" i="53"/>
  <c r="D21" i="53"/>
  <c r="G20" i="53"/>
  <c r="D20" i="53"/>
  <c r="G19" i="53"/>
  <c r="D19" i="53"/>
  <c r="G18" i="53"/>
  <c r="D18" i="53"/>
  <c r="G17" i="53"/>
  <c r="D17" i="53"/>
  <c r="G16" i="53"/>
  <c r="D16" i="53"/>
  <c r="G15" i="53"/>
  <c r="D15" i="53"/>
  <c r="G14" i="53"/>
  <c r="D14" i="53"/>
  <c r="G13" i="53"/>
  <c r="D13" i="53"/>
  <c r="G12" i="53"/>
  <c r="D12" i="53"/>
  <c r="G11" i="53"/>
  <c r="D11" i="53"/>
  <c r="G10" i="53"/>
  <c r="D10" i="53"/>
  <c r="F8" i="53"/>
  <c r="C8" i="53"/>
  <c r="B8" i="53"/>
  <c r="J43" i="52"/>
  <c r="G43" i="52"/>
  <c r="F43" i="52"/>
  <c r="J39" i="52"/>
  <c r="G39" i="52"/>
  <c r="F39" i="52"/>
  <c r="J35" i="52"/>
  <c r="G35" i="52"/>
  <c r="F35" i="52"/>
  <c r="J26" i="51"/>
  <c r="L26" i="51"/>
  <c r="L21" i="51"/>
  <c r="E33" i="45"/>
  <c r="D33" i="45"/>
  <c r="G31" i="45"/>
  <c r="N29" i="45"/>
  <c r="M29" i="45"/>
  <c r="M28" i="45"/>
  <c r="M26" i="45"/>
  <c r="B25" i="45"/>
  <c r="M24" i="45"/>
  <c r="D24" i="45"/>
  <c r="M22" i="45"/>
  <c r="B22" i="45"/>
  <c r="E21" i="45"/>
  <c r="N12" i="45"/>
  <c r="M21" i="45"/>
  <c r="K21" i="45"/>
  <c r="N37" i="41"/>
  <c r="M37" i="41"/>
  <c r="L37" i="41"/>
  <c r="K37" i="41"/>
  <c r="J37" i="41"/>
  <c r="I37" i="41"/>
  <c r="H37" i="41"/>
  <c r="G37" i="41"/>
  <c r="F37" i="41"/>
  <c r="E37" i="41"/>
  <c r="D37" i="41"/>
  <c r="C37" i="41"/>
  <c r="N36" i="41"/>
  <c r="M36" i="41"/>
  <c r="L36" i="41"/>
  <c r="K36" i="41"/>
  <c r="J36" i="41"/>
  <c r="I36" i="41"/>
  <c r="I36" i="42" s="1"/>
  <c r="H36" i="41"/>
  <c r="G36" i="41"/>
  <c r="F36" i="41"/>
  <c r="E36" i="41"/>
  <c r="D36" i="41"/>
  <c r="C36" i="41"/>
  <c r="N35" i="41"/>
  <c r="N35" i="42" s="1"/>
  <c r="M35" i="41"/>
  <c r="M35" i="42" s="1"/>
  <c r="L35" i="41"/>
  <c r="K35" i="41"/>
  <c r="J35" i="41"/>
  <c r="I35" i="41"/>
  <c r="H35" i="41"/>
  <c r="H35" i="42" s="1"/>
  <c r="G35" i="41"/>
  <c r="F35" i="41"/>
  <c r="E35" i="41"/>
  <c r="D35" i="41"/>
  <c r="C35" i="41"/>
  <c r="N34" i="41"/>
  <c r="M34" i="41"/>
  <c r="M34" i="42" s="1"/>
  <c r="L34" i="41"/>
  <c r="L34" i="42" s="1"/>
  <c r="K34" i="41"/>
  <c r="J34" i="41"/>
  <c r="I34" i="41"/>
  <c r="H34" i="41"/>
  <c r="G34" i="41"/>
  <c r="F34" i="41"/>
  <c r="F34" i="42" s="1"/>
  <c r="E34" i="41"/>
  <c r="D34" i="41"/>
  <c r="C34" i="41"/>
  <c r="N33" i="41"/>
  <c r="M33" i="41"/>
  <c r="L33" i="41"/>
  <c r="K33" i="41"/>
  <c r="J33" i="41"/>
  <c r="J33" i="42" s="1"/>
  <c r="I33" i="41"/>
  <c r="H33" i="41"/>
  <c r="G33" i="41"/>
  <c r="F33" i="41"/>
  <c r="E33" i="41"/>
  <c r="D33" i="41"/>
  <c r="D33" i="42" s="1"/>
  <c r="C33" i="41"/>
  <c r="N32" i="41"/>
  <c r="M32" i="41"/>
  <c r="L32" i="41"/>
  <c r="K32" i="41"/>
  <c r="J32" i="41"/>
  <c r="I32" i="41"/>
  <c r="H32" i="41"/>
  <c r="G32" i="41"/>
  <c r="F32" i="41"/>
  <c r="E32" i="41"/>
  <c r="D32" i="41"/>
  <c r="D32" i="42" s="1"/>
  <c r="C32" i="41"/>
  <c r="N31" i="41"/>
  <c r="M31" i="41"/>
  <c r="L31" i="41"/>
  <c r="L31" i="42" s="1"/>
  <c r="K31" i="41"/>
  <c r="J31" i="41"/>
  <c r="I31" i="41"/>
  <c r="H31" i="41"/>
  <c r="H31" i="42" s="1"/>
  <c r="G31" i="41"/>
  <c r="F31" i="41"/>
  <c r="E31" i="41"/>
  <c r="D31" i="41"/>
  <c r="D31" i="42" s="1"/>
  <c r="C31" i="41"/>
  <c r="N30" i="41"/>
  <c r="N30" i="42" s="1"/>
  <c r="M30" i="41"/>
  <c r="M30" i="42" s="1"/>
  <c r="L30" i="41"/>
  <c r="K30" i="41"/>
  <c r="J30" i="41"/>
  <c r="J30" i="42" s="1"/>
  <c r="I30" i="41"/>
  <c r="I30" i="42" s="1"/>
  <c r="H30" i="41"/>
  <c r="H30" i="42" s="1"/>
  <c r="G30" i="41"/>
  <c r="F30" i="41"/>
  <c r="E30" i="41"/>
  <c r="D30" i="41"/>
  <c r="D30" i="42" s="1"/>
  <c r="C30" i="41"/>
  <c r="N29" i="41"/>
  <c r="N29" i="42" s="1"/>
  <c r="M29" i="41"/>
  <c r="M29" i="42" s="1"/>
  <c r="L29" i="41"/>
  <c r="K29" i="41"/>
  <c r="J29" i="41"/>
  <c r="I29" i="41"/>
  <c r="H29" i="41"/>
  <c r="G29" i="41"/>
  <c r="F29" i="41"/>
  <c r="F29" i="42" s="1"/>
  <c r="E29" i="41"/>
  <c r="D29" i="41"/>
  <c r="C29" i="41"/>
  <c r="N28" i="41"/>
  <c r="M28" i="41"/>
  <c r="M28" i="42" s="1"/>
  <c r="L28" i="41"/>
  <c r="K28" i="41"/>
  <c r="J28" i="41"/>
  <c r="I28" i="41"/>
  <c r="H28" i="41"/>
  <c r="G28" i="41"/>
  <c r="G28" i="42" s="1"/>
  <c r="F28" i="41"/>
  <c r="E28" i="41"/>
  <c r="D28" i="41"/>
  <c r="C28" i="41"/>
  <c r="N27" i="41"/>
  <c r="M27" i="41"/>
  <c r="L27" i="41"/>
  <c r="L27" i="42" s="1"/>
  <c r="K27" i="41"/>
  <c r="J27" i="41"/>
  <c r="I27" i="41"/>
  <c r="H27" i="41"/>
  <c r="G27" i="41"/>
  <c r="F27" i="41"/>
  <c r="F27" i="42" s="1"/>
  <c r="E27" i="41"/>
  <c r="D27" i="41"/>
  <c r="C27" i="41"/>
  <c r="N26" i="41"/>
  <c r="M26" i="41"/>
  <c r="L26" i="41"/>
  <c r="K26" i="41"/>
  <c r="J26" i="41"/>
  <c r="J26" i="42" s="1"/>
  <c r="I26" i="41"/>
  <c r="I26" i="42" s="1"/>
  <c r="H26" i="41"/>
  <c r="G26" i="41"/>
  <c r="F26" i="41"/>
  <c r="E26" i="41"/>
  <c r="E26" i="42" s="1"/>
  <c r="D26" i="41"/>
  <c r="C26" i="41"/>
  <c r="N25" i="41"/>
  <c r="M25" i="41"/>
  <c r="L25" i="41"/>
  <c r="K25" i="41"/>
  <c r="J25" i="41"/>
  <c r="I25" i="41"/>
  <c r="I25" i="42" s="1"/>
  <c r="H25" i="41"/>
  <c r="G25" i="41"/>
  <c r="F25" i="41"/>
  <c r="F25" i="42" s="1"/>
  <c r="E25" i="41"/>
  <c r="D25" i="41"/>
  <c r="C25" i="41"/>
  <c r="N24" i="41"/>
  <c r="M24" i="41"/>
  <c r="M24" i="42" s="1"/>
  <c r="L24" i="41"/>
  <c r="K24" i="41"/>
  <c r="J24" i="41"/>
  <c r="I24" i="41"/>
  <c r="H24" i="41"/>
  <c r="H24" i="42" s="1"/>
  <c r="G24" i="41"/>
  <c r="F24" i="41"/>
  <c r="E24" i="41"/>
  <c r="D24" i="41"/>
  <c r="C24" i="41"/>
  <c r="N23" i="41"/>
  <c r="M23" i="41"/>
  <c r="L23" i="41"/>
  <c r="K23" i="41"/>
  <c r="J23" i="41"/>
  <c r="I23" i="41"/>
  <c r="H23" i="41"/>
  <c r="G23" i="41"/>
  <c r="G23" i="42" s="1"/>
  <c r="F23" i="41"/>
  <c r="F23" i="42" s="1"/>
  <c r="E23" i="41"/>
  <c r="D23" i="41"/>
  <c r="D23" i="42" s="1"/>
  <c r="C23" i="41"/>
  <c r="N22" i="41"/>
  <c r="M22" i="41"/>
  <c r="L22" i="41"/>
  <c r="K22" i="41"/>
  <c r="J22" i="41"/>
  <c r="I22" i="41"/>
  <c r="H22" i="41"/>
  <c r="G22" i="41"/>
  <c r="G22" i="42" s="1"/>
  <c r="F22" i="41"/>
  <c r="F22" i="42" s="1"/>
  <c r="E22" i="41"/>
  <c r="D22" i="41"/>
  <c r="C22" i="41"/>
  <c r="N21" i="41"/>
  <c r="N21" i="42"/>
  <c r="M21" i="41"/>
  <c r="L21" i="41"/>
  <c r="L21" i="42" s="1"/>
  <c r="K21" i="41"/>
  <c r="J21" i="41"/>
  <c r="I21" i="41"/>
  <c r="H21" i="41"/>
  <c r="H21" i="42" s="1"/>
  <c r="G21" i="41"/>
  <c r="F21" i="41"/>
  <c r="F21" i="42" s="1"/>
  <c r="E21" i="41"/>
  <c r="E21" i="42" s="1"/>
  <c r="D21" i="41"/>
  <c r="C21" i="41"/>
  <c r="N20" i="41"/>
  <c r="M20" i="41"/>
  <c r="L20" i="41"/>
  <c r="L20" i="42" s="1"/>
  <c r="K20" i="41"/>
  <c r="K20" i="42" s="1"/>
  <c r="J20" i="41"/>
  <c r="I20" i="41"/>
  <c r="H20" i="41"/>
  <c r="G20" i="41"/>
  <c r="F20" i="41"/>
  <c r="E20" i="41"/>
  <c r="E20" i="42" s="1"/>
  <c r="D20" i="41"/>
  <c r="C20" i="41"/>
  <c r="N19" i="41"/>
  <c r="M19" i="41"/>
  <c r="L19" i="41"/>
  <c r="K19" i="41"/>
  <c r="J19" i="41"/>
  <c r="I19" i="41"/>
  <c r="I19" i="42" s="1"/>
  <c r="H19" i="41"/>
  <c r="G19" i="41"/>
  <c r="G19" i="42" s="1"/>
  <c r="F19" i="41"/>
  <c r="E19" i="41"/>
  <c r="D19" i="41"/>
  <c r="D19" i="42" s="1"/>
  <c r="C19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N17" i="41"/>
  <c r="M17" i="41"/>
  <c r="M17" i="42" s="1"/>
  <c r="L17" i="41"/>
  <c r="L17" i="42" s="1"/>
  <c r="K17" i="41"/>
  <c r="J17" i="41"/>
  <c r="I17" i="41"/>
  <c r="H17" i="41"/>
  <c r="G17" i="41"/>
  <c r="F17" i="41"/>
  <c r="E17" i="41"/>
  <c r="D17" i="41"/>
  <c r="C17" i="41"/>
  <c r="N16" i="41"/>
  <c r="M16" i="41"/>
  <c r="L16" i="41"/>
  <c r="L16" i="42" s="1"/>
  <c r="K16" i="41"/>
  <c r="J16" i="41"/>
  <c r="I16" i="41"/>
  <c r="H16" i="41"/>
  <c r="G16" i="41"/>
  <c r="F16" i="41"/>
  <c r="E16" i="41"/>
  <c r="E16" i="42" s="1"/>
  <c r="D16" i="41"/>
  <c r="C16" i="41"/>
  <c r="N15" i="41"/>
  <c r="M15" i="41"/>
  <c r="M15" i="42" s="1"/>
  <c r="L15" i="41"/>
  <c r="L15" i="42" s="1"/>
  <c r="K15" i="41"/>
  <c r="K15" i="42" s="1"/>
  <c r="J15" i="41"/>
  <c r="I15" i="41"/>
  <c r="H15" i="41"/>
  <c r="H15" i="42" s="1"/>
  <c r="G15" i="41"/>
  <c r="F15" i="41"/>
  <c r="E15" i="41"/>
  <c r="D15" i="41"/>
  <c r="C15" i="41"/>
  <c r="N14" i="41"/>
  <c r="M14" i="41"/>
  <c r="L14" i="41"/>
  <c r="K14" i="41"/>
  <c r="J14" i="41"/>
  <c r="J14" i="42" s="1"/>
  <c r="I14" i="41"/>
  <c r="H14" i="41"/>
  <c r="G14" i="41"/>
  <c r="G14" i="42" s="1"/>
  <c r="F14" i="41"/>
  <c r="E14" i="41"/>
  <c r="E14" i="42" s="1"/>
  <c r="D14" i="41"/>
  <c r="C14" i="41"/>
  <c r="N13" i="41"/>
  <c r="M13" i="41"/>
  <c r="L13" i="41"/>
  <c r="K13" i="41"/>
  <c r="J13" i="41"/>
  <c r="J13" i="42" s="1"/>
  <c r="I13" i="41"/>
  <c r="I13" i="42" s="1"/>
  <c r="H13" i="41"/>
  <c r="G13" i="41"/>
  <c r="F13" i="41"/>
  <c r="E13" i="41"/>
  <c r="D13" i="41"/>
  <c r="C13" i="41"/>
  <c r="N12" i="41"/>
  <c r="M12" i="41"/>
  <c r="L12" i="41"/>
  <c r="K12" i="41"/>
  <c r="K12" i="42" s="1"/>
  <c r="J12" i="41"/>
  <c r="I12" i="41"/>
  <c r="H12" i="41"/>
  <c r="H12" i="42" s="1"/>
  <c r="G12" i="41"/>
  <c r="F12" i="41"/>
  <c r="E12" i="41"/>
  <c r="D12" i="41"/>
  <c r="C12" i="41"/>
  <c r="N11" i="41"/>
  <c r="M11" i="41"/>
  <c r="M11" i="42" s="1"/>
  <c r="L11" i="41"/>
  <c r="K11" i="41"/>
  <c r="J11" i="41"/>
  <c r="I11" i="41"/>
  <c r="H11" i="41"/>
  <c r="H11" i="42" s="1"/>
  <c r="G11" i="41"/>
  <c r="F11" i="41"/>
  <c r="F11" i="42" s="1"/>
  <c r="E11" i="41"/>
  <c r="D11" i="41"/>
  <c r="C11" i="41"/>
  <c r="N10" i="41"/>
  <c r="M10" i="41"/>
  <c r="L10" i="41"/>
  <c r="K10" i="41"/>
  <c r="J10" i="41"/>
  <c r="I10" i="41"/>
  <c r="H10" i="41"/>
  <c r="G10" i="41"/>
  <c r="G10" i="42" s="1"/>
  <c r="F10" i="41"/>
  <c r="E10" i="41"/>
  <c r="D10" i="41"/>
  <c r="C10" i="41"/>
  <c r="N9" i="41"/>
  <c r="M9" i="41"/>
  <c r="L9" i="41"/>
  <c r="K9" i="41"/>
  <c r="J9" i="41"/>
  <c r="I9" i="41"/>
  <c r="H9" i="41"/>
  <c r="G9" i="41"/>
  <c r="F9" i="41"/>
  <c r="E9" i="41"/>
  <c r="D9" i="41"/>
  <c r="C9" i="41"/>
  <c r="C37" i="40"/>
  <c r="C36" i="40"/>
  <c r="C35" i="40"/>
  <c r="C34" i="40"/>
  <c r="C33" i="40"/>
  <c r="C32" i="40"/>
  <c r="C31" i="40"/>
  <c r="C30" i="40"/>
  <c r="C29" i="40"/>
  <c r="C28" i="40"/>
  <c r="B28" i="40" s="1"/>
  <c r="C27" i="40"/>
  <c r="C26" i="40"/>
  <c r="C25" i="40"/>
  <c r="C24" i="40"/>
  <c r="C23" i="40"/>
  <c r="C22" i="40"/>
  <c r="C22" i="42" s="1"/>
  <c r="C21" i="40"/>
  <c r="C20" i="40"/>
  <c r="C19" i="40"/>
  <c r="C18" i="40"/>
  <c r="C17" i="40"/>
  <c r="C16" i="40"/>
  <c r="C15" i="40"/>
  <c r="C14" i="40"/>
  <c r="C13" i="40"/>
  <c r="C12" i="40"/>
  <c r="C11" i="40"/>
  <c r="C10" i="40"/>
  <c r="B10" i="40" s="1"/>
  <c r="C9" i="40"/>
  <c r="N37" i="38"/>
  <c r="M37" i="38"/>
  <c r="L37" i="38"/>
  <c r="K37" i="38"/>
  <c r="J37" i="38"/>
  <c r="I37" i="38"/>
  <c r="H37" i="38"/>
  <c r="G37" i="38"/>
  <c r="F37" i="38"/>
  <c r="E37" i="38"/>
  <c r="D37" i="38"/>
  <c r="C37" i="38"/>
  <c r="N36" i="38"/>
  <c r="M36" i="38"/>
  <c r="L36" i="38"/>
  <c r="K36" i="38"/>
  <c r="J36" i="38"/>
  <c r="I36" i="38"/>
  <c r="H36" i="38"/>
  <c r="G36" i="38"/>
  <c r="F36" i="38"/>
  <c r="E36" i="38"/>
  <c r="D36" i="38"/>
  <c r="C36" i="38"/>
  <c r="N35" i="38"/>
  <c r="M35" i="38"/>
  <c r="L35" i="38"/>
  <c r="K35" i="38"/>
  <c r="J35" i="38"/>
  <c r="I35" i="38"/>
  <c r="H35" i="38"/>
  <c r="G35" i="38"/>
  <c r="F35" i="38"/>
  <c r="E35" i="38"/>
  <c r="D35" i="38"/>
  <c r="C35" i="38"/>
  <c r="N34" i="38"/>
  <c r="M34" i="38"/>
  <c r="L34" i="38"/>
  <c r="K34" i="38"/>
  <c r="J34" i="38"/>
  <c r="I34" i="38"/>
  <c r="H34" i="38"/>
  <c r="G34" i="38"/>
  <c r="F34" i="38"/>
  <c r="E34" i="38"/>
  <c r="D34" i="38"/>
  <c r="C34" i="38"/>
  <c r="N33" i="38"/>
  <c r="M33" i="38"/>
  <c r="L33" i="38"/>
  <c r="K33" i="38"/>
  <c r="J33" i="38"/>
  <c r="I33" i="38"/>
  <c r="H33" i="38"/>
  <c r="G33" i="38"/>
  <c r="F33" i="38"/>
  <c r="E33" i="38"/>
  <c r="D33" i="38"/>
  <c r="C33" i="38"/>
  <c r="N32" i="38"/>
  <c r="M32" i="38"/>
  <c r="L32" i="38"/>
  <c r="K32" i="38"/>
  <c r="J32" i="38"/>
  <c r="I32" i="38"/>
  <c r="H32" i="38"/>
  <c r="G32" i="38"/>
  <c r="F32" i="38"/>
  <c r="E32" i="38"/>
  <c r="D32" i="38"/>
  <c r="C32" i="38"/>
  <c r="N31" i="38"/>
  <c r="M31" i="38"/>
  <c r="L31" i="38"/>
  <c r="K31" i="38"/>
  <c r="J31" i="38"/>
  <c r="I31" i="38"/>
  <c r="H31" i="38"/>
  <c r="G31" i="38"/>
  <c r="F31" i="38"/>
  <c r="E31" i="38"/>
  <c r="D31" i="38"/>
  <c r="C31" i="38"/>
  <c r="N30" i="38"/>
  <c r="M30" i="38"/>
  <c r="L30" i="38"/>
  <c r="K30" i="38"/>
  <c r="J30" i="38"/>
  <c r="I30" i="38"/>
  <c r="H30" i="38"/>
  <c r="G30" i="38"/>
  <c r="F30" i="38"/>
  <c r="E30" i="38"/>
  <c r="D30" i="38"/>
  <c r="C30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N28" i="38"/>
  <c r="M28" i="38"/>
  <c r="L28" i="38"/>
  <c r="K28" i="38"/>
  <c r="J28" i="38"/>
  <c r="I28" i="38"/>
  <c r="H28" i="38"/>
  <c r="G28" i="38"/>
  <c r="F28" i="38"/>
  <c r="E28" i="38"/>
  <c r="D28" i="38"/>
  <c r="C28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N23" i="38"/>
  <c r="M23" i="38"/>
  <c r="L23" i="38"/>
  <c r="K23" i="38"/>
  <c r="J23" i="38"/>
  <c r="I23" i="38"/>
  <c r="H23" i="38"/>
  <c r="G23" i="38"/>
  <c r="F23" i="38"/>
  <c r="E23" i="38"/>
  <c r="D23" i="38"/>
  <c r="C23" i="38"/>
  <c r="N22" i="38"/>
  <c r="M22" i="38"/>
  <c r="L22" i="38"/>
  <c r="K22" i="38"/>
  <c r="J22" i="38"/>
  <c r="I22" i="38"/>
  <c r="H22" i="38"/>
  <c r="G22" i="38"/>
  <c r="F22" i="38"/>
  <c r="E22" i="38"/>
  <c r="D22" i="38"/>
  <c r="C22" i="38"/>
  <c r="N21" i="38"/>
  <c r="M21" i="38"/>
  <c r="L21" i="38"/>
  <c r="K21" i="38"/>
  <c r="J21" i="38"/>
  <c r="J21" i="39" s="1"/>
  <c r="I21" i="38"/>
  <c r="H21" i="38"/>
  <c r="G21" i="38"/>
  <c r="F21" i="38"/>
  <c r="E21" i="38"/>
  <c r="D21" i="38"/>
  <c r="C21" i="38"/>
  <c r="N20" i="38"/>
  <c r="M20" i="38"/>
  <c r="L20" i="38"/>
  <c r="K20" i="38"/>
  <c r="J20" i="38"/>
  <c r="I20" i="38"/>
  <c r="H20" i="38"/>
  <c r="G20" i="38"/>
  <c r="F20" i="38"/>
  <c r="E20" i="38"/>
  <c r="D20" i="38"/>
  <c r="C20" i="38"/>
  <c r="N19" i="38"/>
  <c r="M19" i="38"/>
  <c r="L19" i="38"/>
  <c r="K19" i="38"/>
  <c r="J19" i="38"/>
  <c r="I19" i="38"/>
  <c r="H19" i="38"/>
  <c r="G19" i="38"/>
  <c r="F19" i="38"/>
  <c r="E19" i="38"/>
  <c r="D19" i="38"/>
  <c r="C19" i="38"/>
  <c r="N18" i="38"/>
  <c r="M18" i="38"/>
  <c r="L18" i="38"/>
  <c r="K18" i="38"/>
  <c r="J18" i="38"/>
  <c r="J18" i="39" s="1"/>
  <c r="I18" i="38"/>
  <c r="H18" i="38"/>
  <c r="G18" i="38"/>
  <c r="F18" i="38"/>
  <c r="E18" i="38"/>
  <c r="D18" i="38"/>
  <c r="B18" i="38" s="1"/>
  <c r="C18" i="38"/>
  <c r="N17" i="38"/>
  <c r="M17" i="38"/>
  <c r="L17" i="38"/>
  <c r="K17" i="38"/>
  <c r="J17" i="38"/>
  <c r="I17" i="38"/>
  <c r="H17" i="38"/>
  <c r="G17" i="38"/>
  <c r="F17" i="38"/>
  <c r="E17" i="38"/>
  <c r="D17" i="38"/>
  <c r="C17" i="38"/>
  <c r="N16" i="38"/>
  <c r="M16" i="38"/>
  <c r="L16" i="38"/>
  <c r="K16" i="38"/>
  <c r="J16" i="38"/>
  <c r="I16" i="38"/>
  <c r="H16" i="38"/>
  <c r="G16" i="38"/>
  <c r="F16" i="38"/>
  <c r="E16" i="38"/>
  <c r="D16" i="38"/>
  <c r="C16" i="38"/>
  <c r="N15" i="38"/>
  <c r="M15" i="38"/>
  <c r="L15" i="38"/>
  <c r="K15" i="38"/>
  <c r="J15" i="38"/>
  <c r="I15" i="38"/>
  <c r="H15" i="38"/>
  <c r="G15" i="38"/>
  <c r="F15" i="38"/>
  <c r="E15" i="38"/>
  <c r="D15" i="38"/>
  <c r="B15" i="38" s="1"/>
  <c r="B15" i="39" s="1"/>
  <c r="C15" i="38"/>
  <c r="N14" i="38"/>
  <c r="M14" i="38"/>
  <c r="L14" i="38"/>
  <c r="K14" i="38"/>
  <c r="J14" i="38"/>
  <c r="I14" i="38"/>
  <c r="H14" i="38"/>
  <c r="G14" i="38"/>
  <c r="F14" i="38"/>
  <c r="E14" i="38"/>
  <c r="D14" i="38"/>
  <c r="C14" i="38"/>
  <c r="N13" i="38"/>
  <c r="M13" i="38"/>
  <c r="L13" i="38"/>
  <c r="K13" i="38"/>
  <c r="J13" i="38"/>
  <c r="I13" i="38"/>
  <c r="H13" i="38"/>
  <c r="G13" i="38"/>
  <c r="F13" i="38"/>
  <c r="E13" i="38"/>
  <c r="D13" i="38"/>
  <c r="C13" i="38"/>
  <c r="N12" i="38"/>
  <c r="M12" i="38"/>
  <c r="L12" i="38"/>
  <c r="K12" i="38"/>
  <c r="J12" i="38"/>
  <c r="I12" i="38"/>
  <c r="H12" i="38"/>
  <c r="G12" i="38"/>
  <c r="F12" i="38"/>
  <c r="E12" i="38"/>
  <c r="D12" i="38"/>
  <c r="C12" i="38"/>
  <c r="N11" i="38"/>
  <c r="M11" i="38"/>
  <c r="L11" i="38"/>
  <c r="K11" i="38"/>
  <c r="J11" i="38"/>
  <c r="I11" i="38"/>
  <c r="H11" i="38"/>
  <c r="G11" i="38"/>
  <c r="F11" i="38"/>
  <c r="E11" i="38"/>
  <c r="D11" i="38"/>
  <c r="B11" i="38" s="1"/>
  <c r="C11" i="38"/>
  <c r="N10" i="38"/>
  <c r="M10" i="38"/>
  <c r="L10" i="38"/>
  <c r="K10" i="38"/>
  <c r="J10" i="38"/>
  <c r="I10" i="38"/>
  <c r="H10" i="38"/>
  <c r="G10" i="38"/>
  <c r="F10" i="38"/>
  <c r="E10" i="38"/>
  <c r="D10" i="38"/>
  <c r="B10" i="38" s="1"/>
  <c r="C10" i="38"/>
  <c r="N9" i="38"/>
  <c r="M9" i="38"/>
  <c r="L9" i="38"/>
  <c r="K9" i="38"/>
  <c r="J9" i="38"/>
  <c r="I9" i="38"/>
  <c r="H9" i="38"/>
  <c r="G9" i="38"/>
  <c r="F9" i="38"/>
  <c r="E9" i="38"/>
  <c r="D9" i="38"/>
  <c r="C9" i="38"/>
  <c r="N37" i="37"/>
  <c r="M37" i="37"/>
  <c r="L37" i="37"/>
  <c r="K37" i="37"/>
  <c r="J37" i="37"/>
  <c r="I37" i="37"/>
  <c r="H37" i="37"/>
  <c r="G37" i="37"/>
  <c r="F37" i="37"/>
  <c r="E37" i="37"/>
  <c r="D37" i="37"/>
  <c r="C37" i="37"/>
  <c r="N36" i="37"/>
  <c r="N36" i="39" s="1"/>
  <c r="M36" i="37"/>
  <c r="L36" i="37"/>
  <c r="K36" i="37"/>
  <c r="K36" i="39" s="1"/>
  <c r="J36" i="37"/>
  <c r="I36" i="37"/>
  <c r="H36" i="37"/>
  <c r="H36" i="39" s="1"/>
  <c r="G36" i="37"/>
  <c r="F36" i="37"/>
  <c r="E36" i="37"/>
  <c r="D36" i="37"/>
  <c r="C36" i="37"/>
  <c r="N35" i="37"/>
  <c r="M35" i="37"/>
  <c r="M35" i="39" s="1"/>
  <c r="L35" i="37"/>
  <c r="K35" i="37"/>
  <c r="K35" i="39" s="1"/>
  <c r="J35" i="37"/>
  <c r="J35" i="39" s="1"/>
  <c r="I35" i="37"/>
  <c r="H35" i="37"/>
  <c r="H35" i="39" s="1"/>
  <c r="G35" i="37"/>
  <c r="G35" i="39" s="1"/>
  <c r="F35" i="37"/>
  <c r="E35" i="37"/>
  <c r="D35" i="37"/>
  <c r="C35" i="37"/>
  <c r="N34" i="37"/>
  <c r="N34" i="39" s="1"/>
  <c r="M34" i="37"/>
  <c r="L34" i="37"/>
  <c r="K34" i="37"/>
  <c r="J34" i="37"/>
  <c r="I34" i="37"/>
  <c r="H34" i="37"/>
  <c r="H34" i="39" s="1"/>
  <c r="G34" i="37"/>
  <c r="F34" i="37"/>
  <c r="E34" i="37"/>
  <c r="D34" i="37"/>
  <c r="C34" i="37"/>
  <c r="N33" i="37"/>
  <c r="M33" i="37"/>
  <c r="L33" i="37"/>
  <c r="K33" i="37"/>
  <c r="J33" i="37"/>
  <c r="I33" i="37"/>
  <c r="H33" i="37"/>
  <c r="H33" i="39" s="1"/>
  <c r="G33" i="37"/>
  <c r="F33" i="37"/>
  <c r="E33" i="37"/>
  <c r="D33" i="37"/>
  <c r="C33" i="37"/>
  <c r="N32" i="37"/>
  <c r="M32" i="37"/>
  <c r="L32" i="37"/>
  <c r="K32" i="37"/>
  <c r="J32" i="37"/>
  <c r="I32" i="37"/>
  <c r="H32" i="37"/>
  <c r="G32" i="37"/>
  <c r="G32" i="39" s="1"/>
  <c r="F32" i="37"/>
  <c r="E32" i="37"/>
  <c r="D32" i="37"/>
  <c r="C32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N29" i="37"/>
  <c r="M29" i="37"/>
  <c r="L29" i="37"/>
  <c r="K29" i="37"/>
  <c r="J29" i="37"/>
  <c r="I29" i="37"/>
  <c r="H29" i="37"/>
  <c r="H29" i="39" s="1"/>
  <c r="G29" i="37"/>
  <c r="F29" i="37"/>
  <c r="E29" i="37"/>
  <c r="D29" i="37"/>
  <c r="C29" i="37"/>
  <c r="N28" i="37"/>
  <c r="M28" i="37"/>
  <c r="L28" i="37"/>
  <c r="K28" i="37"/>
  <c r="J28" i="37"/>
  <c r="I28" i="37"/>
  <c r="I28" i="39" s="1"/>
  <c r="H28" i="37"/>
  <c r="G28" i="37"/>
  <c r="F28" i="37"/>
  <c r="E28" i="37"/>
  <c r="D28" i="37"/>
  <c r="C28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N26" i="37"/>
  <c r="M26" i="37"/>
  <c r="L26" i="37"/>
  <c r="L26" i="39" s="1"/>
  <c r="K26" i="37"/>
  <c r="J26" i="37"/>
  <c r="I26" i="37"/>
  <c r="H26" i="37"/>
  <c r="G26" i="37"/>
  <c r="F26" i="37"/>
  <c r="E26" i="37"/>
  <c r="D26" i="37"/>
  <c r="C26" i="37"/>
  <c r="N25" i="37"/>
  <c r="M25" i="37"/>
  <c r="L25" i="37"/>
  <c r="L25" i="39" s="1"/>
  <c r="K25" i="37"/>
  <c r="J25" i="37"/>
  <c r="I25" i="37"/>
  <c r="H25" i="37"/>
  <c r="G25" i="37"/>
  <c r="F25" i="37"/>
  <c r="E25" i="37"/>
  <c r="D25" i="37"/>
  <c r="C25" i="37"/>
  <c r="N24" i="37"/>
  <c r="M24" i="37"/>
  <c r="M24" i="39" s="1"/>
  <c r="L24" i="37"/>
  <c r="L24" i="39" s="1"/>
  <c r="K24" i="37"/>
  <c r="J24" i="37"/>
  <c r="I24" i="37"/>
  <c r="H24" i="37"/>
  <c r="G24" i="37"/>
  <c r="F24" i="37"/>
  <c r="E24" i="37"/>
  <c r="D24" i="37"/>
  <c r="C24" i="37"/>
  <c r="N23" i="37"/>
  <c r="M23" i="37"/>
  <c r="L23" i="37"/>
  <c r="L23" i="39" s="1"/>
  <c r="K23" i="37"/>
  <c r="J23" i="37"/>
  <c r="I23" i="37"/>
  <c r="H23" i="37"/>
  <c r="G23" i="37"/>
  <c r="F23" i="37"/>
  <c r="F23" i="39" s="1"/>
  <c r="E23" i="37"/>
  <c r="D23" i="37"/>
  <c r="C23" i="37"/>
  <c r="N22" i="37"/>
  <c r="M22" i="37"/>
  <c r="L22" i="37"/>
  <c r="L22" i="39" s="1"/>
  <c r="K22" i="37"/>
  <c r="J22" i="37"/>
  <c r="I22" i="37"/>
  <c r="H22" i="37"/>
  <c r="G22" i="37"/>
  <c r="F22" i="37"/>
  <c r="E22" i="37"/>
  <c r="D22" i="37"/>
  <c r="C22" i="37"/>
  <c r="N21" i="37"/>
  <c r="M21" i="37"/>
  <c r="L21" i="37"/>
  <c r="K21" i="37"/>
  <c r="J21" i="37"/>
  <c r="I21" i="37"/>
  <c r="H21" i="37"/>
  <c r="G21" i="37"/>
  <c r="F21" i="37"/>
  <c r="F21" i="39" s="1"/>
  <c r="E21" i="37"/>
  <c r="D21" i="37"/>
  <c r="C21" i="37"/>
  <c r="N20" i="37"/>
  <c r="M20" i="37"/>
  <c r="L20" i="37"/>
  <c r="L20" i="39" s="1"/>
  <c r="K20" i="37"/>
  <c r="K20" i="39" s="1"/>
  <c r="J20" i="37"/>
  <c r="I20" i="37"/>
  <c r="H20" i="37"/>
  <c r="H20" i="39" s="1"/>
  <c r="G20" i="37"/>
  <c r="F20" i="37"/>
  <c r="F20" i="39" s="1"/>
  <c r="E20" i="37"/>
  <c r="D20" i="37"/>
  <c r="C20" i="37"/>
  <c r="N19" i="37"/>
  <c r="M19" i="37"/>
  <c r="L19" i="37"/>
  <c r="K19" i="37"/>
  <c r="J19" i="37"/>
  <c r="I19" i="37"/>
  <c r="H19" i="37"/>
  <c r="G19" i="37"/>
  <c r="F19" i="37"/>
  <c r="F19" i="39" s="1"/>
  <c r="E19" i="37"/>
  <c r="D19" i="37"/>
  <c r="C19" i="37"/>
  <c r="N18" i="37"/>
  <c r="M18" i="37"/>
  <c r="L18" i="37"/>
  <c r="K18" i="37"/>
  <c r="K18" i="39" s="1"/>
  <c r="J18" i="37"/>
  <c r="I18" i="37"/>
  <c r="H18" i="37"/>
  <c r="H18" i="39" s="1"/>
  <c r="G18" i="37"/>
  <c r="G18" i="39" s="1"/>
  <c r="F18" i="37"/>
  <c r="E18" i="37"/>
  <c r="D18" i="37"/>
  <c r="C18" i="37"/>
  <c r="N17" i="37"/>
  <c r="M17" i="37"/>
  <c r="L17" i="37"/>
  <c r="L17" i="39" s="1"/>
  <c r="K17" i="37"/>
  <c r="J17" i="37"/>
  <c r="I17" i="37"/>
  <c r="H17" i="37"/>
  <c r="G17" i="37"/>
  <c r="G17" i="39" s="1"/>
  <c r="F17" i="37"/>
  <c r="E17" i="37"/>
  <c r="D17" i="37"/>
  <c r="C17" i="37"/>
  <c r="C17" i="39" s="1"/>
  <c r="N16" i="37"/>
  <c r="M16" i="37"/>
  <c r="M16" i="39" s="1"/>
  <c r="L16" i="37"/>
  <c r="K16" i="37"/>
  <c r="J16" i="37"/>
  <c r="I16" i="37"/>
  <c r="I16" i="39" s="1"/>
  <c r="H16" i="37"/>
  <c r="G16" i="37"/>
  <c r="G16" i="39" s="1"/>
  <c r="F16" i="37"/>
  <c r="E16" i="37"/>
  <c r="E16" i="39" s="1"/>
  <c r="D16" i="37"/>
  <c r="C16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C15" i="39" s="1"/>
  <c r="N14" i="37"/>
  <c r="M14" i="37"/>
  <c r="L14" i="37"/>
  <c r="K14" i="37"/>
  <c r="J14" i="37"/>
  <c r="I14" i="37"/>
  <c r="H14" i="37"/>
  <c r="G14" i="37"/>
  <c r="F14" i="37"/>
  <c r="E14" i="37"/>
  <c r="D14" i="37"/>
  <c r="C14" i="37"/>
  <c r="C14" i="39" s="1"/>
  <c r="N13" i="37"/>
  <c r="M13" i="37"/>
  <c r="L13" i="37"/>
  <c r="K13" i="37"/>
  <c r="K13" i="39" s="1"/>
  <c r="J13" i="37"/>
  <c r="I13" i="37"/>
  <c r="H13" i="37"/>
  <c r="G13" i="37"/>
  <c r="F13" i="37"/>
  <c r="E13" i="37"/>
  <c r="D13" i="37"/>
  <c r="C13" i="37"/>
  <c r="C13" i="39" s="1"/>
  <c r="N12" i="37"/>
  <c r="M12" i="37"/>
  <c r="L12" i="37"/>
  <c r="K12" i="37"/>
  <c r="J12" i="37"/>
  <c r="I12" i="37"/>
  <c r="I12" i="39" s="1"/>
  <c r="H12" i="37"/>
  <c r="G12" i="37"/>
  <c r="F12" i="37"/>
  <c r="E12" i="37"/>
  <c r="D12" i="37"/>
  <c r="C12" i="37"/>
  <c r="C12" i="39" s="1"/>
  <c r="N11" i="37"/>
  <c r="M11" i="37"/>
  <c r="L11" i="37"/>
  <c r="L11" i="39" s="1"/>
  <c r="K11" i="37"/>
  <c r="J11" i="37"/>
  <c r="I11" i="37"/>
  <c r="I11" i="39" s="1"/>
  <c r="H11" i="37"/>
  <c r="G11" i="37"/>
  <c r="F11" i="37"/>
  <c r="E11" i="37"/>
  <c r="D11" i="37"/>
  <c r="C11" i="37"/>
  <c r="C11" i="39" s="1"/>
  <c r="N10" i="37"/>
  <c r="M10" i="37"/>
  <c r="L10" i="37"/>
  <c r="L10" i="39" s="1"/>
  <c r="K10" i="37"/>
  <c r="J10" i="37"/>
  <c r="I10" i="37"/>
  <c r="H10" i="37"/>
  <c r="G10" i="37"/>
  <c r="F10" i="37"/>
  <c r="E10" i="37"/>
  <c r="D10" i="37"/>
  <c r="C10" i="37"/>
  <c r="N9" i="37"/>
  <c r="M9" i="37"/>
  <c r="L9" i="37"/>
  <c r="K9" i="37"/>
  <c r="J9" i="37"/>
  <c r="I9" i="37"/>
  <c r="I9" i="39" s="1"/>
  <c r="H9" i="37"/>
  <c r="G9" i="37"/>
  <c r="F9" i="37"/>
  <c r="F9" i="39" s="1"/>
  <c r="E9" i="37"/>
  <c r="E9" i="39" s="1"/>
  <c r="D9" i="37"/>
  <c r="C9" i="37"/>
  <c r="C9" i="39" s="1"/>
  <c r="N37" i="35"/>
  <c r="M37" i="35"/>
  <c r="L37" i="35"/>
  <c r="K37" i="35"/>
  <c r="J37" i="35"/>
  <c r="I37" i="35"/>
  <c r="H37" i="35"/>
  <c r="G37" i="35"/>
  <c r="F37" i="35"/>
  <c r="E37" i="35"/>
  <c r="D37" i="35"/>
  <c r="C37" i="35"/>
  <c r="N36" i="35"/>
  <c r="M36" i="35"/>
  <c r="L36" i="35"/>
  <c r="K36" i="35"/>
  <c r="J36" i="35"/>
  <c r="I36" i="35"/>
  <c r="H36" i="35"/>
  <c r="G36" i="35"/>
  <c r="F36" i="35"/>
  <c r="E36" i="35"/>
  <c r="D36" i="35"/>
  <c r="C36" i="35"/>
  <c r="N35" i="35"/>
  <c r="M35" i="35"/>
  <c r="L35" i="35"/>
  <c r="K35" i="35"/>
  <c r="J35" i="35"/>
  <c r="I35" i="35"/>
  <c r="H35" i="35"/>
  <c r="G35" i="35"/>
  <c r="F35" i="35"/>
  <c r="E35" i="35"/>
  <c r="D35" i="35"/>
  <c r="C35" i="35"/>
  <c r="N34" i="35"/>
  <c r="M34" i="35"/>
  <c r="L34" i="35"/>
  <c r="K34" i="35"/>
  <c r="J34" i="35"/>
  <c r="I34" i="35"/>
  <c r="H34" i="35"/>
  <c r="G34" i="35"/>
  <c r="F34" i="35"/>
  <c r="E34" i="35"/>
  <c r="D34" i="35"/>
  <c r="C34" i="35"/>
  <c r="N33" i="35"/>
  <c r="M33" i="35"/>
  <c r="L33" i="35"/>
  <c r="K33" i="35"/>
  <c r="J33" i="35"/>
  <c r="I33" i="35"/>
  <c r="H33" i="35"/>
  <c r="G33" i="35"/>
  <c r="F33" i="35"/>
  <c r="E33" i="35"/>
  <c r="D33" i="35"/>
  <c r="C33" i="35"/>
  <c r="N32" i="35"/>
  <c r="M32" i="35"/>
  <c r="L32" i="35"/>
  <c r="K32" i="35"/>
  <c r="J32" i="35"/>
  <c r="I32" i="35"/>
  <c r="H32" i="35"/>
  <c r="G32" i="35"/>
  <c r="F32" i="35"/>
  <c r="E32" i="35"/>
  <c r="D32" i="35"/>
  <c r="C32" i="35"/>
  <c r="N31" i="35"/>
  <c r="M31" i="35"/>
  <c r="L31" i="35"/>
  <c r="K31" i="35"/>
  <c r="J31" i="35"/>
  <c r="J31" i="36" s="1"/>
  <c r="I31" i="35"/>
  <c r="H31" i="35"/>
  <c r="G31" i="35"/>
  <c r="F31" i="35"/>
  <c r="E31" i="35"/>
  <c r="D31" i="35"/>
  <c r="D31" i="36" s="1"/>
  <c r="C31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N29" i="35"/>
  <c r="M29" i="35"/>
  <c r="L29" i="35"/>
  <c r="K29" i="35"/>
  <c r="J29" i="35"/>
  <c r="J29" i="36" s="1"/>
  <c r="I29" i="35"/>
  <c r="H29" i="35"/>
  <c r="G29" i="35"/>
  <c r="F29" i="35"/>
  <c r="E29" i="35"/>
  <c r="D29" i="35"/>
  <c r="C29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N24" i="35"/>
  <c r="M24" i="35"/>
  <c r="L24" i="35"/>
  <c r="K24" i="35"/>
  <c r="J24" i="35"/>
  <c r="J24" i="36" s="1"/>
  <c r="I24" i="35"/>
  <c r="H24" i="35"/>
  <c r="G24" i="35"/>
  <c r="F24" i="35"/>
  <c r="E24" i="35"/>
  <c r="D24" i="35"/>
  <c r="C24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N19" i="35"/>
  <c r="M19" i="35"/>
  <c r="L19" i="35"/>
  <c r="K19" i="35"/>
  <c r="J19" i="35"/>
  <c r="I19" i="35"/>
  <c r="H19" i="35"/>
  <c r="G19" i="35"/>
  <c r="F19" i="35"/>
  <c r="E19" i="35"/>
  <c r="D19" i="35"/>
  <c r="D19" i="36" s="1"/>
  <c r="C19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N15" i="35"/>
  <c r="M15" i="35"/>
  <c r="L15" i="35"/>
  <c r="K15" i="35"/>
  <c r="J15" i="35"/>
  <c r="I15" i="35"/>
  <c r="H15" i="35"/>
  <c r="G15" i="35"/>
  <c r="F15" i="35"/>
  <c r="E15" i="35"/>
  <c r="D15" i="35"/>
  <c r="B15" i="35" s="1"/>
  <c r="C15" i="35"/>
  <c r="N14" i="35"/>
  <c r="M14" i="35"/>
  <c r="L14" i="35"/>
  <c r="K14" i="35"/>
  <c r="J14" i="35"/>
  <c r="I14" i="35"/>
  <c r="H14" i="35"/>
  <c r="G14" i="35"/>
  <c r="F14" i="35"/>
  <c r="E14" i="35"/>
  <c r="D14" i="35"/>
  <c r="C14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N9" i="35"/>
  <c r="M9" i="35"/>
  <c r="L9" i="35"/>
  <c r="K9" i="35"/>
  <c r="J9" i="35"/>
  <c r="I9" i="35"/>
  <c r="H9" i="35"/>
  <c r="G9" i="35"/>
  <c r="F9" i="35"/>
  <c r="E9" i="35"/>
  <c r="D9" i="35"/>
  <c r="C9" i="35"/>
  <c r="N37" i="34"/>
  <c r="M37" i="34"/>
  <c r="L37" i="34"/>
  <c r="K37" i="34"/>
  <c r="J37" i="34"/>
  <c r="I37" i="34"/>
  <c r="H37" i="34"/>
  <c r="G37" i="34"/>
  <c r="F37" i="34"/>
  <c r="E37" i="34"/>
  <c r="D37" i="34"/>
  <c r="C37" i="34"/>
  <c r="N36" i="34"/>
  <c r="M36" i="34"/>
  <c r="L36" i="34"/>
  <c r="K36" i="34"/>
  <c r="J36" i="34"/>
  <c r="I36" i="34"/>
  <c r="H36" i="34"/>
  <c r="G36" i="34"/>
  <c r="F36" i="34"/>
  <c r="E36" i="34"/>
  <c r="D36" i="34"/>
  <c r="C36" i="34"/>
  <c r="N35" i="34"/>
  <c r="M35" i="34"/>
  <c r="L35" i="34"/>
  <c r="K35" i="34"/>
  <c r="J35" i="34"/>
  <c r="I35" i="34"/>
  <c r="H35" i="34"/>
  <c r="G35" i="34"/>
  <c r="F35" i="34"/>
  <c r="E35" i="34"/>
  <c r="D35" i="34"/>
  <c r="C35" i="34"/>
  <c r="N34" i="34"/>
  <c r="M34" i="34"/>
  <c r="L34" i="34"/>
  <c r="K34" i="34"/>
  <c r="J34" i="34"/>
  <c r="I34" i="34"/>
  <c r="H34" i="34"/>
  <c r="G34" i="34"/>
  <c r="F34" i="34"/>
  <c r="E34" i="34"/>
  <c r="D34" i="34"/>
  <c r="C34" i="34"/>
  <c r="N33" i="34"/>
  <c r="M33" i="34"/>
  <c r="L33" i="34"/>
  <c r="L33" i="36" s="1"/>
  <c r="K33" i="34"/>
  <c r="J33" i="34"/>
  <c r="I33" i="34"/>
  <c r="H33" i="34"/>
  <c r="G33" i="34"/>
  <c r="F33" i="34"/>
  <c r="E33" i="34"/>
  <c r="D33" i="34"/>
  <c r="C33" i="34"/>
  <c r="N32" i="34"/>
  <c r="N32" i="36" s="1"/>
  <c r="M32" i="34"/>
  <c r="M32" i="36" s="1"/>
  <c r="L32" i="34"/>
  <c r="K32" i="34"/>
  <c r="J32" i="34"/>
  <c r="I32" i="34"/>
  <c r="H32" i="34"/>
  <c r="G32" i="34"/>
  <c r="G32" i="36" s="1"/>
  <c r="F32" i="34"/>
  <c r="E32" i="34"/>
  <c r="E32" i="36" s="1"/>
  <c r="D32" i="34"/>
  <c r="C32" i="34"/>
  <c r="N31" i="34"/>
  <c r="M31" i="34"/>
  <c r="M31" i="36" s="1"/>
  <c r="L31" i="34"/>
  <c r="K31" i="34"/>
  <c r="J31" i="34"/>
  <c r="I31" i="34"/>
  <c r="H31" i="34"/>
  <c r="H31" i="36" s="1"/>
  <c r="G31" i="34"/>
  <c r="G31" i="36" s="1"/>
  <c r="F31" i="34"/>
  <c r="E31" i="34"/>
  <c r="D31" i="34"/>
  <c r="C31" i="34"/>
  <c r="N30" i="34"/>
  <c r="M30" i="34"/>
  <c r="L30" i="34"/>
  <c r="K30" i="34"/>
  <c r="J30" i="34"/>
  <c r="I30" i="34"/>
  <c r="H30" i="34"/>
  <c r="G30" i="34"/>
  <c r="F30" i="34"/>
  <c r="E30" i="34"/>
  <c r="E30" i="36" s="1"/>
  <c r="D30" i="34"/>
  <c r="C30" i="34"/>
  <c r="N29" i="34"/>
  <c r="M29" i="34"/>
  <c r="M29" i="36" s="1"/>
  <c r="L29" i="34"/>
  <c r="K29" i="34"/>
  <c r="J29" i="34"/>
  <c r="I29" i="34"/>
  <c r="H29" i="34"/>
  <c r="H29" i="36" s="1"/>
  <c r="G29" i="34"/>
  <c r="F29" i="34"/>
  <c r="F29" i="36" s="1"/>
  <c r="E29" i="34"/>
  <c r="E29" i="36" s="1"/>
  <c r="D29" i="34"/>
  <c r="C29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N27" i="34"/>
  <c r="M27" i="34"/>
  <c r="L27" i="34"/>
  <c r="K27" i="34"/>
  <c r="K27" i="36" s="1"/>
  <c r="J27" i="34"/>
  <c r="I27" i="34"/>
  <c r="H27" i="34"/>
  <c r="G27" i="34"/>
  <c r="F27" i="34"/>
  <c r="E27" i="34"/>
  <c r="E27" i="36" s="1"/>
  <c r="D27" i="34"/>
  <c r="C27" i="34"/>
  <c r="N26" i="34"/>
  <c r="N26" i="36" s="1"/>
  <c r="M26" i="34"/>
  <c r="L26" i="34"/>
  <c r="K26" i="34"/>
  <c r="J26" i="34"/>
  <c r="I26" i="34"/>
  <c r="I26" i="36" s="1"/>
  <c r="H26" i="34"/>
  <c r="G26" i="34"/>
  <c r="F26" i="34"/>
  <c r="E26" i="34"/>
  <c r="D26" i="34"/>
  <c r="C26" i="34"/>
  <c r="N25" i="34"/>
  <c r="M25" i="34"/>
  <c r="L25" i="34"/>
  <c r="K25" i="34"/>
  <c r="J25" i="34"/>
  <c r="J25" i="36" s="1"/>
  <c r="I25" i="34"/>
  <c r="H25" i="34"/>
  <c r="G25" i="34"/>
  <c r="F25" i="34"/>
  <c r="E25" i="34"/>
  <c r="D25" i="34"/>
  <c r="C25" i="34"/>
  <c r="N24" i="34"/>
  <c r="M24" i="34"/>
  <c r="M24" i="36" s="1"/>
  <c r="L24" i="34"/>
  <c r="L24" i="36" s="1"/>
  <c r="K24" i="34"/>
  <c r="J24" i="34"/>
  <c r="I24" i="34"/>
  <c r="H24" i="34"/>
  <c r="G24" i="34"/>
  <c r="F24" i="34"/>
  <c r="F24" i="36" s="1"/>
  <c r="E24" i="34"/>
  <c r="D24" i="34"/>
  <c r="C24" i="34"/>
  <c r="N23" i="34"/>
  <c r="M23" i="34"/>
  <c r="L23" i="34"/>
  <c r="L23" i="36" s="1"/>
  <c r="K23" i="34"/>
  <c r="J23" i="34"/>
  <c r="I23" i="34"/>
  <c r="H23" i="34"/>
  <c r="G23" i="34"/>
  <c r="F23" i="34"/>
  <c r="E23" i="34"/>
  <c r="D23" i="34"/>
  <c r="D23" i="36" s="1"/>
  <c r="C23" i="34"/>
  <c r="N22" i="34"/>
  <c r="M22" i="34"/>
  <c r="L22" i="34"/>
  <c r="K22" i="34"/>
  <c r="J22" i="34"/>
  <c r="I22" i="34"/>
  <c r="I22" i="36" s="1"/>
  <c r="H22" i="34"/>
  <c r="H22" i="36" s="1"/>
  <c r="G22" i="34"/>
  <c r="G22" i="36" s="1"/>
  <c r="F22" i="34"/>
  <c r="E22" i="34"/>
  <c r="D22" i="34"/>
  <c r="C22" i="34"/>
  <c r="N21" i="34"/>
  <c r="M21" i="34"/>
  <c r="L21" i="34"/>
  <c r="K21" i="34"/>
  <c r="J21" i="34"/>
  <c r="I21" i="34"/>
  <c r="H21" i="34"/>
  <c r="G21" i="34"/>
  <c r="F21" i="34"/>
  <c r="E21" i="34"/>
  <c r="D21" i="34"/>
  <c r="C21" i="34"/>
  <c r="N20" i="34"/>
  <c r="M20" i="34"/>
  <c r="L20" i="34"/>
  <c r="K20" i="34"/>
  <c r="J20" i="34"/>
  <c r="I20" i="34"/>
  <c r="H20" i="34"/>
  <c r="G20" i="34"/>
  <c r="F20" i="34"/>
  <c r="E20" i="34"/>
  <c r="D20" i="34"/>
  <c r="C20" i="34"/>
  <c r="N19" i="34"/>
  <c r="M19" i="34"/>
  <c r="M19" i="36" s="1"/>
  <c r="L19" i="34"/>
  <c r="K19" i="34"/>
  <c r="J19" i="34"/>
  <c r="I19" i="34"/>
  <c r="H19" i="34"/>
  <c r="G19" i="34"/>
  <c r="F19" i="34"/>
  <c r="E19" i="34"/>
  <c r="D19" i="34"/>
  <c r="C19" i="34"/>
  <c r="N18" i="34"/>
  <c r="M18" i="34"/>
  <c r="L18" i="34"/>
  <c r="K18" i="34"/>
  <c r="J18" i="34"/>
  <c r="I18" i="34"/>
  <c r="H18" i="34"/>
  <c r="G18" i="34"/>
  <c r="F18" i="34"/>
  <c r="E18" i="34"/>
  <c r="D18" i="34"/>
  <c r="C18" i="34"/>
  <c r="N17" i="34"/>
  <c r="M17" i="34"/>
  <c r="L17" i="34"/>
  <c r="K17" i="34"/>
  <c r="J17" i="34"/>
  <c r="I17" i="34"/>
  <c r="H17" i="34"/>
  <c r="G17" i="34"/>
  <c r="F17" i="34"/>
  <c r="E17" i="34"/>
  <c r="D17" i="34"/>
  <c r="C17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N15" i="34"/>
  <c r="M15" i="34"/>
  <c r="L15" i="34"/>
  <c r="K15" i="34"/>
  <c r="J15" i="34"/>
  <c r="I15" i="34"/>
  <c r="H15" i="34"/>
  <c r="G15" i="34"/>
  <c r="F15" i="34"/>
  <c r="E15" i="34"/>
  <c r="D15" i="34"/>
  <c r="C15" i="34"/>
  <c r="N14" i="34"/>
  <c r="M14" i="34"/>
  <c r="L14" i="34"/>
  <c r="K14" i="34"/>
  <c r="J14" i="34"/>
  <c r="I14" i="34"/>
  <c r="H14" i="34"/>
  <c r="G14" i="34"/>
  <c r="F14" i="34"/>
  <c r="E14" i="34"/>
  <c r="D14" i="34"/>
  <c r="C14" i="34"/>
  <c r="N13" i="34"/>
  <c r="M13" i="34"/>
  <c r="L13" i="34"/>
  <c r="K13" i="34"/>
  <c r="J13" i="34"/>
  <c r="I13" i="34"/>
  <c r="H13" i="34"/>
  <c r="G13" i="34"/>
  <c r="F13" i="34"/>
  <c r="E13" i="34"/>
  <c r="D13" i="34"/>
  <c r="C13" i="34"/>
  <c r="N12" i="34"/>
  <c r="M12" i="34"/>
  <c r="L12" i="34"/>
  <c r="K12" i="34"/>
  <c r="J12" i="34"/>
  <c r="I12" i="34"/>
  <c r="H12" i="34"/>
  <c r="G12" i="34"/>
  <c r="F12" i="34"/>
  <c r="E12" i="34"/>
  <c r="D12" i="34"/>
  <c r="C12" i="34"/>
  <c r="N11" i="34"/>
  <c r="M11" i="34"/>
  <c r="L11" i="34"/>
  <c r="K11" i="34"/>
  <c r="J11" i="34"/>
  <c r="I11" i="34"/>
  <c r="H11" i="34"/>
  <c r="G11" i="34"/>
  <c r="F11" i="34"/>
  <c r="E11" i="34"/>
  <c r="D11" i="34"/>
  <c r="C11" i="34"/>
  <c r="N10" i="34"/>
  <c r="M10" i="34"/>
  <c r="L10" i="34"/>
  <c r="K10" i="34"/>
  <c r="J10" i="34"/>
  <c r="I10" i="34"/>
  <c r="H10" i="34"/>
  <c r="G10" i="34"/>
  <c r="F10" i="34"/>
  <c r="E10" i="34"/>
  <c r="D10" i="34"/>
  <c r="C10" i="34"/>
  <c r="N9" i="34"/>
  <c r="M9" i="34"/>
  <c r="L9" i="34"/>
  <c r="K9" i="34"/>
  <c r="J9" i="34"/>
  <c r="I9" i="34"/>
  <c r="H9" i="34"/>
  <c r="G9" i="34"/>
  <c r="F9" i="34"/>
  <c r="E9" i="34"/>
  <c r="D9" i="34"/>
  <c r="C9" i="34"/>
  <c r="N37" i="32"/>
  <c r="M37" i="32"/>
  <c r="L37" i="32"/>
  <c r="K37" i="32"/>
  <c r="J37" i="32"/>
  <c r="I37" i="32"/>
  <c r="H37" i="32"/>
  <c r="G37" i="32"/>
  <c r="F37" i="32"/>
  <c r="E37" i="32"/>
  <c r="D37" i="32"/>
  <c r="C37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N33" i="32"/>
  <c r="M33" i="32"/>
  <c r="L33" i="32"/>
  <c r="K33" i="32"/>
  <c r="J33" i="32"/>
  <c r="J33" i="33" s="1"/>
  <c r="I33" i="32"/>
  <c r="H33" i="32"/>
  <c r="G33" i="32"/>
  <c r="F33" i="32"/>
  <c r="E33" i="32"/>
  <c r="D33" i="32"/>
  <c r="C33" i="32"/>
  <c r="N32" i="32"/>
  <c r="M32" i="32"/>
  <c r="L32" i="32"/>
  <c r="K32" i="32"/>
  <c r="J32" i="32"/>
  <c r="J32" i="33" s="1"/>
  <c r="I32" i="32"/>
  <c r="H32" i="32"/>
  <c r="G32" i="32"/>
  <c r="F32" i="32"/>
  <c r="E32" i="32"/>
  <c r="D32" i="32"/>
  <c r="C32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N27" i="32"/>
  <c r="M27" i="32"/>
  <c r="L27" i="32"/>
  <c r="K27" i="32"/>
  <c r="J27" i="32"/>
  <c r="I27" i="32"/>
  <c r="H27" i="32"/>
  <c r="G27" i="32"/>
  <c r="F27" i="32"/>
  <c r="E27" i="32"/>
  <c r="D27" i="32"/>
  <c r="D27" i="33" s="1"/>
  <c r="C27" i="32"/>
  <c r="N26" i="32"/>
  <c r="M26" i="32"/>
  <c r="L26" i="32"/>
  <c r="K26" i="32"/>
  <c r="J26" i="32"/>
  <c r="I26" i="32"/>
  <c r="H26" i="32"/>
  <c r="G26" i="32"/>
  <c r="F26" i="32"/>
  <c r="E26" i="32"/>
  <c r="D26" i="32"/>
  <c r="D26" i="33" s="1"/>
  <c r="C26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N24" i="32"/>
  <c r="M24" i="32"/>
  <c r="L24" i="32"/>
  <c r="K24" i="32"/>
  <c r="J24" i="32"/>
  <c r="I24" i="32"/>
  <c r="H24" i="32"/>
  <c r="G24" i="32"/>
  <c r="F24" i="32"/>
  <c r="E24" i="32"/>
  <c r="D24" i="32"/>
  <c r="D24" i="33" s="1"/>
  <c r="C24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N21" i="32"/>
  <c r="M21" i="32"/>
  <c r="L21" i="32"/>
  <c r="K21" i="32"/>
  <c r="J21" i="32"/>
  <c r="J21" i="33" s="1"/>
  <c r="I21" i="32"/>
  <c r="H21" i="32"/>
  <c r="G21" i="32"/>
  <c r="F21" i="32"/>
  <c r="E21" i="32"/>
  <c r="D21" i="32"/>
  <c r="B21" i="32" s="1"/>
  <c r="C21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N18" i="32"/>
  <c r="M18" i="32"/>
  <c r="L18" i="32"/>
  <c r="K18" i="32"/>
  <c r="J18" i="32"/>
  <c r="J18" i="33" s="1"/>
  <c r="I18" i="32"/>
  <c r="H18" i="32"/>
  <c r="G18" i="32"/>
  <c r="F18" i="32"/>
  <c r="E18" i="32"/>
  <c r="D18" i="32"/>
  <c r="C18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N9" i="32"/>
  <c r="M9" i="32"/>
  <c r="L9" i="32"/>
  <c r="K9" i="32"/>
  <c r="J9" i="32"/>
  <c r="I9" i="32"/>
  <c r="H9" i="32"/>
  <c r="G9" i="32"/>
  <c r="F9" i="32"/>
  <c r="E9" i="32"/>
  <c r="D9" i="32"/>
  <c r="C9" i="32"/>
  <c r="N37" i="31"/>
  <c r="M37" i="31"/>
  <c r="L37" i="31"/>
  <c r="K37" i="31"/>
  <c r="J37" i="31"/>
  <c r="I37" i="31"/>
  <c r="H37" i="31"/>
  <c r="G37" i="31"/>
  <c r="F37" i="31"/>
  <c r="E37" i="31"/>
  <c r="D37" i="31"/>
  <c r="C37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N33" i="31"/>
  <c r="M33" i="31"/>
  <c r="L33" i="31"/>
  <c r="L33" i="33" s="1"/>
  <c r="K33" i="31"/>
  <c r="J33" i="31"/>
  <c r="I33" i="31"/>
  <c r="H33" i="31"/>
  <c r="G33" i="31"/>
  <c r="F33" i="31"/>
  <c r="E33" i="31"/>
  <c r="D33" i="31"/>
  <c r="C33" i="31"/>
  <c r="N32" i="31"/>
  <c r="M32" i="31"/>
  <c r="L32" i="31"/>
  <c r="K32" i="31"/>
  <c r="J32" i="31"/>
  <c r="I32" i="31"/>
  <c r="H32" i="31"/>
  <c r="G32" i="31"/>
  <c r="F32" i="31"/>
  <c r="F32" i="33" s="1"/>
  <c r="E32" i="31"/>
  <c r="D32" i="31"/>
  <c r="C32" i="31"/>
  <c r="N31" i="31"/>
  <c r="M31" i="31"/>
  <c r="L31" i="31"/>
  <c r="K31" i="31"/>
  <c r="J31" i="31"/>
  <c r="J31" i="33" s="1"/>
  <c r="I31" i="31"/>
  <c r="H31" i="31"/>
  <c r="G31" i="31"/>
  <c r="F31" i="31"/>
  <c r="E31" i="31"/>
  <c r="E31" i="33" s="1"/>
  <c r="D31" i="31"/>
  <c r="C31" i="31"/>
  <c r="N30" i="31"/>
  <c r="M30" i="31"/>
  <c r="L30" i="31"/>
  <c r="K30" i="31"/>
  <c r="K30" i="33" s="1"/>
  <c r="J30" i="31"/>
  <c r="I30" i="31"/>
  <c r="H30" i="31"/>
  <c r="G30" i="31"/>
  <c r="F30" i="31"/>
  <c r="F30" i="33" s="1"/>
  <c r="E30" i="31"/>
  <c r="D30" i="31"/>
  <c r="D30" i="33" s="1"/>
  <c r="C30" i="31"/>
  <c r="C30" i="33" s="1"/>
  <c r="N29" i="31"/>
  <c r="M29" i="31"/>
  <c r="L29" i="31"/>
  <c r="L29" i="33" s="1"/>
  <c r="K29" i="31"/>
  <c r="J29" i="31"/>
  <c r="J29" i="33" s="1"/>
  <c r="I29" i="31"/>
  <c r="H29" i="31"/>
  <c r="G29" i="31"/>
  <c r="F29" i="31"/>
  <c r="E29" i="31"/>
  <c r="D29" i="31"/>
  <c r="C29" i="31"/>
  <c r="N28" i="31"/>
  <c r="M28" i="31"/>
  <c r="L28" i="31"/>
  <c r="K28" i="31"/>
  <c r="K28" i="33" s="1"/>
  <c r="J28" i="31"/>
  <c r="J28" i="33" s="1"/>
  <c r="I28" i="31"/>
  <c r="H28" i="31"/>
  <c r="G28" i="31"/>
  <c r="F28" i="31"/>
  <c r="E28" i="31"/>
  <c r="D28" i="31"/>
  <c r="D28" i="33" s="1"/>
  <c r="C28" i="31"/>
  <c r="N27" i="31"/>
  <c r="M27" i="31"/>
  <c r="L27" i="31"/>
  <c r="K27" i="31"/>
  <c r="K27" i="33" s="1"/>
  <c r="J27" i="31"/>
  <c r="J27" i="33" s="1"/>
  <c r="I27" i="31"/>
  <c r="H27" i="31"/>
  <c r="G27" i="31"/>
  <c r="F27" i="31"/>
  <c r="E27" i="31"/>
  <c r="E27" i="33" s="1"/>
  <c r="D27" i="31"/>
  <c r="C27" i="31"/>
  <c r="N26" i="31"/>
  <c r="M26" i="31"/>
  <c r="L26" i="31"/>
  <c r="K26" i="31"/>
  <c r="K26" i="33" s="1"/>
  <c r="J26" i="31"/>
  <c r="J26" i="33" s="1"/>
  <c r="I26" i="31"/>
  <c r="H26" i="31"/>
  <c r="G26" i="31"/>
  <c r="F26" i="31"/>
  <c r="E26" i="31"/>
  <c r="D26" i="31"/>
  <c r="C26" i="31"/>
  <c r="N25" i="31"/>
  <c r="M25" i="31"/>
  <c r="L25" i="31"/>
  <c r="L25" i="33" s="1"/>
  <c r="K25" i="31"/>
  <c r="J25" i="31"/>
  <c r="J25" i="33" s="1"/>
  <c r="I25" i="31"/>
  <c r="H25" i="31"/>
  <c r="G25" i="31"/>
  <c r="F25" i="31"/>
  <c r="F25" i="33" s="1"/>
  <c r="E25" i="31"/>
  <c r="E25" i="33" s="1"/>
  <c r="D25" i="31"/>
  <c r="D25" i="33" s="1"/>
  <c r="C25" i="31"/>
  <c r="N24" i="31"/>
  <c r="M24" i="31"/>
  <c r="L24" i="31"/>
  <c r="L24" i="33" s="1"/>
  <c r="K24" i="31"/>
  <c r="K24" i="33" s="1"/>
  <c r="J24" i="31"/>
  <c r="J24" i="33" s="1"/>
  <c r="I24" i="31"/>
  <c r="H24" i="31"/>
  <c r="G24" i="31"/>
  <c r="F24" i="31"/>
  <c r="E24" i="31"/>
  <c r="D24" i="31"/>
  <c r="C24" i="31"/>
  <c r="N23" i="31"/>
  <c r="M23" i="31"/>
  <c r="L23" i="31"/>
  <c r="K23" i="31"/>
  <c r="J23" i="31"/>
  <c r="I23" i="31"/>
  <c r="H23" i="31"/>
  <c r="G23" i="31"/>
  <c r="F23" i="31"/>
  <c r="E23" i="31"/>
  <c r="D23" i="31"/>
  <c r="D23" i="33" s="1"/>
  <c r="C23" i="31"/>
  <c r="N22" i="31"/>
  <c r="M22" i="31"/>
  <c r="L22" i="31"/>
  <c r="K22" i="31"/>
  <c r="J22" i="31"/>
  <c r="I22" i="31"/>
  <c r="H22" i="31"/>
  <c r="G22" i="31"/>
  <c r="F22" i="31"/>
  <c r="F22" i="33" s="1"/>
  <c r="E22" i="31"/>
  <c r="E22" i="33" s="1"/>
  <c r="D22" i="31"/>
  <c r="C22" i="31"/>
  <c r="N21" i="31"/>
  <c r="M21" i="31"/>
  <c r="L21" i="31"/>
  <c r="K21" i="31"/>
  <c r="J21" i="31"/>
  <c r="I21" i="31"/>
  <c r="H21" i="31"/>
  <c r="G21" i="31"/>
  <c r="F21" i="31"/>
  <c r="F21" i="33" s="1"/>
  <c r="E21" i="31"/>
  <c r="E21" i="33" s="1"/>
  <c r="D21" i="31"/>
  <c r="C21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N19" i="31"/>
  <c r="M19" i="31"/>
  <c r="L19" i="31"/>
  <c r="L19" i="33" s="1"/>
  <c r="K19" i="31"/>
  <c r="K19" i="33" s="1"/>
  <c r="J19" i="31"/>
  <c r="I19" i="31"/>
  <c r="H19" i="31"/>
  <c r="G19" i="31"/>
  <c r="F19" i="31"/>
  <c r="E19" i="31"/>
  <c r="E19" i="33" s="1"/>
  <c r="D19" i="31"/>
  <c r="D19" i="33" s="1"/>
  <c r="C19" i="31"/>
  <c r="N18" i="31"/>
  <c r="M18" i="31"/>
  <c r="L18" i="31"/>
  <c r="L18" i="33" s="1"/>
  <c r="K18" i="31"/>
  <c r="J18" i="31"/>
  <c r="I18" i="31"/>
  <c r="H18" i="31"/>
  <c r="G18" i="31"/>
  <c r="F18" i="31"/>
  <c r="E18" i="31"/>
  <c r="D18" i="31"/>
  <c r="C18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N12" i="31"/>
  <c r="M12" i="31"/>
  <c r="L12" i="31"/>
  <c r="L12" i="33" s="1"/>
  <c r="K12" i="31"/>
  <c r="K12" i="33" s="1"/>
  <c r="J12" i="31"/>
  <c r="J12" i="33" s="1"/>
  <c r="I12" i="31"/>
  <c r="H12" i="31"/>
  <c r="G12" i="31"/>
  <c r="F12" i="31"/>
  <c r="F12" i="33" s="1"/>
  <c r="E12" i="31"/>
  <c r="D12" i="31"/>
  <c r="C12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N9" i="31"/>
  <c r="M9" i="31"/>
  <c r="L9" i="31"/>
  <c r="K9" i="31"/>
  <c r="J9" i="31"/>
  <c r="I9" i="31"/>
  <c r="H9" i="31"/>
  <c r="G9" i="31"/>
  <c r="F9" i="31"/>
  <c r="E9" i="31"/>
  <c r="D9" i="31"/>
  <c r="C9" i="31"/>
  <c r="N37" i="29"/>
  <c r="M37" i="29"/>
  <c r="L37" i="29"/>
  <c r="K37" i="29"/>
  <c r="J37" i="29"/>
  <c r="I37" i="29"/>
  <c r="H37" i="29"/>
  <c r="G37" i="29"/>
  <c r="F37" i="29"/>
  <c r="E37" i="29"/>
  <c r="D37" i="29"/>
  <c r="C37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N32" i="29"/>
  <c r="M32" i="29"/>
  <c r="L32" i="29"/>
  <c r="K32" i="29"/>
  <c r="J32" i="29"/>
  <c r="J32" i="30" s="1"/>
  <c r="I32" i="29"/>
  <c r="H32" i="29"/>
  <c r="G32" i="29"/>
  <c r="F32" i="29"/>
  <c r="E32" i="29"/>
  <c r="D32" i="29"/>
  <c r="B32" i="29" s="1"/>
  <c r="C32" i="29"/>
  <c r="N31" i="29"/>
  <c r="M31" i="29"/>
  <c r="L31" i="29"/>
  <c r="K31" i="29"/>
  <c r="J31" i="29"/>
  <c r="J31" i="30" s="1"/>
  <c r="I31" i="29"/>
  <c r="H31" i="29"/>
  <c r="G31" i="29"/>
  <c r="F31" i="29"/>
  <c r="E31" i="29"/>
  <c r="D31" i="29"/>
  <c r="C31" i="29"/>
  <c r="N30" i="29"/>
  <c r="M30" i="29"/>
  <c r="L30" i="29"/>
  <c r="K30" i="29"/>
  <c r="J30" i="29"/>
  <c r="I30" i="29"/>
  <c r="H30" i="29"/>
  <c r="G30" i="29"/>
  <c r="F30" i="29"/>
  <c r="E30" i="29"/>
  <c r="D30" i="29"/>
  <c r="D30" i="30" s="1"/>
  <c r="C30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N20" i="29"/>
  <c r="M20" i="29"/>
  <c r="L20" i="29"/>
  <c r="K20" i="29"/>
  <c r="J20" i="29"/>
  <c r="J20" i="30" s="1"/>
  <c r="I20" i="29"/>
  <c r="H20" i="29"/>
  <c r="G20" i="29"/>
  <c r="F20" i="29"/>
  <c r="E20" i="29"/>
  <c r="D20" i="29"/>
  <c r="C20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N12" i="29"/>
  <c r="M12" i="29"/>
  <c r="L12" i="29"/>
  <c r="K12" i="29"/>
  <c r="J12" i="29"/>
  <c r="I12" i="29"/>
  <c r="H12" i="29"/>
  <c r="G12" i="29"/>
  <c r="F12" i="29"/>
  <c r="E12" i="29"/>
  <c r="D12" i="29"/>
  <c r="D12" i="30" s="1"/>
  <c r="C12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N9" i="29"/>
  <c r="M9" i="29"/>
  <c r="L9" i="29"/>
  <c r="K9" i="29"/>
  <c r="J9" i="29"/>
  <c r="I9" i="29"/>
  <c r="H9" i="29"/>
  <c r="H8" i="29" s="1"/>
  <c r="G9" i="29"/>
  <c r="F9" i="29"/>
  <c r="E9" i="29"/>
  <c r="E8" i="29" s="1"/>
  <c r="D9" i="29"/>
  <c r="C9" i="29"/>
  <c r="N37" i="28"/>
  <c r="M37" i="28"/>
  <c r="L37" i="28"/>
  <c r="K37" i="28"/>
  <c r="J37" i="28"/>
  <c r="I37" i="28"/>
  <c r="H37" i="28"/>
  <c r="G37" i="28"/>
  <c r="F37" i="28"/>
  <c r="E37" i="28"/>
  <c r="D37" i="28"/>
  <c r="C37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N32" i="28"/>
  <c r="M32" i="28"/>
  <c r="L32" i="28"/>
  <c r="K32" i="28"/>
  <c r="J32" i="28"/>
  <c r="I32" i="28"/>
  <c r="H32" i="28"/>
  <c r="G32" i="28"/>
  <c r="F32" i="28"/>
  <c r="E32" i="28"/>
  <c r="D32" i="28"/>
  <c r="D32" i="30" s="1"/>
  <c r="C32" i="28"/>
  <c r="N31" i="28"/>
  <c r="N31" i="30" s="1"/>
  <c r="M31" i="28"/>
  <c r="L31" i="28"/>
  <c r="K31" i="28"/>
  <c r="J31" i="28"/>
  <c r="I31" i="28"/>
  <c r="H31" i="28"/>
  <c r="G31" i="28"/>
  <c r="F31" i="28"/>
  <c r="E31" i="28"/>
  <c r="D31" i="28"/>
  <c r="D31" i="30" s="1"/>
  <c r="C31" i="28"/>
  <c r="N30" i="28"/>
  <c r="N30" i="30" s="1"/>
  <c r="M30" i="28"/>
  <c r="L30" i="28"/>
  <c r="K30" i="28"/>
  <c r="J30" i="28"/>
  <c r="J30" i="30" s="1"/>
  <c r="I30" i="28"/>
  <c r="H30" i="28"/>
  <c r="G30" i="28"/>
  <c r="F30" i="28"/>
  <c r="F30" i="30" s="1"/>
  <c r="E30" i="28"/>
  <c r="D30" i="28"/>
  <c r="C30" i="28"/>
  <c r="N29" i="28"/>
  <c r="M29" i="28"/>
  <c r="L29" i="28"/>
  <c r="K29" i="28"/>
  <c r="J29" i="28"/>
  <c r="J29" i="30" s="1"/>
  <c r="I29" i="28"/>
  <c r="H29" i="28"/>
  <c r="G29" i="28"/>
  <c r="F29" i="28"/>
  <c r="E29" i="28"/>
  <c r="D29" i="28"/>
  <c r="C29" i="28"/>
  <c r="N28" i="28"/>
  <c r="N28" i="30" s="1"/>
  <c r="M28" i="28"/>
  <c r="L28" i="28"/>
  <c r="K28" i="28"/>
  <c r="J28" i="28"/>
  <c r="I28" i="28"/>
  <c r="H28" i="28"/>
  <c r="G28" i="28"/>
  <c r="F28" i="28"/>
  <c r="E28" i="28"/>
  <c r="D28" i="28"/>
  <c r="C28" i="28"/>
  <c r="N27" i="28"/>
  <c r="M27" i="28"/>
  <c r="L27" i="28"/>
  <c r="K27" i="28"/>
  <c r="J27" i="28"/>
  <c r="J27" i="30" s="1"/>
  <c r="I27" i="28"/>
  <c r="H27" i="28"/>
  <c r="H27" i="30" s="1"/>
  <c r="G27" i="28"/>
  <c r="F27" i="28"/>
  <c r="E27" i="28"/>
  <c r="D27" i="28"/>
  <c r="C27" i="28"/>
  <c r="N26" i="28"/>
  <c r="M26" i="28"/>
  <c r="L26" i="28"/>
  <c r="K26" i="28"/>
  <c r="J26" i="28"/>
  <c r="I26" i="28"/>
  <c r="H26" i="28"/>
  <c r="G26" i="28"/>
  <c r="F26" i="28"/>
  <c r="E26" i="28"/>
  <c r="D26" i="28"/>
  <c r="C26" i="28"/>
  <c r="C26" i="30" s="1"/>
  <c r="N25" i="28"/>
  <c r="M25" i="28"/>
  <c r="L25" i="28"/>
  <c r="K25" i="28"/>
  <c r="J25" i="28"/>
  <c r="I25" i="28"/>
  <c r="I25" i="30" s="1"/>
  <c r="H25" i="28"/>
  <c r="H25" i="30" s="1"/>
  <c r="G25" i="28"/>
  <c r="F25" i="28"/>
  <c r="E25" i="28"/>
  <c r="D25" i="28"/>
  <c r="C25" i="28"/>
  <c r="C25" i="30" s="1"/>
  <c r="N24" i="28"/>
  <c r="M24" i="28"/>
  <c r="L24" i="28"/>
  <c r="K24" i="28"/>
  <c r="J24" i="28"/>
  <c r="I24" i="28"/>
  <c r="H24" i="28"/>
  <c r="G24" i="28"/>
  <c r="F24" i="28"/>
  <c r="E24" i="28"/>
  <c r="E24" i="30" s="1"/>
  <c r="D24" i="28"/>
  <c r="C24" i="28"/>
  <c r="N23" i="28"/>
  <c r="M23" i="28"/>
  <c r="L23" i="28"/>
  <c r="K23" i="28"/>
  <c r="K23" i="30" s="1"/>
  <c r="J23" i="28"/>
  <c r="I23" i="28"/>
  <c r="H23" i="28"/>
  <c r="G23" i="28"/>
  <c r="F23" i="28"/>
  <c r="E23" i="28"/>
  <c r="D23" i="28"/>
  <c r="C23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N21" i="28"/>
  <c r="M21" i="28"/>
  <c r="L21" i="28"/>
  <c r="K21" i="28"/>
  <c r="J21" i="28"/>
  <c r="I21" i="28"/>
  <c r="H21" i="28"/>
  <c r="G21" i="28"/>
  <c r="G21" i="30" s="1"/>
  <c r="F21" i="28"/>
  <c r="E21" i="28"/>
  <c r="D21" i="28"/>
  <c r="C21" i="28"/>
  <c r="N20" i="28"/>
  <c r="M20" i="28"/>
  <c r="L20" i="28"/>
  <c r="K20" i="28"/>
  <c r="J20" i="28"/>
  <c r="I20" i="28"/>
  <c r="H20" i="28"/>
  <c r="H20" i="30" s="1"/>
  <c r="G20" i="28"/>
  <c r="F20" i="28"/>
  <c r="E20" i="28"/>
  <c r="D20" i="28"/>
  <c r="C20" i="28"/>
  <c r="N19" i="28"/>
  <c r="M19" i="28"/>
  <c r="M19" i="30" s="1"/>
  <c r="L19" i="28"/>
  <c r="K19" i="28"/>
  <c r="K19" i="30" s="1"/>
  <c r="J19" i="28"/>
  <c r="J19" i="30" s="1"/>
  <c r="I19" i="28"/>
  <c r="I19" i="30" s="1"/>
  <c r="H19" i="28"/>
  <c r="G19" i="28"/>
  <c r="F19" i="28"/>
  <c r="E19" i="28"/>
  <c r="E19" i="30" s="1"/>
  <c r="D19" i="28"/>
  <c r="C19" i="28"/>
  <c r="N18" i="28"/>
  <c r="M18" i="28"/>
  <c r="M18" i="30" s="1"/>
  <c r="L18" i="28"/>
  <c r="K18" i="28"/>
  <c r="K18" i="30" s="1"/>
  <c r="J18" i="28"/>
  <c r="I18" i="28"/>
  <c r="H18" i="28"/>
  <c r="G18" i="28"/>
  <c r="F18" i="28"/>
  <c r="E18" i="28"/>
  <c r="D18" i="28"/>
  <c r="C18" i="28"/>
  <c r="N17" i="28"/>
  <c r="M17" i="28"/>
  <c r="L17" i="28"/>
  <c r="K17" i="28"/>
  <c r="J17" i="28"/>
  <c r="I17" i="28"/>
  <c r="H17" i="28"/>
  <c r="G17" i="28"/>
  <c r="G17" i="30" s="1"/>
  <c r="F17" i="28"/>
  <c r="E17" i="28"/>
  <c r="D17" i="28"/>
  <c r="C17" i="28"/>
  <c r="C17" i="30" s="1"/>
  <c r="N16" i="28"/>
  <c r="M16" i="28"/>
  <c r="L16" i="28"/>
  <c r="K16" i="28"/>
  <c r="J16" i="28"/>
  <c r="I16" i="28"/>
  <c r="I16" i="30" s="1"/>
  <c r="H16" i="28"/>
  <c r="G16" i="28"/>
  <c r="F16" i="28"/>
  <c r="E16" i="28"/>
  <c r="E16" i="30" s="1"/>
  <c r="D16" i="28"/>
  <c r="C16" i="28"/>
  <c r="C16" i="30" s="1"/>
  <c r="N15" i="28"/>
  <c r="M15" i="28"/>
  <c r="L15" i="28"/>
  <c r="K15" i="28"/>
  <c r="J15" i="28"/>
  <c r="I15" i="28"/>
  <c r="I15" i="30" s="1"/>
  <c r="H15" i="28"/>
  <c r="G15" i="28"/>
  <c r="F15" i="28"/>
  <c r="E15" i="28"/>
  <c r="E15" i="30" s="1"/>
  <c r="D15" i="28"/>
  <c r="C15" i="28"/>
  <c r="N14" i="28"/>
  <c r="N14" i="30" s="1"/>
  <c r="M14" i="28"/>
  <c r="L14" i="28"/>
  <c r="K14" i="28"/>
  <c r="J14" i="28"/>
  <c r="I14" i="28"/>
  <c r="H14" i="28"/>
  <c r="G14" i="28"/>
  <c r="F14" i="28"/>
  <c r="E14" i="28"/>
  <c r="D14" i="28"/>
  <c r="C14" i="28"/>
  <c r="C14" i="30" s="1"/>
  <c r="N13" i="28"/>
  <c r="M13" i="28"/>
  <c r="L13" i="28"/>
  <c r="K13" i="28"/>
  <c r="J13" i="28"/>
  <c r="I13" i="28"/>
  <c r="I13" i="30" s="1"/>
  <c r="H13" i="28"/>
  <c r="G13" i="28"/>
  <c r="F13" i="28"/>
  <c r="E13" i="28"/>
  <c r="D13" i="28"/>
  <c r="C13" i="28"/>
  <c r="N12" i="28"/>
  <c r="M12" i="28"/>
  <c r="L12" i="28"/>
  <c r="K12" i="28"/>
  <c r="J12" i="28"/>
  <c r="I12" i="28"/>
  <c r="I12" i="30" s="1"/>
  <c r="H12" i="28"/>
  <c r="G12" i="28"/>
  <c r="F12" i="28"/>
  <c r="E12" i="28"/>
  <c r="E12" i="30" s="1"/>
  <c r="D12" i="28"/>
  <c r="C12" i="28"/>
  <c r="N11" i="28"/>
  <c r="M11" i="28"/>
  <c r="L11" i="28"/>
  <c r="K11" i="28"/>
  <c r="K11" i="30" s="1"/>
  <c r="J11" i="28"/>
  <c r="I11" i="28"/>
  <c r="H11" i="28"/>
  <c r="G11" i="28"/>
  <c r="G11" i="30" s="1"/>
  <c r="F11" i="28"/>
  <c r="E11" i="28"/>
  <c r="D11" i="28"/>
  <c r="C11" i="28"/>
  <c r="N10" i="28"/>
  <c r="M10" i="28"/>
  <c r="L10" i="28"/>
  <c r="K10" i="28"/>
  <c r="J10" i="28"/>
  <c r="I10" i="28"/>
  <c r="H10" i="28"/>
  <c r="G10" i="28"/>
  <c r="G10" i="30" s="1"/>
  <c r="F10" i="28"/>
  <c r="E10" i="28"/>
  <c r="D10" i="28"/>
  <c r="D10" i="30" s="1"/>
  <c r="C10" i="28"/>
  <c r="N9" i="28"/>
  <c r="M9" i="28"/>
  <c r="L9" i="28"/>
  <c r="K9" i="28"/>
  <c r="K8" i="28" s="1"/>
  <c r="J9" i="28"/>
  <c r="J9" i="30" s="1"/>
  <c r="I9" i="28"/>
  <c r="H9" i="28"/>
  <c r="G9" i="28"/>
  <c r="F9" i="28"/>
  <c r="E9" i="28"/>
  <c r="E8" i="28" s="1"/>
  <c r="D9" i="28"/>
  <c r="C9" i="28"/>
  <c r="N37" i="26"/>
  <c r="M37" i="26"/>
  <c r="L37" i="26"/>
  <c r="K37" i="26"/>
  <c r="J37" i="26"/>
  <c r="I37" i="26"/>
  <c r="H37" i="26"/>
  <c r="G37" i="26"/>
  <c r="F37" i="26"/>
  <c r="E37" i="26"/>
  <c r="D37" i="26"/>
  <c r="C37" i="26"/>
  <c r="N36" i="26"/>
  <c r="M36" i="26"/>
  <c r="L36" i="26"/>
  <c r="K36" i="26"/>
  <c r="J36" i="26"/>
  <c r="I36" i="26"/>
  <c r="H36" i="26"/>
  <c r="G36" i="26"/>
  <c r="F36" i="26"/>
  <c r="E36" i="26"/>
  <c r="D36" i="26"/>
  <c r="C36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N33" i="26"/>
  <c r="M33" i="26"/>
  <c r="L33" i="26"/>
  <c r="K33" i="26"/>
  <c r="J33" i="26"/>
  <c r="I33" i="26"/>
  <c r="H33" i="26"/>
  <c r="G33" i="26"/>
  <c r="F33" i="26"/>
  <c r="E33" i="26"/>
  <c r="D33" i="26"/>
  <c r="D33" i="27" s="1"/>
  <c r="C33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N26" i="26"/>
  <c r="M26" i="26"/>
  <c r="L26" i="26"/>
  <c r="K26" i="26"/>
  <c r="J26" i="26"/>
  <c r="I26" i="26"/>
  <c r="H26" i="26"/>
  <c r="G26" i="26"/>
  <c r="F26" i="26"/>
  <c r="E26" i="26"/>
  <c r="D26" i="26"/>
  <c r="D26" i="27" s="1"/>
  <c r="C26" i="26"/>
  <c r="N25" i="26"/>
  <c r="M25" i="26"/>
  <c r="L25" i="26"/>
  <c r="K25" i="26"/>
  <c r="J25" i="26"/>
  <c r="I25" i="26"/>
  <c r="H25" i="26"/>
  <c r="G25" i="26"/>
  <c r="F25" i="26"/>
  <c r="E25" i="26"/>
  <c r="D25" i="26"/>
  <c r="C25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N15" i="26"/>
  <c r="M15" i="26"/>
  <c r="L15" i="26"/>
  <c r="K15" i="26"/>
  <c r="J15" i="26"/>
  <c r="I15" i="26"/>
  <c r="H15" i="26"/>
  <c r="G15" i="26"/>
  <c r="F15" i="26"/>
  <c r="E15" i="26"/>
  <c r="D15" i="26"/>
  <c r="D15" i="27" s="1"/>
  <c r="C15" i="26"/>
  <c r="N14" i="26"/>
  <c r="M14" i="26"/>
  <c r="L14" i="26"/>
  <c r="K14" i="26"/>
  <c r="J14" i="26"/>
  <c r="I14" i="26"/>
  <c r="H14" i="26"/>
  <c r="G14" i="26"/>
  <c r="F14" i="26"/>
  <c r="E14" i="26"/>
  <c r="D14" i="26"/>
  <c r="D14" i="27" s="1"/>
  <c r="C14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N11" i="26"/>
  <c r="M11" i="26"/>
  <c r="L11" i="26"/>
  <c r="K11" i="26"/>
  <c r="J11" i="26"/>
  <c r="I11" i="26"/>
  <c r="H11" i="26"/>
  <c r="G11" i="26"/>
  <c r="F11" i="26"/>
  <c r="E11" i="26"/>
  <c r="D11" i="26"/>
  <c r="D11" i="27" s="1"/>
  <c r="C11" i="26"/>
  <c r="N10" i="26"/>
  <c r="M10" i="26"/>
  <c r="L10" i="26"/>
  <c r="K10" i="26"/>
  <c r="J10" i="26"/>
  <c r="I10" i="26"/>
  <c r="H10" i="26"/>
  <c r="G10" i="26"/>
  <c r="F10" i="26"/>
  <c r="E10" i="26"/>
  <c r="D10" i="26"/>
  <c r="C10" i="26"/>
  <c r="N9" i="26"/>
  <c r="M9" i="26"/>
  <c r="L9" i="26"/>
  <c r="K9" i="26"/>
  <c r="K8" i="26" s="1"/>
  <c r="J9" i="26"/>
  <c r="I9" i="26"/>
  <c r="H9" i="26"/>
  <c r="G9" i="26"/>
  <c r="F9" i="26"/>
  <c r="E9" i="26"/>
  <c r="E8" i="26" s="1"/>
  <c r="D9" i="26"/>
  <c r="C9" i="26"/>
  <c r="N37" i="25"/>
  <c r="M37" i="25"/>
  <c r="L37" i="25"/>
  <c r="L37" i="27" s="1"/>
  <c r="K37" i="25"/>
  <c r="K37" i="27" s="1"/>
  <c r="J37" i="25"/>
  <c r="I37" i="25"/>
  <c r="I37" i="27" s="1"/>
  <c r="H37" i="25"/>
  <c r="G37" i="25"/>
  <c r="F37" i="25"/>
  <c r="F37" i="27" s="1"/>
  <c r="E37" i="25"/>
  <c r="E37" i="27" s="1"/>
  <c r="D37" i="25"/>
  <c r="C37" i="25"/>
  <c r="N36" i="25"/>
  <c r="M36" i="25"/>
  <c r="L36" i="25"/>
  <c r="L36" i="27" s="1"/>
  <c r="K36" i="25"/>
  <c r="J36" i="25"/>
  <c r="I36" i="25"/>
  <c r="H36" i="25"/>
  <c r="G36" i="25"/>
  <c r="F36" i="25"/>
  <c r="E36" i="25"/>
  <c r="E36" i="27" s="1"/>
  <c r="D36" i="25"/>
  <c r="D36" i="27" s="1"/>
  <c r="C36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N34" i="25"/>
  <c r="M34" i="25"/>
  <c r="L34" i="25"/>
  <c r="L34" i="27" s="1"/>
  <c r="K34" i="25"/>
  <c r="J34" i="25"/>
  <c r="I34" i="25"/>
  <c r="I34" i="27" s="1"/>
  <c r="H34" i="25"/>
  <c r="G34" i="25"/>
  <c r="F34" i="25"/>
  <c r="F34" i="27" s="1"/>
  <c r="E34" i="25"/>
  <c r="D34" i="25"/>
  <c r="C34" i="25"/>
  <c r="N33" i="25"/>
  <c r="M33" i="25"/>
  <c r="L33" i="25"/>
  <c r="L33" i="27" s="1"/>
  <c r="K33" i="25"/>
  <c r="J33" i="25"/>
  <c r="I33" i="25"/>
  <c r="I33" i="27" s="1"/>
  <c r="H33" i="25"/>
  <c r="G33" i="25"/>
  <c r="F33" i="25"/>
  <c r="E33" i="25"/>
  <c r="D33" i="25"/>
  <c r="B33" i="25" s="1"/>
  <c r="C33" i="25"/>
  <c r="N32" i="25"/>
  <c r="M32" i="25"/>
  <c r="L32" i="25"/>
  <c r="K32" i="25"/>
  <c r="J32" i="25"/>
  <c r="I32" i="25"/>
  <c r="H32" i="25"/>
  <c r="G32" i="25"/>
  <c r="F32" i="25"/>
  <c r="F32" i="27" s="1"/>
  <c r="E32" i="25"/>
  <c r="D32" i="25"/>
  <c r="B32" i="25" s="1"/>
  <c r="C32" i="25"/>
  <c r="N31" i="25"/>
  <c r="M31" i="25"/>
  <c r="L31" i="25"/>
  <c r="L31" i="27" s="1"/>
  <c r="K31" i="25"/>
  <c r="J31" i="25"/>
  <c r="I31" i="25"/>
  <c r="H31" i="25"/>
  <c r="G31" i="25"/>
  <c r="F31" i="25"/>
  <c r="E31" i="25"/>
  <c r="E31" i="27" s="1"/>
  <c r="D31" i="25"/>
  <c r="C31" i="25"/>
  <c r="N30" i="25"/>
  <c r="N30" i="27" s="1"/>
  <c r="M30" i="25"/>
  <c r="L30" i="25"/>
  <c r="K30" i="25"/>
  <c r="J30" i="25"/>
  <c r="I30" i="25"/>
  <c r="H30" i="25"/>
  <c r="G30" i="25"/>
  <c r="F30" i="25"/>
  <c r="F30" i="27" s="1"/>
  <c r="E30" i="25"/>
  <c r="D30" i="25"/>
  <c r="C30" i="25"/>
  <c r="N29" i="25"/>
  <c r="M29" i="25"/>
  <c r="L29" i="25"/>
  <c r="K29" i="25"/>
  <c r="J29" i="25"/>
  <c r="I29" i="25"/>
  <c r="H29" i="25"/>
  <c r="H29" i="27" s="1"/>
  <c r="G29" i="25"/>
  <c r="F29" i="25"/>
  <c r="F29" i="27" s="1"/>
  <c r="E29" i="25"/>
  <c r="D29" i="25"/>
  <c r="C29" i="25"/>
  <c r="N28" i="25"/>
  <c r="M28" i="25"/>
  <c r="L28" i="25"/>
  <c r="K28" i="25"/>
  <c r="K28" i="27" s="1"/>
  <c r="J28" i="25"/>
  <c r="I28" i="25"/>
  <c r="I28" i="27" s="1"/>
  <c r="H28" i="25"/>
  <c r="G28" i="25"/>
  <c r="F28" i="25"/>
  <c r="E28" i="25"/>
  <c r="D28" i="25"/>
  <c r="C28" i="25"/>
  <c r="C28" i="27" s="1"/>
  <c r="N27" i="25"/>
  <c r="M27" i="25"/>
  <c r="L27" i="25"/>
  <c r="L27" i="27" s="1"/>
  <c r="K27" i="25"/>
  <c r="J27" i="25"/>
  <c r="I27" i="25"/>
  <c r="I27" i="27" s="1"/>
  <c r="H27" i="25"/>
  <c r="G27" i="25"/>
  <c r="F27" i="25"/>
  <c r="F27" i="27" s="1"/>
  <c r="E27" i="25"/>
  <c r="D27" i="25"/>
  <c r="C27" i="25"/>
  <c r="N26" i="25"/>
  <c r="M26" i="25"/>
  <c r="L26" i="25"/>
  <c r="K26" i="25"/>
  <c r="J26" i="25"/>
  <c r="I26" i="25"/>
  <c r="H26" i="25"/>
  <c r="G26" i="25"/>
  <c r="F26" i="25"/>
  <c r="F26" i="27" s="1"/>
  <c r="E26" i="25"/>
  <c r="D26" i="25"/>
  <c r="B26" i="25" s="1"/>
  <c r="C26" i="25"/>
  <c r="N25" i="25"/>
  <c r="M25" i="25"/>
  <c r="L25" i="25"/>
  <c r="L25" i="27" s="1"/>
  <c r="K25" i="25"/>
  <c r="J25" i="25"/>
  <c r="I25" i="25"/>
  <c r="H25" i="25"/>
  <c r="G25" i="25"/>
  <c r="F25" i="25"/>
  <c r="F25" i="27" s="1"/>
  <c r="E25" i="25"/>
  <c r="D25" i="25"/>
  <c r="C25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N23" i="25"/>
  <c r="M23" i="25"/>
  <c r="L23" i="25"/>
  <c r="L23" i="27" s="1"/>
  <c r="K23" i="25"/>
  <c r="J23" i="25"/>
  <c r="I23" i="25"/>
  <c r="I23" i="27" s="1"/>
  <c r="H23" i="25"/>
  <c r="G23" i="25"/>
  <c r="F23" i="25"/>
  <c r="E23" i="25"/>
  <c r="D23" i="25"/>
  <c r="C23" i="25"/>
  <c r="N22" i="25"/>
  <c r="M22" i="25"/>
  <c r="L22" i="25"/>
  <c r="L22" i="27" s="1"/>
  <c r="K22" i="25"/>
  <c r="J22" i="25"/>
  <c r="I22" i="25"/>
  <c r="H22" i="25"/>
  <c r="G22" i="25"/>
  <c r="F22" i="25"/>
  <c r="F22" i="27" s="1"/>
  <c r="E22" i="25"/>
  <c r="D22" i="25"/>
  <c r="C22" i="25"/>
  <c r="C22" i="27" s="1"/>
  <c r="N21" i="25"/>
  <c r="M21" i="25"/>
  <c r="L21" i="25"/>
  <c r="K21" i="25"/>
  <c r="J21" i="25"/>
  <c r="I21" i="25"/>
  <c r="I21" i="27" s="1"/>
  <c r="H21" i="25"/>
  <c r="G21" i="25"/>
  <c r="F21" i="25"/>
  <c r="E21" i="25"/>
  <c r="D21" i="25"/>
  <c r="C21" i="25"/>
  <c r="N20" i="25"/>
  <c r="M20" i="25"/>
  <c r="L20" i="25"/>
  <c r="K20" i="25"/>
  <c r="J20" i="25"/>
  <c r="I20" i="25"/>
  <c r="I20" i="27" s="1"/>
  <c r="H20" i="25"/>
  <c r="G20" i="25"/>
  <c r="F20" i="25"/>
  <c r="E20" i="25"/>
  <c r="D20" i="25"/>
  <c r="C20" i="25"/>
  <c r="C20" i="27" s="1"/>
  <c r="N19" i="25"/>
  <c r="M19" i="25"/>
  <c r="L19" i="25"/>
  <c r="K19" i="25"/>
  <c r="K19" i="27" s="1"/>
  <c r="J19" i="25"/>
  <c r="I19" i="25"/>
  <c r="H19" i="25"/>
  <c r="G19" i="25"/>
  <c r="F19" i="25"/>
  <c r="E19" i="25"/>
  <c r="D19" i="25"/>
  <c r="C19" i="25"/>
  <c r="N18" i="25"/>
  <c r="M18" i="25"/>
  <c r="L18" i="25"/>
  <c r="L18" i="27" s="1"/>
  <c r="K18" i="25"/>
  <c r="J18" i="25"/>
  <c r="I18" i="25"/>
  <c r="H18" i="25"/>
  <c r="G18" i="25"/>
  <c r="F18" i="25"/>
  <c r="F18" i="27" s="1"/>
  <c r="E18" i="25"/>
  <c r="D18" i="25"/>
  <c r="C18" i="25"/>
  <c r="N17" i="25"/>
  <c r="M17" i="25"/>
  <c r="L17" i="25"/>
  <c r="K17" i="25"/>
  <c r="J17" i="25"/>
  <c r="I17" i="25"/>
  <c r="H17" i="25"/>
  <c r="G17" i="25"/>
  <c r="F17" i="25"/>
  <c r="F17" i="27" s="1"/>
  <c r="E17" i="25"/>
  <c r="E17" i="27" s="1"/>
  <c r="D17" i="25"/>
  <c r="B17" i="25" s="1"/>
  <c r="C17" i="25"/>
  <c r="N16" i="25"/>
  <c r="M16" i="25"/>
  <c r="L16" i="25"/>
  <c r="L16" i="27" s="1"/>
  <c r="K16" i="25"/>
  <c r="J16" i="25"/>
  <c r="I16" i="25"/>
  <c r="H16" i="25"/>
  <c r="G16" i="25"/>
  <c r="F16" i="25"/>
  <c r="F16" i="27" s="1"/>
  <c r="E16" i="25"/>
  <c r="D16" i="25"/>
  <c r="C16" i="25"/>
  <c r="N15" i="25"/>
  <c r="M15" i="25"/>
  <c r="L15" i="25"/>
  <c r="K15" i="25"/>
  <c r="J15" i="25"/>
  <c r="I15" i="25"/>
  <c r="H15" i="25"/>
  <c r="H15" i="27" s="1"/>
  <c r="G15" i="25"/>
  <c r="F15" i="25"/>
  <c r="F15" i="27" s="1"/>
  <c r="E15" i="25"/>
  <c r="D15" i="25"/>
  <c r="C15" i="25"/>
  <c r="C15" i="27" s="1"/>
  <c r="N14" i="25"/>
  <c r="N14" i="27" s="1"/>
  <c r="M14" i="25"/>
  <c r="L14" i="25"/>
  <c r="K14" i="25"/>
  <c r="J14" i="25"/>
  <c r="I14" i="25"/>
  <c r="H14" i="25"/>
  <c r="G14" i="25"/>
  <c r="F14" i="25"/>
  <c r="E14" i="25"/>
  <c r="D14" i="25"/>
  <c r="C14" i="25"/>
  <c r="N13" i="25"/>
  <c r="M13" i="25"/>
  <c r="L13" i="25"/>
  <c r="K13" i="25"/>
  <c r="J13" i="25"/>
  <c r="J13" i="27" s="1"/>
  <c r="I13" i="25"/>
  <c r="H13" i="25"/>
  <c r="G13" i="25"/>
  <c r="F13" i="25"/>
  <c r="E13" i="25"/>
  <c r="D13" i="25"/>
  <c r="C13" i="25"/>
  <c r="N12" i="25"/>
  <c r="N12" i="27" s="1"/>
  <c r="M12" i="25"/>
  <c r="L12" i="25"/>
  <c r="L12" i="27" s="1"/>
  <c r="K12" i="25"/>
  <c r="J12" i="25"/>
  <c r="I12" i="25"/>
  <c r="H12" i="25"/>
  <c r="G12" i="25"/>
  <c r="F12" i="25"/>
  <c r="F12" i="27" s="1"/>
  <c r="E12" i="25"/>
  <c r="D12" i="25"/>
  <c r="C12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N10" i="25"/>
  <c r="M10" i="25"/>
  <c r="L10" i="25"/>
  <c r="K10" i="25"/>
  <c r="J10" i="25"/>
  <c r="I10" i="25"/>
  <c r="H10" i="25"/>
  <c r="H10" i="27" s="1"/>
  <c r="G10" i="25"/>
  <c r="F10" i="25"/>
  <c r="F10" i="27" s="1"/>
  <c r="E10" i="25"/>
  <c r="D10" i="25"/>
  <c r="C10" i="25"/>
  <c r="N9" i="25"/>
  <c r="M9" i="25"/>
  <c r="L9" i="25"/>
  <c r="K9" i="25"/>
  <c r="K8" i="25" s="1"/>
  <c r="J9" i="25"/>
  <c r="J8" i="25" s="1"/>
  <c r="I9" i="25"/>
  <c r="H9" i="25"/>
  <c r="G9" i="25"/>
  <c r="F9" i="25"/>
  <c r="E9" i="25"/>
  <c r="D9" i="25"/>
  <c r="D9" i="27" s="1"/>
  <c r="C9" i="25"/>
  <c r="C9" i="27" s="1"/>
  <c r="N37" i="23"/>
  <c r="M37" i="23"/>
  <c r="L37" i="23"/>
  <c r="K37" i="23"/>
  <c r="J37" i="23"/>
  <c r="I37" i="23"/>
  <c r="H37" i="23"/>
  <c r="G37" i="23"/>
  <c r="F37" i="23"/>
  <c r="E37" i="23"/>
  <c r="D37" i="23"/>
  <c r="C37" i="23"/>
  <c r="N36" i="23"/>
  <c r="M36" i="23"/>
  <c r="L36" i="23"/>
  <c r="K36" i="23"/>
  <c r="J36" i="23"/>
  <c r="I36" i="23"/>
  <c r="H36" i="23"/>
  <c r="G36" i="23"/>
  <c r="F36" i="23"/>
  <c r="E36" i="23"/>
  <c r="D36" i="23"/>
  <c r="C36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N29" i="23"/>
  <c r="M29" i="23"/>
  <c r="L29" i="23"/>
  <c r="K29" i="23"/>
  <c r="J29" i="23"/>
  <c r="J29" i="24" s="1"/>
  <c r="I29" i="23"/>
  <c r="H29" i="23"/>
  <c r="G29" i="23"/>
  <c r="F29" i="23"/>
  <c r="E29" i="23"/>
  <c r="D29" i="23"/>
  <c r="C29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N27" i="23"/>
  <c r="M27" i="23"/>
  <c r="L27" i="23"/>
  <c r="K27" i="23"/>
  <c r="J27" i="23"/>
  <c r="I27" i="23"/>
  <c r="H27" i="23"/>
  <c r="G27" i="23"/>
  <c r="F27" i="23"/>
  <c r="E27" i="23"/>
  <c r="D27" i="23"/>
  <c r="D27" i="24" s="1"/>
  <c r="C27" i="23"/>
  <c r="N26" i="23"/>
  <c r="M26" i="23"/>
  <c r="L26" i="23"/>
  <c r="K26" i="23"/>
  <c r="J26" i="23"/>
  <c r="I26" i="23"/>
  <c r="H26" i="23"/>
  <c r="G26" i="23"/>
  <c r="F26" i="23"/>
  <c r="E26" i="23"/>
  <c r="D26" i="23"/>
  <c r="C26" i="23"/>
  <c r="N25" i="23"/>
  <c r="M25" i="23"/>
  <c r="L25" i="23"/>
  <c r="K25" i="23"/>
  <c r="J25" i="23"/>
  <c r="J25" i="24" s="1"/>
  <c r="I25" i="23"/>
  <c r="H25" i="23"/>
  <c r="G25" i="23"/>
  <c r="F25" i="23"/>
  <c r="E25" i="23"/>
  <c r="D25" i="23"/>
  <c r="C25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N23" i="23"/>
  <c r="M23" i="23"/>
  <c r="L23" i="23"/>
  <c r="K23" i="23"/>
  <c r="J23" i="23"/>
  <c r="I23" i="23"/>
  <c r="H23" i="23"/>
  <c r="G23" i="23"/>
  <c r="F23" i="23"/>
  <c r="E23" i="23"/>
  <c r="D23" i="23"/>
  <c r="D23" i="24" s="1"/>
  <c r="C23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N19" i="23"/>
  <c r="M19" i="23"/>
  <c r="L19" i="23"/>
  <c r="K19" i="23"/>
  <c r="J19" i="23"/>
  <c r="I19" i="23"/>
  <c r="H19" i="23"/>
  <c r="G19" i="23"/>
  <c r="F19" i="23"/>
  <c r="E19" i="23"/>
  <c r="D19" i="23"/>
  <c r="B19" i="23" s="1"/>
  <c r="C19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N14" i="23"/>
  <c r="M14" i="23"/>
  <c r="L14" i="23"/>
  <c r="K14" i="23"/>
  <c r="J14" i="23"/>
  <c r="I14" i="23"/>
  <c r="H14" i="23"/>
  <c r="G14" i="23"/>
  <c r="F14" i="23"/>
  <c r="E14" i="23"/>
  <c r="D14" i="23"/>
  <c r="D14" i="24" s="1"/>
  <c r="C14" i="23"/>
  <c r="N13" i="23"/>
  <c r="M13" i="23"/>
  <c r="L13" i="23"/>
  <c r="K13" i="23"/>
  <c r="J13" i="23"/>
  <c r="I13" i="23"/>
  <c r="H13" i="23"/>
  <c r="G13" i="23"/>
  <c r="F13" i="23"/>
  <c r="E13" i="23"/>
  <c r="D13" i="23"/>
  <c r="B13" i="23" s="1"/>
  <c r="C13" i="23"/>
  <c r="N12" i="23"/>
  <c r="M12" i="23"/>
  <c r="L12" i="23"/>
  <c r="K12" i="23"/>
  <c r="J12" i="23"/>
  <c r="I12" i="23"/>
  <c r="H12" i="23"/>
  <c r="G12" i="23"/>
  <c r="F12" i="23"/>
  <c r="E12" i="23"/>
  <c r="D12" i="23"/>
  <c r="D12" i="24" s="1"/>
  <c r="C12" i="23"/>
  <c r="N11" i="23"/>
  <c r="M11" i="23"/>
  <c r="L11" i="23"/>
  <c r="K11" i="23"/>
  <c r="J11" i="23"/>
  <c r="I11" i="23"/>
  <c r="H11" i="23"/>
  <c r="G11" i="23"/>
  <c r="F11" i="23"/>
  <c r="E11" i="23"/>
  <c r="D11" i="23"/>
  <c r="D11" i="24" s="1"/>
  <c r="C11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N9" i="23"/>
  <c r="M9" i="23"/>
  <c r="L9" i="23"/>
  <c r="K9" i="23"/>
  <c r="K8" i="23" s="1"/>
  <c r="J9" i="23"/>
  <c r="J8" i="23" s="1"/>
  <c r="I9" i="23"/>
  <c r="H9" i="23"/>
  <c r="G9" i="23"/>
  <c r="F9" i="23"/>
  <c r="F8" i="23" s="1"/>
  <c r="E9" i="23"/>
  <c r="D9" i="23"/>
  <c r="D8" i="23" s="1"/>
  <c r="C9" i="23"/>
  <c r="N37" i="22"/>
  <c r="M37" i="22"/>
  <c r="L37" i="22"/>
  <c r="K37" i="22"/>
  <c r="J37" i="22"/>
  <c r="I37" i="22"/>
  <c r="H37" i="22"/>
  <c r="H37" i="24" s="1"/>
  <c r="G37" i="22"/>
  <c r="F37" i="22"/>
  <c r="E37" i="22"/>
  <c r="D37" i="22"/>
  <c r="C37" i="22"/>
  <c r="N36" i="22"/>
  <c r="N36" i="24" s="1"/>
  <c r="M36" i="22"/>
  <c r="L36" i="22"/>
  <c r="K36" i="22"/>
  <c r="K36" i="24" s="1"/>
  <c r="J36" i="22"/>
  <c r="I36" i="22"/>
  <c r="H36" i="22"/>
  <c r="G36" i="22"/>
  <c r="F36" i="22"/>
  <c r="E36" i="22"/>
  <c r="D36" i="22"/>
  <c r="C36" i="22"/>
  <c r="N35" i="22"/>
  <c r="M35" i="22"/>
  <c r="L35" i="22"/>
  <c r="L35" i="24" s="1"/>
  <c r="K35" i="22"/>
  <c r="J35" i="22"/>
  <c r="I35" i="22"/>
  <c r="H35" i="22"/>
  <c r="G35" i="22"/>
  <c r="F35" i="22"/>
  <c r="F35" i="24" s="1"/>
  <c r="E35" i="22"/>
  <c r="D35" i="22"/>
  <c r="D35" i="24" s="1"/>
  <c r="C35" i="22"/>
  <c r="N34" i="22"/>
  <c r="M34" i="22"/>
  <c r="L34" i="22"/>
  <c r="L34" i="24" s="1"/>
  <c r="K34" i="22"/>
  <c r="J34" i="22"/>
  <c r="I34" i="22"/>
  <c r="H34" i="22"/>
  <c r="H34" i="24" s="1"/>
  <c r="G34" i="22"/>
  <c r="F34" i="22"/>
  <c r="E34" i="22"/>
  <c r="D34" i="22"/>
  <c r="D34" i="24" s="1"/>
  <c r="C34" i="22"/>
  <c r="N33" i="22"/>
  <c r="N33" i="24" s="1"/>
  <c r="M33" i="22"/>
  <c r="L33" i="22"/>
  <c r="K33" i="22"/>
  <c r="J33" i="22"/>
  <c r="J33" i="24" s="1"/>
  <c r="I33" i="22"/>
  <c r="H33" i="22"/>
  <c r="G33" i="22"/>
  <c r="F33" i="22"/>
  <c r="E33" i="22"/>
  <c r="E33" i="24" s="1"/>
  <c r="D33" i="22"/>
  <c r="C33" i="22"/>
  <c r="N32" i="22"/>
  <c r="M32" i="22"/>
  <c r="L32" i="22"/>
  <c r="L32" i="24" s="1"/>
  <c r="K32" i="22"/>
  <c r="J32" i="22"/>
  <c r="J32" i="24" s="1"/>
  <c r="I32" i="22"/>
  <c r="H32" i="22"/>
  <c r="G32" i="22"/>
  <c r="F32" i="22"/>
  <c r="F32" i="24" s="1"/>
  <c r="E32" i="22"/>
  <c r="D32" i="22"/>
  <c r="D32" i="24" s="1"/>
  <c r="C32" i="22"/>
  <c r="N31" i="22"/>
  <c r="M31" i="22"/>
  <c r="L31" i="22"/>
  <c r="K31" i="22"/>
  <c r="K31" i="24" s="1"/>
  <c r="J31" i="22"/>
  <c r="J31" i="24" s="1"/>
  <c r="I31" i="22"/>
  <c r="H31" i="22"/>
  <c r="G31" i="22"/>
  <c r="F31" i="22"/>
  <c r="E31" i="22"/>
  <c r="D31" i="22"/>
  <c r="D31" i="24" s="1"/>
  <c r="C31" i="22"/>
  <c r="N30" i="22"/>
  <c r="M30" i="22"/>
  <c r="L30" i="22"/>
  <c r="L30" i="24" s="1"/>
  <c r="K30" i="22"/>
  <c r="K30" i="24" s="1"/>
  <c r="J30" i="22"/>
  <c r="J30" i="24" s="1"/>
  <c r="I30" i="22"/>
  <c r="H30" i="22"/>
  <c r="G30" i="22"/>
  <c r="F30" i="22"/>
  <c r="E30" i="22"/>
  <c r="D30" i="22"/>
  <c r="D30" i="24" s="1"/>
  <c r="C30" i="22"/>
  <c r="N29" i="22"/>
  <c r="M29" i="22"/>
  <c r="L29" i="22"/>
  <c r="K29" i="22"/>
  <c r="J29" i="22"/>
  <c r="I29" i="22"/>
  <c r="H29" i="22"/>
  <c r="G29" i="22"/>
  <c r="F29" i="22"/>
  <c r="E29" i="22"/>
  <c r="D29" i="22"/>
  <c r="D29" i="24" s="1"/>
  <c r="C29" i="22"/>
  <c r="N28" i="22"/>
  <c r="N28" i="24" s="1"/>
  <c r="M28" i="22"/>
  <c r="L28" i="22"/>
  <c r="K28" i="22"/>
  <c r="J28" i="22"/>
  <c r="I28" i="22"/>
  <c r="H28" i="22"/>
  <c r="G28" i="22"/>
  <c r="F28" i="22"/>
  <c r="F28" i="24" s="1"/>
  <c r="E28" i="22"/>
  <c r="D28" i="22"/>
  <c r="C28" i="22"/>
  <c r="N27" i="22"/>
  <c r="M27" i="22"/>
  <c r="L27" i="22"/>
  <c r="K27" i="22"/>
  <c r="K27" i="24" s="1"/>
  <c r="J27" i="22"/>
  <c r="J27" i="24" s="1"/>
  <c r="I27" i="22"/>
  <c r="H27" i="22"/>
  <c r="G27" i="22"/>
  <c r="F27" i="22"/>
  <c r="E27" i="22"/>
  <c r="E27" i="24" s="1"/>
  <c r="D27" i="22"/>
  <c r="C27" i="22"/>
  <c r="N26" i="22"/>
  <c r="M26" i="22"/>
  <c r="L26" i="22"/>
  <c r="L26" i="24" s="1"/>
  <c r="K26" i="22"/>
  <c r="J26" i="22"/>
  <c r="I26" i="22"/>
  <c r="H26" i="22"/>
  <c r="H26" i="24" s="1"/>
  <c r="G26" i="22"/>
  <c r="F26" i="22"/>
  <c r="E26" i="22"/>
  <c r="D26" i="22"/>
  <c r="C26" i="22"/>
  <c r="N25" i="22"/>
  <c r="N25" i="24" s="1"/>
  <c r="M25" i="22"/>
  <c r="L25" i="22"/>
  <c r="K25" i="22"/>
  <c r="K25" i="24" s="1"/>
  <c r="J25" i="22"/>
  <c r="I25" i="22"/>
  <c r="H25" i="22"/>
  <c r="G25" i="22"/>
  <c r="F25" i="22"/>
  <c r="E25" i="22"/>
  <c r="E25" i="24" s="1"/>
  <c r="D25" i="22"/>
  <c r="C25" i="22"/>
  <c r="N24" i="22"/>
  <c r="M24" i="22"/>
  <c r="L24" i="22"/>
  <c r="K24" i="22"/>
  <c r="J24" i="22"/>
  <c r="I24" i="22"/>
  <c r="H24" i="22"/>
  <c r="G24" i="22"/>
  <c r="F24" i="22"/>
  <c r="E24" i="22"/>
  <c r="D24" i="22"/>
  <c r="D24" i="24" s="1"/>
  <c r="C24" i="22"/>
  <c r="N23" i="22"/>
  <c r="M23" i="22"/>
  <c r="L23" i="22"/>
  <c r="L23" i="24" s="1"/>
  <c r="K23" i="22"/>
  <c r="J23" i="22"/>
  <c r="J23" i="24" s="1"/>
  <c r="I23" i="22"/>
  <c r="H23" i="22"/>
  <c r="G23" i="22"/>
  <c r="F23" i="22"/>
  <c r="E23" i="22"/>
  <c r="E23" i="24" s="1"/>
  <c r="D23" i="22"/>
  <c r="C23" i="22"/>
  <c r="N22" i="22"/>
  <c r="M22" i="22"/>
  <c r="L22" i="22"/>
  <c r="L22" i="24" s="1"/>
  <c r="K22" i="22"/>
  <c r="J22" i="22"/>
  <c r="I22" i="22"/>
  <c r="H22" i="22"/>
  <c r="G22" i="22"/>
  <c r="F22" i="22"/>
  <c r="F22" i="24" s="1"/>
  <c r="E22" i="22"/>
  <c r="D22" i="22"/>
  <c r="D22" i="24" s="1"/>
  <c r="C22" i="22"/>
  <c r="N21" i="22"/>
  <c r="M21" i="22"/>
  <c r="L21" i="22"/>
  <c r="L21" i="24" s="1"/>
  <c r="K21" i="22"/>
  <c r="J21" i="22"/>
  <c r="J21" i="24" s="1"/>
  <c r="I21" i="22"/>
  <c r="H21" i="22"/>
  <c r="G21" i="22"/>
  <c r="F21" i="22"/>
  <c r="E21" i="22"/>
  <c r="E21" i="24" s="1"/>
  <c r="D21" i="22"/>
  <c r="D21" i="24" s="1"/>
  <c r="C21" i="22"/>
  <c r="N20" i="22"/>
  <c r="M20" i="22"/>
  <c r="L20" i="22"/>
  <c r="K20" i="22"/>
  <c r="K20" i="24" s="1"/>
  <c r="J20" i="22"/>
  <c r="I20" i="22"/>
  <c r="H20" i="22"/>
  <c r="G20" i="22"/>
  <c r="F20" i="22"/>
  <c r="E20" i="22"/>
  <c r="D20" i="22"/>
  <c r="D20" i="24" s="1"/>
  <c r="C20" i="22"/>
  <c r="N19" i="22"/>
  <c r="M19" i="22"/>
  <c r="L19" i="22"/>
  <c r="K19" i="22"/>
  <c r="J19" i="22"/>
  <c r="J19" i="24" s="1"/>
  <c r="I19" i="22"/>
  <c r="H19" i="22"/>
  <c r="H19" i="24" s="1"/>
  <c r="G19" i="22"/>
  <c r="F19" i="22"/>
  <c r="E19" i="22"/>
  <c r="D19" i="22"/>
  <c r="C19" i="22"/>
  <c r="N18" i="22"/>
  <c r="M18" i="22"/>
  <c r="L18" i="22"/>
  <c r="K18" i="22"/>
  <c r="K18" i="24" s="1"/>
  <c r="J18" i="22"/>
  <c r="I18" i="22"/>
  <c r="H18" i="22"/>
  <c r="G18" i="22"/>
  <c r="F18" i="22"/>
  <c r="E18" i="22"/>
  <c r="E18" i="24" s="1"/>
  <c r="D18" i="22"/>
  <c r="C18" i="22"/>
  <c r="N17" i="22"/>
  <c r="N17" i="24" s="1"/>
  <c r="M17" i="22"/>
  <c r="L17" i="22"/>
  <c r="L17" i="24" s="1"/>
  <c r="K17" i="22"/>
  <c r="J17" i="22"/>
  <c r="J17" i="24" s="1"/>
  <c r="I17" i="22"/>
  <c r="H17" i="22"/>
  <c r="G17" i="22"/>
  <c r="F17" i="22"/>
  <c r="F17" i="24" s="1"/>
  <c r="E17" i="22"/>
  <c r="E17" i="24" s="1"/>
  <c r="D17" i="22"/>
  <c r="D17" i="24" s="1"/>
  <c r="C17" i="22"/>
  <c r="N16" i="22"/>
  <c r="N16" i="24" s="1"/>
  <c r="M16" i="22"/>
  <c r="L16" i="22"/>
  <c r="L16" i="24" s="1"/>
  <c r="K16" i="22"/>
  <c r="K16" i="24" s="1"/>
  <c r="J16" i="22"/>
  <c r="I16" i="22"/>
  <c r="H16" i="22"/>
  <c r="H16" i="24" s="1"/>
  <c r="G16" i="22"/>
  <c r="F16" i="22"/>
  <c r="E16" i="22"/>
  <c r="E16" i="24" s="1"/>
  <c r="D16" i="22"/>
  <c r="D16" i="24" s="1"/>
  <c r="C16" i="22"/>
  <c r="N15" i="22"/>
  <c r="M15" i="22"/>
  <c r="L15" i="22"/>
  <c r="L15" i="24" s="1"/>
  <c r="K15" i="22"/>
  <c r="K15" i="24" s="1"/>
  <c r="J15" i="22"/>
  <c r="I15" i="22"/>
  <c r="H15" i="22"/>
  <c r="G15" i="22"/>
  <c r="F15" i="22"/>
  <c r="E15" i="22"/>
  <c r="E15" i="24" s="1"/>
  <c r="D15" i="22"/>
  <c r="D15" i="24" s="1"/>
  <c r="C15" i="22"/>
  <c r="N14" i="22"/>
  <c r="M14" i="22"/>
  <c r="L14" i="22"/>
  <c r="K14" i="22"/>
  <c r="K14" i="24" s="1"/>
  <c r="J14" i="22"/>
  <c r="I14" i="22"/>
  <c r="H14" i="22"/>
  <c r="G14" i="22"/>
  <c r="F14" i="22"/>
  <c r="F14" i="24" s="1"/>
  <c r="E14" i="22"/>
  <c r="D14" i="22"/>
  <c r="C14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N12" i="22"/>
  <c r="M12" i="22"/>
  <c r="L12" i="22"/>
  <c r="K12" i="22"/>
  <c r="J12" i="22"/>
  <c r="J12" i="24" s="1"/>
  <c r="I12" i="22"/>
  <c r="H12" i="22"/>
  <c r="H12" i="24" s="1"/>
  <c r="G12" i="22"/>
  <c r="F12" i="22"/>
  <c r="E12" i="22"/>
  <c r="E12" i="24" s="1"/>
  <c r="D12" i="22"/>
  <c r="B12" i="22" s="1"/>
  <c r="C12" i="22"/>
  <c r="N11" i="22"/>
  <c r="N11" i="24" s="1"/>
  <c r="M11" i="22"/>
  <c r="L11" i="22"/>
  <c r="K11" i="22"/>
  <c r="J11" i="22"/>
  <c r="I11" i="22"/>
  <c r="H11" i="22"/>
  <c r="G11" i="22"/>
  <c r="F11" i="22"/>
  <c r="E11" i="22"/>
  <c r="D11" i="22"/>
  <c r="C11" i="22"/>
  <c r="N10" i="22"/>
  <c r="M10" i="22"/>
  <c r="L10" i="22"/>
  <c r="K10" i="22"/>
  <c r="J10" i="22"/>
  <c r="J10" i="24" s="1"/>
  <c r="I10" i="22"/>
  <c r="H10" i="22"/>
  <c r="G10" i="22"/>
  <c r="F10" i="22"/>
  <c r="E10" i="22"/>
  <c r="D10" i="22"/>
  <c r="C10" i="22"/>
  <c r="N9" i="22"/>
  <c r="M9" i="22"/>
  <c r="L9" i="22"/>
  <c r="K9" i="22"/>
  <c r="K9" i="24" s="1"/>
  <c r="J9" i="22"/>
  <c r="J9" i="24" s="1"/>
  <c r="I9" i="22"/>
  <c r="H9" i="22"/>
  <c r="G9" i="22"/>
  <c r="G9" i="24" s="1"/>
  <c r="F9" i="22"/>
  <c r="E9" i="22"/>
  <c r="E8" i="22" s="1"/>
  <c r="D9" i="22"/>
  <c r="D9" i="24" s="1"/>
  <c r="C9" i="22"/>
  <c r="N37" i="20"/>
  <c r="M37" i="20"/>
  <c r="L37" i="20"/>
  <c r="K37" i="20"/>
  <c r="J37" i="20"/>
  <c r="I37" i="20"/>
  <c r="H37" i="20"/>
  <c r="G37" i="20"/>
  <c r="F37" i="20"/>
  <c r="E37" i="20"/>
  <c r="D37" i="20"/>
  <c r="C37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N24" i="20"/>
  <c r="M24" i="20"/>
  <c r="L24" i="20"/>
  <c r="K24" i="20"/>
  <c r="J24" i="20"/>
  <c r="I24" i="20"/>
  <c r="H24" i="20"/>
  <c r="G24" i="20"/>
  <c r="F24" i="20"/>
  <c r="F24" i="21" s="1"/>
  <c r="E24" i="20"/>
  <c r="D24" i="20"/>
  <c r="C24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N9" i="20"/>
  <c r="M9" i="20"/>
  <c r="L9" i="20"/>
  <c r="K9" i="20"/>
  <c r="K8" i="20" s="1"/>
  <c r="J9" i="20"/>
  <c r="I9" i="20"/>
  <c r="H9" i="20"/>
  <c r="G9" i="20"/>
  <c r="F9" i="20"/>
  <c r="F8" i="20" s="1"/>
  <c r="E9" i="20"/>
  <c r="D9" i="20"/>
  <c r="C9" i="20"/>
  <c r="N37" i="19"/>
  <c r="M37" i="19"/>
  <c r="L37" i="19"/>
  <c r="K37" i="19"/>
  <c r="K37" i="21" s="1"/>
  <c r="J37" i="19"/>
  <c r="J37" i="21" s="1"/>
  <c r="I37" i="19"/>
  <c r="H37" i="19"/>
  <c r="H37" i="21" s="1"/>
  <c r="G37" i="19"/>
  <c r="F37" i="19"/>
  <c r="E37" i="19"/>
  <c r="E37" i="21" s="1"/>
  <c r="D37" i="19"/>
  <c r="D37" i="21" s="1"/>
  <c r="C37" i="19"/>
  <c r="N36" i="19"/>
  <c r="N36" i="21" s="1"/>
  <c r="M36" i="19"/>
  <c r="L36" i="19"/>
  <c r="K36" i="19"/>
  <c r="K36" i="21" s="1"/>
  <c r="J36" i="19"/>
  <c r="J36" i="21" s="1"/>
  <c r="I36" i="19"/>
  <c r="H36" i="19"/>
  <c r="G36" i="19"/>
  <c r="F36" i="19"/>
  <c r="E36" i="19"/>
  <c r="D36" i="19"/>
  <c r="C36" i="19"/>
  <c r="N35" i="19"/>
  <c r="M35" i="19"/>
  <c r="L35" i="19"/>
  <c r="K35" i="19"/>
  <c r="J35" i="19"/>
  <c r="I35" i="19"/>
  <c r="H35" i="19"/>
  <c r="H35" i="21" s="1"/>
  <c r="G35" i="19"/>
  <c r="F35" i="19"/>
  <c r="E35" i="19"/>
  <c r="D35" i="19"/>
  <c r="C35" i="19"/>
  <c r="N34" i="19"/>
  <c r="M34" i="19"/>
  <c r="L34" i="19"/>
  <c r="K34" i="19"/>
  <c r="J34" i="19"/>
  <c r="J34" i="21" s="1"/>
  <c r="I34" i="19"/>
  <c r="H34" i="19"/>
  <c r="G34" i="19"/>
  <c r="F34" i="19"/>
  <c r="E34" i="19"/>
  <c r="D34" i="19"/>
  <c r="C34" i="19"/>
  <c r="N33" i="19"/>
  <c r="M33" i="19"/>
  <c r="L33" i="19"/>
  <c r="K33" i="19"/>
  <c r="J33" i="19"/>
  <c r="I33" i="19"/>
  <c r="H33" i="19"/>
  <c r="G33" i="19"/>
  <c r="F33" i="19"/>
  <c r="F33" i="21" s="1"/>
  <c r="E33" i="19"/>
  <c r="D33" i="19"/>
  <c r="C33" i="19"/>
  <c r="N32" i="19"/>
  <c r="N32" i="21" s="1"/>
  <c r="M32" i="19"/>
  <c r="L32" i="19"/>
  <c r="K32" i="19"/>
  <c r="J32" i="19"/>
  <c r="I32" i="19"/>
  <c r="H32" i="19"/>
  <c r="G32" i="19"/>
  <c r="F32" i="19"/>
  <c r="E32" i="19"/>
  <c r="D32" i="19"/>
  <c r="C32" i="19"/>
  <c r="N31" i="19"/>
  <c r="M31" i="19"/>
  <c r="L31" i="19"/>
  <c r="K31" i="19"/>
  <c r="J31" i="19"/>
  <c r="I31" i="19"/>
  <c r="H31" i="19"/>
  <c r="H31" i="21" s="1"/>
  <c r="G31" i="19"/>
  <c r="F31" i="19"/>
  <c r="E31" i="19"/>
  <c r="D31" i="19"/>
  <c r="C31" i="19"/>
  <c r="N30" i="19"/>
  <c r="M30" i="19"/>
  <c r="L30" i="19"/>
  <c r="K30" i="19"/>
  <c r="J30" i="19"/>
  <c r="I30" i="19"/>
  <c r="H30" i="19"/>
  <c r="G30" i="19"/>
  <c r="G30" i="21" s="1"/>
  <c r="F30" i="19"/>
  <c r="E30" i="19"/>
  <c r="D30" i="19"/>
  <c r="C30" i="19"/>
  <c r="N29" i="19"/>
  <c r="M29" i="19"/>
  <c r="M29" i="21" s="1"/>
  <c r="L29" i="19"/>
  <c r="K29" i="19"/>
  <c r="J29" i="19"/>
  <c r="I29" i="19"/>
  <c r="H29" i="19"/>
  <c r="G29" i="19"/>
  <c r="G29" i="21" s="1"/>
  <c r="F29" i="19"/>
  <c r="E29" i="19"/>
  <c r="D29" i="19"/>
  <c r="C29" i="19"/>
  <c r="C29" i="21" s="1"/>
  <c r="N28" i="19"/>
  <c r="N28" i="21" s="1"/>
  <c r="M28" i="19"/>
  <c r="M28" i="21" s="1"/>
  <c r="L28" i="19"/>
  <c r="K28" i="19"/>
  <c r="J28" i="19"/>
  <c r="I28" i="19"/>
  <c r="H28" i="19"/>
  <c r="G28" i="19"/>
  <c r="F28" i="19"/>
  <c r="E28" i="19"/>
  <c r="D28" i="19"/>
  <c r="C28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C27" i="21" s="1"/>
  <c r="N26" i="19"/>
  <c r="M26" i="19"/>
  <c r="M26" i="21" s="1"/>
  <c r="L26" i="19"/>
  <c r="K26" i="19"/>
  <c r="J26" i="19"/>
  <c r="I26" i="19"/>
  <c r="H26" i="19"/>
  <c r="G26" i="19"/>
  <c r="F26" i="19"/>
  <c r="E26" i="19"/>
  <c r="D26" i="19"/>
  <c r="C26" i="19"/>
  <c r="N25" i="19"/>
  <c r="M25" i="19"/>
  <c r="L25" i="19"/>
  <c r="K25" i="19"/>
  <c r="J25" i="19"/>
  <c r="I25" i="19"/>
  <c r="I25" i="21" s="1"/>
  <c r="H25" i="19"/>
  <c r="H25" i="21" s="1"/>
  <c r="G25" i="19"/>
  <c r="F25" i="19"/>
  <c r="E25" i="19"/>
  <c r="D25" i="19"/>
  <c r="C25" i="19"/>
  <c r="C25" i="21" s="1"/>
  <c r="N24" i="19"/>
  <c r="M24" i="19"/>
  <c r="L24" i="19"/>
  <c r="K24" i="19"/>
  <c r="J24" i="19"/>
  <c r="I24" i="19"/>
  <c r="I24" i="21" s="1"/>
  <c r="H24" i="19"/>
  <c r="G24" i="19"/>
  <c r="F24" i="19"/>
  <c r="E24" i="19"/>
  <c r="D24" i="19"/>
  <c r="C24" i="19"/>
  <c r="N23" i="19"/>
  <c r="M23" i="19"/>
  <c r="L23" i="19"/>
  <c r="K23" i="19"/>
  <c r="J23" i="19"/>
  <c r="I23" i="19"/>
  <c r="H23" i="19"/>
  <c r="G23" i="19"/>
  <c r="G23" i="21" s="1"/>
  <c r="F23" i="19"/>
  <c r="E23" i="19"/>
  <c r="D23" i="19"/>
  <c r="C23" i="19"/>
  <c r="N22" i="19"/>
  <c r="M22" i="19"/>
  <c r="M22" i="21" s="1"/>
  <c r="L22" i="19"/>
  <c r="K22" i="19"/>
  <c r="J22" i="19"/>
  <c r="I22" i="19"/>
  <c r="I22" i="21" s="1"/>
  <c r="H22" i="19"/>
  <c r="H22" i="21" s="1"/>
  <c r="G22" i="19"/>
  <c r="G22" i="21" s="1"/>
  <c r="F22" i="19"/>
  <c r="E22" i="19"/>
  <c r="D22" i="19"/>
  <c r="C22" i="19"/>
  <c r="C22" i="21" s="1"/>
  <c r="N21" i="19"/>
  <c r="M21" i="19"/>
  <c r="L21" i="19"/>
  <c r="K21" i="19"/>
  <c r="J21" i="19"/>
  <c r="I21" i="19"/>
  <c r="H21" i="19"/>
  <c r="G21" i="19"/>
  <c r="G21" i="21" s="1"/>
  <c r="F21" i="19"/>
  <c r="E21" i="19"/>
  <c r="D21" i="19"/>
  <c r="C21" i="19"/>
  <c r="C21" i="21" s="1"/>
  <c r="N20" i="19"/>
  <c r="M20" i="19"/>
  <c r="M20" i="21" s="1"/>
  <c r="L20" i="19"/>
  <c r="K20" i="19"/>
  <c r="J20" i="19"/>
  <c r="I20" i="19"/>
  <c r="I20" i="21" s="1"/>
  <c r="H20" i="19"/>
  <c r="G20" i="19"/>
  <c r="G20" i="21" s="1"/>
  <c r="F20" i="19"/>
  <c r="E20" i="19"/>
  <c r="D20" i="19"/>
  <c r="C20" i="19"/>
  <c r="C20" i="21" s="1"/>
  <c r="N19" i="19"/>
  <c r="M19" i="19"/>
  <c r="M19" i="21" s="1"/>
  <c r="L19" i="19"/>
  <c r="K19" i="19"/>
  <c r="J19" i="19"/>
  <c r="I19" i="19"/>
  <c r="H19" i="19"/>
  <c r="G19" i="19"/>
  <c r="G19" i="21" s="1"/>
  <c r="F19" i="19"/>
  <c r="E19" i="19"/>
  <c r="D19" i="19"/>
  <c r="C19" i="19"/>
  <c r="N18" i="19"/>
  <c r="M18" i="19"/>
  <c r="M18" i="21" s="1"/>
  <c r="L18" i="19"/>
  <c r="K18" i="19"/>
  <c r="J18" i="19"/>
  <c r="I18" i="19"/>
  <c r="H18" i="19"/>
  <c r="H18" i="21" s="1"/>
  <c r="G18" i="19"/>
  <c r="G18" i="21" s="1"/>
  <c r="F18" i="19"/>
  <c r="E18" i="19"/>
  <c r="D18" i="19"/>
  <c r="C18" i="19"/>
  <c r="N17" i="19"/>
  <c r="M17" i="19"/>
  <c r="L17" i="19"/>
  <c r="K17" i="19"/>
  <c r="J17" i="19"/>
  <c r="I17" i="19"/>
  <c r="H17" i="19"/>
  <c r="H17" i="21" s="1"/>
  <c r="G17" i="19"/>
  <c r="F17" i="19"/>
  <c r="E17" i="19"/>
  <c r="D17" i="19"/>
  <c r="C17" i="19"/>
  <c r="N16" i="19"/>
  <c r="N16" i="21" s="1"/>
  <c r="M16" i="19"/>
  <c r="L16" i="19"/>
  <c r="K16" i="19"/>
  <c r="J16" i="19"/>
  <c r="I16" i="19"/>
  <c r="H16" i="19"/>
  <c r="G16" i="19"/>
  <c r="F16" i="19"/>
  <c r="E16" i="19"/>
  <c r="D16" i="19"/>
  <c r="C16" i="19"/>
  <c r="N15" i="19"/>
  <c r="M15" i="19"/>
  <c r="M15" i="21" s="1"/>
  <c r="L15" i="19"/>
  <c r="K15" i="19"/>
  <c r="J15" i="19"/>
  <c r="I15" i="19"/>
  <c r="H15" i="19"/>
  <c r="G15" i="19"/>
  <c r="F15" i="19"/>
  <c r="E15" i="19"/>
  <c r="D15" i="19"/>
  <c r="C15" i="19"/>
  <c r="N14" i="19"/>
  <c r="N14" i="21" s="1"/>
  <c r="M14" i="19"/>
  <c r="L14" i="19"/>
  <c r="K14" i="19"/>
  <c r="J14" i="19"/>
  <c r="I14" i="19"/>
  <c r="I14" i="21" s="1"/>
  <c r="H14" i="19"/>
  <c r="G14" i="19"/>
  <c r="G14" i="21" s="1"/>
  <c r="F14" i="19"/>
  <c r="E14" i="19"/>
  <c r="D14" i="19"/>
  <c r="C14" i="19"/>
  <c r="N13" i="19"/>
  <c r="M13" i="19"/>
  <c r="L13" i="19"/>
  <c r="K13" i="19"/>
  <c r="J13" i="19"/>
  <c r="I13" i="19"/>
  <c r="I13" i="21" s="1"/>
  <c r="H13" i="19"/>
  <c r="G13" i="19"/>
  <c r="F13" i="19"/>
  <c r="E13" i="19"/>
  <c r="D13" i="19"/>
  <c r="C13" i="19"/>
  <c r="C13" i="21" s="1"/>
  <c r="N12" i="19"/>
  <c r="M12" i="19"/>
  <c r="L12" i="19"/>
  <c r="K12" i="19"/>
  <c r="J12" i="19"/>
  <c r="I12" i="19"/>
  <c r="H12" i="19"/>
  <c r="G12" i="19"/>
  <c r="G12" i="21" s="1"/>
  <c r="F12" i="19"/>
  <c r="E12" i="19"/>
  <c r="D12" i="19"/>
  <c r="C12" i="19"/>
  <c r="N11" i="19"/>
  <c r="M11" i="19"/>
  <c r="M11" i="21" s="1"/>
  <c r="L11" i="19"/>
  <c r="K11" i="19"/>
  <c r="J11" i="19"/>
  <c r="I11" i="19"/>
  <c r="H11" i="19"/>
  <c r="G11" i="19"/>
  <c r="G11" i="21" s="1"/>
  <c r="F11" i="19"/>
  <c r="E11" i="19"/>
  <c r="D11" i="19"/>
  <c r="C11" i="19"/>
  <c r="C11" i="21" s="1"/>
  <c r="N10" i="19"/>
  <c r="M10" i="19"/>
  <c r="M10" i="21" s="1"/>
  <c r="L10" i="19"/>
  <c r="K10" i="19"/>
  <c r="J10" i="19"/>
  <c r="I10" i="19"/>
  <c r="H10" i="19"/>
  <c r="G10" i="19"/>
  <c r="G10" i="21" s="1"/>
  <c r="F10" i="19"/>
  <c r="E10" i="19"/>
  <c r="D10" i="19"/>
  <c r="C10" i="19"/>
  <c r="N9" i="19"/>
  <c r="M9" i="19"/>
  <c r="M9" i="21" s="1"/>
  <c r="L9" i="19"/>
  <c r="K9" i="19"/>
  <c r="K8" i="19" s="1"/>
  <c r="J9" i="19"/>
  <c r="I9" i="19"/>
  <c r="H9" i="19"/>
  <c r="G9" i="19"/>
  <c r="F9" i="19"/>
  <c r="E9" i="19"/>
  <c r="D9" i="19"/>
  <c r="C9" i="19"/>
  <c r="N37" i="17"/>
  <c r="M37" i="17"/>
  <c r="L37" i="17"/>
  <c r="K37" i="17"/>
  <c r="J37" i="17"/>
  <c r="I37" i="17"/>
  <c r="H37" i="17"/>
  <c r="G37" i="17"/>
  <c r="F37" i="17"/>
  <c r="E37" i="17"/>
  <c r="D37" i="17"/>
  <c r="D37" i="18" s="1"/>
  <c r="C37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N35" i="17"/>
  <c r="M35" i="17"/>
  <c r="L35" i="17"/>
  <c r="K35" i="17"/>
  <c r="J35" i="17"/>
  <c r="J35" i="18" s="1"/>
  <c r="I35" i="17"/>
  <c r="H35" i="17"/>
  <c r="G35" i="17"/>
  <c r="F35" i="17"/>
  <c r="E35" i="17"/>
  <c r="D35" i="17"/>
  <c r="C35" i="17"/>
  <c r="N34" i="17"/>
  <c r="M34" i="17"/>
  <c r="L34" i="17"/>
  <c r="K34" i="17"/>
  <c r="J34" i="17"/>
  <c r="I34" i="17"/>
  <c r="H34" i="17"/>
  <c r="G34" i="17"/>
  <c r="F34" i="17"/>
  <c r="E34" i="17"/>
  <c r="D34" i="17"/>
  <c r="D34" i="18" s="1"/>
  <c r="C34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N30" i="17"/>
  <c r="M30" i="17"/>
  <c r="L30" i="17"/>
  <c r="K30" i="17"/>
  <c r="J30" i="17"/>
  <c r="I30" i="17"/>
  <c r="H30" i="17"/>
  <c r="G30" i="17"/>
  <c r="F30" i="17"/>
  <c r="E30" i="17"/>
  <c r="D30" i="17"/>
  <c r="D30" i="18" s="1"/>
  <c r="C30" i="17"/>
  <c r="N29" i="17"/>
  <c r="M29" i="17"/>
  <c r="K29" i="17"/>
  <c r="J29" i="17"/>
  <c r="J29" i="18" s="1"/>
  <c r="I29" i="17"/>
  <c r="I29" i="18" s="1"/>
  <c r="H29" i="17"/>
  <c r="E29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N26" i="17"/>
  <c r="M26" i="17"/>
  <c r="L26" i="17"/>
  <c r="K26" i="17"/>
  <c r="K26" i="18" s="1"/>
  <c r="J26" i="17"/>
  <c r="I26" i="17"/>
  <c r="H26" i="17"/>
  <c r="G26" i="17"/>
  <c r="F26" i="17"/>
  <c r="E26" i="17"/>
  <c r="D26" i="17"/>
  <c r="C26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N24" i="17"/>
  <c r="M24" i="17"/>
  <c r="L24" i="17"/>
  <c r="K24" i="17"/>
  <c r="K24" i="18" s="1"/>
  <c r="J24" i="17"/>
  <c r="I24" i="17"/>
  <c r="H24" i="17"/>
  <c r="G24" i="17"/>
  <c r="F24" i="17"/>
  <c r="E24" i="17"/>
  <c r="E24" i="18" s="1"/>
  <c r="D24" i="17"/>
  <c r="C24" i="17"/>
  <c r="N23" i="17"/>
  <c r="M23" i="17"/>
  <c r="L23" i="17"/>
  <c r="K23" i="17"/>
  <c r="J23" i="17"/>
  <c r="I23" i="17"/>
  <c r="H23" i="17"/>
  <c r="G23" i="17"/>
  <c r="F23" i="17"/>
  <c r="E23" i="17"/>
  <c r="E23" i="18" s="1"/>
  <c r="D23" i="17"/>
  <c r="C23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N21" i="17"/>
  <c r="M21" i="17"/>
  <c r="L21" i="17"/>
  <c r="K21" i="17"/>
  <c r="K21" i="18" s="1"/>
  <c r="J21" i="17"/>
  <c r="I21" i="17"/>
  <c r="H21" i="17"/>
  <c r="G21" i="17"/>
  <c r="F21" i="17"/>
  <c r="E21" i="17"/>
  <c r="E21" i="18" s="1"/>
  <c r="D21" i="17"/>
  <c r="C21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N17" i="17"/>
  <c r="M17" i="17"/>
  <c r="L17" i="17"/>
  <c r="K17" i="17"/>
  <c r="J17" i="17"/>
  <c r="I17" i="17"/>
  <c r="H17" i="17"/>
  <c r="G17" i="17"/>
  <c r="F17" i="17"/>
  <c r="E17" i="17"/>
  <c r="E17" i="18" s="1"/>
  <c r="D17" i="17"/>
  <c r="C17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N13" i="17"/>
  <c r="M13" i="17"/>
  <c r="L13" i="17"/>
  <c r="H13" i="17"/>
  <c r="E13" i="17"/>
  <c r="D13" i="17"/>
  <c r="D13" i="18" s="1"/>
  <c r="N12" i="17"/>
  <c r="M12" i="17"/>
  <c r="L12" i="17"/>
  <c r="L12" i="18" s="1"/>
  <c r="K12" i="17"/>
  <c r="J12" i="17"/>
  <c r="I12" i="17"/>
  <c r="H12" i="17"/>
  <c r="G12" i="17"/>
  <c r="F12" i="17"/>
  <c r="E12" i="17"/>
  <c r="D12" i="17"/>
  <c r="C12" i="17"/>
  <c r="N11" i="17"/>
  <c r="M11" i="17"/>
  <c r="L11" i="17"/>
  <c r="K11" i="17"/>
  <c r="K11" i="18" s="1"/>
  <c r="J11" i="17"/>
  <c r="I11" i="17"/>
  <c r="H11" i="17"/>
  <c r="G11" i="17"/>
  <c r="F11" i="17"/>
  <c r="E11" i="17"/>
  <c r="D11" i="17"/>
  <c r="C11" i="17"/>
  <c r="N10" i="17"/>
  <c r="M10" i="17"/>
  <c r="L10" i="17"/>
  <c r="K10" i="17"/>
  <c r="J10" i="17"/>
  <c r="I10" i="17"/>
  <c r="H10" i="17"/>
  <c r="G10" i="17"/>
  <c r="F10" i="17"/>
  <c r="F10" i="18" s="1"/>
  <c r="E10" i="17"/>
  <c r="D10" i="17"/>
  <c r="C10" i="17"/>
  <c r="N9" i="17"/>
  <c r="M9" i="17"/>
  <c r="L9" i="17"/>
  <c r="K9" i="17"/>
  <c r="J9" i="17"/>
  <c r="I9" i="17"/>
  <c r="H9" i="17"/>
  <c r="G9" i="17"/>
  <c r="F9" i="17"/>
  <c r="E9" i="17"/>
  <c r="D9" i="17"/>
  <c r="C9" i="17"/>
  <c r="N37" i="16"/>
  <c r="M37" i="16"/>
  <c r="L37" i="16"/>
  <c r="L37" i="18" s="1"/>
  <c r="K37" i="16"/>
  <c r="J37" i="16"/>
  <c r="I37" i="16"/>
  <c r="H37" i="16"/>
  <c r="G37" i="16"/>
  <c r="F37" i="16"/>
  <c r="F37" i="18" s="1"/>
  <c r="E37" i="16"/>
  <c r="D37" i="16"/>
  <c r="C37" i="16"/>
  <c r="N36" i="16"/>
  <c r="M36" i="16"/>
  <c r="L36" i="16"/>
  <c r="L36" i="18" s="1"/>
  <c r="K36" i="16"/>
  <c r="J36" i="16"/>
  <c r="I36" i="16"/>
  <c r="H36" i="16"/>
  <c r="G36" i="16"/>
  <c r="F36" i="16"/>
  <c r="F36" i="18" s="1"/>
  <c r="E36" i="16"/>
  <c r="D36" i="16"/>
  <c r="C36" i="16"/>
  <c r="N35" i="16"/>
  <c r="M35" i="16"/>
  <c r="L35" i="16"/>
  <c r="K35" i="16"/>
  <c r="J35" i="16"/>
  <c r="I35" i="16"/>
  <c r="H35" i="16"/>
  <c r="H35" i="18" s="1"/>
  <c r="G35" i="16"/>
  <c r="F35" i="16"/>
  <c r="E35" i="16"/>
  <c r="D35" i="16"/>
  <c r="C35" i="16"/>
  <c r="N34" i="16"/>
  <c r="M34" i="16"/>
  <c r="L34" i="16"/>
  <c r="L34" i="18" s="1"/>
  <c r="K34" i="16"/>
  <c r="J34" i="16"/>
  <c r="I34" i="16"/>
  <c r="H34" i="16"/>
  <c r="G34" i="16"/>
  <c r="F34" i="16"/>
  <c r="E34" i="16"/>
  <c r="D34" i="16"/>
  <c r="C34" i="16"/>
  <c r="N33" i="16"/>
  <c r="M33" i="16"/>
  <c r="L33" i="16"/>
  <c r="L33" i="18" s="1"/>
  <c r="K33" i="16"/>
  <c r="J33" i="16"/>
  <c r="I33" i="16"/>
  <c r="H33" i="16"/>
  <c r="G33" i="16"/>
  <c r="F33" i="16"/>
  <c r="E33" i="16"/>
  <c r="D33" i="16"/>
  <c r="C33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N31" i="16"/>
  <c r="M31" i="16"/>
  <c r="L31" i="16"/>
  <c r="L31" i="18" s="1"/>
  <c r="K31" i="16"/>
  <c r="J31" i="16"/>
  <c r="I31" i="16"/>
  <c r="H31" i="16"/>
  <c r="G31" i="16"/>
  <c r="F31" i="16"/>
  <c r="E31" i="16"/>
  <c r="D31" i="16"/>
  <c r="C31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N29" i="16"/>
  <c r="M29" i="16"/>
  <c r="L29" i="16"/>
  <c r="G29" i="16"/>
  <c r="F29" i="16"/>
  <c r="E29" i="16"/>
  <c r="D29" i="16"/>
  <c r="N28" i="16"/>
  <c r="M28" i="16"/>
  <c r="M28" i="18" s="1"/>
  <c r="L28" i="16"/>
  <c r="K28" i="16"/>
  <c r="J28" i="16"/>
  <c r="I28" i="16"/>
  <c r="H28" i="16"/>
  <c r="G28" i="16"/>
  <c r="G28" i="18" s="1"/>
  <c r="F28" i="16"/>
  <c r="E28" i="16"/>
  <c r="D28" i="16"/>
  <c r="C28" i="16"/>
  <c r="N27" i="16"/>
  <c r="M27" i="16"/>
  <c r="M27" i="18" s="1"/>
  <c r="L27" i="16"/>
  <c r="K27" i="16"/>
  <c r="J27" i="16"/>
  <c r="I27" i="16"/>
  <c r="H27" i="16"/>
  <c r="G27" i="16"/>
  <c r="G27" i="18" s="1"/>
  <c r="F27" i="16"/>
  <c r="E27" i="16"/>
  <c r="D27" i="16"/>
  <c r="C27" i="16"/>
  <c r="N26" i="16"/>
  <c r="M26" i="16"/>
  <c r="M26" i="18" s="1"/>
  <c r="L26" i="16"/>
  <c r="K26" i="16"/>
  <c r="J26" i="16"/>
  <c r="I26" i="16"/>
  <c r="H26" i="16"/>
  <c r="G26" i="16"/>
  <c r="F26" i="16"/>
  <c r="E26" i="16"/>
  <c r="D26" i="16"/>
  <c r="C26" i="16"/>
  <c r="N25" i="16"/>
  <c r="M25" i="16"/>
  <c r="L25" i="16"/>
  <c r="K25" i="16"/>
  <c r="J25" i="16"/>
  <c r="I25" i="16"/>
  <c r="H25" i="16"/>
  <c r="G25" i="16"/>
  <c r="G25" i="18" s="1"/>
  <c r="F25" i="16"/>
  <c r="E25" i="16"/>
  <c r="D25" i="16"/>
  <c r="C25" i="16"/>
  <c r="N24" i="16"/>
  <c r="M24" i="16"/>
  <c r="M24" i="18" s="1"/>
  <c r="L24" i="16"/>
  <c r="K24" i="16"/>
  <c r="J24" i="16"/>
  <c r="I24" i="16"/>
  <c r="H24" i="16"/>
  <c r="G24" i="16"/>
  <c r="G24" i="18" s="1"/>
  <c r="F24" i="16"/>
  <c r="E24" i="16"/>
  <c r="D24" i="16"/>
  <c r="C24" i="16"/>
  <c r="N23" i="16"/>
  <c r="M23" i="16"/>
  <c r="M23" i="18" s="1"/>
  <c r="L23" i="16"/>
  <c r="K23" i="16"/>
  <c r="J23" i="16"/>
  <c r="I23" i="16"/>
  <c r="H23" i="16"/>
  <c r="G23" i="16"/>
  <c r="F23" i="16"/>
  <c r="E23" i="16"/>
  <c r="D23" i="16"/>
  <c r="C23" i="16"/>
  <c r="N22" i="16"/>
  <c r="M22" i="16"/>
  <c r="M22" i="18" s="1"/>
  <c r="L22" i="16"/>
  <c r="K22" i="16"/>
  <c r="J22" i="16"/>
  <c r="I22" i="16"/>
  <c r="H22" i="16"/>
  <c r="G22" i="16"/>
  <c r="F22" i="16"/>
  <c r="E22" i="16"/>
  <c r="D22" i="16"/>
  <c r="C22" i="16"/>
  <c r="N21" i="16"/>
  <c r="M21" i="16"/>
  <c r="M21" i="18" s="1"/>
  <c r="L21" i="16"/>
  <c r="K21" i="16"/>
  <c r="J21" i="16"/>
  <c r="I21" i="16"/>
  <c r="H21" i="16"/>
  <c r="G21" i="16"/>
  <c r="G21" i="18" s="1"/>
  <c r="F21" i="16"/>
  <c r="E21" i="16"/>
  <c r="D21" i="16"/>
  <c r="C21" i="16"/>
  <c r="N20" i="16"/>
  <c r="M20" i="16"/>
  <c r="L20" i="16"/>
  <c r="K20" i="16"/>
  <c r="J20" i="16"/>
  <c r="I20" i="16"/>
  <c r="H20" i="16"/>
  <c r="G20" i="16"/>
  <c r="G20" i="18" s="1"/>
  <c r="F20" i="16"/>
  <c r="E20" i="16"/>
  <c r="D20" i="16"/>
  <c r="C20" i="16"/>
  <c r="N19" i="16"/>
  <c r="M19" i="16"/>
  <c r="L19" i="16"/>
  <c r="K19" i="16"/>
  <c r="J19" i="16"/>
  <c r="I19" i="16"/>
  <c r="H19" i="16"/>
  <c r="G19" i="16"/>
  <c r="G19" i="18" s="1"/>
  <c r="F19" i="16"/>
  <c r="E19" i="16"/>
  <c r="D19" i="16"/>
  <c r="C19" i="16"/>
  <c r="N18" i="16"/>
  <c r="M18" i="16"/>
  <c r="M18" i="18" s="1"/>
  <c r="L18" i="16"/>
  <c r="K18" i="16"/>
  <c r="J18" i="16"/>
  <c r="I18" i="16"/>
  <c r="H18" i="16"/>
  <c r="G18" i="16"/>
  <c r="F18" i="16"/>
  <c r="E18" i="16"/>
  <c r="D18" i="16"/>
  <c r="C18" i="16"/>
  <c r="N17" i="16"/>
  <c r="M17" i="16"/>
  <c r="M17" i="18" s="1"/>
  <c r="L17" i="16"/>
  <c r="L8" i="16" s="1"/>
  <c r="K17" i="16"/>
  <c r="J17" i="16"/>
  <c r="I17" i="16"/>
  <c r="H17" i="16"/>
  <c r="G17" i="16"/>
  <c r="G17" i="18" s="1"/>
  <c r="F17" i="16"/>
  <c r="E17" i="16"/>
  <c r="D17" i="16"/>
  <c r="C17" i="16"/>
  <c r="N16" i="16"/>
  <c r="M16" i="16"/>
  <c r="M16" i="18" s="1"/>
  <c r="L16" i="16"/>
  <c r="K16" i="16"/>
  <c r="J16" i="16"/>
  <c r="I16" i="16"/>
  <c r="H16" i="16"/>
  <c r="G16" i="16"/>
  <c r="G16" i="18" s="1"/>
  <c r="F16" i="16"/>
  <c r="E16" i="16"/>
  <c r="D16" i="16"/>
  <c r="C16" i="16"/>
  <c r="N15" i="16"/>
  <c r="M15" i="16"/>
  <c r="L15" i="16"/>
  <c r="K15" i="16"/>
  <c r="J15" i="16"/>
  <c r="I15" i="16"/>
  <c r="H15" i="16"/>
  <c r="G15" i="16"/>
  <c r="G15" i="18" s="1"/>
  <c r="F15" i="16"/>
  <c r="E15" i="16"/>
  <c r="D15" i="16"/>
  <c r="C15" i="16"/>
  <c r="N14" i="16"/>
  <c r="M14" i="16"/>
  <c r="M14" i="18" s="1"/>
  <c r="L14" i="16"/>
  <c r="K14" i="16"/>
  <c r="J14" i="16"/>
  <c r="I14" i="16"/>
  <c r="H14" i="16"/>
  <c r="G14" i="16"/>
  <c r="F14" i="16"/>
  <c r="E14" i="16"/>
  <c r="D14" i="16"/>
  <c r="C14" i="16"/>
  <c r="I13" i="16"/>
  <c r="G13" i="16"/>
  <c r="N12" i="16"/>
  <c r="M12" i="16"/>
  <c r="L12" i="16"/>
  <c r="K12" i="16"/>
  <c r="J12" i="16"/>
  <c r="I12" i="16"/>
  <c r="I12" i="18" s="1"/>
  <c r="H12" i="16"/>
  <c r="G12" i="16"/>
  <c r="F12" i="16"/>
  <c r="E12" i="16"/>
  <c r="D12" i="16"/>
  <c r="C12" i="16"/>
  <c r="C12" i="18" s="1"/>
  <c r="N11" i="16"/>
  <c r="M11" i="16"/>
  <c r="L11" i="16"/>
  <c r="K11" i="16"/>
  <c r="J11" i="16"/>
  <c r="I11" i="16"/>
  <c r="I11" i="18" s="1"/>
  <c r="H11" i="16"/>
  <c r="G11" i="16"/>
  <c r="F11" i="16"/>
  <c r="E11" i="16"/>
  <c r="D11" i="16"/>
  <c r="C11" i="16"/>
  <c r="N10" i="16"/>
  <c r="M10" i="16"/>
  <c r="L10" i="16"/>
  <c r="K10" i="16"/>
  <c r="J10" i="16"/>
  <c r="I10" i="16"/>
  <c r="I10" i="18" s="1"/>
  <c r="H10" i="16"/>
  <c r="H10" i="18" s="1"/>
  <c r="G10" i="16"/>
  <c r="F10" i="16"/>
  <c r="E10" i="16"/>
  <c r="D10" i="16"/>
  <c r="C10" i="16"/>
  <c r="C10" i="18" s="1"/>
  <c r="N9" i="16"/>
  <c r="M9" i="16"/>
  <c r="L9" i="16"/>
  <c r="K9" i="16"/>
  <c r="J9" i="16"/>
  <c r="I9" i="16"/>
  <c r="I9" i="18" s="1"/>
  <c r="H9" i="16"/>
  <c r="G9" i="16"/>
  <c r="F9" i="16"/>
  <c r="E9" i="16"/>
  <c r="D9" i="16"/>
  <c r="C9" i="16"/>
  <c r="C9" i="18" s="1"/>
  <c r="C29" i="15"/>
  <c r="C27" i="15"/>
  <c r="C25" i="15"/>
  <c r="C23" i="15"/>
  <c r="C21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O18" i="15"/>
  <c r="N18" i="15"/>
  <c r="M18" i="15"/>
  <c r="K18" i="15"/>
  <c r="J18" i="15"/>
  <c r="I18" i="15"/>
  <c r="G18" i="15"/>
  <c r="F18" i="15"/>
  <c r="E18" i="15"/>
  <c r="C18" i="15" s="1"/>
  <c r="D18" i="15"/>
  <c r="O17" i="15"/>
  <c r="N17" i="15"/>
  <c r="M17" i="15"/>
  <c r="K17" i="15"/>
  <c r="J17" i="15"/>
  <c r="C17" i="15" s="1"/>
  <c r="I17" i="15"/>
  <c r="G17" i="15"/>
  <c r="F17" i="15"/>
  <c r="E17" i="15"/>
  <c r="D17" i="15"/>
  <c r="O16" i="15"/>
  <c r="N16" i="15"/>
  <c r="M16" i="15"/>
  <c r="K16" i="15"/>
  <c r="J16" i="15"/>
  <c r="I16" i="15"/>
  <c r="G16" i="15"/>
  <c r="F16" i="15"/>
  <c r="E16" i="15"/>
  <c r="D16" i="15"/>
  <c r="C13" i="15"/>
  <c r="C12" i="15"/>
  <c r="O61" i="8"/>
  <c r="N61" i="8"/>
  <c r="M61" i="8"/>
  <c r="L61" i="8"/>
  <c r="K61" i="8"/>
  <c r="J61" i="8"/>
  <c r="I61" i="8"/>
  <c r="H61" i="8"/>
  <c r="G61" i="8"/>
  <c r="F61" i="8"/>
  <c r="E61" i="8"/>
  <c r="D61" i="8"/>
  <c r="C60" i="8"/>
  <c r="C59" i="8"/>
  <c r="O57" i="8"/>
  <c r="N57" i="8"/>
  <c r="M57" i="8"/>
  <c r="L57" i="8"/>
  <c r="J57" i="8"/>
  <c r="I57" i="8"/>
  <c r="H57" i="8"/>
  <c r="G57" i="8"/>
  <c r="F57" i="8"/>
  <c r="E57" i="8"/>
  <c r="D57" i="8"/>
  <c r="C56" i="8"/>
  <c r="C55" i="8"/>
  <c r="O53" i="8"/>
  <c r="N53" i="8"/>
  <c r="M53" i="8"/>
  <c r="L53" i="8"/>
  <c r="K53" i="8"/>
  <c r="J53" i="8"/>
  <c r="I53" i="8"/>
  <c r="H53" i="8"/>
  <c r="G53" i="8"/>
  <c r="F53" i="8"/>
  <c r="E53" i="8"/>
  <c r="D53" i="8"/>
  <c r="C52" i="8"/>
  <c r="C51" i="8"/>
  <c r="O49" i="8"/>
  <c r="N49" i="8"/>
  <c r="M49" i="8"/>
  <c r="L49" i="8"/>
  <c r="K49" i="8"/>
  <c r="J49" i="8"/>
  <c r="I49" i="8"/>
  <c r="H49" i="8"/>
  <c r="G49" i="8"/>
  <c r="F49" i="8"/>
  <c r="E49" i="8"/>
  <c r="D49" i="8"/>
  <c r="C48" i="8"/>
  <c r="C47" i="8"/>
  <c r="C49" i="8" s="1"/>
  <c r="O45" i="8"/>
  <c r="N45" i="8"/>
  <c r="M45" i="8"/>
  <c r="L45" i="8"/>
  <c r="K45" i="8"/>
  <c r="J45" i="8"/>
  <c r="I45" i="8"/>
  <c r="H45" i="8"/>
  <c r="G45" i="8"/>
  <c r="F45" i="8"/>
  <c r="E45" i="8"/>
  <c r="D45" i="8"/>
  <c r="C44" i="8"/>
  <c r="C43" i="8"/>
  <c r="O41" i="8"/>
  <c r="N41" i="8"/>
  <c r="M41" i="8"/>
  <c r="L41" i="8"/>
  <c r="K41" i="8"/>
  <c r="J41" i="8"/>
  <c r="I41" i="8"/>
  <c r="H41" i="8"/>
  <c r="G41" i="8"/>
  <c r="F41" i="8"/>
  <c r="E41" i="8"/>
  <c r="D41" i="8"/>
  <c r="C40" i="8"/>
  <c r="C39" i="8"/>
  <c r="O33" i="8"/>
  <c r="N33" i="8"/>
  <c r="M33" i="8"/>
  <c r="L33" i="8"/>
  <c r="K33" i="8"/>
  <c r="J33" i="8"/>
  <c r="I33" i="8"/>
  <c r="H33" i="8"/>
  <c r="G33" i="8"/>
  <c r="F33" i="8"/>
  <c r="E33" i="8"/>
  <c r="D33" i="8"/>
  <c r="C32" i="8"/>
  <c r="C31" i="8"/>
  <c r="C33" i="8" s="1"/>
  <c r="O28" i="8"/>
  <c r="N28" i="8"/>
  <c r="M28" i="8"/>
  <c r="L28" i="8"/>
  <c r="K28" i="8"/>
  <c r="J28" i="8"/>
  <c r="I28" i="8"/>
  <c r="H28" i="8"/>
  <c r="G28" i="8"/>
  <c r="F28" i="8"/>
  <c r="E28" i="8"/>
  <c r="D28" i="8"/>
  <c r="C27" i="8"/>
  <c r="C26" i="8"/>
  <c r="O23" i="8"/>
  <c r="N23" i="8"/>
  <c r="M23" i="8"/>
  <c r="L23" i="8"/>
  <c r="K23" i="8"/>
  <c r="J23" i="8"/>
  <c r="I23" i="8"/>
  <c r="H23" i="8"/>
  <c r="G23" i="8"/>
  <c r="F23" i="8"/>
  <c r="E23" i="8"/>
  <c r="D23" i="8"/>
  <c r="C22" i="8"/>
  <c r="C21" i="8"/>
  <c r="O18" i="8"/>
  <c r="N18" i="8"/>
  <c r="M18" i="8"/>
  <c r="L18" i="8"/>
  <c r="K18" i="8"/>
  <c r="J18" i="8"/>
  <c r="I18" i="8"/>
  <c r="H18" i="8"/>
  <c r="G18" i="8"/>
  <c r="F18" i="8"/>
  <c r="E18" i="8"/>
  <c r="D18" i="8"/>
  <c r="C17" i="8"/>
  <c r="C16" i="8"/>
  <c r="O13" i="8"/>
  <c r="N13" i="8"/>
  <c r="M13" i="8"/>
  <c r="L13" i="8"/>
  <c r="K13" i="8"/>
  <c r="J13" i="8"/>
  <c r="I13" i="8"/>
  <c r="H13" i="8"/>
  <c r="G13" i="8"/>
  <c r="F13" i="8"/>
  <c r="E13" i="8"/>
  <c r="D13" i="8"/>
  <c r="C12" i="8"/>
  <c r="C11" i="8"/>
  <c r="O8" i="8"/>
  <c r="N8" i="8"/>
  <c r="M8" i="8"/>
  <c r="L8" i="8"/>
  <c r="K8" i="8"/>
  <c r="J8" i="8"/>
  <c r="I8" i="8"/>
  <c r="H8" i="8"/>
  <c r="G8" i="8"/>
  <c r="F8" i="8"/>
  <c r="E8" i="8"/>
  <c r="D8" i="8"/>
  <c r="C7" i="8"/>
  <c r="C6" i="8"/>
  <c r="V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V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V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V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V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I9" i="7"/>
  <c r="H9" i="7"/>
  <c r="G9" i="7"/>
  <c r="F9" i="7"/>
  <c r="E9" i="7"/>
  <c r="D9" i="7"/>
  <c r="C9" i="7"/>
  <c r="Q38" i="5"/>
  <c r="M38" i="5"/>
  <c r="K38" i="5"/>
  <c r="J38" i="5"/>
  <c r="I11" i="5"/>
  <c r="I38" i="5" s="1"/>
  <c r="H11" i="5"/>
  <c r="H38" i="5" s="1"/>
  <c r="G11" i="5"/>
  <c r="G38" i="5" s="1"/>
  <c r="F11" i="5"/>
  <c r="F38" i="5" s="1"/>
  <c r="E11" i="5"/>
  <c r="E38" i="5" s="1"/>
  <c r="D11" i="5"/>
  <c r="D38" i="5" s="1"/>
  <c r="C11" i="5"/>
  <c r="C38" i="5" s="1"/>
  <c r="H16" i="111"/>
  <c r="H6" i="111" s="1"/>
  <c r="D8" i="53"/>
  <c r="M12" i="45"/>
  <c r="D28" i="45"/>
  <c r="B19" i="111"/>
  <c r="K21" i="51"/>
  <c r="H12" i="45"/>
  <c r="M21" i="51"/>
  <c r="F21" i="45"/>
  <c r="N21" i="51"/>
  <c r="K26" i="45"/>
  <c r="E31" i="45"/>
  <c r="N21" i="45"/>
  <c r="F24" i="45"/>
  <c r="E25" i="45"/>
  <c r="F19" i="45"/>
  <c r="J28" i="45"/>
  <c r="F29" i="45"/>
  <c r="C28" i="45"/>
  <c r="J21" i="51"/>
  <c r="K28" i="45"/>
  <c r="F31" i="45"/>
  <c r="C30" i="45"/>
  <c r="F21" i="51"/>
  <c r="C21" i="45"/>
  <c r="F28" i="45"/>
  <c r="G21" i="45"/>
  <c r="D25" i="45"/>
  <c r="N23" i="45"/>
  <c r="G19" i="45"/>
  <c r="L23" i="45"/>
  <c r="C25" i="45"/>
  <c r="N28" i="45"/>
  <c r="N33" i="45"/>
  <c r="M23" i="45"/>
  <c r="M33" i="45"/>
  <c r="H19" i="45"/>
  <c r="H21" i="45"/>
  <c r="C32" i="45"/>
  <c r="N22" i="45"/>
  <c r="L26" i="45"/>
  <c r="N30" i="45"/>
  <c r="J26" i="45"/>
  <c r="D29" i="45"/>
  <c r="C31" i="45"/>
  <c r="I19" i="45"/>
  <c r="L22" i="45"/>
  <c r="H21" i="51"/>
  <c r="G28" i="45"/>
  <c r="E30" i="45"/>
  <c r="E21" i="51"/>
  <c r="D21" i="45"/>
  <c r="I12" i="45"/>
  <c r="M30" i="45"/>
  <c r="M27" i="45"/>
  <c r="H24" i="45"/>
  <c r="C33" i="45"/>
  <c r="B19" i="51"/>
  <c r="D31" i="45"/>
  <c r="G21" i="51"/>
  <c r="D30" i="45"/>
  <c r="F10" i="51"/>
  <c r="N32" i="45"/>
  <c r="E29" i="45"/>
  <c r="M26" i="51"/>
  <c r="N26" i="45"/>
  <c r="B32" i="45"/>
  <c r="D32" i="45"/>
  <c r="B10" i="51"/>
  <c r="B18" i="51"/>
  <c r="I21" i="51"/>
  <c r="B21" i="51"/>
  <c r="B33" i="51"/>
  <c r="B22" i="51"/>
  <c r="N25" i="45"/>
  <c r="B14" i="51"/>
  <c r="C26" i="45"/>
  <c r="M32" i="45"/>
  <c r="F30" i="45"/>
  <c r="B26" i="51"/>
  <c r="B23" i="51"/>
  <c r="G24" i="45"/>
  <c r="L12" i="45"/>
  <c r="B27" i="47"/>
  <c r="J21" i="45"/>
  <c r="L21" i="45"/>
  <c r="E32" i="45"/>
  <c r="B15" i="51"/>
  <c r="K26" i="51"/>
  <c r="B33" i="45"/>
  <c r="B31" i="51"/>
  <c r="G12" i="45"/>
  <c r="I21" i="45"/>
  <c r="E24" i="45"/>
  <c r="B26" i="45"/>
  <c r="E28" i="45"/>
  <c r="B21" i="45"/>
  <c r="B13" i="51"/>
  <c r="L24" i="45"/>
  <c r="DQ6" i="56"/>
  <c r="BZ6" i="56"/>
  <c r="BT27" i="56"/>
  <c r="B27" i="46"/>
  <c r="C12" i="14"/>
  <c r="C14" i="14"/>
  <c r="D13" i="11"/>
  <c r="D28" i="11"/>
  <c r="F9" i="11"/>
  <c r="F12" i="11"/>
  <c r="F14" i="11"/>
  <c r="E10" i="11"/>
  <c r="E12" i="42"/>
  <c r="D12" i="11"/>
  <c r="K29" i="16"/>
  <c r="K29" i="18" s="1"/>
  <c r="L29" i="17"/>
  <c r="C29" i="17"/>
  <c r="H13" i="16"/>
  <c r="M13" i="16"/>
  <c r="N13" i="16"/>
  <c r="G13" i="17"/>
  <c r="C13" i="16"/>
  <c r="I13" i="17"/>
  <c r="J13" i="17"/>
  <c r="J13" i="18" s="1"/>
  <c r="H29" i="16"/>
  <c r="F29" i="17"/>
  <c r="G29" i="17"/>
  <c r="F13" i="17"/>
  <c r="F13" i="18" s="1"/>
  <c r="L13" i="16"/>
  <c r="C13" i="17"/>
  <c r="G20" i="42"/>
  <c r="E25" i="11"/>
  <c r="B26" i="14"/>
  <c r="E32" i="42"/>
  <c r="G18" i="42"/>
  <c r="N18" i="39"/>
  <c r="C34" i="39"/>
  <c r="H17" i="30"/>
  <c r="M26" i="36"/>
  <c r="N13" i="42"/>
  <c r="I14" i="42"/>
  <c r="I26" i="30"/>
  <c r="M22" i="36"/>
  <c r="J35" i="42"/>
  <c r="I12" i="42"/>
  <c r="D10" i="42"/>
  <c r="C36" i="42"/>
  <c r="C12" i="42"/>
  <c r="N21" i="30"/>
  <c r="F18" i="39"/>
  <c r="N37" i="39"/>
  <c r="F13" i="42"/>
  <c r="C34" i="42"/>
  <c r="C10" i="27"/>
  <c r="B15" i="14"/>
  <c r="C30" i="11"/>
  <c r="G23" i="39"/>
  <c r="H17" i="42"/>
  <c r="M12" i="30"/>
  <c r="I19" i="39"/>
  <c r="C18" i="42"/>
  <c r="D15" i="42"/>
  <c r="H10" i="42"/>
  <c r="F17" i="42"/>
  <c r="N17" i="30"/>
  <c r="E33" i="33"/>
  <c r="H29" i="42"/>
  <c r="H37" i="42"/>
  <c r="C27" i="30"/>
  <c r="G33" i="36"/>
  <c r="N32" i="42"/>
  <c r="N9" i="42"/>
  <c r="K21" i="42"/>
  <c r="I18" i="42"/>
  <c r="E11" i="11"/>
  <c r="E18" i="11"/>
  <c r="E9" i="42"/>
  <c r="M9" i="42"/>
  <c r="J18" i="42"/>
  <c r="E19" i="42"/>
  <c r="N29" i="24"/>
  <c r="H21" i="30"/>
  <c r="G33" i="39"/>
  <c r="M30" i="30"/>
  <c r="D21" i="42"/>
  <c r="D21" i="33"/>
  <c r="H9" i="42"/>
  <c r="G26" i="39"/>
  <c r="E18" i="42"/>
  <c r="G28" i="30"/>
  <c r="N27" i="36"/>
  <c r="K14" i="42"/>
  <c r="N29" i="30"/>
  <c r="N9" i="39"/>
  <c r="L30" i="36"/>
  <c r="C15" i="30"/>
  <c r="M25" i="30"/>
  <c r="I29" i="42"/>
  <c r="J31" i="42"/>
  <c r="E21" i="14"/>
  <c r="C30" i="39"/>
  <c r="J16" i="42"/>
  <c r="I27" i="33"/>
  <c r="G36" i="42"/>
  <c r="C20" i="30"/>
  <c r="C23" i="42"/>
  <c r="K13" i="42"/>
  <c r="C27" i="27"/>
  <c r="M23" i="39"/>
  <c r="H23" i="24"/>
  <c r="N14" i="42"/>
  <c r="C17" i="42"/>
  <c r="J19" i="42"/>
  <c r="G29" i="27"/>
  <c r="B29" i="11"/>
  <c r="C31" i="39"/>
  <c r="B10" i="14"/>
  <c r="K30" i="42"/>
  <c r="E32" i="14"/>
  <c r="F8" i="11"/>
  <c r="H31" i="39"/>
  <c r="F32" i="42"/>
  <c r="N17" i="42"/>
  <c r="C32" i="33"/>
  <c r="F19" i="42"/>
  <c r="F12" i="42"/>
  <c r="K18" i="42"/>
  <c r="H28" i="30"/>
  <c r="I15" i="42"/>
  <c r="F16" i="14"/>
  <c r="G36" i="27"/>
  <c r="N33" i="42"/>
  <c r="C36" i="14"/>
  <c r="F10" i="11"/>
  <c r="F30" i="11"/>
  <c r="B33" i="14"/>
  <c r="N9" i="30"/>
  <c r="K21" i="30"/>
  <c r="F18" i="42"/>
  <c r="N18" i="42"/>
  <c r="C25" i="11"/>
  <c r="H18" i="42"/>
  <c r="E20" i="11"/>
  <c r="G32" i="11"/>
  <c r="H27" i="11"/>
  <c r="C11" i="30"/>
  <c r="E36" i="42"/>
  <c r="J10" i="42"/>
  <c r="D17" i="42"/>
  <c r="C9" i="30"/>
  <c r="I31" i="39"/>
  <c r="B26" i="11"/>
  <c r="B30" i="11"/>
  <c r="I35" i="27"/>
  <c r="G26" i="36"/>
  <c r="I17" i="42"/>
  <c r="B30" i="37"/>
  <c r="L36" i="42"/>
  <c r="M9" i="39"/>
  <c r="G27" i="39"/>
  <c r="J24" i="42"/>
  <c r="B35" i="14"/>
  <c r="K28" i="42"/>
  <c r="M10" i="39"/>
  <c r="M28" i="33"/>
  <c r="F10" i="42"/>
  <c r="K19" i="42"/>
  <c r="G13" i="42"/>
  <c r="E18" i="14"/>
  <c r="G30" i="39"/>
  <c r="H30" i="39"/>
  <c r="G31" i="30"/>
  <c r="M11" i="39"/>
  <c r="M18" i="39"/>
  <c r="C14" i="21"/>
  <c r="B11" i="11"/>
  <c r="F25" i="14"/>
  <c r="C21" i="27"/>
  <c r="I37" i="39"/>
  <c r="G29" i="42"/>
  <c r="C26" i="24"/>
  <c r="C24" i="39"/>
  <c r="F15" i="42"/>
  <c r="N36" i="42"/>
  <c r="E35" i="42"/>
  <c r="C11" i="14"/>
  <c r="B24" i="11"/>
  <c r="F14" i="39"/>
  <c r="M14" i="39"/>
  <c r="M28" i="36"/>
  <c r="B19" i="40"/>
  <c r="I15" i="39"/>
  <c r="C32" i="42"/>
  <c r="K37" i="42"/>
  <c r="L15" i="39"/>
  <c r="N16" i="39"/>
  <c r="B23" i="14"/>
  <c r="I23" i="42"/>
  <c r="C19" i="30"/>
  <c r="C21" i="30"/>
  <c r="H28" i="42"/>
  <c r="I21" i="30"/>
  <c r="M28" i="39"/>
  <c r="M28" i="30"/>
  <c r="L9" i="39"/>
  <c r="N19" i="33"/>
  <c r="C19" i="42"/>
  <c r="I23" i="30"/>
  <c r="H22" i="39"/>
  <c r="C24" i="21"/>
  <c r="I34" i="39"/>
  <c r="M14" i="42"/>
  <c r="M22" i="42"/>
  <c r="H18" i="24"/>
  <c r="H11" i="30"/>
  <c r="I11" i="42"/>
  <c r="I16" i="42"/>
  <c r="H23" i="11"/>
  <c r="H24" i="30"/>
  <c r="M30" i="36"/>
  <c r="I35" i="39"/>
  <c r="C33" i="14"/>
  <c r="D10" i="11"/>
  <c r="F26" i="11"/>
  <c r="L29" i="42"/>
  <c r="I31" i="42"/>
  <c r="M23" i="30"/>
  <c r="I25" i="39"/>
  <c r="E30" i="11"/>
  <c r="I35" i="42"/>
  <c r="N20" i="42"/>
  <c r="H26" i="42"/>
  <c r="L20" i="24"/>
  <c r="C22" i="39"/>
  <c r="D32" i="36"/>
  <c r="H10" i="30"/>
  <c r="G22" i="30"/>
  <c r="M12" i="42"/>
  <c r="G29" i="30"/>
  <c r="F35" i="21"/>
  <c r="C25" i="42"/>
  <c r="F36" i="42"/>
  <c r="M34" i="24"/>
  <c r="C33" i="39"/>
  <c r="L24" i="27"/>
  <c r="G14" i="39"/>
  <c r="L32" i="36"/>
  <c r="D18" i="14"/>
  <c r="C28" i="14"/>
  <c r="M18" i="42"/>
  <c r="B28" i="11"/>
  <c r="I33" i="39"/>
  <c r="F18" i="11"/>
  <c r="G30" i="36"/>
  <c r="F29" i="39"/>
  <c r="M19" i="42"/>
  <c r="H12" i="30"/>
  <c r="G14" i="30"/>
  <c r="F9" i="14"/>
  <c r="I30" i="39"/>
  <c r="I32" i="39"/>
  <c r="G34" i="39"/>
  <c r="C35" i="39"/>
  <c r="F36" i="39"/>
  <c r="J17" i="42"/>
  <c r="K25" i="42"/>
  <c r="E29" i="42"/>
  <c r="C8" i="14"/>
  <c r="C24" i="27"/>
  <c r="K34" i="42"/>
  <c r="F18" i="14"/>
  <c r="G17" i="24"/>
  <c r="C37" i="24"/>
  <c r="C19" i="14"/>
  <c r="F24" i="11"/>
  <c r="G26" i="33"/>
  <c r="I29" i="39"/>
  <c r="J9" i="42"/>
  <c r="F31" i="14"/>
  <c r="H21" i="39"/>
  <c r="E23" i="42"/>
  <c r="M24" i="30"/>
  <c r="D29" i="39"/>
  <c r="C16" i="39"/>
  <c r="M20" i="39"/>
  <c r="N12" i="39"/>
  <c r="C30" i="30"/>
  <c r="K11" i="39"/>
  <c r="G12" i="39"/>
  <c r="C23" i="30"/>
  <c r="L10" i="42"/>
  <c r="N29" i="33"/>
  <c r="G26" i="11"/>
  <c r="L13" i="39"/>
  <c r="E10" i="42"/>
  <c r="J25" i="42"/>
  <c r="D15" i="11"/>
  <c r="M25" i="27"/>
  <c r="M26" i="33"/>
  <c r="G19" i="39"/>
  <c r="C19" i="11"/>
  <c r="M21" i="30"/>
  <c r="I24" i="39"/>
  <c r="I27" i="39"/>
  <c r="L26" i="27"/>
  <c r="M30" i="39"/>
  <c r="M23" i="42"/>
  <c r="B8" i="14"/>
  <c r="N24" i="33"/>
  <c r="I25" i="33"/>
  <c r="G22" i="11"/>
  <c r="H24" i="11"/>
  <c r="G30" i="11"/>
  <c r="D22" i="14"/>
  <c r="G13" i="27"/>
  <c r="C17" i="11"/>
  <c r="D16" i="11"/>
  <c r="G28" i="11"/>
  <c r="J23" i="33"/>
  <c r="H34" i="21"/>
  <c r="N32" i="30"/>
  <c r="G21" i="39"/>
  <c r="E24" i="42"/>
  <c r="F33" i="42"/>
  <c r="M10" i="42"/>
  <c r="N25" i="42"/>
  <c r="F20" i="42"/>
  <c r="D11" i="42"/>
  <c r="J22" i="39"/>
  <c r="D9" i="42"/>
  <c r="H19" i="33"/>
  <c r="G36" i="18"/>
  <c r="N32" i="24"/>
  <c r="C20" i="42"/>
  <c r="J12" i="18"/>
  <c r="I36" i="27"/>
  <c r="N22" i="30"/>
  <c r="L35" i="42"/>
  <c r="I9" i="42"/>
  <c r="M29" i="39"/>
  <c r="C23" i="11"/>
  <c r="D28" i="39"/>
  <c r="H20" i="27"/>
  <c r="M15" i="30"/>
  <c r="B15" i="37"/>
  <c r="M25" i="39"/>
  <c r="G20" i="11"/>
  <c r="D24" i="42"/>
  <c r="M17" i="24"/>
  <c r="F32" i="36"/>
  <c r="E15" i="42"/>
  <c r="M15" i="39"/>
  <c r="G29" i="39"/>
  <c r="I20" i="42"/>
  <c r="H29" i="11"/>
  <c r="D26" i="14"/>
  <c r="N24" i="42"/>
  <c r="C37" i="27"/>
  <c r="B31" i="37"/>
  <c r="I14" i="39"/>
  <c r="E21" i="39"/>
  <c r="B27" i="11"/>
  <c r="B13" i="11"/>
  <c r="D10" i="39"/>
  <c r="J10" i="39"/>
  <c r="F11" i="39"/>
  <c r="B12" i="38"/>
  <c r="E23" i="14"/>
  <c r="F24" i="14"/>
  <c r="J19" i="36"/>
  <c r="F22" i="36"/>
  <c r="D26" i="36"/>
  <c r="L29" i="36"/>
  <c r="I22" i="42"/>
  <c r="G26" i="42"/>
  <c r="F25" i="11"/>
  <c r="N11" i="39"/>
  <c r="M13" i="21"/>
  <c r="N11" i="27"/>
  <c r="C36" i="39"/>
  <c r="B36" i="38"/>
  <c r="H24" i="24"/>
  <c r="I20" i="39"/>
  <c r="M21" i="39"/>
  <c r="H28" i="39"/>
  <c r="C27" i="42"/>
  <c r="I10" i="42"/>
  <c r="K32" i="42"/>
  <c r="G31" i="11"/>
  <c r="H27" i="24"/>
  <c r="B29" i="35"/>
  <c r="E8" i="40"/>
  <c r="H37" i="27"/>
  <c r="F25" i="36"/>
  <c r="J26" i="36"/>
  <c r="H19" i="42"/>
  <c r="H23" i="30"/>
  <c r="H13" i="42"/>
  <c r="C34" i="11"/>
  <c r="C30" i="27"/>
  <c r="F18" i="24"/>
  <c r="C11" i="27"/>
  <c r="H32" i="30"/>
  <c r="C34" i="27"/>
  <c r="B16" i="38"/>
  <c r="F19" i="24"/>
  <c r="N12" i="30"/>
  <c r="D12" i="42"/>
  <c r="C11" i="42"/>
  <c r="L22" i="42"/>
  <c r="C9" i="42"/>
  <c r="J15" i="42"/>
  <c r="L19" i="42"/>
  <c r="D19" i="11"/>
  <c r="M11" i="30"/>
  <c r="L31" i="36"/>
  <c r="M9" i="30"/>
  <c r="B29" i="37"/>
  <c r="M26" i="27"/>
  <c r="L12" i="42"/>
  <c r="E19" i="11"/>
  <c r="H33" i="21"/>
  <c r="C14" i="24"/>
  <c r="G23" i="27"/>
  <c r="M28" i="27"/>
  <c r="C28" i="30"/>
  <c r="F31" i="36"/>
  <c r="C24" i="42"/>
  <c r="E24" i="11"/>
  <c r="M20" i="27"/>
  <c r="K14" i="39"/>
  <c r="L9" i="42"/>
  <c r="E36" i="11"/>
  <c r="G17" i="27"/>
  <c r="C18" i="30"/>
  <c r="M31" i="30"/>
  <c r="N24" i="36"/>
  <c r="G25" i="39"/>
  <c r="B35" i="11"/>
  <c r="B36" i="11"/>
  <c r="M27" i="30"/>
  <c r="N28" i="33"/>
  <c r="M30" i="33"/>
  <c r="J14" i="39"/>
  <c r="E35" i="39"/>
  <c r="G36" i="39"/>
  <c r="B22" i="40"/>
  <c r="F16" i="42"/>
  <c r="J21" i="42"/>
  <c r="K22" i="42"/>
  <c r="E8" i="11"/>
  <c r="G11" i="11"/>
  <c r="F23" i="11"/>
  <c r="K26" i="42"/>
  <c r="E13" i="11"/>
  <c r="D29" i="14"/>
  <c r="B11" i="40"/>
  <c r="N11" i="42"/>
  <c r="I24" i="42"/>
  <c r="G34" i="42"/>
  <c r="G18" i="30"/>
  <c r="L27" i="36"/>
  <c r="N28" i="36"/>
  <c r="L14" i="39"/>
  <c r="J30" i="39"/>
  <c r="M32" i="39"/>
  <c r="K37" i="39"/>
  <c r="G11" i="42"/>
  <c r="N23" i="42"/>
  <c r="L25" i="42"/>
  <c r="D37" i="42"/>
  <c r="B22" i="11"/>
  <c r="F27" i="39"/>
  <c r="B27" i="37"/>
  <c r="B9" i="14"/>
  <c r="F22" i="14"/>
  <c r="B9" i="11"/>
  <c r="D21" i="11"/>
  <c r="J25" i="30"/>
  <c r="H31" i="30"/>
  <c r="G30" i="33"/>
  <c r="K21" i="39"/>
  <c r="G8" i="37"/>
  <c r="G24" i="42"/>
  <c r="G30" i="42"/>
  <c r="K31" i="42"/>
  <c r="E33" i="42"/>
  <c r="D8" i="35"/>
  <c r="J11" i="42"/>
  <c r="I13" i="18"/>
  <c r="I23" i="33"/>
  <c r="C33" i="33"/>
  <c r="C8" i="28"/>
  <c r="C10" i="30"/>
  <c r="N8" i="32"/>
  <c r="N22" i="33"/>
  <c r="B11" i="14"/>
  <c r="N28" i="39"/>
  <c r="B22" i="37"/>
  <c r="B21" i="37"/>
  <c r="H16" i="30"/>
  <c r="I31" i="27"/>
  <c r="G15" i="30"/>
  <c r="C30" i="42"/>
  <c r="I34" i="42"/>
  <c r="D30" i="11"/>
  <c r="C22" i="24"/>
  <c r="I27" i="42"/>
  <c r="C19" i="39"/>
  <c r="N33" i="21"/>
  <c r="H30" i="24"/>
  <c r="E37" i="39"/>
  <c r="M28" i="24"/>
  <c r="F35" i="42"/>
  <c r="I29" i="24"/>
  <c r="B36" i="40"/>
  <c r="B34" i="41"/>
  <c r="I30" i="21"/>
  <c r="M15" i="24"/>
  <c r="C19" i="27"/>
  <c r="M32" i="27"/>
  <c r="B22" i="38"/>
  <c r="C14" i="11"/>
  <c r="N15" i="24"/>
  <c r="H35" i="24"/>
  <c r="B27" i="34"/>
  <c r="G37" i="39"/>
  <c r="G24" i="11"/>
  <c r="I15" i="27"/>
  <c r="I17" i="30"/>
  <c r="N22" i="36"/>
  <c r="I25" i="36"/>
  <c r="B20" i="37"/>
  <c r="F37" i="42"/>
  <c r="M37" i="42"/>
  <c r="I24" i="27"/>
  <c r="F16" i="39"/>
  <c r="G21" i="11"/>
  <c r="G29" i="11"/>
  <c r="N10" i="24"/>
  <c r="I28" i="24"/>
  <c r="H31" i="24"/>
  <c r="H26" i="27"/>
  <c r="M22" i="30"/>
  <c r="K15" i="39"/>
  <c r="E23" i="39"/>
  <c r="E31" i="39"/>
  <c r="M31" i="39"/>
  <c r="D29" i="27"/>
  <c r="H32" i="39"/>
  <c r="G18" i="11"/>
  <c r="I26" i="27"/>
  <c r="C35" i="27"/>
  <c r="G25" i="36"/>
  <c r="H10" i="39"/>
  <c r="J20" i="39"/>
  <c r="K30" i="39"/>
  <c r="B24" i="40"/>
  <c r="I32" i="42"/>
  <c r="D36" i="42"/>
  <c r="B8" i="11"/>
  <c r="E22" i="11"/>
  <c r="F23" i="14"/>
  <c r="B36" i="31"/>
  <c r="F19" i="36"/>
  <c r="I10" i="39"/>
  <c r="N16" i="27"/>
  <c r="M27" i="27"/>
  <c r="J23" i="36"/>
  <c r="E30" i="39"/>
  <c r="N35" i="39"/>
  <c r="C26" i="11"/>
  <c r="DP6" i="56"/>
  <c r="DK6" i="56"/>
  <c r="DJ17" i="56"/>
  <c r="DJ36" i="56"/>
  <c r="BV6" i="56"/>
  <c r="BT9" i="56"/>
  <c r="BT21" i="56"/>
  <c r="BT19" i="56"/>
  <c r="BT26" i="56"/>
  <c r="BT29" i="56"/>
  <c r="BT35" i="56"/>
  <c r="AI6" i="56"/>
  <c r="AD29" i="56"/>
  <c r="AJ6" i="56"/>
  <c r="AE6" i="56"/>
  <c r="AD19" i="56"/>
  <c r="AD27" i="56"/>
  <c r="AD35" i="56"/>
  <c r="AD33" i="56"/>
  <c r="AM6" i="56"/>
  <c r="AG6" i="56"/>
  <c r="H11" i="24"/>
  <c r="N10" i="30"/>
  <c r="G33" i="27"/>
  <c r="D29" i="42"/>
  <c r="L26" i="36"/>
  <c r="C28" i="36"/>
  <c r="B28" i="35"/>
  <c r="M16" i="42"/>
  <c r="C28" i="42"/>
  <c r="B12" i="14"/>
  <c r="B29" i="41"/>
  <c r="M8" i="26"/>
  <c r="C25" i="27"/>
  <c r="C23" i="21"/>
  <c r="C31" i="42"/>
  <c r="I18" i="27"/>
  <c r="I8" i="26"/>
  <c r="C22" i="14"/>
  <c r="C17" i="18"/>
  <c r="M24" i="27"/>
  <c r="B21" i="40"/>
  <c r="G31" i="24"/>
  <c r="I23" i="21"/>
  <c r="C13" i="42"/>
  <c r="G19" i="33"/>
  <c r="F23" i="33"/>
  <c r="C29" i="33"/>
  <c r="C14" i="42"/>
  <c r="B12" i="41"/>
  <c r="N12" i="42"/>
  <c r="F26" i="39"/>
  <c r="C29" i="42"/>
  <c r="B13" i="40"/>
  <c r="N9" i="24"/>
  <c r="N26" i="30"/>
  <c r="H26" i="33"/>
  <c r="G24" i="39"/>
  <c r="B24" i="38"/>
  <c r="C25" i="39"/>
  <c r="C37" i="21"/>
  <c r="C33" i="24"/>
  <c r="C16" i="18"/>
  <c r="C18" i="27"/>
  <c r="I29" i="33"/>
  <c r="J14" i="18"/>
  <c r="D27" i="39"/>
  <c r="B9" i="41"/>
  <c r="C8" i="11"/>
  <c r="F6" i="9"/>
  <c r="N34" i="21"/>
  <c r="M37" i="21"/>
  <c r="G9" i="39"/>
  <c r="F13" i="39"/>
  <c r="G30" i="24"/>
  <c r="N20" i="21"/>
  <c r="I31" i="21"/>
  <c r="I34" i="21"/>
  <c r="I31" i="24"/>
  <c r="H14" i="30"/>
  <c r="B19" i="35"/>
  <c r="B19" i="36" s="1"/>
  <c r="D25" i="11"/>
  <c r="J32" i="42"/>
  <c r="G13" i="21"/>
  <c r="C26" i="21"/>
  <c r="I26" i="21"/>
  <c r="G33" i="42"/>
  <c r="B12" i="11"/>
  <c r="H16" i="27"/>
  <c r="H9" i="30"/>
  <c r="I31" i="30"/>
  <c r="M21" i="33"/>
  <c r="B14" i="35"/>
  <c r="B16" i="35"/>
  <c r="K29" i="36"/>
  <c r="C15" i="42"/>
  <c r="N21" i="24"/>
  <c r="M31" i="27"/>
  <c r="N34" i="27"/>
  <c r="L28" i="30"/>
  <c r="F32" i="30"/>
  <c r="L26" i="33"/>
  <c r="J26" i="39"/>
  <c r="D27" i="42"/>
  <c r="E34" i="42"/>
  <c r="C18" i="24"/>
  <c r="L20" i="27"/>
  <c r="J8" i="35"/>
  <c r="B14" i="38"/>
  <c r="C26" i="39"/>
  <c r="K26" i="39"/>
  <c r="F21" i="11"/>
  <c r="C32" i="11"/>
  <c r="J32" i="36"/>
  <c r="M33" i="36"/>
  <c r="G37" i="42"/>
  <c r="H6" i="9"/>
  <c r="H6" i="11"/>
  <c r="M15" i="27"/>
  <c r="N11" i="30"/>
  <c r="I22" i="30"/>
  <c r="I22" i="33"/>
  <c r="E23" i="33"/>
  <c r="L8" i="35"/>
  <c r="E23" i="36"/>
  <c r="K32" i="36"/>
  <c r="C35" i="42"/>
  <c r="B17" i="11"/>
  <c r="C32" i="36"/>
  <c r="K24" i="39"/>
  <c r="I26" i="39"/>
  <c r="H33" i="42"/>
  <c r="C13" i="11"/>
  <c r="B33" i="11"/>
  <c r="C31" i="30"/>
  <c r="G27" i="36"/>
  <c r="D13" i="39"/>
  <c r="B14" i="14"/>
  <c r="B24" i="14"/>
  <c r="H31" i="11"/>
  <c r="I22" i="27"/>
  <c r="E28" i="36"/>
  <c r="G13" i="39"/>
  <c r="C20" i="39"/>
  <c r="M33" i="42"/>
  <c r="C22" i="11"/>
  <c r="C44" i="113"/>
  <c r="C36" i="113"/>
  <c r="C8" i="113"/>
  <c r="D6" i="112"/>
  <c r="I6" i="110"/>
  <c r="G27" i="92"/>
  <c r="B37" i="38"/>
  <c r="H37" i="39"/>
  <c r="K23" i="42"/>
  <c r="C33" i="42"/>
  <c r="B33" i="41"/>
  <c r="G12" i="42"/>
  <c r="D19" i="39"/>
  <c r="G36" i="21"/>
  <c r="N18" i="21"/>
  <c r="E24" i="27"/>
  <c r="J31" i="39"/>
  <c r="N32" i="39"/>
  <c r="B32" i="38"/>
  <c r="F16" i="30"/>
  <c r="C21" i="39"/>
  <c r="D35" i="27"/>
  <c r="E13" i="18"/>
  <c r="I11" i="27"/>
  <c r="G24" i="27"/>
  <c r="C28" i="39"/>
  <c r="C8" i="37"/>
  <c r="B28" i="37"/>
  <c r="F33" i="39"/>
  <c r="J34" i="39"/>
  <c r="F15" i="39"/>
  <c r="I25" i="27"/>
  <c r="G21" i="42"/>
  <c r="N27" i="39"/>
  <c r="B12" i="40"/>
  <c r="C15" i="24"/>
  <c r="D36" i="24"/>
  <c r="C8" i="25"/>
  <c r="M19" i="24"/>
  <c r="I12" i="21"/>
  <c r="E26" i="27"/>
  <c r="F28" i="42"/>
  <c r="E31" i="42"/>
  <c r="B31" i="41"/>
  <c r="C12" i="27"/>
  <c r="C32" i="27"/>
  <c r="N25" i="30"/>
  <c r="B23" i="38"/>
  <c r="C23" i="39"/>
  <c r="N8" i="26"/>
  <c r="B17" i="38"/>
  <c r="B35" i="41"/>
  <c r="M34" i="39"/>
  <c r="C11" i="24"/>
  <c r="H21" i="24"/>
  <c r="N10" i="21"/>
  <c r="H29" i="30"/>
  <c r="N19" i="39"/>
  <c r="B19" i="37"/>
  <c r="C30" i="14"/>
  <c r="N18" i="18"/>
  <c r="I26" i="24"/>
  <c r="B25" i="31"/>
  <c r="N12" i="33"/>
  <c r="D25" i="42"/>
  <c r="D11" i="11"/>
  <c r="F20" i="14"/>
  <c r="C19" i="33"/>
  <c r="C21" i="33"/>
  <c r="N29" i="36"/>
  <c r="J36" i="42"/>
  <c r="N19" i="18"/>
  <c r="N26" i="24"/>
  <c r="B20" i="38"/>
  <c r="J36" i="18"/>
  <c r="H26" i="21"/>
  <c r="C10" i="24"/>
  <c r="M21" i="27"/>
  <c r="M8" i="28"/>
  <c r="C8" i="31"/>
  <c r="B17" i="41"/>
  <c r="E17" i="42"/>
  <c r="F15" i="11"/>
  <c r="M13" i="30"/>
  <c r="M23" i="33"/>
  <c r="J32" i="39"/>
  <c r="M8" i="40"/>
  <c r="D10" i="18"/>
  <c r="J12" i="30"/>
  <c r="F13" i="30"/>
  <c r="M27" i="36"/>
  <c r="H34" i="18"/>
  <c r="N23" i="24"/>
  <c r="N27" i="27"/>
  <c r="N23" i="33"/>
  <c r="E32" i="21"/>
  <c r="J13" i="24"/>
  <c r="M35" i="24"/>
  <c r="H36" i="24"/>
  <c r="D37" i="24"/>
  <c r="N31" i="27"/>
  <c r="B16" i="32"/>
  <c r="M27" i="33"/>
  <c r="L16" i="39"/>
  <c r="H17" i="27"/>
  <c r="K9" i="42"/>
  <c r="M31" i="42"/>
  <c r="G37" i="18"/>
  <c r="N13" i="24"/>
  <c r="N8" i="28"/>
  <c r="B27" i="31"/>
  <c r="H30" i="27"/>
  <c r="I31" i="36"/>
  <c r="I21" i="39"/>
  <c r="C32" i="39"/>
  <c r="N22" i="42"/>
  <c r="F14" i="14"/>
  <c r="D20" i="14"/>
  <c r="F28" i="33"/>
  <c r="F30" i="36"/>
  <c r="L37" i="39"/>
  <c r="B37" i="40"/>
  <c r="D34" i="42"/>
  <c r="C6" i="9"/>
  <c r="M30" i="27"/>
  <c r="H18" i="30"/>
  <c r="K23" i="33"/>
  <c r="N27" i="33"/>
  <c r="I30" i="33"/>
  <c r="I23" i="36"/>
  <c r="N14" i="39"/>
  <c r="C8" i="40"/>
  <c r="B32" i="41"/>
  <c r="M36" i="42"/>
  <c r="I14" i="27"/>
  <c r="H22" i="27"/>
  <c r="L31" i="30"/>
  <c r="D18" i="33"/>
  <c r="C22" i="33"/>
  <c r="J30" i="33"/>
  <c r="D11" i="39"/>
  <c r="J8" i="40"/>
  <c r="G23" i="11"/>
  <c r="C27" i="11"/>
  <c r="D24" i="14"/>
  <c r="H28" i="21"/>
  <c r="M27" i="42"/>
  <c r="K29" i="33"/>
  <c r="E8" i="32"/>
  <c r="H8" i="32"/>
  <c r="H8" i="25"/>
  <c r="B25" i="26"/>
  <c r="C8" i="20"/>
  <c r="C14" i="18"/>
  <c r="N33" i="18"/>
  <c r="M8" i="23"/>
  <c r="H14" i="24"/>
  <c r="G19" i="24"/>
  <c r="G8" i="23"/>
  <c r="N8" i="23"/>
  <c r="N19" i="24"/>
  <c r="F13" i="27"/>
  <c r="N8" i="25"/>
  <c r="N13" i="27"/>
  <c r="L28" i="27"/>
  <c r="B17" i="31"/>
  <c r="F8" i="31"/>
  <c r="N8" i="31"/>
  <c r="N8" i="33" s="1"/>
  <c r="E8" i="38"/>
  <c r="J25" i="39"/>
  <c r="E26" i="39"/>
  <c r="M26" i="39"/>
  <c r="C29" i="27"/>
  <c r="B18" i="20"/>
  <c r="D8" i="38"/>
  <c r="J8" i="26"/>
  <c r="B14" i="40"/>
  <c r="C19" i="21"/>
  <c r="B37" i="41"/>
  <c r="L17" i="27"/>
  <c r="M10" i="24"/>
  <c r="I28" i="42"/>
  <c r="H9" i="24"/>
  <c r="I8" i="28"/>
  <c r="I20" i="30"/>
  <c r="H30" i="30"/>
  <c r="B30" i="28"/>
  <c r="G12" i="33"/>
  <c r="B12" i="32"/>
  <c r="G8" i="32"/>
  <c r="L22" i="33"/>
  <c r="L8" i="32"/>
  <c r="B22" i="32"/>
  <c r="N25" i="33"/>
  <c r="D24" i="36"/>
  <c r="H24" i="36"/>
  <c r="B24" i="35"/>
  <c r="H8" i="35"/>
  <c r="D25" i="36"/>
  <c r="B25" i="35"/>
  <c r="B6" i="12"/>
  <c r="H11" i="27"/>
  <c r="I31" i="33"/>
  <c r="D8" i="16"/>
  <c r="M17" i="30"/>
  <c r="M8" i="29"/>
  <c r="D22" i="11"/>
  <c r="B19" i="32"/>
  <c r="D28" i="30"/>
  <c r="D23" i="27"/>
  <c r="C25" i="24"/>
  <c r="B9" i="31"/>
  <c r="B23" i="29"/>
  <c r="N26" i="21"/>
  <c r="I8" i="23"/>
  <c r="B16" i="41"/>
  <c r="G16" i="42"/>
  <c r="L23" i="42"/>
  <c r="B23" i="41"/>
  <c r="H36" i="42"/>
  <c r="B36" i="41"/>
  <c r="C21" i="11"/>
  <c r="C6" i="10"/>
  <c r="E19" i="18"/>
  <c r="H28" i="27"/>
  <c r="D32" i="33"/>
  <c r="D8" i="32"/>
  <c r="I17" i="18"/>
  <c r="I21" i="21"/>
  <c r="C36" i="27"/>
  <c r="F8" i="25"/>
  <c r="G23" i="30"/>
  <c r="D19" i="24"/>
  <c r="H33" i="24"/>
  <c r="B18" i="29"/>
  <c r="I8" i="29"/>
  <c r="G24" i="33"/>
  <c r="B14" i="11"/>
  <c r="B36" i="23"/>
  <c r="B19" i="38"/>
  <c r="H24" i="27"/>
  <c r="L23" i="33"/>
  <c r="I22" i="24"/>
  <c r="H13" i="24"/>
  <c r="I18" i="30"/>
  <c r="N9" i="21"/>
  <c r="I18" i="21"/>
  <c r="M22" i="24"/>
  <c r="G37" i="27"/>
  <c r="G12" i="27"/>
  <c r="C13" i="27"/>
  <c r="C8" i="26"/>
  <c r="C17" i="27"/>
  <c r="B34" i="38"/>
  <c r="F34" i="39"/>
  <c r="G9" i="42"/>
  <c r="G8" i="41"/>
  <c r="K8" i="41"/>
  <c r="K10" i="42"/>
  <c r="G15" i="42"/>
  <c r="B15" i="41"/>
  <c r="D22" i="42"/>
  <c r="B22" i="41"/>
  <c r="B22" i="42" s="1"/>
  <c r="D12" i="27"/>
  <c r="F33" i="27"/>
  <c r="G30" i="27"/>
  <c r="B33" i="29"/>
  <c r="G33" i="33"/>
  <c r="G18" i="24"/>
  <c r="M19" i="33"/>
  <c r="M8" i="32"/>
  <c r="F24" i="42"/>
  <c r="B24" i="41"/>
  <c r="E28" i="42"/>
  <c r="F15" i="24"/>
  <c r="G15" i="24"/>
  <c r="C29" i="24"/>
  <c r="C34" i="24"/>
  <c r="I9" i="27"/>
  <c r="D8" i="26"/>
  <c r="I27" i="30"/>
  <c r="B27" i="29"/>
  <c r="F9" i="42"/>
  <c r="N28" i="42"/>
  <c r="N8" i="40"/>
  <c r="D32" i="14"/>
  <c r="H8" i="23"/>
  <c r="G6" i="10"/>
  <c r="M8" i="25"/>
  <c r="B25" i="40"/>
  <c r="B23" i="23"/>
  <c r="F8" i="41"/>
  <c r="B9" i="40"/>
  <c r="B9" i="42" s="1"/>
  <c r="N8" i="22"/>
  <c r="N8" i="24" s="1"/>
  <c r="C12" i="24"/>
  <c r="B30" i="41"/>
  <c r="E29" i="30"/>
  <c r="E12" i="11"/>
  <c r="E6" i="9"/>
  <c r="G6" i="9"/>
  <c r="M11" i="18"/>
  <c r="C36" i="21"/>
  <c r="H8" i="20"/>
  <c r="H9" i="21"/>
  <c r="J10" i="21"/>
  <c r="J8" i="20"/>
  <c r="C8" i="23"/>
  <c r="B21" i="23"/>
  <c r="I19" i="33"/>
  <c r="E8" i="35"/>
  <c r="D24" i="39"/>
  <c r="F25" i="39"/>
  <c r="L19" i="39"/>
  <c r="N20" i="39"/>
  <c r="N8" i="38"/>
  <c r="B21" i="38"/>
  <c r="B29" i="38"/>
  <c r="B29" i="39" s="1"/>
  <c r="G8" i="38"/>
  <c r="G8" i="39" s="1"/>
  <c r="B27" i="40"/>
  <c r="D13" i="42"/>
  <c r="D8" i="41"/>
  <c r="D26" i="18"/>
  <c r="K27" i="18"/>
  <c r="N30" i="18"/>
  <c r="L25" i="24"/>
  <c r="F21" i="27"/>
  <c r="H35" i="27"/>
  <c r="I24" i="30"/>
  <c r="B24" i="28"/>
  <c r="J28" i="30"/>
  <c r="C35" i="18"/>
  <c r="N27" i="24"/>
  <c r="B23" i="40"/>
  <c r="H23" i="42"/>
  <c r="D22" i="21"/>
  <c r="N18" i="24"/>
  <c r="K28" i="24"/>
  <c r="N19" i="30"/>
  <c r="C18" i="33"/>
  <c r="L22" i="36"/>
  <c r="C33" i="36"/>
  <c r="L12" i="39"/>
  <c r="D14" i="18"/>
  <c r="N31" i="18"/>
  <c r="B35" i="23"/>
  <c r="J12" i="27"/>
  <c r="B29" i="28"/>
  <c r="K29" i="30"/>
  <c r="E28" i="33"/>
  <c r="J28" i="36"/>
  <c r="H19" i="39"/>
  <c r="F8" i="38"/>
  <c r="I8" i="38"/>
  <c r="M37" i="39"/>
  <c r="B15" i="40"/>
  <c r="L33" i="42"/>
  <c r="D18" i="42"/>
  <c r="F8" i="22"/>
  <c r="I12" i="24"/>
  <c r="N24" i="24"/>
  <c r="I34" i="24"/>
  <c r="B17" i="28"/>
  <c r="K26" i="30"/>
  <c r="B9" i="32"/>
  <c r="I23" i="39"/>
  <c r="B33" i="38"/>
  <c r="E11" i="42"/>
  <c r="B15" i="11"/>
  <c r="B16" i="11"/>
  <c r="G27" i="11"/>
  <c r="H15" i="24"/>
  <c r="G9" i="27"/>
  <c r="E34" i="27"/>
  <c r="J27" i="39"/>
  <c r="E22" i="42"/>
  <c r="L28" i="42"/>
  <c r="N14" i="24"/>
  <c r="C16" i="27"/>
  <c r="B16" i="14"/>
  <c r="G14" i="24"/>
  <c r="G21" i="24"/>
  <c r="G34" i="24"/>
  <c r="H25" i="27"/>
  <c r="G31" i="27"/>
  <c r="C22" i="30"/>
  <c r="E27" i="30"/>
  <c r="I28" i="30"/>
  <c r="D29" i="30"/>
  <c r="L29" i="39"/>
  <c r="M13" i="42"/>
  <c r="K16" i="42"/>
  <c r="B13" i="14"/>
  <c r="F8" i="28"/>
  <c r="M20" i="30"/>
  <c r="E31" i="36"/>
  <c r="D12" i="39"/>
  <c r="J27" i="42"/>
  <c r="L21" i="30"/>
  <c r="F27" i="36"/>
  <c r="I28" i="36"/>
  <c r="G28" i="39"/>
  <c r="B17" i="40"/>
  <c r="N27" i="42"/>
  <c r="K29" i="42"/>
  <c r="I13" i="27"/>
  <c r="I17" i="27"/>
  <c r="C26" i="27"/>
  <c r="M12" i="33"/>
  <c r="K29" i="39"/>
  <c r="L24" i="42"/>
  <c r="K36" i="42"/>
  <c r="N37" i="42"/>
  <c r="C9" i="11"/>
  <c r="D27" i="11"/>
  <c r="J11" i="30"/>
  <c r="B26" i="40"/>
  <c r="J23" i="42"/>
  <c r="H8" i="40"/>
  <c r="B32" i="11"/>
  <c r="G8" i="55"/>
  <c r="E29" i="21"/>
  <c r="G16" i="30"/>
  <c r="B16" i="28"/>
  <c r="N33" i="39"/>
  <c r="B33" i="37"/>
  <c r="B27" i="41"/>
  <c r="F10" i="39"/>
  <c r="B24" i="37"/>
  <c r="C26" i="42"/>
  <c r="J8" i="17"/>
  <c r="B11" i="37"/>
  <c r="C18" i="14"/>
  <c r="B21" i="31"/>
  <c r="B6" i="10"/>
  <c r="F30" i="18"/>
  <c r="C17" i="24"/>
  <c r="I10" i="27"/>
  <c r="B10" i="26"/>
  <c r="G17" i="42"/>
  <c r="G8" i="40"/>
  <c r="L8" i="40"/>
  <c r="B18" i="40"/>
  <c r="F8" i="40"/>
  <c r="C8" i="41"/>
  <c r="B25" i="38"/>
  <c r="D6" i="9"/>
  <c r="N8" i="37"/>
  <c r="B21" i="41"/>
  <c r="F19" i="27"/>
  <c r="B32" i="40"/>
  <c r="B19" i="34"/>
  <c r="B30" i="40"/>
  <c r="I36" i="39"/>
  <c r="H33" i="18"/>
  <c r="C32" i="24"/>
  <c r="D18" i="27"/>
  <c r="B18" i="25"/>
  <c r="F9" i="27"/>
  <c r="F8" i="26"/>
  <c r="N9" i="27"/>
  <c r="L8" i="26"/>
  <c r="L13" i="27"/>
  <c r="B19" i="26"/>
  <c r="F8" i="35"/>
  <c r="N8" i="35"/>
  <c r="L8" i="37"/>
  <c r="D37" i="39"/>
  <c r="B37" i="37"/>
  <c r="H8" i="38"/>
  <c r="B9" i="38"/>
  <c r="H9" i="39"/>
  <c r="M17" i="39"/>
  <c r="M8" i="38"/>
  <c r="I18" i="39"/>
  <c r="G31" i="39"/>
  <c r="B31" i="38"/>
  <c r="E8" i="41"/>
  <c r="E8" i="42" s="1"/>
  <c r="L11" i="42"/>
  <c r="B11" i="41"/>
  <c r="B11" i="42" s="1"/>
  <c r="B12" i="34"/>
  <c r="D8" i="34"/>
  <c r="D8" i="36" s="1"/>
  <c r="I13" i="39"/>
  <c r="B13" i="37"/>
  <c r="J8" i="29"/>
  <c r="K8" i="31"/>
  <c r="K22" i="33"/>
  <c r="H28" i="33"/>
  <c r="B28" i="32"/>
  <c r="B30" i="32"/>
  <c r="B29" i="34"/>
  <c r="B29" i="36" s="1"/>
  <c r="C29" i="36"/>
  <c r="C18" i="39"/>
  <c r="C8" i="38"/>
  <c r="E6" i="13"/>
  <c r="E6" i="14" s="1"/>
  <c r="I8" i="34"/>
  <c r="B9" i="35"/>
  <c r="C8" i="32"/>
  <c r="C12" i="21"/>
  <c r="C8" i="19"/>
  <c r="G37" i="21"/>
  <c r="B13" i="31"/>
  <c r="K8" i="29"/>
  <c r="K8" i="30" s="1"/>
  <c r="I8" i="20"/>
  <c r="B13" i="41"/>
  <c r="B15" i="22"/>
  <c r="B12" i="26"/>
  <c r="G8" i="31"/>
  <c r="K8" i="38"/>
  <c r="B34" i="40"/>
  <c r="B34" i="42" s="1"/>
  <c r="B22" i="26"/>
  <c r="F26" i="36"/>
  <c r="J22" i="36"/>
  <c r="D17" i="18"/>
  <c r="H8" i="19"/>
  <c r="C8" i="34"/>
  <c r="C25" i="36"/>
  <c r="H8" i="41"/>
  <c r="H25" i="42"/>
  <c r="B25" i="41"/>
  <c r="B25" i="42" s="1"/>
  <c r="B12" i="37"/>
  <c r="J9" i="39"/>
  <c r="B9" i="37"/>
  <c r="M12" i="39"/>
  <c r="B20" i="41"/>
  <c r="J8" i="41"/>
  <c r="J8" i="42" s="1"/>
  <c r="J20" i="42"/>
  <c r="H8" i="37"/>
  <c r="H8" i="39" s="1"/>
  <c r="J8" i="38"/>
  <c r="L8" i="41"/>
  <c r="B28" i="34"/>
  <c r="D23" i="21"/>
  <c r="C24" i="30"/>
  <c r="B24" i="29"/>
  <c r="B24" i="30" s="1"/>
  <c r="C8" i="29"/>
  <c r="C8" i="30" s="1"/>
  <c r="B10" i="34"/>
  <c r="I8" i="37"/>
  <c r="I8" i="39" s="1"/>
  <c r="F8" i="37"/>
  <c r="D6" i="10"/>
  <c r="D6" i="11" s="1"/>
  <c r="G8" i="19"/>
  <c r="B26" i="38"/>
  <c r="B25" i="37"/>
  <c r="B35" i="37"/>
  <c r="F8" i="19"/>
  <c r="F10" i="21"/>
  <c r="L20" i="21"/>
  <c r="M24" i="21"/>
  <c r="C33" i="27"/>
  <c r="B33" i="26"/>
  <c r="E10" i="30"/>
  <c r="B10" i="28"/>
  <c r="L12" i="30"/>
  <c r="L8" i="28"/>
  <c r="H13" i="30"/>
  <c r="B13" i="28"/>
  <c r="H8" i="28"/>
  <c r="F8" i="32"/>
  <c r="F33" i="33"/>
  <c r="I8" i="40"/>
  <c r="B33" i="40"/>
  <c r="B20" i="14"/>
  <c r="B6" i="13"/>
  <c r="B6" i="14" s="1"/>
  <c r="G19" i="36"/>
  <c r="B33" i="34"/>
  <c r="B30" i="38"/>
  <c r="B30" i="39" s="1"/>
  <c r="L18" i="42"/>
  <c r="B18" i="41"/>
  <c r="N8" i="41"/>
  <c r="N8" i="42" s="1"/>
  <c r="B19" i="41"/>
  <c r="M21" i="42"/>
  <c r="M8" i="41"/>
  <c r="C27" i="39"/>
  <c r="L8" i="38"/>
  <c r="N19" i="42"/>
  <c r="D22" i="33"/>
  <c r="J12" i="21"/>
  <c r="J8" i="19"/>
  <c r="F13" i="24"/>
  <c r="B18" i="31"/>
  <c r="B21" i="25"/>
  <c r="G8" i="26"/>
  <c r="B33" i="35"/>
  <c r="I19" i="24"/>
  <c r="B24" i="31"/>
  <c r="B32" i="32"/>
  <c r="B23" i="31"/>
  <c r="I8" i="17"/>
  <c r="B29" i="32"/>
  <c r="N8" i="20"/>
  <c r="B31" i="40"/>
  <c r="B31" i="42" s="1"/>
  <c r="B14" i="28"/>
  <c r="E30" i="33"/>
  <c r="C25" i="18"/>
  <c r="G15" i="21"/>
  <c r="G24" i="21"/>
  <c r="F14" i="27"/>
  <c r="B14" i="26"/>
  <c r="K30" i="27"/>
  <c r="F29" i="18"/>
  <c r="C28" i="21"/>
  <c r="J28" i="21"/>
  <c r="N22" i="24"/>
  <c r="L37" i="24"/>
  <c r="E20" i="30"/>
  <c r="B20" i="29"/>
  <c r="J8" i="32"/>
  <c r="B17" i="37"/>
  <c r="H17" i="39"/>
  <c r="F6" i="13"/>
  <c r="D6" i="13"/>
  <c r="D31" i="14"/>
  <c r="F15" i="21"/>
  <c r="N17" i="21"/>
  <c r="L15" i="27"/>
  <c r="B15" i="25"/>
  <c r="G32" i="30"/>
  <c r="B14" i="29"/>
  <c r="I14" i="30"/>
  <c r="L17" i="30"/>
  <c r="L8" i="29"/>
  <c r="E18" i="33"/>
  <c r="B18" i="32"/>
  <c r="C31" i="18"/>
  <c r="L30" i="18"/>
  <c r="G31" i="18"/>
  <c r="D9" i="21"/>
  <c r="B30" i="22"/>
  <c r="F30" i="24"/>
  <c r="L13" i="24"/>
  <c r="L8" i="23"/>
  <c r="H17" i="24"/>
  <c r="L18" i="24"/>
  <c r="B25" i="23"/>
  <c r="C27" i="24"/>
  <c r="B27" i="23"/>
  <c r="G13" i="30"/>
  <c r="K18" i="18"/>
  <c r="K20" i="18"/>
  <c r="M30" i="18"/>
  <c r="L14" i="21"/>
  <c r="D18" i="21"/>
  <c r="I17" i="24"/>
  <c r="E8" i="23"/>
  <c r="B21" i="28"/>
  <c r="E21" i="30"/>
  <c r="D20" i="42"/>
  <c r="B20" i="40"/>
  <c r="N8" i="17"/>
  <c r="J11" i="18"/>
  <c r="H23" i="18"/>
  <c r="D24" i="18"/>
  <c r="N25" i="18"/>
  <c r="D33" i="18"/>
  <c r="I8" i="19"/>
  <c r="N25" i="21"/>
  <c r="L29" i="21"/>
  <c r="G13" i="24"/>
  <c r="L8" i="25"/>
  <c r="B14" i="25"/>
  <c r="C14" i="27"/>
  <c r="H8" i="26"/>
  <c r="H8" i="27" s="1"/>
  <c r="H9" i="27"/>
  <c r="H22" i="30"/>
  <c r="B29" i="29"/>
  <c r="D31" i="33"/>
  <c r="B31" i="32"/>
  <c r="H33" i="36"/>
  <c r="F6" i="12"/>
  <c r="N27" i="18"/>
  <c r="M29" i="18"/>
  <c r="I30" i="18"/>
  <c r="L8" i="19"/>
  <c r="L9" i="21"/>
  <c r="I11" i="21"/>
  <c r="L12" i="24"/>
  <c r="I8" i="32"/>
  <c r="H14" i="39"/>
  <c r="I33" i="42"/>
  <c r="E23" i="11"/>
  <c r="E11" i="18"/>
  <c r="I14" i="18"/>
  <c r="I25" i="18"/>
  <c r="J30" i="18"/>
  <c r="H14" i="21"/>
  <c r="C16" i="21"/>
  <c r="L17" i="21"/>
  <c r="I19" i="21"/>
  <c r="M21" i="21"/>
  <c r="H24" i="21"/>
  <c r="N24" i="21"/>
  <c r="L26" i="21"/>
  <c r="L35" i="21"/>
  <c r="N19" i="36"/>
  <c r="M13" i="39"/>
  <c r="E24" i="39"/>
  <c r="D14" i="42"/>
  <c r="B14" i="41"/>
  <c r="C19" i="18"/>
  <c r="E26" i="18"/>
  <c r="N8" i="19"/>
  <c r="B24" i="20"/>
  <c r="J11" i="24"/>
  <c r="E24" i="24"/>
  <c r="B11" i="25"/>
  <c r="M12" i="27"/>
  <c r="N27" i="30"/>
  <c r="F22" i="39"/>
  <c r="B16" i="40"/>
  <c r="G35" i="42"/>
  <c r="B35" i="40"/>
  <c r="B35" i="42" s="1"/>
  <c r="C34" i="14"/>
  <c r="F24" i="24"/>
  <c r="M26" i="24"/>
  <c r="F36" i="24"/>
  <c r="D8" i="25"/>
  <c r="B22" i="25"/>
  <c r="D30" i="27"/>
  <c r="B36" i="26"/>
  <c r="B19" i="28"/>
  <c r="F27" i="33"/>
  <c r="L32" i="33"/>
  <c r="K25" i="36"/>
  <c r="B26" i="37"/>
  <c r="N17" i="39"/>
  <c r="F13" i="14"/>
  <c r="C20" i="14"/>
  <c r="B35" i="22"/>
  <c r="M12" i="24"/>
  <c r="C19" i="24"/>
  <c r="M27" i="24"/>
  <c r="M32" i="24"/>
  <c r="B27" i="25"/>
  <c r="B30" i="25"/>
  <c r="B23" i="26"/>
  <c r="L32" i="27"/>
  <c r="D8" i="31"/>
  <c r="L8" i="31"/>
  <c r="H8" i="31"/>
  <c r="H8" i="33" s="1"/>
  <c r="C19" i="36"/>
  <c r="N30" i="39"/>
  <c r="N15" i="42"/>
  <c r="K8" i="40"/>
  <c r="E6" i="10"/>
  <c r="E6" i="11" s="1"/>
  <c r="F22" i="11"/>
  <c r="C35" i="11"/>
  <c r="E9" i="24"/>
  <c r="H10" i="24"/>
  <c r="N12" i="24"/>
  <c r="B17" i="23"/>
  <c r="J26" i="24"/>
  <c r="K34" i="24"/>
  <c r="B28" i="28"/>
  <c r="G20" i="30"/>
  <c r="M26" i="30"/>
  <c r="K28" i="30"/>
  <c r="E31" i="30"/>
  <c r="K8" i="32"/>
  <c r="B13" i="35"/>
  <c r="B37" i="35"/>
  <c r="N25" i="39"/>
  <c r="C16" i="42"/>
  <c r="D29" i="11"/>
  <c r="B34" i="22"/>
  <c r="F9" i="24"/>
  <c r="J16" i="24"/>
  <c r="H20" i="24"/>
  <c r="L24" i="24"/>
  <c r="B16" i="25"/>
  <c r="L14" i="27"/>
  <c r="J22" i="27"/>
  <c r="K16" i="30"/>
  <c r="B37" i="32"/>
  <c r="B21" i="35"/>
  <c r="G20" i="39"/>
  <c r="B28" i="38"/>
  <c r="B28" i="39" s="1"/>
  <c r="B10" i="41"/>
  <c r="D6" i="12"/>
  <c r="D6" i="14" s="1"/>
  <c r="H32" i="11"/>
  <c r="F11" i="30"/>
  <c r="D21" i="30"/>
  <c r="I32" i="30"/>
  <c r="I8" i="31"/>
  <c r="B20" i="31"/>
  <c r="B9" i="34"/>
  <c r="B18" i="37"/>
  <c r="B18" i="39" s="1"/>
  <c r="B23" i="37"/>
  <c r="B23" i="39" s="1"/>
  <c r="F30" i="14"/>
  <c r="C32" i="14"/>
  <c r="E28" i="30"/>
  <c r="B10" i="31"/>
  <c r="N21" i="33"/>
  <c r="N30" i="33"/>
  <c r="M8" i="35"/>
  <c r="B20" i="35"/>
  <c r="G24" i="36"/>
  <c r="B36" i="35"/>
  <c r="J37" i="42"/>
  <c r="E17" i="11"/>
  <c r="F27" i="11"/>
  <c r="F6" i="10"/>
  <c r="F6" i="11" s="1"/>
  <c r="G8" i="29"/>
  <c r="G12" i="30"/>
  <c r="M14" i="30"/>
  <c r="L27" i="30"/>
  <c r="F28" i="30"/>
  <c r="M32" i="30"/>
  <c r="G21" i="33"/>
  <c r="B33" i="32"/>
  <c r="F23" i="36"/>
  <c r="C37" i="42"/>
  <c r="D23" i="11"/>
  <c r="D24" i="11"/>
  <c r="D23" i="14"/>
  <c r="F14" i="30"/>
  <c r="J8" i="34"/>
  <c r="B10" i="35"/>
  <c r="K22" i="36"/>
  <c r="F17" i="39"/>
  <c r="L34" i="39"/>
  <c r="J36" i="39"/>
  <c r="B29" i="40"/>
  <c r="B29" i="42" s="1"/>
  <c r="I8" i="41"/>
  <c r="N31" i="42"/>
  <c r="H27" i="92"/>
  <c r="B6" i="9"/>
  <c r="B6" i="11" s="1"/>
  <c r="B22" i="14"/>
  <c r="H8" i="30"/>
  <c r="B9" i="39"/>
  <c r="C57" i="8"/>
  <c r="C53" i="8"/>
  <c r="C41" i="8"/>
  <c r="C13" i="8"/>
  <c r="E6" i="6"/>
  <c r="N6" i="111"/>
  <c r="K6" i="111"/>
  <c r="N6" i="112"/>
  <c r="B25" i="112"/>
  <c r="B16" i="112"/>
  <c r="B8" i="112"/>
  <c r="C10" i="15"/>
  <c r="H17" i="15"/>
  <c r="H16" i="15"/>
  <c r="B31" i="45"/>
  <c r="B30" i="45"/>
  <c r="B28" i="45"/>
  <c r="B29" i="44"/>
  <c r="G29" i="45"/>
  <c r="C6" i="110"/>
  <c r="B25" i="110"/>
  <c r="N6" i="110"/>
  <c r="J6" i="110"/>
  <c r="I32" i="69"/>
  <c r="H8" i="16"/>
  <c r="B22" i="16"/>
  <c r="D8" i="17"/>
  <c r="D20" i="18"/>
  <c r="J21" i="18"/>
  <c r="G30" i="18"/>
  <c r="L32" i="18"/>
  <c r="E22" i="18"/>
  <c r="K22" i="18"/>
  <c r="D25" i="18"/>
  <c r="N29" i="18"/>
  <c r="C29" i="18"/>
  <c r="D12" i="18"/>
  <c r="E15" i="18"/>
  <c r="L21" i="18"/>
  <c r="E27" i="18"/>
  <c r="M34" i="18"/>
  <c r="M20" i="18"/>
  <c r="E16" i="18"/>
  <c r="J33" i="18"/>
  <c r="H36" i="18"/>
  <c r="N10" i="18"/>
  <c r="H11" i="18"/>
  <c r="J17" i="18"/>
  <c r="I21" i="18"/>
  <c r="H25" i="18"/>
  <c r="H28" i="18"/>
  <c r="N28" i="18"/>
  <c r="B10" i="23"/>
  <c r="K13" i="27"/>
  <c r="I19" i="27"/>
  <c r="N21" i="27"/>
  <c r="N22" i="27"/>
  <c r="F28" i="27"/>
  <c r="I32" i="27"/>
  <c r="D20" i="27"/>
  <c r="D21" i="27"/>
  <c r="J33" i="27"/>
  <c r="M37" i="27"/>
  <c r="M10" i="30"/>
  <c r="G14" i="27"/>
  <c r="I29" i="27"/>
  <c r="H31" i="27"/>
  <c r="D8" i="20"/>
  <c r="I12" i="27"/>
  <c r="J26" i="27"/>
  <c r="G16" i="27"/>
  <c r="I16" i="27"/>
  <c r="N20" i="27"/>
  <c r="G22" i="27"/>
  <c r="B29" i="26"/>
  <c r="J31" i="27"/>
  <c r="H33" i="27"/>
  <c r="N33" i="27"/>
  <c r="K27" i="39"/>
  <c r="I8" i="35"/>
  <c r="E19" i="36"/>
  <c r="N31" i="36"/>
  <c r="E13" i="39"/>
  <c r="F24" i="39"/>
  <c r="M36" i="39"/>
  <c r="E8" i="34"/>
  <c r="E8" i="36" s="1"/>
  <c r="N26" i="39"/>
  <c r="D35" i="39"/>
  <c r="D8" i="55"/>
  <c r="AD13" i="56"/>
  <c r="AD25" i="56"/>
  <c r="K8" i="35"/>
  <c r="C23" i="36"/>
  <c r="L33" i="39"/>
  <c r="AD18" i="56"/>
  <c r="K30" i="36"/>
  <c r="D33" i="36"/>
  <c r="E15" i="39"/>
  <c r="N31" i="39"/>
  <c r="AD11" i="56"/>
  <c r="C24" i="36"/>
  <c r="B18" i="35"/>
  <c r="C29" i="39"/>
  <c r="D29" i="18"/>
  <c r="B23" i="16" l="1"/>
  <c r="G23" i="18"/>
  <c r="B31" i="16"/>
  <c r="B35" i="16"/>
  <c r="F8" i="17"/>
  <c r="B11" i="17"/>
  <c r="B16" i="17"/>
  <c r="F17" i="18"/>
  <c r="D10" i="21"/>
  <c r="D11" i="21"/>
  <c r="D12" i="21"/>
  <c r="D15" i="21"/>
  <c r="D20" i="21"/>
  <c r="J25" i="21"/>
  <c r="D26" i="21"/>
  <c r="D29" i="21"/>
  <c r="D31" i="21"/>
  <c r="B9" i="20"/>
  <c r="B32" i="28"/>
  <c r="B33" i="42"/>
  <c r="B30" i="31"/>
  <c r="B28" i="31"/>
  <c r="C10" i="42"/>
  <c r="B32" i="42"/>
  <c r="C8" i="42"/>
  <c r="B24" i="39"/>
  <c r="E9" i="18"/>
  <c r="K9" i="18"/>
  <c r="K10" i="18"/>
  <c r="H14" i="42"/>
  <c r="F30" i="42"/>
  <c r="C8" i="39"/>
  <c r="E8" i="20"/>
  <c r="G25" i="42"/>
  <c r="M25" i="42"/>
  <c r="G31" i="42"/>
  <c r="H27" i="91"/>
  <c r="B13" i="42"/>
  <c r="B21" i="42"/>
  <c r="N26" i="42"/>
  <c r="G27" i="91"/>
  <c r="L14" i="18"/>
  <c r="F15" i="18"/>
  <c r="L15" i="18"/>
  <c r="L16" i="18"/>
  <c r="B17" i="17"/>
  <c r="L17" i="18"/>
  <c r="F18" i="18"/>
  <c r="F20" i="18"/>
  <c r="F21" i="18"/>
  <c r="F22" i="18"/>
  <c r="F24" i="18"/>
  <c r="L24" i="18"/>
  <c r="F25" i="18"/>
  <c r="L25" i="18"/>
  <c r="F26" i="18"/>
  <c r="L26" i="18"/>
  <c r="F27" i="18"/>
  <c r="B30" i="17"/>
  <c r="K31" i="18"/>
  <c r="E8" i="17"/>
  <c r="B34" i="17"/>
  <c r="K35" i="18"/>
  <c r="B36" i="17"/>
  <c r="E37" i="18"/>
  <c r="K37" i="18"/>
  <c r="B10" i="19"/>
  <c r="B13" i="19"/>
  <c r="B15" i="19"/>
  <c r="B17" i="19"/>
  <c r="B17" i="21" s="1"/>
  <c r="B18" i="19"/>
  <c r="B18" i="21" s="1"/>
  <c r="B19" i="19"/>
  <c r="B20" i="19"/>
  <c r="B21" i="19"/>
  <c r="B24" i="19"/>
  <c r="B27" i="19"/>
  <c r="B34" i="19"/>
  <c r="B15" i="20"/>
  <c r="B17" i="20"/>
  <c r="B19" i="20"/>
  <c r="B20" i="20"/>
  <c r="B23" i="20"/>
  <c r="B26" i="20"/>
  <c r="B28" i="20"/>
  <c r="B31" i="20"/>
  <c r="B10" i="22"/>
  <c r="B11" i="22"/>
  <c r="B20" i="22"/>
  <c r="B31" i="22"/>
  <c r="B9" i="23"/>
  <c r="B15" i="23"/>
  <c r="B16" i="23"/>
  <c r="B20" i="23"/>
  <c r="B29" i="23"/>
  <c r="B32" i="23"/>
  <c r="B33" i="23"/>
  <c r="B34" i="23"/>
  <c r="B37" i="23"/>
  <c r="B10" i="25"/>
  <c r="B12" i="25"/>
  <c r="B20" i="25"/>
  <c r="B25" i="25"/>
  <c r="B28" i="25"/>
  <c r="B35" i="25"/>
  <c r="B13" i="26"/>
  <c r="B17" i="26"/>
  <c r="B21" i="26"/>
  <c r="B24" i="26"/>
  <c r="B28" i="26"/>
  <c r="B30" i="26"/>
  <c r="B31" i="26"/>
  <c r="B34" i="26"/>
  <c r="B35" i="26"/>
  <c r="B37" i="26"/>
  <c r="B23" i="28"/>
  <c r="B25" i="28"/>
  <c r="B31" i="29"/>
  <c r="B11" i="31"/>
  <c r="B26" i="31"/>
  <c r="B35" i="31"/>
  <c r="B23" i="32"/>
  <c r="B25" i="32"/>
  <c r="B26" i="32"/>
  <c r="B27" i="32"/>
  <c r="J22" i="42"/>
  <c r="J34" i="42"/>
  <c r="B34" i="112"/>
  <c r="I6" i="112"/>
  <c r="B16" i="111"/>
  <c r="F6" i="111"/>
  <c r="C6" i="111"/>
  <c r="I6" i="111"/>
  <c r="F6" i="110"/>
  <c r="B37" i="42"/>
  <c r="D9" i="39"/>
  <c r="J12" i="39"/>
  <c r="D15" i="39"/>
  <c r="J15" i="39"/>
  <c r="D16" i="39"/>
  <c r="D17" i="39"/>
  <c r="D18" i="39"/>
  <c r="D20" i="39"/>
  <c r="J24" i="39"/>
  <c r="D25" i="39"/>
  <c r="D26" i="39"/>
  <c r="D31" i="39"/>
  <c r="D32" i="39"/>
  <c r="G8" i="17"/>
  <c r="K18" i="21"/>
  <c r="E21" i="21"/>
  <c r="E24" i="21"/>
  <c r="K25" i="21"/>
  <c r="K30" i="21"/>
  <c r="K33" i="21"/>
  <c r="E34" i="21"/>
  <c r="K10" i="24"/>
  <c r="K11" i="24"/>
  <c r="K12" i="24"/>
  <c r="K17" i="24"/>
  <c r="K21" i="24"/>
  <c r="E22" i="24"/>
  <c r="K22" i="24"/>
  <c r="K26" i="24"/>
  <c r="K29" i="24"/>
  <c r="E31" i="24"/>
  <c r="K35" i="24"/>
  <c r="E10" i="27"/>
  <c r="K10" i="27"/>
  <c r="K17" i="27"/>
  <c r="E20" i="27"/>
  <c r="K24" i="27"/>
  <c r="K26" i="27"/>
  <c r="K32" i="27"/>
  <c r="E33" i="27"/>
  <c r="E11" i="30"/>
  <c r="K12" i="30"/>
  <c r="E14" i="30"/>
  <c r="K14" i="30"/>
  <c r="K15" i="30"/>
  <c r="K20" i="30"/>
  <c r="E26" i="30"/>
  <c r="E30" i="30"/>
  <c r="K21" i="33"/>
  <c r="E24" i="33"/>
  <c r="K31" i="33"/>
  <c r="K32" i="33"/>
  <c r="B12" i="35"/>
  <c r="K23" i="36"/>
  <c r="K31" i="36"/>
  <c r="B32" i="35"/>
  <c r="B34" i="35"/>
  <c r="F8" i="42"/>
  <c r="B33" i="27"/>
  <c r="E8" i="30"/>
  <c r="B10" i="42"/>
  <c r="E20" i="21"/>
  <c r="K8" i="16"/>
  <c r="F16" i="18"/>
  <c r="I37" i="42"/>
  <c r="E8" i="24"/>
  <c r="B36" i="16"/>
  <c r="B36" i="18" s="1"/>
  <c r="B30" i="27"/>
  <c r="B35" i="24"/>
  <c r="B9" i="26"/>
  <c r="B37" i="25"/>
  <c r="B15" i="16"/>
  <c r="E28" i="27"/>
  <c r="B31" i="23"/>
  <c r="M13" i="18"/>
  <c r="H8" i="17"/>
  <c r="H8" i="18" s="1"/>
  <c r="B10" i="24"/>
  <c r="B20" i="16"/>
  <c r="B19" i="31"/>
  <c r="B19" i="33" s="1"/>
  <c r="D15" i="18"/>
  <c r="J15" i="18"/>
  <c r="D16" i="18"/>
  <c r="D19" i="18"/>
  <c r="J22" i="18"/>
  <c r="D23" i="18"/>
  <c r="D28" i="18"/>
  <c r="C32" i="18"/>
  <c r="I35" i="18"/>
  <c r="C36" i="18"/>
  <c r="I36" i="18"/>
  <c r="C37" i="18"/>
  <c r="H11" i="39"/>
  <c r="H12" i="39"/>
  <c r="H13" i="39"/>
  <c r="H15" i="39"/>
  <c r="N15" i="39"/>
  <c r="H16" i="39"/>
  <c r="E27" i="42"/>
  <c r="K27" i="42"/>
  <c r="K33" i="42"/>
  <c r="J8" i="36"/>
  <c r="E23" i="21"/>
  <c r="B17" i="22"/>
  <c r="B17" i="24" s="1"/>
  <c r="B10" i="16"/>
  <c r="E36" i="18"/>
  <c r="D8" i="33"/>
  <c r="B11" i="39"/>
  <c r="K8" i="22"/>
  <c r="B24" i="32"/>
  <c r="J21" i="21"/>
  <c r="J26" i="21"/>
  <c r="D30" i="21"/>
  <c r="J31" i="21"/>
  <c r="D33" i="21"/>
  <c r="B37" i="16"/>
  <c r="B10" i="17"/>
  <c r="B10" i="18" s="1"/>
  <c r="H12" i="18"/>
  <c r="B14" i="17"/>
  <c r="B15" i="17"/>
  <c r="B15" i="18" s="1"/>
  <c r="H17" i="18"/>
  <c r="B18" i="17"/>
  <c r="B19" i="17"/>
  <c r="H20" i="18"/>
  <c r="B21" i="17"/>
  <c r="H22" i="18"/>
  <c r="B23" i="17"/>
  <c r="B24" i="17"/>
  <c r="B25" i="17"/>
  <c r="B27" i="17"/>
  <c r="M8" i="17"/>
  <c r="B31" i="17"/>
  <c r="B31" i="18" s="1"/>
  <c r="B32" i="17"/>
  <c r="B33" i="17"/>
  <c r="M33" i="18"/>
  <c r="G34" i="18"/>
  <c r="B35" i="17"/>
  <c r="B14" i="30"/>
  <c r="B19" i="39"/>
  <c r="J8" i="27"/>
  <c r="B25" i="27"/>
  <c r="B13" i="16"/>
  <c r="B13" i="18" s="1"/>
  <c r="L8" i="17"/>
  <c r="L8" i="18" s="1"/>
  <c r="L18" i="18"/>
  <c r="F19" i="18"/>
  <c r="L27" i="18"/>
  <c r="E30" i="18"/>
  <c r="K30" i="18"/>
  <c r="E31" i="18"/>
  <c r="E32" i="18"/>
  <c r="K32" i="18"/>
  <c r="E33" i="18"/>
  <c r="E34" i="18"/>
  <c r="E33" i="21"/>
  <c r="B37" i="17"/>
  <c r="B9" i="19"/>
  <c r="B28" i="19"/>
  <c r="B32" i="19"/>
  <c r="B10" i="20"/>
  <c r="B10" i="21" s="1"/>
  <c r="B11" i="20"/>
  <c r="F12" i="21"/>
  <c r="B14" i="20"/>
  <c r="B16" i="20"/>
  <c r="L16" i="21"/>
  <c r="F19" i="21"/>
  <c r="F20" i="21"/>
  <c r="B21" i="20"/>
  <c r="B21" i="21" s="1"/>
  <c r="L21" i="21"/>
  <c r="L23" i="21"/>
  <c r="L24" i="21"/>
  <c r="B25" i="20"/>
  <c r="L25" i="21"/>
  <c r="F27" i="21"/>
  <c r="B29" i="20"/>
  <c r="B30" i="20"/>
  <c r="F31" i="21"/>
  <c r="L33" i="21"/>
  <c r="F34" i="21"/>
  <c r="B35" i="20"/>
  <c r="B36" i="20"/>
  <c r="L36" i="21"/>
  <c r="F37" i="21"/>
  <c r="L37" i="21"/>
  <c r="B16" i="22"/>
  <c r="B16" i="24" s="1"/>
  <c r="B21" i="22"/>
  <c r="B21" i="24" s="1"/>
  <c r="B23" i="22"/>
  <c r="B23" i="24" s="1"/>
  <c r="B24" i="22"/>
  <c r="L9" i="24"/>
  <c r="F10" i="24"/>
  <c r="F11" i="24"/>
  <c r="L11" i="24"/>
  <c r="F12" i="24"/>
  <c r="B14" i="23"/>
  <c r="B18" i="23"/>
  <c r="L19" i="24"/>
  <c r="F20" i="24"/>
  <c r="F21" i="24"/>
  <c r="F25" i="24"/>
  <c r="B26" i="23"/>
  <c r="F27" i="24"/>
  <c r="L28" i="24"/>
  <c r="F29" i="24"/>
  <c r="L29" i="24"/>
  <c r="F31" i="24"/>
  <c r="L33" i="24"/>
  <c r="F34" i="24"/>
  <c r="L36" i="24"/>
  <c r="F37" i="24"/>
  <c r="B9" i="25"/>
  <c r="B13" i="25"/>
  <c r="B24" i="25"/>
  <c r="B31" i="25"/>
  <c r="B31" i="27" s="1"/>
  <c r="L9" i="27"/>
  <c r="L10" i="27"/>
  <c r="F11" i="27"/>
  <c r="L11" i="27"/>
  <c r="L19" i="27"/>
  <c r="F20" i="27"/>
  <c r="F23" i="27"/>
  <c r="F24" i="27"/>
  <c r="B26" i="26"/>
  <c r="B26" i="27" s="1"/>
  <c r="L29" i="27"/>
  <c r="L30" i="27"/>
  <c r="B32" i="26"/>
  <c r="B32" i="27" s="1"/>
  <c r="F35" i="27"/>
  <c r="L35" i="27"/>
  <c r="F36" i="27"/>
  <c r="B22" i="28"/>
  <c r="F10" i="30"/>
  <c r="B11" i="29"/>
  <c r="F12" i="30"/>
  <c r="L13" i="30"/>
  <c r="B26" i="29"/>
  <c r="L32" i="30"/>
  <c r="F18" i="33"/>
  <c r="F19" i="33"/>
  <c r="L27" i="33"/>
  <c r="F29" i="33"/>
  <c r="L31" i="33"/>
  <c r="B17" i="16"/>
  <c r="J8" i="16"/>
  <c r="B21" i="16"/>
  <c r="B24" i="16"/>
  <c r="B24" i="18" s="1"/>
  <c r="B25" i="16"/>
  <c r="B25" i="18" s="1"/>
  <c r="B26" i="16"/>
  <c r="B27" i="16"/>
  <c r="B29" i="16"/>
  <c r="B30" i="16"/>
  <c r="L13" i="18"/>
  <c r="G9" i="18"/>
  <c r="G10" i="18"/>
  <c r="M10" i="18"/>
  <c r="G11" i="18"/>
  <c r="B12" i="16"/>
  <c r="M12" i="18"/>
  <c r="K14" i="18"/>
  <c r="J34" i="18"/>
  <c r="D35" i="18"/>
  <c r="D36" i="18"/>
  <c r="J37" i="18"/>
  <c r="J11" i="21"/>
  <c r="J13" i="21"/>
  <c r="D14" i="21"/>
  <c r="D17" i="21"/>
  <c r="J19" i="21"/>
  <c r="J16" i="39"/>
  <c r="B9" i="21"/>
  <c r="M8" i="19"/>
  <c r="G8" i="16"/>
  <c r="G12" i="18"/>
  <c r="B22" i="19"/>
  <c r="E8" i="16"/>
  <c r="E8" i="18" s="1"/>
  <c r="H18" i="18"/>
  <c r="B27" i="20"/>
  <c r="B27" i="21" s="1"/>
  <c r="D27" i="18"/>
  <c r="B23" i="19"/>
  <c r="F21" i="21"/>
  <c r="F9" i="21"/>
  <c r="N13" i="18"/>
  <c r="B12" i="17"/>
  <c r="G9" i="21"/>
  <c r="B31" i="39"/>
  <c r="B29" i="19"/>
  <c r="F16" i="24"/>
  <c r="H21" i="18"/>
  <c r="B22" i="22"/>
  <c r="B32" i="22"/>
  <c r="D21" i="18"/>
  <c r="G28" i="21"/>
  <c r="H14" i="18"/>
  <c r="H15" i="18"/>
  <c r="N15" i="18"/>
  <c r="B13" i="32"/>
  <c r="B14" i="32"/>
  <c r="B23" i="33"/>
  <c r="B20" i="17"/>
  <c r="B20" i="18" s="1"/>
  <c r="B34" i="20"/>
  <c r="B34" i="21" s="1"/>
  <c r="H9" i="18"/>
  <c r="F26" i="30"/>
  <c r="H16" i="18"/>
  <c r="H19" i="18"/>
  <c r="N21" i="18"/>
  <c r="N22" i="18"/>
  <c r="N24" i="18"/>
  <c r="H26" i="18"/>
  <c r="B22" i="20"/>
  <c r="B26" i="22"/>
  <c r="B18" i="26"/>
  <c r="B18" i="27" s="1"/>
  <c r="B27" i="26"/>
  <c r="B27" i="27" s="1"/>
  <c r="B37" i="28"/>
  <c r="B21" i="29"/>
  <c r="B21" i="30" s="1"/>
  <c r="B30" i="29"/>
  <c r="B24" i="21"/>
  <c r="B9" i="17"/>
  <c r="B11" i="16"/>
  <c r="B11" i="18" s="1"/>
  <c r="B29" i="25"/>
  <c r="B29" i="27" s="1"/>
  <c r="L10" i="18"/>
  <c r="F11" i="18"/>
  <c r="L11" i="18"/>
  <c r="F12" i="18"/>
  <c r="F30" i="21"/>
  <c r="L30" i="21"/>
  <c r="L31" i="21"/>
  <c r="L32" i="21"/>
  <c r="B19" i="42"/>
  <c r="B20" i="24"/>
  <c r="B28" i="36"/>
  <c r="B12" i="39"/>
  <c r="B13" i="17"/>
  <c r="B12" i="23"/>
  <c r="B11" i="19"/>
  <c r="N9" i="18"/>
  <c r="N12" i="18"/>
  <c r="F14" i="18"/>
  <c r="F29" i="21"/>
  <c r="C23" i="18"/>
  <c r="J13" i="39"/>
  <c r="J19" i="39"/>
  <c r="D22" i="39"/>
  <c r="D30" i="39"/>
  <c r="J33" i="39"/>
  <c r="D34" i="39"/>
  <c r="D36" i="39"/>
  <c r="J10" i="18"/>
  <c r="D22" i="18"/>
  <c r="J24" i="18"/>
  <c r="I32" i="18"/>
  <c r="C33" i="18"/>
  <c r="C34" i="18"/>
  <c r="F34" i="18"/>
  <c r="K34" i="18"/>
  <c r="E35" i="18"/>
  <c r="K36" i="18"/>
  <c r="K8" i="17"/>
  <c r="N26" i="33"/>
  <c r="H32" i="33"/>
  <c r="N33" i="33"/>
  <c r="H25" i="36"/>
  <c r="H28" i="36"/>
  <c r="H30" i="36"/>
  <c r="N30" i="36"/>
  <c r="F37" i="39"/>
  <c r="B17" i="27"/>
  <c r="J33" i="21"/>
  <c r="D35" i="21"/>
  <c r="D13" i="24"/>
  <c r="J18" i="24"/>
  <c r="D26" i="24"/>
  <c r="B15" i="28"/>
  <c r="I12" i="33"/>
  <c r="C28" i="33"/>
  <c r="I28" i="33"/>
  <c r="C31" i="33"/>
  <c r="I33" i="33"/>
  <c r="C22" i="36"/>
  <c r="I24" i="36"/>
  <c r="C26" i="36"/>
  <c r="I27" i="36"/>
  <c r="B30" i="35"/>
  <c r="B33" i="19"/>
  <c r="K9" i="21"/>
  <c r="K11" i="21"/>
  <c r="E12" i="21"/>
  <c r="E14" i="21"/>
  <c r="K14" i="21"/>
  <c r="E15" i="21"/>
  <c r="E18" i="21"/>
  <c r="E27" i="21"/>
  <c r="K29" i="21"/>
  <c r="E30" i="21"/>
  <c r="K32" i="21"/>
  <c r="K13" i="24"/>
  <c r="K37" i="24"/>
  <c r="AD10" i="56"/>
  <c r="AD26" i="56"/>
  <c r="AD28" i="56"/>
  <c r="AD30" i="56"/>
  <c r="BT30" i="56"/>
  <c r="DU6" i="56"/>
  <c r="DJ12" i="56"/>
  <c r="DJ15" i="56"/>
  <c r="DJ19" i="56"/>
  <c r="DJ21" i="56"/>
  <c r="DJ22" i="56"/>
  <c r="DJ24" i="56"/>
  <c r="DJ25" i="56"/>
  <c r="DJ26" i="56"/>
  <c r="DJ27" i="56"/>
  <c r="DJ29" i="56"/>
  <c r="P6" i="56"/>
  <c r="BT12" i="56"/>
  <c r="AK6" i="56"/>
  <c r="AD8" i="56"/>
  <c r="AD16" i="56"/>
  <c r="AD20" i="56"/>
  <c r="AD32" i="56"/>
  <c r="DV6" i="56"/>
  <c r="B6" i="56"/>
  <c r="CV6" i="56"/>
  <c r="DL6" i="56"/>
  <c r="BT10" i="56"/>
  <c r="BT11" i="56"/>
  <c r="BT14" i="56"/>
  <c r="BT16" i="56"/>
  <c r="BT17" i="56"/>
  <c r="BT20" i="56"/>
  <c r="BT22" i="56"/>
  <c r="BT23" i="56"/>
  <c r="BT25" i="56"/>
  <c r="BT28" i="56"/>
  <c r="BX6" i="56"/>
  <c r="DM6" i="56"/>
  <c r="DS6" i="56"/>
  <c r="DJ11" i="56"/>
  <c r="DJ35" i="56"/>
  <c r="AR6" i="56"/>
  <c r="BY6" i="56"/>
  <c r="CE6" i="56"/>
  <c r="CH6" i="56"/>
  <c r="DJ6" i="56" s="1"/>
  <c r="D8" i="54"/>
  <c r="G8" i="54"/>
  <c r="G8" i="53"/>
  <c r="I8" i="42"/>
  <c r="C8" i="21"/>
  <c r="B30" i="33"/>
  <c r="B35" i="19"/>
  <c r="B35" i="21" s="1"/>
  <c r="D33" i="24"/>
  <c r="B33" i="22"/>
  <c r="B33" i="24" s="1"/>
  <c r="D10" i="24"/>
  <c r="B11" i="23"/>
  <c r="B11" i="24" s="1"/>
  <c r="J22" i="24"/>
  <c r="J24" i="24"/>
  <c r="D25" i="24"/>
  <c r="J35" i="24"/>
  <c r="J36" i="24"/>
  <c r="J37" i="24"/>
  <c r="D10" i="27"/>
  <c r="J14" i="27"/>
  <c r="J23" i="27"/>
  <c r="J29" i="27"/>
  <c r="J35" i="27"/>
  <c r="J37" i="27"/>
  <c r="D20" i="30"/>
  <c r="B20" i="28"/>
  <c r="B20" i="30" s="1"/>
  <c r="D13" i="30"/>
  <c r="J13" i="30"/>
  <c r="D14" i="30"/>
  <c r="D15" i="30"/>
  <c r="B16" i="29"/>
  <c r="B16" i="30" s="1"/>
  <c r="D16" i="30"/>
  <c r="D17" i="30"/>
  <c r="D22" i="30"/>
  <c r="J22" i="30"/>
  <c r="J23" i="30"/>
  <c r="J24" i="30"/>
  <c r="D25" i="30"/>
  <c r="B25" i="29"/>
  <c r="K34" i="21"/>
  <c r="E10" i="24"/>
  <c r="E11" i="24"/>
  <c r="E13" i="24"/>
  <c r="E14" i="24"/>
  <c r="K19" i="24"/>
  <c r="E20" i="24"/>
  <c r="K23" i="24"/>
  <c r="K24" i="24"/>
  <c r="E26" i="24"/>
  <c r="E28" i="24"/>
  <c r="E30" i="24"/>
  <c r="K32" i="24"/>
  <c r="E34" i="24"/>
  <c r="E36" i="24"/>
  <c r="E37" i="24"/>
  <c r="E9" i="27"/>
  <c r="K9" i="27"/>
  <c r="K11" i="27"/>
  <c r="E12" i="27"/>
  <c r="K12" i="27"/>
  <c r="E13" i="27"/>
  <c r="E14" i="27"/>
  <c r="K15" i="27"/>
  <c r="E16" i="27"/>
  <c r="K16" i="27"/>
  <c r="E18" i="27"/>
  <c r="E23" i="27"/>
  <c r="K23" i="27"/>
  <c r="E25" i="27"/>
  <c r="E27" i="27"/>
  <c r="E29" i="27"/>
  <c r="E30" i="27"/>
  <c r="E32" i="27"/>
  <c r="K35" i="27"/>
  <c r="K36" i="27"/>
  <c r="E9" i="30"/>
  <c r="K9" i="30"/>
  <c r="K10" i="30"/>
  <c r="E13" i="30"/>
  <c r="K13" i="30"/>
  <c r="E17" i="30"/>
  <c r="K17" i="30"/>
  <c r="E18" i="30"/>
  <c r="E22" i="30"/>
  <c r="E23" i="30"/>
  <c r="E25" i="30"/>
  <c r="K27" i="30"/>
  <c r="E32" i="30"/>
  <c r="B16" i="42"/>
  <c r="I8" i="21"/>
  <c r="J8" i="21"/>
  <c r="F8" i="33"/>
  <c r="B35" i="27"/>
  <c r="B13" i="27"/>
  <c r="I37" i="18"/>
  <c r="H29" i="18"/>
  <c r="J16" i="21"/>
  <c r="J17" i="21"/>
  <c r="J18" i="21"/>
  <c r="D19" i="21"/>
  <c r="B10" i="29"/>
  <c r="B10" i="30" s="1"/>
  <c r="B12" i="29"/>
  <c r="B15" i="29"/>
  <c r="B15" i="30" s="1"/>
  <c r="B17" i="29"/>
  <c r="B17" i="30" s="1"/>
  <c r="J11" i="39"/>
  <c r="J16" i="18"/>
  <c r="D18" i="18"/>
  <c r="J18" i="18"/>
  <c r="J19" i="18"/>
  <c r="J20" i="18"/>
  <c r="J23" i="18"/>
  <c r="J25" i="18"/>
  <c r="J26" i="18"/>
  <c r="C30" i="18"/>
  <c r="E9" i="21"/>
  <c r="E10" i="21"/>
  <c r="K10" i="21"/>
  <c r="K12" i="21"/>
  <c r="K13" i="21"/>
  <c r="K15" i="21"/>
  <c r="E16" i="21"/>
  <c r="K16" i="21"/>
  <c r="E17" i="21"/>
  <c r="K17" i="21"/>
  <c r="E19" i="21"/>
  <c r="K20" i="21"/>
  <c r="K21" i="21"/>
  <c r="E22" i="21"/>
  <c r="D14" i="39"/>
  <c r="N10" i="42"/>
  <c r="H16" i="42"/>
  <c r="N16" i="42"/>
  <c r="E25" i="42"/>
  <c r="K25" i="18"/>
  <c r="E28" i="18"/>
  <c r="F13" i="21"/>
  <c r="F14" i="21"/>
  <c r="F23" i="21"/>
  <c r="F25" i="21"/>
  <c r="F26" i="21"/>
  <c r="F28" i="21"/>
  <c r="L28" i="21"/>
  <c r="H18" i="33"/>
  <c r="N18" i="33"/>
  <c r="H22" i="33"/>
  <c r="H23" i="33"/>
  <c r="H24" i="33"/>
  <c r="H27" i="33"/>
  <c r="H29" i="33"/>
  <c r="F26" i="42"/>
  <c r="L26" i="42"/>
  <c r="E37" i="42"/>
  <c r="D9" i="18"/>
  <c r="J9" i="18"/>
  <c r="D11" i="18"/>
  <c r="D31" i="18"/>
  <c r="J31" i="18"/>
  <c r="J32" i="21"/>
  <c r="B24" i="23"/>
  <c r="B24" i="24" s="1"/>
  <c r="B28" i="23"/>
  <c r="I26" i="33"/>
  <c r="C27" i="33"/>
  <c r="H31" i="33"/>
  <c r="N31" i="33"/>
  <c r="D21" i="39"/>
  <c r="D33" i="39"/>
  <c r="J12" i="42"/>
  <c r="G27" i="42"/>
  <c r="L32" i="42"/>
  <c r="E13" i="42"/>
  <c r="H22" i="42"/>
  <c r="B10" i="37"/>
  <c r="B10" i="39" s="1"/>
  <c r="B14" i="37"/>
  <c r="B14" i="39" s="1"/>
  <c r="B32" i="37"/>
  <c r="B32" i="39" s="1"/>
  <c r="L35" i="39"/>
  <c r="L36" i="39"/>
  <c r="F14" i="42"/>
  <c r="L14" i="42"/>
  <c r="H34" i="42"/>
  <c r="N34" i="42"/>
  <c r="B11" i="26"/>
  <c r="B11" i="27" s="1"/>
  <c r="E11" i="39"/>
  <c r="E12" i="39"/>
  <c r="K12" i="39"/>
  <c r="B13" i="38"/>
  <c r="B13" i="39" s="1"/>
  <c r="E14" i="39"/>
  <c r="E17" i="39"/>
  <c r="E18" i="39"/>
  <c r="E20" i="39"/>
  <c r="E22" i="39"/>
  <c r="K22" i="39"/>
  <c r="E27" i="39"/>
  <c r="E28" i="39"/>
  <c r="E29" i="39"/>
  <c r="E32" i="39"/>
  <c r="B26" i="28"/>
  <c r="B31" i="28"/>
  <c r="B31" i="30" s="1"/>
  <c r="C9" i="24"/>
  <c r="C13" i="24"/>
  <c r="I13" i="24"/>
  <c r="B26" i="39"/>
  <c r="M31" i="21"/>
  <c r="G8" i="20"/>
  <c r="G8" i="21" s="1"/>
  <c r="M32" i="21"/>
  <c r="G33" i="21"/>
  <c r="M34" i="21"/>
  <c r="M9" i="27"/>
  <c r="B23" i="35"/>
  <c r="K24" i="36"/>
  <c r="E25" i="36"/>
  <c r="E26" i="36"/>
  <c r="K26" i="36"/>
  <c r="N15" i="21"/>
  <c r="H19" i="21"/>
  <c r="H23" i="21"/>
  <c r="B34" i="31"/>
  <c r="B10" i="32"/>
  <c r="B11" i="32"/>
  <c r="G18" i="33"/>
  <c r="M18" i="33"/>
  <c r="M22" i="33"/>
  <c r="G29" i="33"/>
  <c r="M29" i="33"/>
  <c r="M31" i="33"/>
  <c r="G32" i="33"/>
  <c r="K13" i="18"/>
  <c r="J30" i="21"/>
  <c r="I16" i="24"/>
  <c r="C20" i="24"/>
  <c r="I23" i="24"/>
  <c r="I25" i="24"/>
  <c r="I27" i="24"/>
  <c r="C30" i="24"/>
  <c r="C31" i="24"/>
  <c r="J9" i="27"/>
  <c r="D13" i="27"/>
  <c r="J15" i="27"/>
  <c r="D16" i="27"/>
  <c r="J17" i="27"/>
  <c r="D19" i="27"/>
  <c r="J19" i="27"/>
  <c r="D22" i="27"/>
  <c r="J24" i="27"/>
  <c r="D27" i="27"/>
  <c r="D28" i="27"/>
  <c r="D31" i="27"/>
  <c r="D34" i="27"/>
  <c r="J34" i="27"/>
  <c r="C18" i="18"/>
  <c r="C20" i="18"/>
  <c r="C22" i="18"/>
  <c r="C24" i="18"/>
  <c r="I24" i="18"/>
  <c r="H30" i="18"/>
  <c r="C31" i="36"/>
  <c r="K32" i="39"/>
  <c r="E33" i="39"/>
  <c r="K33" i="39"/>
  <c r="E34" i="39"/>
  <c r="K34" i="39"/>
  <c r="E36" i="39"/>
  <c r="B26" i="24"/>
  <c r="L9" i="30"/>
  <c r="L10" i="30"/>
  <c r="F18" i="30"/>
  <c r="F19" i="30"/>
  <c r="D27" i="36"/>
  <c r="J27" i="36"/>
  <c r="D28" i="36"/>
  <c r="C16" i="15"/>
  <c r="F6" i="14"/>
  <c r="K8" i="24"/>
  <c r="B24" i="27"/>
  <c r="H27" i="21"/>
  <c r="J21" i="27"/>
  <c r="N8" i="21"/>
  <c r="B25" i="39"/>
  <c r="C12" i="30"/>
  <c r="B12" i="28"/>
  <c r="M33" i="33"/>
  <c r="H8" i="21"/>
  <c r="D8" i="27"/>
  <c r="I20" i="24"/>
  <c r="C21" i="24"/>
  <c r="I21" i="24"/>
  <c r="C35" i="24"/>
  <c r="I35" i="24"/>
  <c r="C36" i="24"/>
  <c r="I36" i="24"/>
  <c r="J36" i="27"/>
  <c r="D37" i="27"/>
  <c r="D29" i="33"/>
  <c r="B29" i="31"/>
  <c r="B29" i="33" s="1"/>
  <c r="B31" i="31"/>
  <c r="B31" i="33" s="1"/>
  <c r="B14" i="42"/>
  <c r="I8" i="33"/>
  <c r="K8" i="33"/>
  <c r="B25" i="33"/>
  <c r="F21" i="30"/>
  <c r="F22" i="30"/>
  <c r="B22" i="29"/>
  <c r="B22" i="30" s="1"/>
  <c r="F23" i="30"/>
  <c r="F24" i="30"/>
  <c r="L29" i="30"/>
  <c r="B18" i="33"/>
  <c r="B28" i="27"/>
  <c r="B25" i="30"/>
  <c r="G19" i="30"/>
  <c r="G8" i="28"/>
  <c r="G8" i="30" s="1"/>
  <c r="B30" i="34"/>
  <c r="B14" i="16"/>
  <c r="B14" i="18" s="1"/>
  <c r="I19" i="18"/>
  <c r="I20" i="18"/>
  <c r="C21" i="18"/>
  <c r="C28" i="24"/>
  <c r="J16" i="27"/>
  <c r="D17" i="27"/>
  <c r="G10" i="27"/>
  <c r="M10" i="27"/>
  <c r="M11" i="27"/>
  <c r="M13" i="27"/>
  <c r="M17" i="27"/>
  <c r="M18" i="27"/>
  <c r="G19" i="27"/>
  <c r="M19" i="27"/>
  <c r="G20" i="27"/>
  <c r="M23" i="27"/>
  <c r="G25" i="27"/>
  <c r="G26" i="27"/>
  <c r="G27" i="27"/>
  <c r="M29" i="27"/>
  <c r="G32" i="27"/>
  <c r="G34" i="27"/>
  <c r="M34" i="27"/>
  <c r="G35" i="27"/>
  <c r="M35" i="27"/>
  <c r="M36" i="27"/>
  <c r="B9" i="28"/>
  <c r="L11" i="30"/>
  <c r="L14" i="30"/>
  <c r="F15" i="30"/>
  <c r="L15" i="30"/>
  <c r="L16" i="30"/>
  <c r="C29" i="30"/>
  <c r="I29" i="30"/>
  <c r="B31" i="34"/>
  <c r="H19" i="36"/>
  <c r="H26" i="36"/>
  <c r="G29" i="36"/>
  <c r="B27" i="35"/>
  <c r="B27" i="36" s="1"/>
  <c r="B31" i="35"/>
  <c r="B16" i="37"/>
  <c r="B16" i="39" s="1"/>
  <c r="I23" i="18"/>
  <c r="H16" i="21"/>
  <c r="G34" i="21"/>
  <c r="F11" i="21"/>
  <c r="I18" i="24"/>
  <c r="G10" i="24"/>
  <c r="G11" i="24"/>
  <c r="M11" i="24"/>
  <c r="M13" i="24"/>
  <c r="M14" i="24"/>
  <c r="G22" i="24"/>
  <c r="M23" i="24"/>
  <c r="G24" i="24"/>
  <c r="G26" i="24"/>
  <c r="G28" i="24"/>
  <c r="B30" i="23"/>
  <c r="B30" i="24" s="1"/>
  <c r="M30" i="24"/>
  <c r="M31" i="24"/>
  <c r="G32" i="24"/>
  <c r="G33" i="24"/>
  <c r="M36" i="24"/>
  <c r="J18" i="27"/>
  <c r="D32" i="27"/>
  <c r="J32" i="27"/>
  <c r="B33" i="28"/>
  <c r="B35" i="28"/>
  <c r="B36" i="28"/>
  <c r="B9" i="29"/>
  <c r="B9" i="30" s="1"/>
  <c r="J16" i="30"/>
  <c r="J17" i="30"/>
  <c r="D19" i="30"/>
  <c r="J21" i="30"/>
  <c r="D27" i="30"/>
  <c r="E22" i="36"/>
  <c r="I30" i="36"/>
  <c r="I32" i="36"/>
  <c r="I33" i="36"/>
  <c r="N35" i="18"/>
  <c r="N37" i="18"/>
  <c r="M31" i="18"/>
  <c r="G32" i="18"/>
  <c r="B18" i="22"/>
  <c r="B18" i="24" s="1"/>
  <c r="B36" i="22"/>
  <c r="B36" i="24" s="1"/>
  <c r="E24" i="36"/>
  <c r="G13" i="18"/>
  <c r="H31" i="18"/>
  <c r="I31" i="18"/>
  <c r="I34" i="18"/>
  <c r="H10" i="21"/>
  <c r="C17" i="21"/>
  <c r="I17" i="21"/>
  <c r="D24" i="27"/>
  <c r="D25" i="27"/>
  <c r="E11" i="27"/>
  <c r="K22" i="27"/>
  <c r="K27" i="27"/>
  <c r="K31" i="27"/>
  <c r="L25" i="36"/>
  <c r="C10" i="39"/>
  <c r="E10" i="18"/>
  <c r="E12" i="18"/>
  <c r="H13" i="18"/>
  <c r="E14" i="18"/>
  <c r="K15" i="18"/>
  <c r="K23" i="18"/>
  <c r="H11" i="21"/>
  <c r="N11" i="21"/>
  <c r="N12" i="21"/>
  <c r="H30" i="21"/>
  <c r="J15" i="21"/>
  <c r="D21" i="21"/>
  <c r="J27" i="21"/>
  <c r="I32" i="21"/>
  <c r="C33" i="21"/>
  <c r="I33" i="21"/>
  <c r="C34" i="21"/>
  <c r="C35" i="21"/>
  <c r="I35" i="21"/>
  <c r="I10" i="24"/>
  <c r="I11" i="24"/>
  <c r="J10" i="27"/>
  <c r="J11" i="27"/>
  <c r="J30" i="27"/>
  <c r="I24" i="33"/>
  <c r="C25" i="33"/>
  <c r="K33" i="36"/>
  <c r="K9" i="39"/>
  <c r="E10" i="39"/>
  <c r="K10" i="39"/>
  <c r="C18" i="8"/>
  <c r="C8" i="8"/>
  <c r="I8" i="16"/>
  <c r="I8" i="18" s="1"/>
  <c r="D25" i="21"/>
  <c r="J8" i="28"/>
  <c r="J8" i="30" s="1"/>
  <c r="H8" i="34"/>
  <c r="H8" i="36" s="1"/>
  <c r="B29" i="30"/>
  <c r="B20" i="42"/>
  <c r="B17" i="39"/>
  <c r="L8" i="39"/>
  <c r="B18" i="42"/>
  <c r="G8" i="33"/>
  <c r="B11" i="21"/>
  <c r="B27" i="42"/>
  <c r="B21" i="39"/>
  <c r="B21" i="27"/>
  <c r="K8" i="27"/>
  <c r="B23" i="42"/>
  <c r="B27" i="33"/>
  <c r="B18" i="16"/>
  <c r="B18" i="18" s="1"/>
  <c r="C8" i="33"/>
  <c r="B16" i="19"/>
  <c r="B16" i="21" s="1"/>
  <c r="B20" i="39"/>
  <c r="B11" i="28"/>
  <c r="B11" i="30" s="1"/>
  <c r="G20" i="24"/>
  <c r="B22" i="23"/>
  <c r="E8" i="31"/>
  <c r="E8" i="33" s="1"/>
  <c r="L8" i="30"/>
  <c r="B32" i="30"/>
  <c r="J8" i="18"/>
  <c r="B33" i="39"/>
  <c r="B30" i="42"/>
  <c r="B8" i="41"/>
  <c r="B37" i="27"/>
  <c r="I8" i="30"/>
  <c r="B37" i="39"/>
  <c r="I22" i="18"/>
  <c r="M32" i="18"/>
  <c r="G33" i="18"/>
  <c r="L10" i="21"/>
  <c r="L12" i="21"/>
  <c r="L13" i="21"/>
  <c r="H8" i="22"/>
  <c r="H8" i="24" s="1"/>
  <c r="G29" i="24"/>
  <c r="M8" i="22"/>
  <c r="M8" i="24" s="1"/>
  <c r="L20" i="30"/>
  <c r="L22" i="30"/>
  <c r="F27" i="30"/>
  <c r="D8" i="18"/>
  <c r="B19" i="21"/>
  <c r="B14" i="27"/>
  <c r="F8" i="39"/>
  <c r="H8" i="42"/>
  <c r="B12" i="27"/>
  <c r="B12" i="24"/>
  <c r="L8" i="42"/>
  <c r="B31" i="24"/>
  <c r="B26" i="33"/>
  <c r="J14" i="21"/>
  <c r="I16" i="21"/>
  <c r="K21" i="27"/>
  <c r="D18" i="30"/>
  <c r="G25" i="33"/>
  <c r="M25" i="33"/>
  <c r="B23" i="18"/>
  <c r="B24" i="33"/>
  <c r="B17" i="18"/>
  <c r="B30" i="18"/>
  <c r="B21" i="33"/>
  <c r="B17" i="42"/>
  <c r="C8" i="27"/>
  <c r="B12" i="42"/>
  <c r="K16" i="18"/>
  <c r="K19" i="18"/>
  <c r="B22" i="17"/>
  <c r="B22" i="18" s="1"/>
  <c r="E25" i="18"/>
  <c r="N22" i="21"/>
  <c r="H29" i="21"/>
  <c r="N29" i="21"/>
  <c r="M33" i="21"/>
  <c r="G35" i="21"/>
  <c r="G23" i="24"/>
  <c r="I30" i="24"/>
  <c r="F33" i="36"/>
  <c r="L19" i="36"/>
  <c r="G28" i="33"/>
  <c r="B32" i="31"/>
  <c r="B32" i="33" s="1"/>
  <c r="C12" i="33"/>
  <c r="I18" i="33"/>
  <c r="B20" i="32"/>
  <c r="C23" i="33"/>
  <c r="I32" i="33"/>
  <c r="B36" i="37"/>
  <c r="B36" i="39" s="1"/>
  <c r="I22" i="39"/>
  <c r="M8" i="16"/>
  <c r="M8" i="18" s="1"/>
  <c r="I15" i="18"/>
  <c r="C8" i="16"/>
  <c r="B32" i="16"/>
  <c r="B32" i="18" s="1"/>
  <c r="B33" i="16"/>
  <c r="B33" i="18" s="1"/>
  <c r="B26" i="17"/>
  <c r="I26" i="18"/>
  <c r="C27" i="18"/>
  <c r="I27" i="18"/>
  <c r="I28" i="18"/>
  <c r="H37" i="18"/>
  <c r="D16" i="21"/>
  <c r="B25" i="19"/>
  <c r="M30" i="21"/>
  <c r="B31" i="19"/>
  <c r="B31" i="21" s="1"/>
  <c r="E11" i="21"/>
  <c r="E13" i="21"/>
  <c r="H32" i="21"/>
  <c r="H36" i="21"/>
  <c r="N37" i="21"/>
  <c r="M20" i="24"/>
  <c r="M24" i="24"/>
  <c r="G25" i="24"/>
  <c r="I37" i="24"/>
  <c r="N31" i="24"/>
  <c r="N34" i="24"/>
  <c r="K14" i="27"/>
  <c r="E15" i="27"/>
  <c r="G28" i="27"/>
  <c r="F9" i="30"/>
  <c r="K30" i="30"/>
  <c r="K32" i="30"/>
  <c r="K22" i="30"/>
  <c r="H25" i="33"/>
  <c r="G23" i="36"/>
  <c r="M23" i="36"/>
  <c r="M25" i="36"/>
  <c r="E33" i="36"/>
  <c r="B35" i="35"/>
  <c r="C37" i="39"/>
  <c r="F9" i="18"/>
  <c r="L9" i="18"/>
  <c r="L19" i="18"/>
  <c r="L22" i="18"/>
  <c r="L23" i="18"/>
  <c r="L15" i="21"/>
  <c r="F16" i="21"/>
  <c r="J22" i="21"/>
  <c r="N23" i="21"/>
  <c r="M35" i="21"/>
  <c r="M36" i="21"/>
  <c r="B13" i="20"/>
  <c r="B13" i="21" s="1"/>
  <c r="F18" i="21"/>
  <c r="K19" i="21"/>
  <c r="K22" i="21"/>
  <c r="K23" i="21"/>
  <c r="K27" i="21"/>
  <c r="E28" i="21"/>
  <c r="D34" i="21"/>
  <c r="C24" i="24"/>
  <c r="I24" i="24"/>
  <c r="G27" i="24"/>
  <c r="M14" i="27"/>
  <c r="K18" i="27"/>
  <c r="N10" i="27"/>
  <c r="H12" i="27"/>
  <c r="H13" i="27"/>
  <c r="H14" i="27"/>
  <c r="N15" i="27"/>
  <c r="H18" i="27"/>
  <c r="N18" i="27"/>
  <c r="H19" i="27"/>
  <c r="N19" i="27"/>
  <c r="B20" i="26"/>
  <c r="B20" i="27" s="1"/>
  <c r="H21" i="27"/>
  <c r="H23" i="27"/>
  <c r="N23" i="27"/>
  <c r="N26" i="27"/>
  <c r="H27" i="27"/>
  <c r="N29" i="27"/>
  <c r="H32" i="27"/>
  <c r="H34" i="27"/>
  <c r="N35" i="27"/>
  <c r="H36" i="27"/>
  <c r="G24" i="30"/>
  <c r="G27" i="30"/>
  <c r="B28" i="29"/>
  <c r="B28" i="30" s="1"/>
  <c r="L30" i="30"/>
  <c r="F31" i="30"/>
  <c r="B22" i="31"/>
  <c r="B22" i="33" s="1"/>
  <c r="J19" i="33"/>
  <c r="J22" i="33"/>
  <c r="B24" i="34"/>
  <c r="B24" i="36" s="1"/>
  <c r="B26" i="34"/>
  <c r="I19" i="36"/>
  <c r="L21" i="39"/>
  <c r="F28" i="39"/>
  <c r="L28" i="39"/>
  <c r="F30" i="39"/>
  <c r="F31" i="39"/>
  <c r="L31" i="39"/>
  <c r="F32" i="39"/>
  <c r="L32" i="39"/>
  <c r="C21" i="42"/>
  <c r="L30" i="42"/>
  <c r="I16" i="18"/>
  <c r="I18" i="18"/>
  <c r="M35" i="18"/>
  <c r="M36" i="18"/>
  <c r="M37" i="18"/>
  <c r="M15" i="18"/>
  <c r="K33" i="18"/>
  <c r="J9" i="21"/>
  <c r="L11" i="21"/>
  <c r="D13" i="21"/>
  <c r="H13" i="21"/>
  <c r="L19" i="21"/>
  <c r="F22" i="21"/>
  <c r="L22" i="21"/>
  <c r="K31" i="21"/>
  <c r="E35" i="21"/>
  <c r="K35" i="21"/>
  <c r="B9" i="22"/>
  <c r="B9" i="24" s="1"/>
  <c r="M18" i="24"/>
  <c r="E19" i="27"/>
  <c r="K25" i="27"/>
  <c r="K33" i="27"/>
  <c r="B36" i="25"/>
  <c r="B36" i="27" s="1"/>
  <c r="F20" i="30"/>
  <c r="D23" i="30"/>
  <c r="N15" i="30"/>
  <c r="N16" i="30"/>
  <c r="N23" i="30"/>
  <c r="H26" i="30"/>
  <c r="G23" i="33"/>
  <c r="B20" i="34"/>
  <c r="N23" i="36"/>
  <c r="B35" i="34"/>
  <c r="D22" i="36"/>
  <c r="G10" i="39"/>
  <c r="K17" i="39"/>
  <c r="G15" i="39"/>
  <c r="M22" i="39"/>
  <c r="M27" i="39"/>
  <c r="C15" i="18"/>
  <c r="B16" i="16"/>
  <c r="B16" i="18" s="1"/>
  <c r="N26" i="18"/>
  <c r="H27" i="18"/>
  <c r="L29" i="18"/>
  <c r="N20" i="18"/>
  <c r="N23" i="18"/>
  <c r="H24" i="18"/>
  <c r="F35" i="18"/>
  <c r="N19" i="21"/>
  <c r="H20" i="21"/>
  <c r="H21" i="21"/>
  <c r="N21" i="21"/>
  <c r="J23" i="21"/>
  <c r="I36" i="21"/>
  <c r="I37" i="21"/>
  <c r="C9" i="21"/>
  <c r="C10" i="21"/>
  <c r="B12" i="20"/>
  <c r="M23" i="21"/>
  <c r="G25" i="21"/>
  <c r="M25" i="21"/>
  <c r="G26" i="21"/>
  <c r="F32" i="21"/>
  <c r="L34" i="21"/>
  <c r="I15" i="24"/>
  <c r="C16" i="24"/>
  <c r="I33" i="24"/>
  <c r="G35" i="24"/>
  <c r="G37" i="24"/>
  <c r="M37" i="24"/>
  <c r="M9" i="24"/>
  <c r="L10" i="24"/>
  <c r="K20" i="27"/>
  <c r="E21" i="27"/>
  <c r="B34" i="25"/>
  <c r="B34" i="27" s="1"/>
  <c r="E35" i="27"/>
  <c r="D11" i="30"/>
  <c r="D24" i="30"/>
  <c r="I9" i="30"/>
  <c r="I10" i="30"/>
  <c r="I11" i="30"/>
  <c r="M24" i="33"/>
  <c r="F26" i="33"/>
  <c r="F31" i="33"/>
  <c r="B34" i="34"/>
  <c r="C30" i="36"/>
  <c r="E25" i="39"/>
  <c r="K25" i="39"/>
  <c r="J37" i="39"/>
  <c r="N13" i="39"/>
  <c r="H23" i="39"/>
  <c r="N23" i="39"/>
  <c r="N24" i="39"/>
  <c r="H25" i="39"/>
  <c r="H26" i="39"/>
  <c r="H27" i="39"/>
  <c r="C28" i="18"/>
  <c r="M6" i="111"/>
  <c r="C29" i="45"/>
  <c r="M9" i="18"/>
  <c r="B8" i="32"/>
  <c r="I8" i="22"/>
  <c r="I8" i="24" s="1"/>
  <c r="G8" i="22"/>
  <c r="G8" i="24" s="1"/>
  <c r="K8" i="21"/>
  <c r="F8" i="27"/>
  <c r="D8" i="22"/>
  <c r="D8" i="24" s="1"/>
  <c r="B15" i="42"/>
  <c r="B15" i="24"/>
  <c r="B32" i="34"/>
  <c r="B32" i="36" s="1"/>
  <c r="N8" i="27"/>
  <c r="B29" i="22"/>
  <c r="B29" i="24" s="1"/>
  <c r="D18" i="24"/>
  <c r="J8" i="31"/>
  <c r="J8" i="33" s="1"/>
  <c r="B30" i="19"/>
  <c r="B30" i="21" s="1"/>
  <c r="B24" i="42"/>
  <c r="M8" i="20"/>
  <c r="C6" i="11"/>
  <c r="B9" i="16"/>
  <c r="C26" i="18"/>
  <c r="D8" i="29"/>
  <c r="D9" i="30"/>
  <c r="L20" i="18"/>
  <c r="B8" i="110"/>
  <c r="B8" i="23"/>
  <c r="M8" i="42"/>
  <c r="B8" i="26"/>
  <c r="F8" i="34"/>
  <c r="F8" i="36" s="1"/>
  <c r="B19" i="16"/>
  <c r="B19" i="18" s="1"/>
  <c r="B23" i="21"/>
  <c r="B22" i="27"/>
  <c r="G32" i="21"/>
  <c r="B10" i="27"/>
  <c r="B29" i="21"/>
  <c r="B36" i="19"/>
  <c r="B36" i="21" s="1"/>
  <c r="M8" i="27"/>
  <c r="F8" i="16"/>
  <c r="F8" i="18" s="1"/>
  <c r="B34" i="24"/>
  <c r="K8" i="42"/>
  <c r="G18" i="18"/>
  <c r="M19" i="18"/>
  <c r="L28" i="18"/>
  <c r="E25" i="21"/>
  <c r="N37" i="27"/>
  <c r="F35" i="39"/>
  <c r="B35" i="38"/>
  <c r="B35" i="39" s="1"/>
  <c r="B28" i="22"/>
  <c r="B28" i="24" s="1"/>
  <c r="E6" i="110"/>
  <c r="B32" i="20"/>
  <c r="B32" i="21" s="1"/>
  <c r="E8" i="19"/>
  <c r="E8" i="21" s="1"/>
  <c r="B37" i="19"/>
  <c r="B28" i="33"/>
  <c r="N32" i="18"/>
  <c r="N8" i="16"/>
  <c r="N8" i="18" s="1"/>
  <c r="G6" i="11"/>
  <c r="G8" i="42"/>
  <c r="B28" i="17"/>
  <c r="B36" i="42"/>
  <c r="B23" i="30"/>
  <c r="C8" i="22"/>
  <c r="D8" i="28"/>
  <c r="B33" i="20"/>
  <c r="C28" i="8"/>
  <c r="N11" i="18"/>
  <c r="N17" i="18"/>
  <c r="L35" i="18"/>
  <c r="C8" i="17"/>
  <c r="B33" i="36"/>
  <c r="B29" i="45"/>
  <c r="B8" i="38"/>
  <c r="B28" i="16"/>
  <c r="F8" i="21"/>
  <c r="L8" i="27"/>
  <c r="N8" i="39"/>
  <c r="B37" i="18"/>
  <c r="B28" i="21"/>
  <c r="M8" i="30"/>
  <c r="F8" i="24"/>
  <c r="B22" i="39"/>
  <c r="G35" i="18"/>
  <c r="M27" i="21"/>
  <c r="L14" i="24"/>
  <c r="C13" i="18"/>
  <c r="C45" i="8"/>
  <c r="C19" i="15"/>
  <c r="I10" i="21"/>
  <c r="B26" i="19"/>
  <c r="B26" i="21" s="1"/>
  <c r="N30" i="21"/>
  <c r="F36" i="21"/>
  <c r="L8" i="22"/>
  <c r="L8" i="24" s="1"/>
  <c r="M33" i="24"/>
  <c r="G36" i="24"/>
  <c r="B37" i="31"/>
  <c r="B17" i="32"/>
  <c r="AD14" i="56"/>
  <c r="C61" i="8"/>
  <c r="K17" i="18"/>
  <c r="N36" i="18"/>
  <c r="G22" i="18"/>
  <c r="I33" i="18"/>
  <c r="D24" i="21"/>
  <c r="E26" i="21"/>
  <c r="D27" i="21"/>
  <c r="C31" i="21"/>
  <c r="N35" i="21"/>
  <c r="B13" i="22"/>
  <c r="B13" i="24" s="1"/>
  <c r="B37" i="22"/>
  <c r="B37" i="24" s="1"/>
  <c r="H22" i="24"/>
  <c r="H25" i="24"/>
  <c r="H29" i="24"/>
  <c r="N35" i="24"/>
  <c r="K31" i="30"/>
  <c r="B15" i="31"/>
  <c r="B16" i="31"/>
  <c r="D30" i="36"/>
  <c r="J30" i="36"/>
  <c r="AD34" i="56"/>
  <c r="AL6" i="56"/>
  <c r="E18" i="18"/>
  <c r="F23" i="18"/>
  <c r="J28" i="18"/>
  <c r="N14" i="18"/>
  <c r="M25" i="18"/>
  <c r="J32" i="18"/>
  <c r="M14" i="21"/>
  <c r="J24" i="21"/>
  <c r="K26" i="21"/>
  <c r="D28" i="21"/>
  <c r="N31" i="21"/>
  <c r="L8" i="20"/>
  <c r="L8" i="21" s="1"/>
  <c r="C18" i="21"/>
  <c r="B14" i="22"/>
  <c r="B14" i="24" s="1"/>
  <c r="B19" i="22"/>
  <c r="B19" i="24" s="1"/>
  <c r="B25" i="22"/>
  <c r="B25" i="24" s="1"/>
  <c r="G25" i="30"/>
  <c r="F29" i="30"/>
  <c r="C23" i="8"/>
  <c r="K12" i="18"/>
  <c r="E20" i="18"/>
  <c r="F28" i="18"/>
  <c r="K28" i="18"/>
  <c r="E29" i="18"/>
  <c r="H32" i="18"/>
  <c r="C11" i="18"/>
  <c r="G26" i="18"/>
  <c r="B12" i="19"/>
  <c r="N13" i="21"/>
  <c r="H15" i="21"/>
  <c r="G16" i="21"/>
  <c r="F17" i="21"/>
  <c r="L18" i="21"/>
  <c r="K24" i="21"/>
  <c r="L27" i="21"/>
  <c r="I29" i="21"/>
  <c r="E31" i="21"/>
  <c r="C32" i="21"/>
  <c r="M12" i="21"/>
  <c r="N27" i="21"/>
  <c r="B37" i="20"/>
  <c r="C23" i="24"/>
  <c r="J15" i="24"/>
  <c r="J20" i="24"/>
  <c r="N17" i="27"/>
  <c r="N13" i="30"/>
  <c r="N18" i="30"/>
  <c r="H19" i="30"/>
  <c r="L30" i="33"/>
  <c r="L8" i="34"/>
  <c r="L8" i="36" s="1"/>
  <c r="D28" i="42"/>
  <c r="J28" i="42"/>
  <c r="G32" i="42"/>
  <c r="M32" i="42"/>
  <c r="D35" i="42"/>
  <c r="DJ9" i="56"/>
  <c r="G29" i="18"/>
  <c r="G14" i="18"/>
  <c r="N16" i="18"/>
  <c r="J27" i="18"/>
  <c r="D32" i="18"/>
  <c r="N34" i="18"/>
  <c r="F31" i="18"/>
  <c r="F32" i="18"/>
  <c r="F33" i="18"/>
  <c r="D8" i="19"/>
  <c r="D8" i="21" s="1"/>
  <c r="I9" i="21"/>
  <c r="B14" i="19"/>
  <c r="B14" i="21" s="1"/>
  <c r="C15" i="21"/>
  <c r="I15" i="21"/>
  <c r="M16" i="21"/>
  <c r="G17" i="21"/>
  <c r="M17" i="21"/>
  <c r="G27" i="21"/>
  <c r="K28" i="21"/>
  <c r="J29" i="21"/>
  <c r="D32" i="21"/>
  <c r="E36" i="21"/>
  <c r="H12" i="21"/>
  <c r="J20" i="21"/>
  <c r="I27" i="21"/>
  <c r="I28" i="21"/>
  <c r="G31" i="21"/>
  <c r="J35" i="21"/>
  <c r="D36" i="21"/>
  <c r="J8" i="22"/>
  <c r="J8" i="24" s="1"/>
  <c r="B27" i="22"/>
  <c r="B27" i="24" s="1"/>
  <c r="H32" i="24"/>
  <c r="B23" i="25"/>
  <c r="B23" i="27" s="1"/>
  <c r="C23" i="27"/>
  <c r="N24" i="27"/>
  <c r="N36" i="27"/>
  <c r="M33" i="27"/>
  <c r="B18" i="28"/>
  <c r="B18" i="30" s="1"/>
  <c r="B34" i="28"/>
  <c r="B13" i="29"/>
  <c r="B13" i="30" s="1"/>
  <c r="G8" i="34"/>
  <c r="B36" i="34"/>
  <c r="C8" i="35"/>
  <c r="C8" i="36" s="1"/>
  <c r="B11" i="35"/>
  <c r="B22" i="35"/>
  <c r="D16" i="42"/>
  <c r="M26" i="42"/>
  <c r="E30" i="42"/>
  <c r="K35" i="42"/>
  <c r="K6" i="110"/>
  <c r="L6" i="111"/>
  <c r="CD6" i="56"/>
  <c r="N37" i="24"/>
  <c r="G12" i="24"/>
  <c r="E19" i="24"/>
  <c r="D28" i="24"/>
  <c r="J28" i="24"/>
  <c r="I8" i="25"/>
  <c r="I8" i="27" s="1"/>
  <c r="G8" i="25"/>
  <c r="G8" i="27" s="1"/>
  <c r="G15" i="27"/>
  <c r="B15" i="26"/>
  <c r="B15" i="27" s="1"/>
  <c r="B16" i="26"/>
  <c r="B16" i="27" s="1"/>
  <c r="I30" i="27"/>
  <c r="C31" i="27"/>
  <c r="H15" i="30"/>
  <c r="G26" i="30"/>
  <c r="J10" i="30"/>
  <c r="J14" i="30"/>
  <c r="J15" i="30"/>
  <c r="B14" i="31"/>
  <c r="I21" i="33"/>
  <c r="B33" i="31"/>
  <c r="B33" i="33" s="1"/>
  <c r="K18" i="33"/>
  <c r="C26" i="33"/>
  <c r="H30" i="33"/>
  <c r="H33" i="33"/>
  <c r="N8" i="34"/>
  <c r="N8" i="36" s="1"/>
  <c r="B23" i="34"/>
  <c r="B23" i="36" s="1"/>
  <c r="N25" i="36"/>
  <c r="H27" i="36"/>
  <c r="D8" i="37"/>
  <c r="D8" i="39" s="1"/>
  <c r="J8" i="37"/>
  <c r="J8" i="39" s="1"/>
  <c r="D23" i="39"/>
  <c r="J23" i="39"/>
  <c r="M33" i="39"/>
  <c r="H27" i="42"/>
  <c r="J29" i="42"/>
  <c r="H32" i="42"/>
  <c r="BT13" i="56"/>
  <c r="AD15" i="56"/>
  <c r="AD17" i="56"/>
  <c r="AD21" i="56"/>
  <c r="AD22" i="56"/>
  <c r="AD23" i="56"/>
  <c r="AD24" i="56"/>
  <c r="BT32" i="56"/>
  <c r="B16" i="110"/>
  <c r="M6" i="110"/>
  <c r="K6" i="112"/>
  <c r="D8" i="40"/>
  <c r="B12" i="45"/>
  <c r="I6" i="6"/>
  <c r="I9" i="24"/>
  <c r="G16" i="24"/>
  <c r="M16" i="24"/>
  <c r="J34" i="24"/>
  <c r="M22" i="27"/>
  <c r="N28" i="27"/>
  <c r="J20" i="27"/>
  <c r="J25" i="27"/>
  <c r="J27" i="27"/>
  <c r="J28" i="27"/>
  <c r="N20" i="30"/>
  <c r="M29" i="30"/>
  <c r="G30" i="30"/>
  <c r="D26" i="30"/>
  <c r="J26" i="30"/>
  <c r="I30" i="30"/>
  <c r="G31" i="33"/>
  <c r="L21" i="33"/>
  <c r="F24" i="33"/>
  <c r="K25" i="33"/>
  <c r="B34" i="32"/>
  <c r="B36" i="32"/>
  <c r="B11" i="34"/>
  <c r="B13" i="34"/>
  <c r="B14" i="34"/>
  <c r="B15" i="34"/>
  <c r="B16" i="34"/>
  <c r="B17" i="34"/>
  <c r="B18" i="34"/>
  <c r="B25" i="34"/>
  <c r="B25" i="36" s="1"/>
  <c r="B26" i="35"/>
  <c r="B26" i="36" s="1"/>
  <c r="C27" i="36"/>
  <c r="I29" i="36"/>
  <c r="E8" i="37"/>
  <c r="E8" i="39" s="1"/>
  <c r="K8" i="37"/>
  <c r="K8" i="39" s="1"/>
  <c r="N22" i="39"/>
  <c r="I17" i="39"/>
  <c r="N21" i="39"/>
  <c r="G22" i="39"/>
  <c r="K23" i="39"/>
  <c r="K17" i="42"/>
  <c r="K24" i="42"/>
  <c r="AD9" i="56"/>
  <c r="BT15" i="56"/>
  <c r="BT18" i="56"/>
  <c r="BT24" i="56"/>
  <c r="BT33" i="56"/>
  <c r="D6" i="110"/>
  <c r="B8" i="111"/>
  <c r="AH6" i="56"/>
  <c r="AN6" i="56"/>
  <c r="CA6" i="56"/>
  <c r="DO6" i="56"/>
  <c r="C6" i="14"/>
  <c r="B19" i="45"/>
  <c r="B12" i="51"/>
  <c r="I14" i="24"/>
  <c r="F23" i="24"/>
  <c r="F26" i="24"/>
  <c r="L27" i="24"/>
  <c r="E35" i="24"/>
  <c r="G11" i="27"/>
  <c r="M16" i="27"/>
  <c r="N32" i="27"/>
  <c r="E22" i="27"/>
  <c r="K29" i="27"/>
  <c r="K34" i="27"/>
  <c r="G9" i="30"/>
  <c r="F8" i="29"/>
  <c r="F8" i="30" s="1"/>
  <c r="F17" i="30"/>
  <c r="L18" i="30"/>
  <c r="B19" i="29"/>
  <c r="B19" i="30" s="1"/>
  <c r="L19" i="30"/>
  <c r="K24" i="30"/>
  <c r="K25" i="30"/>
  <c r="C32" i="30"/>
  <c r="B34" i="29"/>
  <c r="B35" i="29"/>
  <c r="B36" i="29"/>
  <c r="B37" i="29"/>
  <c r="M8" i="31"/>
  <c r="M8" i="33" s="1"/>
  <c r="C24" i="33"/>
  <c r="M32" i="33"/>
  <c r="B15" i="32"/>
  <c r="G22" i="33"/>
  <c r="D33" i="33"/>
  <c r="B37" i="34"/>
  <c r="G8" i="35"/>
  <c r="H32" i="36"/>
  <c r="H24" i="39"/>
  <c r="K28" i="39"/>
  <c r="K31" i="39"/>
  <c r="J17" i="39"/>
  <c r="L13" i="42"/>
  <c r="B28" i="41"/>
  <c r="B28" i="42" s="1"/>
  <c r="DJ30" i="56"/>
  <c r="J6" i="111"/>
  <c r="D6" i="111"/>
  <c r="B34" i="111"/>
  <c r="E6" i="112"/>
  <c r="J6" i="112"/>
  <c r="M6" i="112"/>
  <c r="BF6" i="56"/>
  <c r="BT6" i="56" s="1"/>
  <c r="DR6" i="56"/>
  <c r="B10" i="45"/>
  <c r="J14" i="24"/>
  <c r="N20" i="24"/>
  <c r="M25" i="24"/>
  <c r="M29" i="24"/>
  <c r="G18" i="27"/>
  <c r="G21" i="27"/>
  <c r="N25" i="27"/>
  <c r="L21" i="27"/>
  <c r="F31" i="27"/>
  <c r="N24" i="30"/>
  <c r="B27" i="28"/>
  <c r="B27" i="30" s="1"/>
  <c r="M16" i="30"/>
  <c r="L23" i="30"/>
  <c r="L24" i="30"/>
  <c r="F25" i="30"/>
  <c r="L25" i="30"/>
  <c r="L26" i="30"/>
  <c r="L28" i="33"/>
  <c r="H12" i="33"/>
  <c r="H21" i="33"/>
  <c r="E29" i="33"/>
  <c r="E32" i="33"/>
  <c r="B35" i="32"/>
  <c r="K8" i="34"/>
  <c r="K8" i="36" s="1"/>
  <c r="B21" i="34"/>
  <c r="B22" i="34"/>
  <c r="J33" i="36"/>
  <c r="N33" i="36"/>
  <c r="M8" i="37"/>
  <c r="M8" i="39" s="1"/>
  <c r="L30" i="39"/>
  <c r="K16" i="39"/>
  <c r="L27" i="39"/>
  <c r="J28" i="39"/>
  <c r="K11" i="42"/>
  <c r="H20" i="42"/>
  <c r="M20" i="42"/>
  <c r="F31" i="42"/>
  <c r="L37" i="42"/>
  <c r="AD12" i="56"/>
  <c r="DJ20" i="56"/>
  <c r="E6" i="111"/>
  <c r="B25" i="111"/>
  <c r="H6" i="112"/>
  <c r="CC6" i="56"/>
  <c r="B17" i="51"/>
  <c r="B6" i="6"/>
  <c r="H6" i="6"/>
  <c r="B22" i="21"/>
  <c r="I8" i="36"/>
  <c r="L8" i="33"/>
  <c r="B30" i="30"/>
  <c r="B29" i="17"/>
  <c r="B29" i="18" s="1"/>
  <c r="M21" i="24"/>
  <c r="E32" i="24"/>
  <c r="K33" i="24"/>
  <c r="L31" i="24"/>
  <c r="F33" i="24"/>
  <c r="E29" i="24"/>
  <c r="B34" i="16"/>
  <c r="B34" i="18" s="1"/>
  <c r="N30" i="24"/>
  <c r="E8" i="25"/>
  <c r="H28" i="24"/>
  <c r="I32" i="24"/>
  <c r="B19" i="25"/>
  <c r="B19" i="27" s="1"/>
  <c r="F28" i="36"/>
  <c r="L28" i="36"/>
  <c r="G11" i="39"/>
  <c r="F12" i="39"/>
  <c r="J18" i="30"/>
  <c r="G27" i="33"/>
  <c r="B17" i="35"/>
  <c r="G28" i="36"/>
  <c r="N10" i="39"/>
  <c r="N29" i="39"/>
  <c r="E26" i="33"/>
  <c r="N8" i="29"/>
  <c r="N8" i="30" s="1"/>
  <c r="B12" i="31"/>
  <c r="B12" i="33" s="1"/>
  <c r="M8" i="34"/>
  <c r="M8" i="36" s="1"/>
  <c r="K19" i="36"/>
  <c r="H23" i="36"/>
  <c r="B34" i="37"/>
  <c r="E19" i="39"/>
  <c r="K19" i="39"/>
  <c r="B27" i="38"/>
  <c r="B27" i="39" s="1"/>
  <c r="J29" i="39"/>
  <c r="C13" i="30"/>
  <c r="K33" i="33"/>
  <c r="D29" i="36"/>
  <c r="L18" i="39"/>
  <c r="D26" i="42"/>
  <c r="B26" i="41"/>
  <c r="B26" i="42" s="1"/>
  <c r="N32" i="33"/>
  <c r="K28" i="36"/>
  <c r="M19" i="39"/>
  <c r="BT8" i="56"/>
  <c r="V38" i="5"/>
  <c r="B12" i="30" l="1"/>
  <c r="B15" i="21"/>
  <c r="B22" i="24"/>
  <c r="B32" i="24"/>
  <c r="G8" i="18"/>
  <c r="B35" i="18"/>
  <c r="B20" i="21"/>
  <c r="B6" i="112"/>
  <c r="B6" i="111"/>
  <c r="B6" i="110"/>
  <c r="B33" i="21"/>
  <c r="K8" i="18"/>
  <c r="B26" i="30"/>
  <c r="M8" i="21"/>
  <c r="B26" i="18"/>
  <c r="B9" i="18"/>
  <c r="B12" i="18"/>
  <c r="B8" i="28"/>
  <c r="B25" i="21"/>
  <c r="B30" i="36"/>
  <c r="B9" i="27"/>
  <c r="B21" i="18"/>
  <c r="B27" i="18"/>
  <c r="B8" i="31"/>
  <c r="B8" i="33" s="1"/>
  <c r="B31" i="36"/>
  <c r="AD6" i="56"/>
  <c r="B12" i="21"/>
  <c r="B28" i="18"/>
  <c r="B8" i="34"/>
  <c r="G8" i="36"/>
  <c r="B8" i="19"/>
  <c r="B8" i="35"/>
  <c r="C8" i="18"/>
  <c r="B8" i="17"/>
  <c r="B8" i="40"/>
  <c r="B8" i="42" s="1"/>
  <c r="D8" i="42"/>
  <c r="B37" i="21"/>
  <c r="B8" i="16"/>
  <c r="B22" i="36"/>
  <c r="B8" i="22"/>
  <c r="B8" i="24" s="1"/>
  <c r="B8" i="20"/>
  <c r="D8" i="30"/>
  <c r="C8" i="24"/>
  <c r="B8" i="25"/>
  <c r="B8" i="27" s="1"/>
  <c r="E8" i="27"/>
  <c r="B8" i="37"/>
  <c r="B8" i="39" s="1"/>
  <c r="B34" i="39"/>
  <c r="B8" i="29"/>
  <c r="B8" i="30" s="1"/>
  <c r="B8" i="36" l="1"/>
  <c r="B8" i="18"/>
  <c r="B8" i="21"/>
</calcChain>
</file>

<file path=xl/sharedStrings.xml><?xml version="1.0" encoding="utf-8"?>
<sst xmlns="http://schemas.openxmlformats.org/spreadsheetml/2006/main" count="11018" uniqueCount="622">
  <si>
    <t>2000</t>
  </si>
  <si>
    <t>2001</t>
  </si>
  <si>
    <t>2002</t>
  </si>
  <si>
    <t>Subsector pecuario</t>
  </si>
  <si>
    <t xml:space="preserve">    Ave</t>
  </si>
  <si>
    <t>Ovino</t>
  </si>
  <si>
    <t>Porcino</t>
  </si>
  <si>
    <t>Vacuno</t>
  </si>
  <si>
    <t>Caprino</t>
  </si>
  <si>
    <t>Alpaca</t>
  </si>
  <si>
    <t>Llama</t>
  </si>
  <si>
    <t>Fibra Alpaca</t>
  </si>
  <si>
    <t>Fibra Llama</t>
  </si>
  <si>
    <t>Lana</t>
  </si>
  <si>
    <t>Ovino 1/</t>
  </si>
  <si>
    <t>Vacuno 1/</t>
  </si>
  <si>
    <t>Huevo</t>
  </si>
  <si>
    <t>Especie / Producto</t>
  </si>
  <si>
    <t>Región</t>
  </si>
  <si>
    <t>Ave</t>
  </si>
  <si>
    <t>LLama</t>
  </si>
  <si>
    <t>Tumbes</t>
  </si>
  <si>
    <t>Piura</t>
  </si>
  <si>
    <t>Lambayeque</t>
  </si>
  <si>
    <t>La Libertad</t>
  </si>
  <si>
    <t>Cajamarca</t>
  </si>
  <si>
    <t xml:space="preserve">    Cajamarca</t>
  </si>
  <si>
    <t xml:space="preserve">    Chota</t>
  </si>
  <si>
    <t xml:space="preserve">    Jaén</t>
  </si>
  <si>
    <t>Amazonas</t>
  </si>
  <si>
    <t>Ancash</t>
  </si>
  <si>
    <t>Lima</t>
  </si>
  <si>
    <t>Ica</t>
  </si>
  <si>
    <t>Huánuco</t>
  </si>
  <si>
    <t>Pasco</t>
  </si>
  <si>
    <t>Junín</t>
  </si>
  <si>
    <t>Huancavelica</t>
  </si>
  <si>
    <t>Arequipa</t>
  </si>
  <si>
    <t>Moquegua</t>
  </si>
  <si>
    <t>Tacna</t>
  </si>
  <si>
    <t>Ayacucho</t>
  </si>
  <si>
    <t>Apurímac</t>
  </si>
  <si>
    <t xml:space="preserve">    Abancay</t>
  </si>
  <si>
    <t xml:space="preserve">    Andahuaylas</t>
  </si>
  <si>
    <t>Cusco</t>
  </si>
  <si>
    <t>Puno</t>
  </si>
  <si>
    <t>San Martín</t>
  </si>
  <si>
    <t>Loreto</t>
  </si>
  <si>
    <t>Ucayali</t>
  </si>
  <si>
    <t>Madre de Dios</t>
  </si>
  <si>
    <t>-</t>
  </si>
  <si>
    <t>Población (Miles)</t>
  </si>
  <si>
    <t>Rdto. (Kg/Vaca/Año)</t>
  </si>
  <si>
    <t>Rdto. (Kg/Alpaca)</t>
  </si>
  <si>
    <t xml:space="preserve"> 1/  Precio en chacra de animales en  pie.</t>
  </si>
  <si>
    <t>Variable</t>
  </si>
  <si>
    <t>Anual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</si>
  <si>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</si>
  <si>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</si>
  <si>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</si>
  <si>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</si>
  <si>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</si>
  <si>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</si>
  <si>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</si>
  <si>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</si>
  <si>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</si>
  <si>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</si>
  <si>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</si>
  <si>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</si>
  <si>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 xml:space="preserve">Ave </t>
  </si>
  <si>
    <t xml:space="preserve">Porcino </t>
  </si>
  <si>
    <t xml:space="preserve">Vacuno </t>
  </si>
  <si>
    <t xml:space="preserve">Caprino </t>
  </si>
  <si>
    <t xml:space="preserve">Alpaca </t>
  </si>
  <si>
    <t xml:space="preserve">Llama </t>
  </si>
  <si>
    <t>Gallinas en producción 3/</t>
  </si>
  <si>
    <t>Vacas en producción 3/</t>
  </si>
  <si>
    <t>Alpacas esquiladas</t>
  </si>
  <si>
    <t>Llamas  esquiladas</t>
  </si>
  <si>
    <t>Ovinos   esquilados</t>
  </si>
  <si>
    <t>Lana ovino</t>
  </si>
  <si>
    <t xml:space="preserve"> -</t>
  </si>
  <si>
    <t>Vacas en Ordeño</t>
  </si>
  <si>
    <t>LLamas esquiladas</t>
  </si>
  <si>
    <t>Ovinos esquilados</t>
  </si>
  <si>
    <t>Leche fresca</t>
  </si>
  <si>
    <t xml:space="preserve">Leche fresca </t>
  </si>
  <si>
    <t>Producto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</si>
  <si>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</si>
  <si>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</si>
  <si>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</si>
  <si>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</si>
  <si>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</si>
  <si>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</si>
  <si>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</si>
  <si>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</si>
  <si>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</si>
  <si>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</si>
  <si>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</si>
  <si>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</si>
  <si>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Nacional</t>
  </si>
  <si>
    <t xml:space="preserve">   Cajamarca</t>
  </si>
  <si>
    <t xml:space="preserve">   Chota</t>
  </si>
  <si>
    <t xml:space="preserve">   Jaén</t>
  </si>
  <si>
    <t xml:space="preserve">   Abancay</t>
  </si>
  <si>
    <t xml:space="preserve">   Andahuaylas</t>
  </si>
  <si>
    <t>Total Nacional</t>
  </si>
  <si>
    <t xml:space="preserve">     Cajamarca</t>
  </si>
  <si>
    <t xml:space="preserve">     Chota</t>
  </si>
  <si>
    <t xml:space="preserve">     Jaén</t>
  </si>
  <si>
    <t>HuancOVIlica</t>
  </si>
  <si>
    <t xml:space="preserve">     Abancay</t>
  </si>
  <si>
    <t xml:space="preserve">     Andahuaylas</t>
  </si>
  <si>
    <t>San  Martín</t>
  </si>
  <si>
    <t>Promedio</t>
  </si>
  <si>
    <t>Especie</t>
  </si>
  <si>
    <t>Unidades</t>
  </si>
  <si>
    <t>Kg/Unidad</t>
  </si>
  <si>
    <t>Ene-Dic</t>
  </si>
  <si>
    <t xml:space="preserve">Total Nacional </t>
  </si>
  <si>
    <t xml:space="preserve">Promedio Nacional </t>
  </si>
  <si>
    <t>Total</t>
  </si>
  <si>
    <t>Mes</t>
  </si>
  <si>
    <t>Año</t>
  </si>
  <si>
    <t>Pavo</t>
  </si>
  <si>
    <t>Cuadro     87    .  Perú:Abastecimiento de carne y</t>
  </si>
  <si>
    <t>Carnes</t>
  </si>
  <si>
    <t>Pesca-</t>
  </si>
  <si>
    <t>do 2/</t>
  </si>
  <si>
    <t>Pollo</t>
  </si>
  <si>
    <t>Fuente:MINAG-DGIA.</t>
  </si>
  <si>
    <t xml:space="preserve">     2/Ministerio de Pesquería</t>
  </si>
  <si>
    <t>Leche</t>
  </si>
  <si>
    <t>Polvo</t>
  </si>
  <si>
    <t>Entera</t>
  </si>
  <si>
    <t xml:space="preserve">Grasa </t>
  </si>
  <si>
    <t>Anhidra</t>
  </si>
  <si>
    <t>Habitantes</t>
  </si>
  <si>
    <t>Gallina</t>
  </si>
  <si>
    <t xml:space="preserve">     Jaen</t>
  </si>
  <si>
    <t>anual</t>
  </si>
  <si>
    <t>Puno  *</t>
  </si>
  <si>
    <t>Departamento</t>
  </si>
  <si>
    <t xml:space="preserve">Moquegua </t>
  </si>
  <si>
    <t>Línea carne</t>
  </si>
  <si>
    <t>(Miles)</t>
  </si>
  <si>
    <t>Línea postura</t>
  </si>
  <si>
    <t xml:space="preserve">Carne pollo </t>
  </si>
  <si>
    <t>Volumen</t>
  </si>
  <si>
    <t>Rendimiento</t>
  </si>
  <si>
    <t>Postura</t>
  </si>
  <si>
    <t>Reproductoras</t>
  </si>
  <si>
    <t>Fuente: SIEA.</t>
  </si>
  <si>
    <t xml:space="preserve">  Importación</t>
  </si>
  <si>
    <t xml:space="preserve">  Producción</t>
  </si>
  <si>
    <t xml:space="preserve">  Colocación</t>
  </si>
  <si>
    <t xml:space="preserve">  Exportación</t>
  </si>
  <si>
    <t>NORTE</t>
  </si>
  <si>
    <t xml:space="preserve">   Tumbes</t>
  </si>
  <si>
    <t xml:space="preserve">   Piura</t>
  </si>
  <si>
    <t xml:space="preserve">   Lambayeque</t>
  </si>
  <si>
    <t xml:space="preserve">   La Libertad</t>
  </si>
  <si>
    <t xml:space="preserve">   Amazonas</t>
  </si>
  <si>
    <t>CENTRO</t>
  </si>
  <si>
    <t>SUR</t>
  </si>
  <si>
    <t xml:space="preserve">   Moquegua</t>
  </si>
  <si>
    <t xml:space="preserve">   Ayacucho</t>
  </si>
  <si>
    <t xml:space="preserve">   Apurímac</t>
  </si>
  <si>
    <t xml:space="preserve">   Cusco</t>
  </si>
  <si>
    <t xml:space="preserve">   Puno</t>
  </si>
  <si>
    <t>ORIENTE</t>
  </si>
  <si>
    <t xml:space="preserve">   Loreto</t>
  </si>
  <si>
    <t xml:space="preserve">   Ucayali</t>
  </si>
  <si>
    <t>--</t>
  </si>
  <si>
    <t xml:space="preserve">   Ancash </t>
  </si>
  <si>
    <t xml:space="preserve">   Lima</t>
  </si>
  <si>
    <t xml:space="preserve">   Ica </t>
  </si>
  <si>
    <t xml:space="preserve">   Huánuco</t>
  </si>
  <si>
    <t xml:space="preserve">   Huancavelica</t>
  </si>
  <si>
    <t xml:space="preserve">   Junín</t>
  </si>
  <si>
    <t xml:space="preserve">   Pasco</t>
  </si>
  <si>
    <t xml:space="preserve">   Arequipa</t>
  </si>
  <si>
    <t xml:space="preserve">   Tacna </t>
  </si>
  <si>
    <t xml:space="preserve">   San Martin</t>
  </si>
  <si>
    <t xml:space="preserve">   M. de Dios</t>
  </si>
  <si>
    <t>Sep</t>
  </si>
  <si>
    <t>Kilos</t>
  </si>
  <si>
    <t>Gallina Negra</t>
  </si>
  <si>
    <t>Gallina Blanca</t>
  </si>
  <si>
    <t>Gallina Mora</t>
  </si>
  <si>
    <t>Pato</t>
  </si>
  <si>
    <t>Gallo</t>
  </si>
  <si>
    <t>Fuente:Direcciones Regionales de Agricultura.</t>
  </si>
  <si>
    <t>Fuente:Sunat-Aduanas</t>
  </si>
  <si>
    <t>Fuente: Sunat-Aduanas.</t>
  </si>
  <si>
    <t>Fuente: Plantas de Incubación.</t>
  </si>
  <si>
    <t>Fuente: Centros de Acopio de Aves Vivas de Lima Metropolitana y Callao.</t>
  </si>
  <si>
    <t xml:space="preserve">Población </t>
  </si>
  <si>
    <t>1/ Precio de animal vivo.</t>
  </si>
  <si>
    <t>Sector agropecuario</t>
  </si>
  <si>
    <t>Subsector agrícola</t>
  </si>
  <si>
    <t>Sector / Producto</t>
  </si>
  <si>
    <t xml:space="preserve">    Subsector pecuario</t>
  </si>
  <si>
    <t xml:space="preserve"> </t>
  </si>
  <si>
    <t>Tasa</t>
  </si>
  <si>
    <t>Crec.</t>
  </si>
  <si>
    <t>Gallinas en Postura</t>
  </si>
  <si>
    <t>PROMEDIO</t>
  </si>
  <si>
    <t>Huevo de gallina</t>
  </si>
  <si>
    <t xml:space="preserve">Total </t>
  </si>
  <si>
    <t>Carne</t>
  </si>
  <si>
    <t>Pescado</t>
  </si>
  <si>
    <t xml:space="preserve">Leche </t>
  </si>
  <si>
    <t>Fuente: Direcciones Regionales de Agricultura.</t>
  </si>
  <si>
    <t xml:space="preserve"> (LPD) </t>
  </si>
  <si>
    <t xml:space="preserve"> (LEP) </t>
  </si>
  <si>
    <t xml:space="preserve"> (GAL) </t>
  </si>
  <si>
    <t>Fresca</t>
  </si>
  <si>
    <t xml:space="preserve">       Pollo</t>
  </si>
  <si>
    <t xml:space="preserve">2017 </t>
  </si>
  <si>
    <t>2017</t>
  </si>
  <si>
    <t xml:space="preserve">2018 </t>
  </si>
  <si>
    <t>Gallina  Minidoble</t>
  </si>
  <si>
    <t>Gallina Colorada</t>
  </si>
  <si>
    <t>Var. % 19/18</t>
  </si>
  <si>
    <t xml:space="preserve">Camal </t>
  </si>
  <si>
    <t>V</t>
  </si>
  <si>
    <t>Fuente:  Gerencias/Direcciones   Regionales de Agricultura -Sub Gerencia/ Dirección de Estadística /Direccion de Informacion Agraria.</t>
  </si>
  <si>
    <r>
      <t xml:space="preserve">Industria avícola </t>
    </r>
    <r>
      <rPr>
        <vertAlign val="superscript"/>
        <sz val="8"/>
        <color theme="1"/>
        <rFont val="Arial Narrow"/>
        <family val="2"/>
      </rPr>
      <t>1</t>
    </r>
  </si>
  <si>
    <r>
      <rPr>
        <vertAlign val="superscript"/>
        <sz val="8"/>
        <color theme="1"/>
        <rFont val="Arial Narrow"/>
        <family val="2"/>
      </rPr>
      <t>P</t>
    </r>
    <r>
      <rPr>
        <sz val="8"/>
        <color theme="1"/>
        <rFont val="Arial Narrow"/>
        <family val="2"/>
      </rPr>
      <t xml:space="preserve"> Preliminar.</t>
    </r>
  </si>
  <si>
    <r>
      <t xml:space="preserve">Ave </t>
    </r>
    <r>
      <rPr>
        <vertAlign val="superscript"/>
        <sz val="8"/>
        <color theme="1"/>
        <rFont val="Arial Narrow"/>
        <family val="2"/>
      </rPr>
      <t>1</t>
    </r>
  </si>
  <si>
    <r>
      <t xml:space="preserve">   Pollo </t>
    </r>
    <r>
      <rPr>
        <vertAlign val="superscript"/>
        <sz val="8"/>
        <color theme="1"/>
        <rFont val="Arial Narrow"/>
        <family val="2"/>
      </rPr>
      <t>1</t>
    </r>
  </si>
  <si>
    <r>
      <t xml:space="preserve">Ovino </t>
    </r>
    <r>
      <rPr>
        <vertAlign val="superscript"/>
        <sz val="8"/>
        <color theme="1"/>
        <rFont val="Arial Narrow"/>
        <family val="2"/>
      </rPr>
      <t>1</t>
    </r>
  </si>
  <si>
    <r>
      <t xml:space="preserve">Porcino </t>
    </r>
    <r>
      <rPr>
        <vertAlign val="superscript"/>
        <sz val="8"/>
        <color theme="1"/>
        <rFont val="Arial Narrow"/>
        <family val="2"/>
      </rPr>
      <t>1</t>
    </r>
  </si>
  <si>
    <r>
      <t xml:space="preserve">Vacuno </t>
    </r>
    <r>
      <rPr>
        <vertAlign val="superscript"/>
        <sz val="8"/>
        <color theme="1"/>
        <rFont val="Arial Narrow"/>
        <family val="2"/>
      </rPr>
      <t>1</t>
    </r>
  </si>
  <si>
    <r>
      <t xml:space="preserve">Caprino </t>
    </r>
    <r>
      <rPr>
        <vertAlign val="superscript"/>
        <sz val="8"/>
        <color theme="1"/>
        <rFont val="Arial Narrow"/>
        <family val="2"/>
      </rPr>
      <t>1</t>
    </r>
  </si>
  <si>
    <r>
      <t xml:space="preserve">Alpaca </t>
    </r>
    <r>
      <rPr>
        <vertAlign val="superscript"/>
        <sz val="8"/>
        <color theme="1"/>
        <rFont val="Arial Narrow"/>
        <family val="2"/>
      </rPr>
      <t>1</t>
    </r>
  </si>
  <si>
    <r>
      <t xml:space="preserve">Llama </t>
    </r>
    <r>
      <rPr>
        <vertAlign val="superscript"/>
        <sz val="8"/>
        <color theme="1"/>
        <rFont val="Arial Narrow"/>
        <family val="2"/>
      </rPr>
      <t>1</t>
    </r>
  </si>
  <si>
    <r>
      <rPr>
        <vertAlign val="superscript"/>
        <sz val="7"/>
        <color theme="1"/>
        <rFont val="Arial Narrow"/>
        <family val="2"/>
      </rPr>
      <t>P</t>
    </r>
    <r>
      <rPr>
        <sz val="7"/>
        <color theme="1"/>
        <rFont val="Arial Narrow"/>
        <family val="2"/>
      </rPr>
      <t xml:space="preserve"> Preliminar.</t>
    </r>
  </si>
  <si>
    <r>
      <t xml:space="preserve">2019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</si>
  <si>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Carne ave </t>
    </r>
    <r>
      <rPr>
        <vertAlign val="superscript"/>
        <sz val="8"/>
        <color theme="1"/>
        <rFont val="Arial Narrow"/>
        <family val="2"/>
      </rPr>
      <t>1</t>
    </r>
  </si>
  <si>
    <r>
      <t xml:space="preserve">En granja </t>
    </r>
    <r>
      <rPr>
        <vertAlign val="superscript"/>
        <sz val="8"/>
        <color theme="1"/>
        <rFont val="Arial Narrow"/>
        <family val="2"/>
      </rPr>
      <t>2</t>
    </r>
  </si>
  <si>
    <r>
      <t xml:space="preserve">En centro de acopio </t>
    </r>
    <r>
      <rPr>
        <vertAlign val="superscript"/>
        <sz val="8"/>
        <color theme="1"/>
        <rFont val="Arial Narrow"/>
        <family val="2"/>
      </rPr>
      <t>2</t>
    </r>
  </si>
  <si>
    <r>
      <t xml:space="preserve">En camal </t>
    </r>
    <r>
      <rPr>
        <vertAlign val="superscript"/>
        <sz val="8"/>
        <color theme="1"/>
        <rFont val="Arial Narrow"/>
        <family val="2"/>
      </rPr>
      <t>3</t>
    </r>
  </si>
  <si>
    <r>
      <t xml:space="preserve">Al consumidor </t>
    </r>
    <r>
      <rPr>
        <vertAlign val="superscript"/>
        <sz val="8"/>
        <color theme="1"/>
        <rFont val="Arial Narrow"/>
        <family val="2"/>
      </rPr>
      <t>3</t>
    </r>
  </si>
  <si>
    <r>
      <t xml:space="preserve">2018 </t>
    </r>
    <r>
      <rPr>
        <b/>
        <vertAlign val="superscript"/>
        <sz val="8"/>
        <color theme="1"/>
        <rFont val="Arial Narrow"/>
        <family val="2"/>
      </rPr>
      <t>P</t>
    </r>
  </si>
  <si>
    <r>
      <rPr>
        <vertAlign val="superscript"/>
        <sz val="7"/>
        <color theme="1"/>
        <rFont val="Arial Narrow"/>
        <family val="2"/>
      </rPr>
      <t xml:space="preserve">1 </t>
    </r>
    <r>
      <rPr>
        <sz val="7"/>
        <color theme="1"/>
        <rFont val="Arial Narrow"/>
        <family val="2"/>
      </rPr>
      <t xml:space="preserve"> Considera ave y huevo de gallina.</t>
    </r>
  </si>
  <si>
    <t>Saca (Unidades)</t>
  </si>
  <si>
    <t>Gallinas (Unidades)</t>
  </si>
  <si>
    <t>Abastecimiento (Lima Metropolitana)</t>
  </si>
  <si>
    <t>Saca (Miles)</t>
  </si>
  <si>
    <t>Vacas (Unidades)</t>
  </si>
  <si>
    <t>(Toneladas)</t>
  </si>
  <si>
    <t>C.2  PERÚ: PARTICIPACIÓN POR SUBSECTORES Y  PRINCIPALES ESPECIES Y PRODUCTOS EN EL VALOR BRUTO DE LA PRODUCCIÓN AGROPECUARIA, 2007-19.</t>
  </si>
  <si>
    <t>C.150  PERÚ: PRECIO RECIBIDO POR EL PRODUCTOR DE AVES POR  AÑO SEGÚN REGIÓN, 2008-2019.</t>
  </si>
  <si>
    <t>C.147  PERÚ: POBLACIÓN DE AVES POR AÑO SEGÚN REGIÓN, 2008-2019.</t>
  </si>
  <si>
    <t>C.138  PERÚ: IMPORTACIÓN DE HUEVOS FÉRTILES POLLOS, POR MES, 2010-19.</t>
  </si>
  <si>
    <t>C.137  PERÚ: COLOCACIÓN DE POLLOS  "BB" LÍNEA CARNE, POR MES, 2010-19.</t>
  </si>
  <si>
    <t>C.135  PERÚ: PRODUCCIÓN DE POLLOS  "BB" LÍNEA CARNE, POR MES, 2007-19.</t>
  </si>
  <si>
    <t>C.134  PERÚ: EXPORTACIÓN DE HUEVOS FÉRTILES PADRES, POR MES, 2010-19.</t>
  </si>
  <si>
    <t>C.124  PERÚ: PRECIOS PROMEDIO PAGADOS AL PRODUCTOR DE LANA DE OVINO, POR REGIÓN SEGÚN MES, 2019 P.</t>
  </si>
  <si>
    <t>Elaboración: MInisterio de Agricultura y Riego - DGESEP - DEA.</t>
  </si>
  <si>
    <t xml:space="preserve">        (%)</t>
  </si>
  <si>
    <t xml:space="preserve">        (Miles de toneladas)</t>
  </si>
  <si>
    <t xml:space="preserve"> C.3  PERÚ: EVOLUCIÓN DE LA PRODUCCIÓN PECUARIA POR ESPECIE  Y PRODUCTO, 2007-19.</t>
  </si>
  <si>
    <r>
      <rPr>
        <vertAlign val="superscript"/>
        <sz val="7"/>
        <color theme="1"/>
        <rFont val="Arial Narrow"/>
        <family val="2"/>
      </rPr>
      <t xml:space="preserve">1  </t>
    </r>
    <r>
      <rPr>
        <sz val="7"/>
        <color theme="1"/>
        <rFont val="Arial Narrow"/>
        <family val="2"/>
      </rPr>
      <t>Considera ave y huevo de gallina.</t>
    </r>
  </si>
  <si>
    <t xml:space="preserve">        (Millones de soles a precios 2007)</t>
  </si>
  <si>
    <r>
      <rPr>
        <vertAlign val="superscript"/>
        <sz val="7"/>
        <color theme="1"/>
        <rFont val="Arial Narrow"/>
        <family val="2"/>
      </rPr>
      <t>1</t>
    </r>
    <r>
      <rPr>
        <sz val="7"/>
        <color theme="1"/>
        <rFont val="Arial Narrow"/>
        <family val="2"/>
      </rPr>
      <t xml:space="preserve">  Peso de animal vivo.</t>
    </r>
  </si>
  <si>
    <r>
      <t xml:space="preserve">C.121  PERÚ: PRECIOS PROMEDIO PAGADOS AL PRODUCTOR DE LECHE FRESCA DE VACA, POR REGIÓN SEGÚN MES, 2019 </t>
    </r>
    <r>
      <rPr>
        <vertAlign val="superscript"/>
        <sz val="8"/>
        <color theme="1"/>
        <rFont val="Arial Narrow"/>
        <family val="2"/>
      </rPr>
      <t>P</t>
    </r>
    <r>
      <rPr>
        <sz val="8"/>
        <color theme="1"/>
        <rFont val="Arial Narrow"/>
        <family val="2"/>
      </rPr>
      <t>.</t>
    </r>
  </si>
  <si>
    <t xml:space="preserve">        (Unidades)</t>
  </si>
  <si>
    <r>
      <t>2019</t>
    </r>
    <r>
      <rPr>
        <b/>
        <vertAlign val="superscript"/>
        <sz val="8"/>
        <color theme="1"/>
        <rFont val="Arial Narrow"/>
        <family val="2"/>
      </rPr>
      <t>P</t>
    </r>
  </si>
  <si>
    <t>Produción carne (t)</t>
  </si>
  <si>
    <t xml:space="preserve">Precio (S/ x Kg) </t>
  </si>
  <si>
    <t>Precio (S/ x Kg)</t>
  </si>
  <si>
    <t>Producción (t)</t>
  </si>
  <si>
    <t>Rendimiento (Kg/gallina)</t>
  </si>
  <si>
    <t>Precio (S/ x Litro)</t>
  </si>
  <si>
    <t>Precio (S/ x Libra)</t>
  </si>
  <si>
    <t>Esquilados (Unidades)</t>
  </si>
  <si>
    <t>Rendimiento (Kg/Llama)</t>
  </si>
  <si>
    <t>Rendimiento  (Kg/Ovino)</t>
  </si>
  <si>
    <t>Huevo Gallina</t>
  </si>
  <si>
    <t>Leche Vaca</t>
  </si>
  <si>
    <t>Lana Ovino</t>
  </si>
  <si>
    <t>Rendimiento (Kg/Unidad)</t>
  </si>
  <si>
    <t>Especie/    Producto</t>
  </si>
  <si>
    <t xml:space="preserve">        POR ESPECIE Y PRODUCTO, 2007-19. </t>
  </si>
  <si>
    <t>sigue…</t>
  </si>
  <si>
    <t>Producción carne (t)</t>
  </si>
  <si>
    <t>Producción huevo (t)</t>
  </si>
  <si>
    <t>Producción leche (t)</t>
  </si>
  <si>
    <t>Producción fibra (t)</t>
  </si>
  <si>
    <t>Producción lana (t)</t>
  </si>
  <si>
    <t>Rendimiento (Kg/alpaca)</t>
  </si>
  <si>
    <t>Rendimiento (Kg/llama)</t>
  </si>
  <si>
    <t>Rendimiento (Kg/ovino)</t>
  </si>
  <si>
    <t>Precio (S/ x Kg) 1/</t>
  </si>
  <si>
    <t>Rendimiento (Kg/vaca/día)</t>
  </si>
  <si>
    <t>continúa C.6</t>
  </si>
  <si>
    <t>continúa C.5</t>
  </si>
  <si>
    <r>
      <t>C.4  PERÚ:POBLACIÓN PECUARIA POR REGIÓN SEGÚN ESPECIE, 2019</t>
    </r>
    <r>
      <rPr>
        <b/>
        <vertAlign val="superscript"/>
        <sz val="9"/>
        <color theme="1"/>
        <rFont val="Arial Narrow"/>
        <family val="2"/>
      </rPr>
      <t>P</t>
    </r>
    <r>
      <rPr>
        <b/>
        <sz val="9"/>
        <color theme="1"/>
        <rFont val="Arial Narrow"/>
        <family val="2"/>
      </rPr>
      <t>.</t>
    </r>
  </si>
  <si>
    <t>C.5  PERÚ: EVOLUCIÓN DE LA POBLACIÓN, SACA, PRODUCCIÓN, RENDIMIENTO Y PRECIOS RECIBIDOS POR EL PRODUCTOR,</t>
  </si>
  <si>
    <r>
      <t>C.6  PERÚ: POBLACIÓN, SACA, PRODUCCIÓN, RENDIMIENTO Y PRECIOS RECIBIDOS POR EL PRODUCTOR POR PRINCIPALES ESPECIES Y PRODUCTOS PECUARIOS,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>.</t>
    </r>
  </si>
  <si>
    <t xml:space="preserve">       (Unidades)</t>
  </si>
  <si>
    <r>
      <t>C.7  PERÚ: PRODUCCIÓN PECUARIA POR ESPECIE SEGÚN REGIÓN,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>.</t>
    </r>
  </si>
  <si>
    <t>Colocación de Pollos "bb" a nivel Nacional</t>
  </si>
  <si>
    <t xml:space="preserve">        (Toneladas)</t>
  </si>
  <si>
    <t xml:space="preserve">C.1  PERÚ: EVOLUCIÓN  DEL VALOR  BRUTO DE LA PRODUDUCCIÓN (VBP) AGROPECUARIA POR SUBSECTORES Y </t>
  </si>
  <si>
    <t xml:space="preserve">        PRINCIPALES ESPECIES Y PRODUCTOS, 2007-19.</t>
  </si>
  <si>
    <r>
      <t>C.8  PERÚ: PRODUCCIÓN DE CARNE POR ESPECIE POR REGIÓN,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>.</t>
    </r>
  </si>
  <si>
    <r>
      <t>C.9  PERÚ: RENDIMIENTO DE CARNE POR ESPECIESEGÚN REGIÓN, 2018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>.</t>
    </r>
  </si>
  <si>
    <t xml:space="preserve">       (Kg/Unidad )</t>
  </si>
  <si>
    <t xml:space="preserve">         (Unidades)</t>
  </si>
  <si>
    <r>
      <t>C.11  PERÚ: PRODUCCIÓN DE PRINCIPALES PRODUCTOS  PECUARIOS SEGÚN REGIÓN,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>.</t>
    </r>
  </si>
  <si>
    <t xml:space="preserve">          (Kg/Unidad/Año )</t>
  </si>
  <si>
    <r>
      <t>C.12  PERÚ: RENDIMIENTO POR PRODUCTO SEGÚN REGIÓN,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>.</t>
    </r>
  </si>
  <si>
    <t>Menudencia</t>
  </si>
  <si>
    <t>Huevo de Gallina</t>
  </si>
  <si>
    <t>Leche Fresca de Vaca</t>
  </si>
  <si>
    <t xml:space="preserve">          (Toneladas)</t>
  </si>
  <si>
    <r>
      <t>C.13  PERÚ: PRODUCCIÓN PECUARIA POR MES SEGÚN  PRODUCTO,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>.</t>
    </r>
  </si>
  <si>
    <t xml:space="preserve">    Huevo de Gallina</t>
  </si>
  <si>
    <t>Especie/ producto</t>
  </si>
  <si>
    <r>
      <t>C.10  PERÚ: ESPECIES PECUARIAS EN PRODUCCIÓN Y ANIMALES ESQUILADOS POR REGIÓN,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>.</t>
    </r>
  </si>
  <si>
    <t>C.14  PERÚ: POBLACIÓN DE VACUNOS POR  AÑO SEGÚN REGIÓN, 2007-2019.</t>
  </si>
  <si>
    <t xml:space="preserve">          (Unidades)</t>
  </si>
  <si>
    <r>
      <t xml:space="preserve">2019 </t>
    </r>
    <r>
      <rPr>
        <b/>
        <vertAlign val="superscript"/>
        <sz val="8"/>
        <color indexed="63"/>
        <rFont val="Arial Narrow"/>
        <family val="2"/>
      </rPr>
      <t>P</t>
    </r>
  </si>
  <si>
    <t>C.15  PERÚ: PRODUCCIÓN DE VACUNOS POR  AÑO SEGÚN REGIÓN, 2007-2019.</t>
  </si>
  <si>
    <t>C.153  PERÚ: PRECIO RECIBIDO POR EL PRODUCTOR DE HUEVO DE GALLINA  POR AÑO SEGÚN REGIÓN, 2008-2019.</t>
  </si>
  <si>
    <t>C.152  PERÚ: PRODUCCIÓN DE HUEVO DE GALLINA  PORAÑO SEGÚN  REGIÓN, 2008-2019.</t>
  </si>
  <si>
    <t>C.151  PERÚ: GALLINAS EN PRODUCCIÓN  POR  AÑO SEGÚN REGIÓN, 2008-2019.</t>
  </si>
  <si>
    <t>C.149  PERÚ: PRODUCCIÓN DE CARNE DE AVE POR  AÑO SEGÚN REGIÓN, 2008-2019.</t>
  </si>
  <si>
    <t>C.148  PERÚ: PRODUCCIÓN DE  AVES POR AÑO SEGÚN REGIÓN, 2008-2019.</t>
  </si>
  <si>
    <t>C.142  PERÚ: PRODUCCIÓN DE POLLAS "BB" LÍNEA POSTURA, SEGÚN MES, 2010-19.</t>
  </si>
  <si>
    <t>C.143  PERÚ: COLOCACIÓN DE POLLAS "BB" LÍNEA POSTURA, POR MES, 2010-19.</t>
  </si>
  <si>
    <t>C.139  PERÚ: EXPORTACIÓN DE HUEVOS FÉRTILES POLLOS, POR MES, 2010-19.</t>
  </si>
  <si>
    <t>C.136  PERÚ: EXPORTACIÓN DE POLLOS  "BB" LÍNEA CARNE, POR MES, 2010-19.</t>
  </si>
  <si>
    <t xml:space="preserve">C.131  PERÚ: EXPORTACIÓN DE PADRES LÍNEA CARNE (HEMBRAS), POR MES  2010-19. </t>
  </si>
  <si>
    <t>C.129  PERÚ: IMPORTACIÓN DE PADRES LÍNEA CARNE (HEMBRAS), POR MES 2010-19.</t>
  </si>
  <si>
    <t>C.130  PERÚ: PRODUCCIÓN DE PADRES LÍNEA CARNE, POR MES, 2010-19.</t>
  </si>
  <si>
    <t>C.128  PERÚ: COLOCACIÓN DE ABUELOS (HLH) LÍNEA CARNE, POR MES, 2010-19.</t>
  </si>
  <si>
    <t>C.126  PERÚ: MOVIMIENTO DE POLLOS  "BB"  POR LINEA DE PRODUCCION, 2011-19.</t>
  </si>
  <si>
    <t>C.123  PERÚ: PRECIOS PROMEDIO PAGADOS AL PRODUCTOR DE FIBRA DE LLAMA, POR REGIÓN SEGÚN MES, 2019 P.</t>
  </si>
  <si>
    <t>C.86  PERÚ: EVOLUCIÓN DEL BENEFICIO DE GANADO EN CENTROS DE BENEFICIO POR AÑO SEGÚN ESPECIE, 2012-19.</t>
  </si>
  <si>
    <t>C.49  PERÚ: PRECIO RECIBIDO POR EL PRODUCTOR DE FIBRA DE LLAMA POR  AÑO SEGÚN REGIÓN, 2007-2019.</t>
  </si>
  <si>
    <t>C.48  PERÚ: PRODUCCIÓN DE FIBRA DE LLAMA POR AÑO SEGÚN  REGIÓN, 2007-2019.</t>
  </si>
  <si>
    <t>C.47  PERÚ: LLAMAS ESQUILADAS  POR  AÑO SEGÚN REGIÓN, 2007-2019.</t>
  </si>
  <si>
    <t>C.46  PERÚ: PRECIO RECIBIDO POR EL PRODUCTOR DE LLAMAS POR  AÑO SEGÚN REGIÓN, 2007-2019.</t>
  </si>
  <si>
    <t>C.45  PERÚ: PRODUCCIÓN DE CARNE DE LLAMA POR  AÑO SEGÚN REGIÓN, 2007-2019.</t>
  </si>
  <si>
    <t>C.44  PERÚ: PRODUCCIÓN DE LLAMAS POR  AÑO SEGÚN REGIÓN, 2007-2019.</t>
  </si>
  <si>
    <t>C.43  PERÚ: POBLACIÓN DE LLAMAS POR  AÑO SEGÚN REGIÓN, 2007-2019.</t>
  </si>
  <si>
    <t>C.42  PERÚ: PRECIO RECIBIDO POR EL PRODUCTOR DE FIBRA DE ALPACA POR  AÑO SEGÚN REGIÓN, 2007-2019.</t>
  </si>
  <si>
    <t>C.41  PERÚ: PRODUCCIÓN DE FIBRA DE ALPACA POR  AÑO SEGÚN REGIÓN, 2007-2019.</t>
  </si>
  <si>
    <t>C.40  PERÚ: ALPACAS ESQUILADAS  POR  AÑO SEGÚN REGIÓN, 2007-2019.</t>
  </si>
  <si>
    <t>C.39  PERÚ: PRECIO RECIBIDO POR EL PRODUCTOR DE ALPACAS POR  AÑO SEGÚN REGIÓN, 2007-2019.</t>
  </si>
  <si>
    <t>C.38  PERÚ: PRODUCCIÓN DE CARNE DE ALPACA POR  AÑO SEGÚN REGIÓN, 2007-2019.</t>
  </si>
  <si>
    <t>C.37  PERÚ: PRODUCCIÓN DE ALPACAS POR  AÑO SEGÚN REGION REGIÓN, 2007-2019.</t>
  </si>
  <si>
    <t>C.36  PERÚ: POBLACIÓN DE ALPACAS POR AÑO SEGÚN REGIÓN, 2007-2019.</t>
  </si>
  <si>
    <t>C.33  PERÚ: PRODUCCIÓN DE PORCINOs POR  AÑO SEGÚN REGIÓN, 2007-2019.</t>
  </si>
  <si>
    <t>C.32  PERÚ: POBLACIÓN DE PORCINOS POR  AÑO SEGÚN REGIÓN, 2007-2019.</t>
  </si>
  <si>
    <t>C.31  PERÚ: PRECIO RECIBIDO POR EL PRODUCTOR DE LANA DE OVINO POR  AÑO SEGÚN REGIÓN, 2007-2019.</t>
  </si>
  <si>
    <t>C.30  PERÚ: PRODUCCIÓN DE LANA  DE OVINO POR  AÑO SEGÚN REGIÓN, 2007-19.</t>
  </si>
  <si>
    <t>C.29  PERÚ: OVINOS ESQUILADOS POR AÑO SEGÚN  REGIÓN, 2007-2018.</t>
  </si>
  <si>
    <t>C.28  PERÚ: PRECIO RECIBIDO POR EL PRODUCTOR DE OVINOS POR  AÑO SEGÚN REGIÓN, 2007-2019.</t>
  </si>
  <si>
    <t>C.27  PERÚ: PRODUCCIÓN DE CARNE DE OVINO POR  AÑO SEGÚN REGIÓN, 2007-2019.</t>
  </si>
  <si>
    <t>C.26  PERÚ: PRODUCCIÓN DE OVINOS POR  AÑO SEGÚN REGIÓN, 2007-2019.</t>
  </si>
  <si>
    <t>C.25  PERÚ: POBLACIÓN DE OVINOS POR  AÑO SEGÚN REGIÓN, 2007-2019.</t>
  </si>
  <si>
    <t>C.23  PERÚ: PRODUCCIÓN DE CARNE DE CAPRINO POR  AÑO SEGÚN REGIÓN, 2007-2019.</t>
  </si>
  <si>
    <t>C.22  PERÚ: PRODUCCIÓN DE CAPRINOS POR  AÑO SEGÚN REGIÓN, 2007-2019.</t>
  </si>
  <si>
    <t>C.21  PERÚ: POBLACIÓN DE CAPRINOS POR  AÑO SEGÚN REGIÓN, 2007-2019.</t>
  </si>
  <si>
    <t>C.20  PERÚ: PRECIO RECIBIDO POR EL PRODUCTOR DE LECHE FRESCA DE VACA POR  AÑO SEGÚN REGIÓN, 2007-2019.</t>
  </si>
  <si>
    <t>C.19  PERÚ: PRODUCCIÓN DE LECHE FRESCA DE VACA POR  AÑO SEGÚN REGIÓN, 2007-2019.</t>
  </si>
  <si>
    <t>C.18  PERÚ: VACAS EN ORDEÑO POR  AÑO SEGÚN REGIÓN, 2007-2019.</t>
  </si>
  <si>
    <t>C.17  PERÚ: PRECIO RECIBIDO POR EL PRODUCTOR DE VACUNO POR  AÑO SEGÚN REGIÓN, 2007-2019.</t>
  </si>
  <si>
    <t>C.16  PERÚ: PRODUCCIÓN DE CARNE DE VACUNO POR  AÑO SEGÚN REGIÓN, 2007-2019.</t>
  </si>
  <si>
    <t xml:space="preserve">          (Soles x kg)</t>
  </si>
  <si>
    <t>C.34  PERÚ: PRODUCCIÓN DE CARNE DE PORCINO POR AÑO SEGÚN REGIÓN, 2007-2019.</t>
  </si>
  <si>
    <t>C.35  PERÚ: PRECIO RECIBIDO POR EL PRODUCTOR DE PORCINOS POR AÑO SEGÚN REGIÓN, 2007-2019.</t>
  </si>
  <si>
    <t xml:space="preserve">  -    </t>
  </si>
  <si>
    <t xml:space="preserve">  -      </t>
  </si>
  <si>
    <t xml:space="preserve">  -   </t>
  </si>
  <si>
    <t xml:space="preserve">  -       </t>
  </si>
  <si>
    <t xml:space="preserve"> -      </t>
  </si>
  <si>
    <t xml:space="preserve"> -        </t>
  </si>
  <si>
    <t xml:space="preserve">          (Soles x Kg)</t>
  </si>
  <si>
    <t xml:space="preserve">          (Unidades )</t>
  </si>
  <si>
    <r>
      <t>C.50  PERÚ: PRODUCCIÓN DE AVES POR MES SEGÚN REGIÓN,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>.</t>
    </r>
  </si>
  <si>
    <r>
      <t>C.51  PERÚ: PRODUCCIÓN DE CARNE AVE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</si>
  <si>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C.52  PERÚ: RENDIMIENTO DE CARNE AVE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</si>
  <si>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C.54  PERÚ: PRODUCCIÓN DE CARNE OVINO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</si>
  <si>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C.55  PERÚ . RENDIMIENTO DE CARNE  OVINO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</si>
  <si>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C.53  PERÚ: PRODUCCIÓN DE OVINOS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</si>
  <si>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C.56   PERÚ: PRODUCCIÓN DE PORCINOS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</si>
  <si>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C.57  PERÚ: PRODUCCIÓN DE CARNE PORCINO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</si>
  <si>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C.58  PERÚ: RENDIMIENTO DE CARNE PORCINO POR MES SEGÚN REGIÓN, 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</si>
  <si>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C.59   PERÚ: PRODUCCIÓN DE VACUNOS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</si>
  <si>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C.60  PERÚ: PRODUCCIÓN DE CARNE VACUNO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</si>
  <si>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C.61  PERÚ: RENDIMIENTO DE CARNE VACUNO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</si>
  <si>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C.62   PERÚ: PRODUCCIÓN CAPRINO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</si>
  <si>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C.63  PERÚ: PRODUCCIÓN DE CARNE CAPRINO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</si>
  <si>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C.64  PERÚ: RENDIMIENTO DE CARNE CAPRINO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</si>
  <si>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C.65  PERÚ: PRODUCCIÓN DE ALPACAS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</si>
  <si>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C.66  PERÚ: PRODUCCIÓN DE CARNE ALPACA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</si>
  <si>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C.67  PERÚ: RENDIMIENTO DE CARNE ALPACA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 xml:space="preserve">. </t>
    </r>
  </si>
  <si>
    <r>
      <t>C.68  PERÚ: PRODUCCIÓN DE LLAMAS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</si>
  <si>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C.69   PERÚ: PRODUCCIÓN DE CARNE LLAMA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</si>
  <si>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C.70  PERÚ: RENDIMIENTO DE CARNE LLAMA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</si>
  <si>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C.71  PERÚ: GALLINAS EN POSTURA PORMES SEGÚN 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</si>
  <si>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C.72  PERÚ: PRODUCCIÓN DE HUEVOS DE GALLINA 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</si>
  <si>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C.73  PERÚ: RENDIMIENTO DE PRODUCCIÓN DE HUEVO DE GALLINA 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</si>
  <si>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 xml:space="preserve">C.74  PERÚ: VACAS EN ORDEÑO  POR MES SEGÚN REGIÓN, 2019 </t>
    </r>
    <r>
      <rPr>
        <b/>
        <vertAlign val="superscript"/>
        <sz val="9"/>
        <color rgb="FF333333"/>
        <rFont val="Arial Narrow"/>
        <family val="2"/>
      </rPr>
      <t>P</t>
    </r>
    <r>
      <rPr>
        <b/>
        <sz val="9"/>
        <color indexed="63"/>
        <rFont val="Arial Narrow"/>
        <family val="2"/>
      </rPr>
      <t>.</t>
    </r>
  </si>
  <si>
    <r>
      <t>C.75  PERÚ: PRODUCCIÓN DE LECHE FRESCA DE VACA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</si>
  <si>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C.76  PERÚ: RENDIMIENTO DE PRODUCCION DE LECHE DE VACA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</si>
  <si>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C.77  PERÚ: ALPACAS ESQUILADAS POR REGIÓN SEGÚN MES,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</si>
  <si>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C.78  PERÚ: PRODUCCIÓN DE FIBRA DE ALPACA POR REGIÓN SEGÚN MES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</si>
  <si>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t xml:space="preserve"> -    </t>
  </si>
  <si>
    <r>
      <t>C.80  PERÚ: LLAMAS ESQUILADAS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</si>
  <si>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C.81  PERÚ: PRODUCCIÓN DE FIBRA DE LLAMA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</si>
  <si>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C.82  PERÚ: RENDIMIENTO DE FIBRA  DE LLAMA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</si>
  <si>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C.83  PERÚ: OVINOS ESQUILADOS POR MES SEGÚ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</si>
  <si>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C.84   PERÚ: PRODUCCIÓN DE LANA DE OVINO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</si>
  <si>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C.85  PERÚ: RENDIMIENTO DE LANA DE OVINO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</si>
  <si>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t>Toneladas</t>
  </si>
  <si>
    <t xml:space="preserve"> -       </t>
  </si>
  <si>
    <t xml:space="preserve">          2018-19.</t>
  </si>
  <si>
    <t xml:space="preserve">C.90  PERÚ: BENEFICIO DE GANADO VACUNO  EN CENTROS DE BENEFICIO POR RERGIÓN, </t>
  </si>
  <si>
    <t xml:space="preserve">C.89  PERÚ: BENEFICIO DE GANADO PORCINO  EN CENTROS DE BENEFICIO POR REGIÓN, </t>
  </si>
  <si>
    <t xml:space="preserve">C.88  PERÚ: BENEFICIO DE GANADO OVINO EN CENTROS DE BENEFICIO SEGÚN REGIÓN, </t>
  </si>
  <si>
    <t xml:space="preserve">           (Unidades)</t>
  </si>
  <si>
    <r>
      <t>C.91  PERÚ: BENEFICIO DE GANADO OVINO EN CENTROS DE BENEFICIO POR MES SEGÚN REGIÓN,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>.</t>
    </r>
  </si>
  <si>
    <r>
      <t>C.92  PERÚ: BENEFICIO DE GANADO OVINO EN CENTROS DE BENEFICIO POR MES SEGÚN REGIÓN,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>.</t>
    </r>
  </si>
  <si>
    <r>
      <t xml:space="preserve"> C.93  PERÚ: RENDIMIENTO  DE GANADO OVINO EN CENTROS DE BENEFICIO PORMES SEGÚN REGIÓN,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 xml:space="preserve">. </t>
    </r>
  </si>
  <si>
    <r>
      <t>C.94  PERÚ: BENEFICIO DE GANADO PORCINO EN CENTROS DE BENEFICIO POR MES SEGÚN REGIÓN,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>.</t>
    </r>
  </si>
  <si>
    <r>
      <t>C.95  PERÚ: BENEFICIO DE GANADO PORCINO EN CENTROS DE BENEFICIO POR MES SEGÚN REGIÓN,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>.</t>
    </r>
  </si>
  <si>
    <r>
      <t xml:space="preserve"> C.96  PERÚ: RENDIMIENTO  DE GANADO PORCINO EN CENTROS DE BENEFICIO POR MES SEGÚN REGIÓN,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 xml:space="preserve">. </t>
    </r>
  </si>
  <si>
    <r>
      <t>C.97  PERÚ: BENEFICIO DE GANADO VACUNO EN CENTROS DE BENEFICIO POR MES SEGÚN REGIÓN,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>.</t>
    </r>
  </si>
  <si>
    <r>
      <t>C.98  PERÚ: BENEFICIO DE GANADO VACUNO EN CENTROS DE BENEFICIO POR MES SEGÚN REGIÓN,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>.</t>
    </r>
  </si>
  <si>
    <t xml:space="preserve"> Tumbes</t>
  </si>
  <si>
    <t xml:space="preserve"> Piura</t>
  </si>
  <si>
    <t xml:space="preserve"> Lambayeque</t>
  </si>
  <si>
    <t xml:space="preserve"> La Libertad</t>
  </si>
  <si>
    <t xml:space="preserve"> Amazonas</t>
  </si>
  <si>
    <t xml:space="preserve"> Ancash</t>
  </si>
  <si>
    <t xml:space="preserve"> Lima</t>
  </si>
  <si>
    <t xml:space="preserve"> Ica</t>
  </si>
  <si>
    <t xml:space="preserve"> Huánuco</t>
  </si>
  <si>
    <t xml:space="preserve"> Pasco</t>
  </si>
  <si>
    <t xml:space="preserve"> Junín</t>
  </si>
  <si>
    <t xml:space="preserve"> Huancavelica</t>
  </si>
  <si>
    <t xml:space="preserve"> Arequipa</t>
  </si>
  <si>
    <t xml:space="preserve"> Moquegua</t>
  </si>
  <si>
    <t xml:space="preserve"> Tacna</t>
  </si>
  <si>
    <t xml:space="preserve"> Ayacucho</t>
  </si>
  <si>
    <t xml:space="preserve"> Apurimac</t>
  </si>
  <si>
    <t xml:space="preserve">      Abancay</t>
  </si>
  <si>
    <t xml:space="preserve">      Andahuaylas</t>
  </si>
  <si>
    <t xml:space="preserve"> Cusco   </t>
  </si>
  <si>
    <t xml:space="preserve"> Puno</t>
  </si>
  <si>
    <t xml:space="preserve"> San Martín</t>
  </si>
  <si>
    <t xml:space="preserve"> Loreto</t>
  </si>
  <si>
    <t xml:space="preserve"> Ucayali</t>
  </si>
  <si>
    <t xml:space="preserve"> Madre de Dios</t>
  </si>
  <si>
    <t xml:space="preserve"> Cajamarca</t>
  </si>
  <si>
    <r>
      <t xml:space="preserve"> C.99  PERÚ: RENDIMIENTO  DE GANADO VACUNO EN CENTROS DE BENEFICIO POR MES SEGÚN REGIÓN,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 xml:space="preserve">. </t>
    </r>
  </si>
  <si>
    <r>
      <t xml:space="preserve">2017 </t>
    </r>
    <r>
      <rPr>
        <vertAlign val="superscript"/>
        <sz val="8"/>
        <rFont val="Arial Narrow"/>
        <family val="2"/>
      </rPr>
      <t>P</t>
    </r>
  </si>
  <si>
    <r>
      <t xml:space="preserve">2018 </t>
    </r>
    <r>
      <rPr>
        <vertAlign val="superscript"/>
        <sz val="8"/>
        <rFont val="Arial Narrow"/>
        <family val="2"/>
      </rPr>
      <t>P</t>
    </r>
  </si>
  <si>
    <r>
      <t xml:space="preserve">2019 </t>
    </r>
    <r>
      <rPr>
        <vertAlign val="superscript"/>
        <sz val="8"/>
        <rFont val="Arial Narrow"/>
        <family val="2"/>
      </rPr>
      <t>P</t>
    </r>
  </si>
  <si>
    <r>
      <rPr>
        <vertAlign val="superscript"/>
        <sz val="7"/>
        <rFont val="Arial Narrow"/>
        <family val="2"/>
      </rPr>
      <t>P</t>
    </r>
    <r>
      <rPr>
        <sz val="7"/>
        <rFont val="Arial Narrow"/>
        <family val="2"/>
      </rPr>
      <t xml:space="preserve"> Preliminar.</t>
    </r>
  </si>
  <si>
    <t xml:space="preserve"> (  t  )</t>
  </si>
  <si>
    <t xml:space="preserve">                   1/Incleye nacional e importada</t>
  </si>
  <si>
    <t>Cuadro    88     .  Perú : Abastecimiento de carne y</t>
  </si>
  <si>
    <t>NACIONAL</t>
  </si>
  <si>
    <t>IMPORTADA ( Leche fluida )</t>
  </si>
  <si>
    <t>C.87   LIMA METROPOLITANA: EVOLUCIÓN DE BENEFICIO DE GANADO EN CENTROS DE BENEFICIO, POR AÑO ,</t>
  </si>
  <si>
    <t xml:space="preserve">          SEGÚN ESPECIE, 2012-19.</t>
  </si>
  <si>
    <t>C.24  PERÚ: PRECIO RECIBIDO POR EL PRODUCTOR DE CAPRINOS POR AÑO SEGÚN REGIÓN, 2007-2019.</t>
  </si>
  <si>
    <r>
      <rPr>
        <vertAlign val="superscript"/>
        <sz val="7"/>
        <rFont val="Arial Narrow"/>
        <family val="2"/>
      </rPr>
      <t>1</t>
    </r>
    <r>
      <rPr>
        <sz val="7"/>
        <rFont val="Arial Narrow"/>
        <family val="2"/>
      </rPr>
      <t xml:space="preserve">  Incluye nacional e importada.</t>
    </r>
  </si>
  <si>
    <r>
      <t xml:space="preserve"> </t>
    </r>
    <r>
      <rPr>
        <vertAlign val="superscript"/>
        <sz val="7"/>
        <rFont val="Arial Narrow"/>
        <family val="2"/>
      </rPr>
      <t>2</t>
    </r>
    <r>
      <rPr>
        <sz val="7"/>
        <rFont val="Arial Narrow"/>
        <family val="2"/>
      </rPr>
      <t xml:space="preserve">  Incluye fresco, congelado, curado y enlatado.</t>
    </r>
  </si>
  <si>
    <r>
      <t xml:space="preserve"> </t>
    </r>
    <r>
      <rPr>
        <vertAlign val="superscript"/>
        <sz val="7"/>
        <rFont val="Arial Narrow"/>
        <family val="2"/>
      </rPr>
      <t>1</t>
    </r>
    <r>
      <rPr>
        <sz val="7"/>
        <rFont val="Arial Narrow"/>
        <family val="2"/>
      </rPr>
      <t xml:space="preserve">  Incluye nacional e importada.</t>
    </r>
  </si>
  <si>
    <r>
      <t xml:space="preserve"> </t>
    </r>
    <r>
      <rPr>
        <vertAlign val="superscript"/>
        <sz val="7"/>
        <rFont val="Arial Narrow"/>
        <family val="2"/>
      </rPr>
      <t>2</t>
    </r>
    <r>
      <rPr>
        <sz val="7"/>
        <rFont val="Arial Narrow"/>
        <family val="2"/>
      </rPr>
      <t xml:space="preserve"> Incluye fresco, congelado, curado y enlatado.</t>
    </r>
  </si>
  <si>
    <r>
      <t xml:space="preserve">Pescado </t>
    </r>
    <r>
      <rPr>
        <b/>
        <vertAlign val="superscript"/>
        <sz val="8"/>
        <rFont val="Arial Narrow"/>
        <family val="2"/>
      </rPr>
      <t>2</t>
    </r>
  </si>
  <si>
    <r>
      <t xml:space="preserve">Ave </t>
    </r>
    <r>
      <rPr>
        <b/>
        <vertAlign val="superscript"/>
        <sz val="8"/>
        <rFont val="Arial Narrow"/>
        <family val="2"/>
      </rPr>
      <t>1</t>
    </r>
  </si>
  <si>
    <r>
      <t xml:space="preserve">Pollo </t>
    </r>
    <r>
      <rPr>
        <b/>
        <vertAlign val="superscript"/>
        <sz val="8"/>
        <rFont val="Arial Narrow"/>
        <family val="2"/>
      </rPr>
      <t>1</t>
    </r>
  </si>
  <si>
    <r>
      <t xml:space="preserve">Ovino </t>
    </r>
    <r>
      <rPr>
        <b/>
        <vertAlign val="superscript"/>
        <sz val="8"/>
        <rFont val="Arial Narrow"/>
        <family val="2"/>
      </rPr>
      <t>1</t>
    </r>
  </si>
  <si>
    <r>
      <t xml:space="preserve">Porcino </t>
    </r>
    <r>
      <rPr>
        <b/>
        <vertAlign val="superscript"/>
        <sz val="8"/>
        <rFont val="Arial Narrow"/>
        <family val="2"/>
      </rPr>
      <t>1</t>
    </r>
  </si>
  <si>
    <r>
      <t xml:space="preserve">Vacuno </t>
    </r>
    <r>
      <rPr>
        <b/>
        <vertAlign val="superscript"/>
        <sz val="8"/>
        <rFont val="Arial Narrow"/>
        <family val="2"/>
      </rPr>
      <t>1</t>
    </r>
  </si>
  <si>
    <t>C.101  PERÚ: EVOLUCIÓN DEL CONSUMO PERCÁPITA DE PRINCIPALES PRODUCTOS PECUARIOS SEGÚN AÑO, 2007-2019.</t>
  </si>
  <si>
    <t>C.100  PERÚ: EVOLUCIÓN DEL ABASTECIMIENTO DE PRINCIPALES PRODUCTOS PECUARIOS SEGÚN AÑO, 2007-19.</t>
  </si>
  <si>
    <r>
      <t>Pescado</t>
    </r>
    <r>
      <rPr>
        <b/>
        <vertAlign val="superscript"/>
        <sz val="8"/>
        <rFont val="Arial Narrow"/>
        <family val="2"/>
      </rPr>
      <t>2</t>
    </r>
  </si>
  <si>
    <r>
      <t xml:space="preserve">     </t>
    </r>
    <r>
      <rPr>
        <vertAlign val="superscript"/>
        <sz val="7"/>
        <rFont val="Arial Narrow"/>
        <family val="2"/>
      </rPr>
      <t>2</t>
    </r>
    <r>
      <rPr>
        <sz val="7"/>
        <rFont val="Arial Narrow"/>
        <family val="2"/>
      </rPr>
      <t xml:space="preserve"> Ministerio de la Producción.</t>
    </r>
  </si>
  <si>
    <t xml:space="preserve">           (Toneladas)</t>
  </si>
  <si>
    <r>
      <t xml:space="preserve">C.102  PERÚ: ABASTECIMIENTO DE CARNE Y PESCADO Y HUEVO SEGÚN MES, 2019 </t>
    </r>
    <r>
      <rPr>
        <b/>
        <vertAlign val="superscript"/>
        <sz val="9"/>
        <rFont val="Arial Narrow"/>
        <family val="2"/>
      </rPr>
      <t>P</t>
    </r>
    <r>
      <rPr>
        <b/>
        <sz val="9"/>
        <rFont val="Arial Narrow"/>
        <family val="2"/>
      </rPr>
      <t>.</t>
    </r>
  </si>
  <si>
    <t>C.103  PERÚ: ABASTECIMIENTO DE CARNE Y PESCADO Y HUEVO SEGÚN MES, 2018.</t>
  </si>
  <si>
    <r>
      <t>Pescado</t>
    </r>
    <r>
      <rPr>
        <b/>
        <vertAlign val="superscript"/>
        <sz val="8"/>
        <rFont val="Arial Narrow"/>
        <family val="2"/>
      </rPr>
      <t xml:space="preserve"> 2</t>
    </r>
  </si>
  <si>
    <t xml:space="preserve">            (Toneladas)</t>
  </si>
  <si>
    <r>
      <t xml:space="preserve">C.106  LIMA: ABASTECIMIENTO DE CARNE Y PESCADO SEGÚN MES, 2019 </t>
    </r>
    <r>
      <rPr>
        <b/>
        <vertAlign val="superscript"/>
        <sz val="9"/>
        <rFont val="Arial Narrow"/>
        <family val="2"/>
      </rPr>
      <t>P</t>
    </r>
    <r>
      <rPr>
        <b/>
        <sz val="9"/>
        <rFont val="Arial Narrow"/>
        <family val="2"/>
      </rPr>
      <t>.</t>
    </r>
  </si>
  <si>
    <t>C.107  LIMA: ABASTECIMIENTO DE CARNE Y PESCADO SEGÚN MES, 2018.</t>
  </si>
  <si>
    <t>C.108  PERÚ: ABASTECIMIENTO DE LECHE NACIONAL E IMPORTADAFLUIDA SEGÚN AÑO, 2007-2019</t>
  </si>
  <si>
    <r>
      <rPr>
        <vertAlign val="superscript"/>
        <sz val="7"/>
        <rFont val="Arial Narrow"/>
        <family val="2"/>
      </rPr>
      <t>P</t>
    </r>
    <r>
      <rPr>
        <sz val="7"/>
        <rFont val="Arial Narrow"/>
        <family val="2"/>
      </rPr>
      <t xml:space="preserve"> Preliminar</t>
    </r>
  </si>
  <si>
    <t>IMPORTADA (Leche fluida)</t>
  </si>
  <si>
    <t>C.109  PERÚ: CONSUMO PERCÁPITA DE LECHE NACIONAL E IMPORTADA SEGÚN AÑO, 2007-2019.</t>
  </si>
  <si>
    <t xml:space="preserve">            (Kg/Hab./Año)</t>
  </si>
  <si>
    <t>* Incluye IGV.</t>
  </si>
  <si>
    <r>
      <t xml:space="preserve">Fuente:  </t>
    </r>
    <r>
      <rPr>
        <vertAlign val="superscript"/>
        <sz val="7"/>
        <color theme="1"/>
        <rFont val="Arial Narrow"/>
        <family val="2"/>
      </rPr>
      <t>1</t>
    </r>
    <r>
      <rPr>
        <sz val="7"/>
        <color theme="1"/>
        <rFont val="Arial Narrow"/>
        <family val="2"/>
      </rPr>
      <t xml:space="preserve"> Centros de Acopio.</t>
    </r>
  </si>
  <si>
    <r>
      <t xml:space="preserve">             </t>
    </r>
    <r>
      <rPr>
        <vertAlign val="superscript"/>
        <sz val="7"/>
        <color theme="1"/>
        <rFont val="Arial Narrow"/>
        <family val="2"/>
      </rPr>
      <t>2</t>
    </r>
    <r>
      <rPr>
        <sz val="7"/>
        <color theme="1"/>
        <rFont val="Arial Narrow"/>
        <family val="2"/>
      </rPr>
      <t xml:space="preserve"> Avinka S.A.</t>
    </r>
  </si>
  <si>
    <r>
      <t xml:space="preserve">             </t>
    </r>
    <r>
      <rPr>
        <vertAlign val="superscript"/>
        <sz val="7"/>
        <color theme="1"/>
        <rFont val="Arial Narrow"/>
        <family val="2"/>
      </rPr>
      <t>3</t>
    </r>
    <r>
      <rPr>
        <sz val="7"/>
        <color theme="1"/>
        <rFont val="Arial Narrow"/>
        <family val="2"/>
      </rPr>
      <t xml:space="preserve"> INEI - Dirección Técnica de Indicadores  Económicos. Dirección Ejecutiva de Indices.</t>
    </r>
  </si>
  <si>
    <r>
      <t xml:space="preserve"> Fuente:  </t>
    </r>
    <r>
      <rPr>
        <vertAlign val="superscript"/>
        <sz val="7"/>
        <color theme="1"/>
        <rFont val="Arial Narrow"/>
        <family val="2"/>
      </rPr>
      <t xml:space="preserve">1 </t>
    </r>
    <r>
      <rPr>
        <sz val="7"/>
        <color theme="1"/>
        <rFont val="Arial Narrow"/>
        <family val="2"/>
      </rPr>
      <t>Centros de Acopio.</t>
    </r>
  </si>
  <si>
    <r>
      <t xml:space="preserve">            </t>
    </r>
    <r>
      <rPr>
        <vertAlign val="superscript"/>
        <sz val="7"/>
        <color theme="1"/>
        <rFont val="Arial Narrow"/>
        <family val="2"/>
      </rPr>
      <t xml:space="preserve">  2</t>
    </r>
    <r>
      <rPr>
        <sz val="7"/>
        <color theme="1"/>
        <rFont val="Arial Narrow"/>
        <family val="2"/>
      </rPr>
      <t xml:space="preserve"> INEI - Dirección Técnica de Indicadores  Económicos. Dirección Ejecutiva de Indices.</t>
    </r>
  </si>
  <si>
    <t>C.110  LIMA METROPOLITANA: PRECIOS PROMEDIO * DEL POLLO POR NIVELES DE COMERCIALIZACIÓN SEGÚN MES, 2018-19.</t>
  </si>
  <si>
    <t>C.111  LIMA METROPOLITANA:PRECIOS PROMEDIO  DEL POLLO POR NIVELES DE COMERCIALIZACIÓN SEGÚN MES, 2016-17.</t>
  </si>
  <si>
    <r>
      <t xml:space="preserve">Granja  </t>
    </r>
    <r>
      <rPr>
        <b/>
        <vertAlign val="superscript"/>
        <sz val="8"/>
        <color theme="1"/>
        <rFont val="Arial Narrow"/>
        <family val="2"/>
      </rPr>
      <t>1</t>
    </r>
  </si>
  <si>
    <r>
      <t xml:space="preserve">Centro Acopio  </t>
    </r>
    <r>
      <rPr>
        <b/>
        <vertAlign val="superscript"/>
        <sz val="8"/>
        <color theme="1"/>
        <rFont val="Arial Narrow"/>
        <family val="2"/>
      </rPr>
      <t>1</t>
    </r>
  </si>
  <si>
    <r>
      <t xml:space="preserve">Público </t>
    </r>
    <r>
      <rPr>
        <b/>
        <vertAlign val="superscript"/>
        <sz val="8"/>
        <color theme="1"/>
        <rFont val="Arial Narrow"/>
        <family val="2"/>
      </rPr>
      <t>2</t>
    </r>
  </si>
  <si>
    <r>
      <t xml:space="preserve">Camal </t>
    </r>
    <r>
      <rPr>
        <b/>
        <vertAlign val="superscript"/>
        <sz val="8"/>
        <color theme="1"/>
        <rFont val="Arial Narrow"/>
        <family val="2"/>
      </rPr>
      <t>2</t>
    </r>
  </si>
  <si>
    <r>
      <t xml:space="preserve">Público </t>
    </r>
    <r>
      <rPr>
        <b/>
        <vertAlign val="superscript"/>
        <sz val="8"/>
        <color theme="1"/>
        <rFont val="Arial Narrow"/>
        <family val="2"/>
      </rPr>
      <t>3</t>
    </r>
  </si>
  <si>
    <r>
      <t>C.112  PERÚ: PRECIOS PROMEDIO PAGADOS AL PRODUCTOR DE PRINCIPALES ESPCECIES Y PRODUCTOS PECUARIOS SEGÚN REGIÓN,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 xml:space="preserve">. </t>
    </r>
  </si>
  <si>
    <r>
      <t xml:space="preserve">Leche </t>
    </r>
    <r>
      <rPr>
        <b/>
        <vertAlign val="superscript"/>
        <sz val="8"/>
        <color theme="1"/>
        <rFont val="Arial Narrow"/>
        <family val="2"/>
      </rPr>
      <t>1</t>
    </r>
  </si>
  <si>
    <r>
      <t xml:space="preserve">Fibra </t>
    </r>
    <r>
      <rPr>
        <b/>
        <vertAlign val="superscript"/>
        <sz val="8"/>
        <color theme="1"/>
        <rFont val="Arial Narrow"/>
        <family val="2"/>
      </rPr>
      <t>2</t>
    </r>
  </si>
  <si>
    <r>
      <t xml:space="preserve">Ovino </t>
    </r>
    <r>
      <rPr>
        <b/>
        <vertAlign val="superscript"/>
        <sz val="8"/>
        <color theme="1"/>
        <rFont val="Arial Narrow"/>
        <family val="2"/>
      </rPr>
      <t>2</t>
    </r>
  </si>
  <si>
    <r>
      <rPr>
        <vertAlign val="superscript"/>
        <sz val="7"/>
        <color theme="1"/>
        <rFont val="Arial Narrow"/>
        <family val="2"/>
      </rPr>
      <t>1</t>
    </r>
    <r>
      <rPr>
        <sz val="7"/>
        <color theme="1"/>
        <rFont val="Arial Narrow"/>
        <family val="2"/>
      </rPr>
      <t xml:space="preserve"> Soles por litro.</t>
    </r>
  </si>
  <si>
    <r>
      <rPr>
        <vertAlign val="superscript"/>
        <sz val="7"/>
        <color theme="1"/>
        <rFont val="Arial Narrow"/>
        <family val="2"/>
      </rPr>
      <t>2</t>
    </r>
    <r>
      <rPr>
        <sz val="7"/>
        <color theme="1"/>
        <rFont val="Arial Narrow"/>
        <family val="2"/>
      </rPr>
      <t xml:space="preserve"> Soles por libra.</t>
    </r>
  </si>
  <si>
    <r>
      <t xml:space="preserve">C.113  PERÚ: PRECIOS PROMEDIO PAGADOS AL PRODUCTOR DE AVES, POR MES SEGÚN REGIÓN, 2019 </t>
    </r>
    <r>
      <rPr>
        <b/>
        <vertAlign val="superscript"/>
        <sz val="9"/>
        <color theme="1"/>
        <rFont val="Arial Narrow"/>
        <family val="2"/>
      </rPr>
      <t>P</t>
    </r>
    <r>
      <rPr>
        <b/>
        <sz val="9"/>
        <color theme="1"/>
        <rFont val="Arial Narrow"/>
        <family val="2"/>
      </rPr>
      <t xml:space="preserve"> .</t>
    </r>
  </si>
  <si>
    <r>
      <t>C.114   PERÚ: PRECIOS PROMEDIO PAGADOS AL PRODUCTOR DE OVINOS, POR REGIÓN SEGÚN MES, 2019</t>
    </r>
    <r>
      <rPr>
        <b/>
        <vertAlign val="superscript"/>
        <sz val="9"/>
        <color theme="1"/>
        <rFont val="Arial Narrow"/>
        <family val="2"/>
      </rPr>
      <t xml:space="preserve"> P</t>
    </r>
    <r>
      <rPr>
        <b/>
        <sz val="9"/>
        <color theme="1"/>
        <rFont val="Arial Narrow"/>
        <family val="2"/>
      </rPr>
      <t>.</t>
    </r>
  </si>
  <si>
    <r>
      <t xml:space="preserve">C.115  PERÚ: PRECIOS PROMEDIO PAGADOS AL PRODUCTOR DE PORCINOS, POR MES SEGÚN REGIÓN, 2019 </t>
    </r>
    <r>
      <rPr>
        <b/>
        <vertAlign val="superscript"/>
        <sz val="9"/>
        <color theme="1"/>
        <rFont val="Arial Narrow"/>
        <family val="2"/>
      </rPr>
      <t>P</t>
    </r>
    <r>
      <rPr>
        <b/>
        <sz val="9"/>
        <color theme="1"/>
        <rFont val="Arial Narrow"/>
        <family val="2"/>
      </rPr>
      <t>.</t>
    </r>
  </si>
  <si>
    <r>
      <t>C.116  PERÚ: PRECIOS PROMEDIO PAGADOS AL PRODUCTOR DE VACUNOS,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</si>
  <si>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C.117  PERÚ: PRECIOS PROMEDIO PAGADOS AL PRODUCTOR DE CAPRINOS,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</si>
  <si>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C.118  PERÚ: PRECIOS PROMEDIO PAGADOS AL PRODUCTOR DE ALPACAS,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</si>
  <si>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>C.119  PERÚ: PRECIOS PROMEDIO PAGADOS AL PRODUCTOR DE LLAMAS, PORMES SEGÚN 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</si>
  <si>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 xml:space="preserve">C.120  PERÚ: PRECIOS PROMEDIO PAGADOS AL PRODUCTOR DE HUEVOS DE GALLINA, POR MES SEGÚN REGIÓN, 2019 </t>
    </r>
    <r>
      <rPr>
        <b/>
        <vertAlign val="superscript"/>
        <sz val="9"/>
        <color rgb="FF333333"/>
        <rFont val="Arial Narrow"/>
        <family val="2"/>
      </rPr>
      <t>P</t>
    </r>
    <r>
      <rPr>
        <b/>
        <sz val="9"/>
        <color indexed="63"/>
        <rFont val="Arial Narrow"/>
        <family val="2"/>
      </rPr>
      <t>.</t>
    </r>
  </si>
  <si>
    <r>
      <t>C.121  PERÚ: PRECIOS PROMEDIO PAGADOS AL PRODUCTOR DE LECHE FRESCA DE VACA,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</si>
  <si>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 xml:space="preserve">C.123  PERÚ: PRECIOS PROMEDIO PAGADOS AL PRODUCTOR DE FIBRA DE LLAMA, POR MES SEGÚN REGIÓN, 2019 </t>
    </r>
    <r>
      <rPr>
        <b/>
        <vertAlign val="superscript"/>
        <sz val="9"/>
        <color rgb="FF333333"/>
        <rFont val="Arial Narrow"/>
        <family val="2"/>
      </rPr>
      <t>P</t>
    </r>
    <r>
      <rPr>
        <b/>
        <sz val="9"/>
        <color indexed="63"/>
        <rFont val="Arial Narrow"/>
        <family val="2"/>
      </rPr>
      <t>.</t>
    </r>
  </si>
  <si>
    <r>
      <t xml:space="preserve">C.124  PERÚ: PRECIOS PROMEDIO PAGADOS AL PRODUCTOR DE LANA DE OVINO, POR MES SEGÚN REGIÓN, 2019 </t>
    </r>
    <r>
      <rPr>
        <b/>
        <vertAlign val="superscript"/>
        <sz val="9"/>
        <color rgb="FF333333"/>
        <rFont val="Arial Narrow"/>
        <family val="2"/>
      </rPr>
      <t>P</t>
    </r>
    <r>
      <rPr>
        <b/>
        <sz val="9"/>
        <color indexed="63"/>
        <rFont val="Arial Narrow"/>
        <family val="2"/>
      </rPr>
      <t>.</t>
    </r>
  </si>
  <si>
    <t>(Kg/Unidad)</t>
  </si>
  <si>
    <t>(Kg/Hab/Año)</t>
  </si>
  <si>
    <t>(S/ x Kg)</t>
  </si>
  <si>
    <t>(S/ x US$)</t>
  </si>
  <si>
    <t>(Unidad/Hab/Año)</t>
  </si>
  <si>
    <t>Unidad de Medida</t>
  </si>
  <si>
    <t>LINEA CARNE</t>
  </si>
  <si>
    <t>LINEA POSTURA</t>
  </si>
  <si>
    <t xml:space="preserve">            (Unidades)</t>
  </si>
  <si>
    <t xml:space="preserve">  2018</t>
  </si>
  <si>
    <t xml:space="preserve">   2011</t>
  </si>
  <si>
    <t xml:space="preserve">   2012</t>
  </si>
  <si>
    <t xml:space="preserve">   2013</t>
  </si>
  <si>
    <t xml:space="preserve">   2014</t>
  </si>
  <si>
    <t xml:space="preserve">   2015</t>
  </si>
  <si>
    <t xml:space="preserve">   2016</t>
  </si>
  <si>
    <t xml:space="preserve">   2017</t>
  </si>
  <si>
    <r>
      <t xml:space="preserve">    2019 </t>
    </r>
    <r>
      <rPr>
        <b/>
        <vertAlign val="superscript"/>
        <sz val="8"/>
        <color theme="1"/>
        <rFont val="Arial Narrow"/>
        <family val="2"/>
      </rPr>
      <t>P</t>
    </r>
  </si>
  <si>
    <t>Abuelos (HLH)</t>
  </si>
  <si>
    <t>Huevos Fértiles</t>
  </si>
  <si>
    <t>Padres (Hembras)</t>
  </si>
  <si>
    <t>Pollos BB</t>
  </si>
  <si>
    <t>Pollas BB</t>
  </si>
  <si>
    <t>C.127  IMPORTACIÓN DE ABUELOS (HLH) LíNEA CARNE, POR MES, 2010-19.</t>
  </si>
  <si>
    <t>C.132  PERÚ: COLOCACION DE PADRES LÍNEA CARNE (HEMBRAS) , POR MES, 2010-19.</t>
  </si>
  <si>
    <t>C.133  PERÚ: IMPORTACIÓN DE HUEVOS FÉRTILES PADRES, POR MES, 2010-19.</t>
  </si>
  <si>
    <t>C.140  PERÚ: IMPORTACIÓN DE PADRES  (HEMBRAS) LÍNEA POSTURA, POR MES, 2010-19.</t>
  </si>
  <si>
    <t>C.141  PERÚ: COLOCACIÓN DE PADRES  (HEMBRAS) LÍNEA POSTURA POR MES, 2010-19.</t>
  </si>
  <si>
    <t xml:space="preserve">Arequipa </t>
  </si>
  <si>
    <r>
      <t>C.146  PERU: COLOCACION DE POLLAS BB LINEA POSTURA,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</si>
  <si>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r>
      <t xml:space="preserve">C.144  PERÚ: COLOCACIÓN DE PADRES  BB  LÍNEA  CARNE (HEMBRAS), POR MES SEGÚN REGIÓN, 2019 </t>
    </r>
    <r>
      <rPr>
        <b/>
        <vertAlign val="superscript"/>
        <sz val="9"/>
        <color theme="1"/>
        <rFont val="Arial Narrow"/>
        <family val="2"/>
      </rPr>
      <t>P</t>
    </r>
    <r>
      <rPr>
        <b/>
        <sz val="9"/>
        <color theme="1"/>
        <rFont val="Arial Narrow"/>
        <family val="2"/>
      </rPr>
      <t>.</t>
    </r>
  </si>
  <si>
    <r>
      <t xml:space="preserve">C.145  PERU: COLOCACIÓN DE POLLOS BB LÍINEA CARNE, POR MES SEGÚN REGIÓN, 2019 </t>
    </r>
    <r>
      <rPr>
        <b/>
        <vertAlign val="superscript"/>
        <sz val="9"/>
        <color rgb="FF333333"/>
        <rFont val="Arial Narrow"/>
        <family val="2"/>
      </rPr>
      <t>P</t>
    </r>
    <r>
      <rPr>
        <b/>
        <sz val="9"/>
        <color indexed="63"/>
        <rFont val="Arial Narrow"/>
        <family val="2"/>
      </rPr>
      <t>.</t>
    </r>
  </si>
  <si>
    <t xml:space="preserve">            (Soles x Kg)</t>
  </si>
  <si>
    <t>Unidad Medida</t>
  </si>
  <si>
    <r>
      <t xml:space="preserve">C.154  LIMA METROPOLITANA: VENTA DE AVES, POR MES SEGÚN ESPECIE, 2019 </t>
    </r>
    <r>
      <rPr>
        <b/>
        <vertAlign val="superscript"/>
        <sz val="9"/>
        <color theme="1"/>
        <rFont val="Arial Narrow"/>
        <family val="2"/>
      </rPr>
      <t>P</t>
    </r>
    <r>
      <rPr>
        <b/>
        <sz val="9"/>
        <color theme="1"/>
        <rFont val="Arial Narrow"/>
        <family val="2"/>
      </rPr>
      <t>.</t>
    </r>
  </si>
  <si>
    <t>Gallina Reproductora</t>
  </si>
  <si>
    <t xml:space="preserve">            (Miles de Unidades)</t>
  </si>
  <si>
    <t xml:space="preserve">            (Miles de Toneladas)</t>
  </si>
  <si>
    <t>P Preliminar.</t>
  </si>
  <si>
    <t>Elaboración: MInisterio de Agricultura y Riego - DGESEP-DEA.</t>
  </si>
  <si>
    <t>C. 122  PERÚ: PRECIOS PROMEDIO PAGADOS AL PRODUCTOR DE FIBRA DE ALPACA, POR REGIÓN SEGÚN MES, 2019 P.</t>
  </si>
  <si>
    <r>
      <t xml:space="preserve">C.122  PERÚ: PRECIOS PROMEDIO PAGADOS AL PRODUCTOR DE FIBRA DE ALPACA, POR MES SEGÚN REGIÓN, 2019 </t>
    </r>
    <r>
      <rPr>
        <b/>
        <vertAlign val="superscript"/>
        <sz val="9"/>
        <color rgb="FF333333"/>
        <rFont val="Arial Narrow"/>
        <family val="2"/>
      </rPr>
      <t>P</t>
    </r>
    <r>
      <rPr>
        <b/>
        <sz val="9"/>
        <color indexed="63"/>
        <rFont val="Arial Narrow"/>
        <family val="2"/>
      </rPr>
      <t>.</t>
    </r>
  </si>
  <si>
    <t>C.125  PRINCIPALES INDICADORES DE LA ACTIVIDAD AVÍCOLA, 2010-19.</t>
  </si>
  <si>
    <t>'1  Incluye carne pollo,gallina pato y pavo.</t>
  </si>
  <si>
    <t>'2  Animal vivo.</t>
  </si>
  <si>
    <t xml:space="preserve">Población de Habitantes Nacional </t>
  </si>
  <si>
    <t xml:space="preserve">Población de Habitantes Lima </t>
  </si>
  <si>
    <t>Producción a Nivel Nacional</t>
  </si>
  <si>
    <t>Venta de Pollos (Lima Metropolitana)</t>
  </si>
  <si>
    <t>Precios del Pollo (Lima Metropolitana)</t>
  </si>
  <si>
    <t>Venta de Gallinas (Lima Metropolitana)</t>
  </si>
  <si>
    <t xml:space="preserve">Abastecimiento a Nivel Nacional </t>
  </si>
  <si>
    <t>Consumo Percápita a Nivel Nacional</t>
  </si>
  <si>
    <t>Consumo Percápita (Lima Metropolitana)</t>
  </si>
  <si>
    <t>Tipo de Cambio</t>
  </si>
  <si>
    <r>
      <t>C.79  PERÚ: RENDIMIENTO DE FIBRA DE ALPACA POR MES SEGÚN REGIÓN, 2019</t>
    </r>
    <r>
      <rPr>
        <b/>
        <vertAlign val="superscript"/>
        <sz val="9"/>
        <color rgb="FF333333"/>
        <rFont val="Arial Narrow"/>
        <family val="2"/>
      </rPr>
      <t xml:space="preserve"> P</t>
    </r>
    <r>
      <rPr>
        <b/>
        <sz val="9"/>
        <color indexed="63"/>
        <rFont val="Arial Narrow"/>
        <family val="2"/>
      </rPr>
      <t>.</t>
    </r>
  </si>
  <si>
    <t xml:space="preserve">            (Soles/Libra)</t>
  </si>
  <si>
    <t>(Soles/kg)</t>
  </si>
  <si>
    <t xml:space="preserve">           (Soles/Libra)</t>
  </si>
  <si>
    <t>( Soles/kg )</t>
  </si>
  <si>
    <t xml:space="preserve">            (Soles/Litro)</t>
  </si>
  <si>
    <t xml:space="preserve">            (Soles/Kg)</t>
  </si>
  <si>
    <t xml:space="preserve">            (Soles/kg)</t>
  </si>
  <si>
    <t xml:space="preserve">          (Kg/Unidad)</t>
  </si>
  <si>
    <t xml:space="preserve">          (Kg/vaca/día)</t>
  </si>
  <si>
    <t>Especie/producto</t>
  </si>
  <si>
    <t xml:space="preserve"> -  </t>
  </si>
  <si>
    <t xml:space="preserve">            POR AÑO, 2007-2019.</t>
  </si>
  <si>
    <t>C.104  LIMA METROPOLITANA: EVOLUCIÓN DEL ABASTECIMIENTO DE PRINCIPALES PRODUCTOS PECUARIOS</t>
  </si>
  <si>
    <t>C.105  LIMA METROPOLITANA: EVOLUCIÓN DEL CONSUMO PERCÁPITA DE PRINCIPALES PRODUCTOS PECUARIOS</t>
  </si>
  <si>
    <t xml:space="preserve">           POR AÑO, 2007-2019.</t>
  </si>
  <si>
    <t>Pasteu-</t>
  </si>
  <si>
    <t>rizada</t>
  </si>
  <si>
    <t>Evapo-</t>
  </si>
  <si>
    <t>rada</t>
  </si>
  <si>
    <t>Descre-</t>
  </si>
  <si>
    <t>mada</t>
  </si>
  <si>
    <t>Conden-</t>
  </si>
  <si>
    <t>sada</t>
  </si>
  <si>
    <t>en</t>
  </si>
  <si>
    <t xml:space="preserve">            (Tonelada)</t>
  </si>
  <si>
    <t>GRAFICO 1</t>
  </si>
  <si>
    <t>Porcinos</t>
  </si>
  <si>
    <t>Vacunos</t>
  </si>
  <si>
    <t>Aves</t>
  </si>
  <si>
    <t>Pecuario</t>
  </si>
  <si>
    <t>Avícola</t>
  </si>
  <si>
    <t>GRAFICO 2</t>
  </si>
  <si>
    <t>GRAFICO 3</t>
  </si>
  <si>
    <t>GRAFICO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</si>
</sst>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164" formatCode="_ * #,##0.00_ ;_ * \-#,##0.00_ ;_ * &quot;-&quot;??_ ;_ @_ "/>
    <numFmt numFmtId="165" formatCode="_-* #,##0.00\ _P_t_s_-;\-* #,##0.00\ _P_t_s_-;_-* &quot;-&quot;??\ _P_t_s_-;_-@_-"/>
    <numFmt numFmtId="166" formatCode="_-* #,##0\ _S_/_._-;\-* #,##0\ _S_/_._-;_-* &quot;-&quot;\ _S_/_._-;_-@_-"/>
    <numFmt numFmtId="167" formatCode="_-* #,##0.00\ _S_/_._-;\-* #,##0.00\ _S_/_._-;_-* &quot;-&quot;??\ _S_/_._-;_-@_-"/>
    <numFmt numFmtId="168" formatCode="#,##0.0_);\(#,##0.0\)"/>
    <numFmt numFmtId="169" formatCode="General_)"/>
    <numFmt numFmtId="170" formatCode="0_)"/>
    <numFmt numFmtId="171" formatCode="0.000_)"/>
    <numFmt numFmtId="172" formatCode="0.0_)"/>
    <numFmt numFmtId="173" formatCode="0.000"/>
    <numFmt numFmtId="174" formatCode="#,##0.000"/>
    <numFmt numFmtId="175" formatCode="#,##0.0"/>
    <numFmt numFmtId="176" formatCode="0.00_)"/>
    <numFmt numFmtId="177" formatCode="_-* #,##0.000_-;\-* #,##0.000_-;_-* &quot;-&quot;??_-;_-@_-"/>
    <numFmt numFmtId="178" formatCode=";;;"/>
    <numFmt numFmtId="179" formatCode="_ * #,##0.0_ ;_ * \-#,##0.0_ ;_ * &quot;-&quot;_ ;_ @_ "/>
    <numFmt numFmtId="180" formatCode="0.0_);\(0.0\)"/>
    <numFmt numFmtId="181" formatCode="0.0"/>
    <numFmt numFmtId="182" formatCode="_([$€-2]\ * #,##0.00_);_([$€-2]\ * \(#,##0.00\);_([$€-2]\ * &quot;-&quot;??_)"/>
    <numFmt numFmtId="183" formatCode="_-* #,##0.0_-;\-* #,##0.0_-;_-* &quot;-&quot;??_-;_-@_-"/>
    <numFmt numFmtId="184" formatCode="#,##0.0_ ;\-#,##0.0\ "/>
    <numFmt numFmtId="185" formatCode="#\ ###\ ###\ ###"/>
    <numFmt numFmtId="186" formatCode="###\ ###\ ###"/>
    <numFmt numFmtId="187" formatCode="##\ ###\ ##0"/>
    <numFmt numFmtId="188" formatCode="##\ ###\ ##0.0"/>
    <numFmt numFmtId="189" formatCode="#,##0.00000"/>
    <numFmt numFmtId="190" formatCode="#,##0.0;\-#,##0.0"/>
    <numFmt numFmtId="191" formatCode="#,##0_);\(#,##0\)"/>
    <numFmt numFmtId="192" formatCode="#,##0.0__"/>
    <numFmt numFmtId="193" formatCode="#,##0.0____"/>
    <numFmt numFmtId="194" formatCode="#,##0.00000_);\(#,##0.00000\)"/>
    <numFmt numFmtId="195" formatCode="#,##0__"/>
    <numFmt numFmtId="196" formatCode="#,##0________"/>
    <numFmt numFmtId="197" formatCode="#,##0__________"/>
    <numFmt numFmtId="198" formatCode="#,##0______________"/>
    <numFmt numFmtId="199" formatCode="#,##0.0______"/>
    <numFmt numFmtId="200" formatCode="#,##0____"/>
    <numFmt numFmtId="201" formatCode="#,##0______"/>
    <numFmt numFmtId="202" formatCode="#,##0.0________"/>
    <numFmt numFmtId="203" formatCode="#,##0____________"/>
    <numFmt numFmtId="204" formatCode="#,##0.000__"/>
    <numFmt numFmtId="205" formatCode="#,##0.00__"/>
  </numFmts>
  <fonts count="60">
    <font>
      <sz val="9"/>
      <name val="Courier"/>
    </font>
    <font>
      <sz val="10"/>
      <name val="Arial"/>
      <family val="2"/>
    </font>
    <font>
      <sz val="8"/>
      <name val="Courier"/>
      <family val="1"/>
    </font>
    <font>
      <sz val="9"/>
      <name val="Courier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sz val="8"/>
      <name val="Tms Rmn"/>
    </font>
    <font>
      <sz val="8"/>
      <name val="Times"/>
      <family val="1"/>
    </font>
    <font>
      <sz val="10"/>
      <name val="Courier"/>
      <family val="1"/>
    </font>
    <font>
      <sz val="10"/>
      <name val="Arial"/>
      <family val="2"/>
    </font>
    <font>
      <sz val="10"/>
      <name val="Tms Rmn"/>
    </font>
    <font>
      <sz val="10"/>
      <name val="Helv"/>
    </font>
    <font>
      <sz val="12"/>
      <name val="Helv"/>
    </font>
    <font>
      <sz val="9"/>
      <name val="Helv"/>
    </font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vertAlign val="superscript"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7"/>
      <color theme="1"/>
      <name val="Arial Narrow"/>
      <family val="2"/>
    </font>
    <font>
      <vertAlign val="superscript"/>
      <sz val="7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b/>
      <sz val="9"/>
      <color theme="1"/>
      <name val="Arial Narrow"/>
      <family val="2"/>
    </font>
    <font>
      <u/>
      <sz val="8"/>
      <color theme="1"/>
      <name val="Arial Narrow"/>
      <family val="2"/>
    </font>
    <font>
      <b/>
      <sz val="7"/>
      <color theme="1"/>
      <name val="Arial Narrow"/>
      <family val="2"/>
    </font>
    <font>
      <b/>
      <i/>
      <sz val="8"/>
      <color theme="1"/>
      <name val="Arial Narrow"/>
      <family val="2"/>
    </font>
    <font>
      <i/>
      <sz val="8"/>
      <color theme="1"/>
      <name val="Arial Narrow"/>
      <family val="2"/>
    </font>
    <font>
      <b/>
      <vertAlign val="superscript"/>
      <sz val="9"/>
      <color theme="1"/>
      <name val="Arial Narrow"/>
      <family val="2"/>
    </font>
    <font>
      <sz val="8"/>
      <name val="Arial Narrow"/>
      <family val="2"/>
    </font>
    <font>
      <b/>
      <sz val="8"/>
      <color indexed="63"/>
      <name val="Arial Narrow"/>
      <family val="2"/>
    </font>
    <font>
      <b/>
      <vertAlign val="superscript"/>
      <sz val="8"/>
      <color indexed="63"/>
      <name val="Arial Narrow"/>
      <family val="2"/>
    </font>
    <font>
      <b/>
      <u/>
      <sz val="7"/>
      <color theme="1"/>
      <name val="Arial Narrow"/>
      <family val="2"/>
    </font>
    <font>
      <b/>
      <sz val="9"/>
      <color indexed="63"/>
      <name val="Arial Narrow"/>
      <family val="2"/>
    </font>
    <font>
      <b/>
      <vertAlign val="superscript"/>
      <sz val="9"/>
      <color rgb="FF333333"/>
      <name val="Arial Narrow"/>
      <family val="2"/>
    </font>
    <font>
      <sz val="8"/>
      <color indexed="63"/>
      <name val="Arial Narrow"/>
      <family val="2"/>
    </font>
    <font>
      <vertAlign val="superscript"/>
      <sz val="8"/>
      <name val="Arial Narrow"/>
      <family val="2"/>
    </font>
    <font>
      <sz val="7"/>
      <name val="Arial Narrow"/>
      <family val="2"/>
    </font>
    <font>
      <vertAlign val="superscript"/>
      <sz val="7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sz val="9"/>
      <name val="Arial Narrow"/>
      <family val="2"/>
    </font>
    <font>
      <sz val="7"/>
      <color indexed="63"/>
      <name val="Arial Narrow"/>
      <family val="2"/>
    </font>
    <font>
      <b/>
      <vertAlign val="superscript"/>
      <sz val="8"/>
      <name val="Arial Narrow"/>
      <family val="2"/>
    </font>
    <font>
      <b/>
      <vertAlign val="superscript"/>
      <sz val="9"/>
      <name val="Arial Narrow"/>
      <family val="2"/>
    </font>
    <font>
      <b/>
      <sz val="9"/>
      <color rgb="FF000000"/>
      <name val="Arial Narrow"/>
      <family val="2"/>
    </font>
  </fonts>
  <fills count="21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rgb="FFF9CA70"/>
        <bgColor indexed="64"/>
      </patternFill>
    </fill>
    <fill>
      <patternFill patternType="solid">
        <fgColor rgb="FFEFA15F"/>
        <bgColor indexed="64"/>
      </patternFill>
    </fill>
    <fill>
      <patternFill patternType="solid">
        <fgColor rgb="FFF6C395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slantDashDot">
        <color auto="1"/>
      </top>
      <bottom/>
      <diagonal/>
    </border>
  </borders>
  <cellStyleXfs count="59">
    <xf numFmtId="168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6" fillId="9" borderId="1" applyNumberFormat="0" applyAlignment="0" applyProtection="0"/>
    <xf numFmtId="0" fontId="7" fillId="13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10" fillId="3" borderId="1" applyNumberFormat="0" applyAlignment="0" applyProtection="0"/>
    <xf numFmtId="182" fontId="3" fillId="0" borderId="0" applyFont="0" applyFill="0" applyBorder="0" applyAlignment="0" applyProtection="0"/>
    <xf numFmtId="0" fontId="11" fillId="17" borderId="0" applyNumberFormat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2" fillId="10" borderId="0" applyNumberFormat="0" applyBorder="0" applyAlignment="0" applyProtection="0"/>
    <xf numFmtId="0" fontId="20" fillId="0" borderId="0"/>
    <xf numFmtId="0" fontId="22" fillId="0" borderId="0"/>
    <xf numFmtId="0" fontId="23" fillId="0" borderId="0"/>
    <xf numFmtId="169" fontId="20" fillId="0" borderId="0"/>
    <xf numFmtId="169" fontId="24" fillId="0" borderId="0"/>
    <xf numFmtId="169" fontId="27" fillId="0" borderId="0"/>
    <xf numFmtId="37" fontId="26" fillId="0" borderId="0"/>
    <xf numFmtId="0" fontId="28" fillId="0" borderId="0"/>
    <xf numFmtId="0" fontId="20" fillId="0" borderId="0"/>
    <xf numFmtId="169" fontId="21" fillId="0" borderId="0"/>
    <xf numFmtId="169" fontId="20" fillId="0" borderId="0"/>
    <xf numFmtId="0" fontId="4" fillId="5" borderId="5" applyNumberFormat="0" applyFont="0" applyAlignment="0" applyProtection="0"/>
    <xf numFmtId="9" fontId="25" fillId="0" borderId="0" applyFont="0" applyFill="0" applyBorder="0" applyAlignment="0" applyProtection="0"/>
    <xf numFmtId="0" fontId="13" fillId="9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7" applyNumberFormat="0" applyFill="0" applyAlignment="0" applyProtection="0"/>
    <xf numFmtId="0" fontId="9" fillId="0" borderId="8" applyNumberFormat="0" applyFill="0" applyAlignment="0" applyProtection="0"/>
    <xf numFmtId="0" fontId="19" fillId="0" borderId="9" applyNumberFormat="0" applyFill="0" applyAlignment="0" applyProtection="0"/>
  </cellStyleXfs>
  <cellXfs count="1148">
    <xf numFmtId="168" fontId="0" fillId="0" borderId="0" xfId="0"/>
    <xf numFmtId="169" fontId="31" fillId="0" borderId="0" xfId="0" applyNumberFormat="1" applyFont="1" applyFill="1" applyAlignment="1" applyProtection="1">
      <alignment horizontal="left" vertical="center"/>
    </xf>
    <xf numFmtId="170" fontId="29" fillId="0" borderId="0" xfId="0" applyNumberFormat="1" applyFont="1" applyFill="1" applyAlignment="1" applyProtection="1">
      <alignment vertical="center"/>
    </xf>
    <xf numFmtId="175" fontId="31" fillId="0" borderId="0" xfId="0" applyNumberFormat="1" applyFont="1" applyFill="1" applyBorder="1" applyAlignment="1" applyProtection="1">
      <alignment vertical="center"/>
    </xf>
    <xf numFmtId="175" fontId="29" fillId="0" borderId="0" xfId="0" applyNumberFormat="1" applyFont="1" applyFill="1" applyBorder="1" applyAlignment="1" applyProtection="1">
      <alignment vertical="center"/>
    </xf>
    <xf numFmtId="178" fontId="29" fillId="0" borderId="0" xfId="0" applyNumberFormat="1" applyFont="1" applyFill="1" applyAlignment="1" applyProtection="1">
      <alignment vertical="center"/>
    </xf>
    <xf numFmtId="169" fontId="29" fillId="0" borderId="0" xfId="0" applyNumberFormat="1" applyFont="1" applyFill="1" applyAlignment="1" applyProtection="1">
      <alignment horizontal="left" vertical="center"/>
    </xf>
    <xf numFmtId="178" fontId="29" fillId="0" borderId="0" xfId="0" applyNumberFormat="1" applyFont="1" applyFill="1" applyAlignment="1">
      <alignment vertical="center"/>
    </xf>
    <xf numFmtId="178" fontId="29" fillId="0" borderId="12" xfId="0" applyNumberFormat="1" applyFont="1" applyFill="1" applyBorder="1" applyAlignment="1">
      <alignment vertical="center"/>
    </xf>
    <xf numFmtId="169" fontId="29" fillId="0" borderId="12" xfId="0" applyNumberFormat="1" applyFont="1" applyFill="1" applyBorder="1" applyAlignment="1" applyProtection="1">
      <alignment horizontal="left" vertical="center"/>
    </xf>
    <xf numFmtId="169" fontId="29" fillId="0" borderId="0" xfId="0" quotePrefix="1" applyNumberFormat="1" applyFont="1" applyFill="1" applyAlignment="1" applyProtection="1">
      <alignment horizontal="left" vertical="center"/>
    </xf>
    <xf numFmtId="172" fontId="29" fillId="0" borderId="0" xfId="0" applyNumberFormat="1" applyFont="1" applyFill="1" applyAlignment="1" applyProtection="1">
      <alignment vertical="center"/>
    </xf>
    <xf numFmtId="0" fontId="29" fillId="0" borderId="0" xfId="38" applyFont="1" applyFill="1" applyAlignment="1">
      <alignment vertical="center"/>
    </xf>
    <xf numFmtId="169" fontId="29" fillId="0" borderId="0" xfId="0" applyNumberFormat="1" applyFont="1" applyFill="1" applyBorder="1" applyAlignment="1" applyProtection="1">
      <alignment horizontal="left" vertical="center"/>
    </xf>
    <xf numFmtId="171" fontId="29" fillId="0" borderId="0" xfId="0" applyNumberFormat="1" applyFont="1" applyFill="1" applyBorder="1" applyAlignment="1" applyProtection="1">
      <alignment vertical="center"/>
    </xf>
    <xf numFmtId="172" fontId="29" fillId="0" borderId="0" xfId="0" applyNumberFormat="1" applyFont="1" applyFill="1" applyBorder="1" applyAlignment="1" applyProtection="1">
      <alignment vertical="center"/>
    </xf>
    <xf numFmtId="177" fontId="29" fillId="0" borderId="0" xfId="36" applyNumberFormat="1" applyFont="1" applyFill="1" applyAlignment="1" applyProtection="1">
      <alignment vertical="center"/>
    </xf>
    <xf numFmtId="184" fontId="29" fillId="0" borderId="0" xfId="32" quotePrefix="1" applyNumberFormat="1" applyFont="1" applyFill="1" applyBorder="1" applyAlignment="1" applyProtection="1">
      <alignment horizontal="right" vertical="center"/>
    </xf>
    <xf numFmtId="178" fontId="29" fillId="0" borderId="12" xfId="0" applyNumberFormat="1" applyFont="1" applyFill="1" applyBorder="1" applyAlignment="1" applyProtection="1">
      <alignment vertical="center"/>
    </xf>
    <xf numFmtId="184" fontId="29" fillId="0" borderId="12" xfId="32" quotePrefix="1" applyNumberFormat="1" applyFont="1" applyFill="1" applyBorder="1" applyAlignment="1" applyProtection="1">
      <alignment horizontal="right" vertical="center"/>
    </xf>
    <xf numFmtId="172" fontId="31" fillId="0" borderId="0" xfId="0" applyNumberFormat="1" applyFont="1" applyFill="1" applyAlignment="1" applyProtection="1">
      <alignment vertical="center"/>
    </xf>
    <xf numFmtId="168" fontId="29" fillId="0" borderId="0" xfId="0" applyFont="1" applyFill="1" applyAlignment="1">
      <alignment vertical="center"/>
    </xf>
    <xf numFmtId="175" fontId="29" fillId="0" borderId="0" xfId="0" applyNumberFormat="1" applyFont="1" applyFill="1" applyAlignment="1" applyProtection="1">
      <alignment vertical="center"/>
    </xf>
    <xf numFmtId="174" fontId="29" fillId="0" borderId="0" xfId="0" applyNumberFormat="1" applyFont="1" applyFill="1" applyAlignment="1" applyProtection="1">
      <alignment vertical="center"/>
    </xf>
    <xf numFmtId="168" fontId="29" fillId="0" borderId="12" xfId="0" applyFont="1" applyFill="1" applyBorder="1" applyAlignment="1">
      <alignment vertical="center"/>
    </xf>
    <xf numFmtId="175" fontId="29" fillId="0" borderId="12" xfId="0" applyNumberFormat="1" applyFont="1" applyFill="1" applyBorder="1" applyAlignment="1" applyProtection="1">
      <alignment vertical="center"/>
    </xf>
    <xf numFmtId="175" fontId="29" fillId="0" borderId="0" xfId="36" applyNumberFormat="1" applyFont="1" applyFill="1" applyAlignment="1" applyProtection="1">
      <alignment vertical="center"/>
    </xf>
    <xf numFmtId="175" fontId="29" fillId="0" borderId="0" xfId="36" applyNumberFormat="1" applyFont="1" applyFill="1" applyBorder="1" applyAlignment="1" applyProtection="1">
      <alignment vertical="center"/>
    </xf>
    <xf numFmtId="169" fontId="34" fillId="0" borderId="0" xfId="0" quotePrefix="1" applyNumberFormat="1" applyFont="1" applyFill="1" applyAlignment="1" applyProtection="1">
      <alignment horizontal="left" vertical="center"/>
    </xf>
    <xf numFmtId="169" fontId="29" fillId="0" borderId="0" xfId="45" applyNumberFormat="1" applyFont="1" applyFill="1" applyAlignment="1" applyProtection="1">
      <alignment horizontal="left" vertical="center"/>
    </xf>
    <xf numFmtId="169" fontId="29" fillId="0" borderId="0" xfId="45" applyNumberFormat="1" applyFont="1" applyFill="1" applyBorder="1" applyAlignment="1" applyProtection="1">
      <alignment horizontal="left" vertical="center"/>
    </xf>
    <xf numFmtId="169" fontId="29" fillId="0" borderId="0" xfId="40" quotePrefix="1" applyNumberFormat="1" applyFont="1" applyFill="1" applyAlignment="1" applyProtection="1">
      <alignment horizontal="left" vertical="center"/>
    </xf>
    <xf numFmtId="0" fontId="31" fillId="0" borderId="12" xfId="38" applyFont="1" applyFill="1" applyBorder="1" applyAlignment="1">
      <alignment vertical="center"/>
    </xf>
    <xf numFmtId="9" fontId="31" fillId="0" borderId="12" xfId="50" applyFont="1" applyFill="1" applyBorder="1" applyAlignment="1">
      <alignment vertical="center"/>
    </xf>
    <xf numFmtId="0" fontId="31" fillId="0" borderId="0" xfId="38" applyFont="1" applyFill="1" applyAlignment="1">
      <alignment vertical="center"/>
    </xf>
    <xf numFmtId="0" fontId="29" fillId="0" borderId="0" xfId="38" applyFont="1" applyFill="1" applyBorder="1" applyAlignment="1">
      <alignment vertical="center"/>
    </xf>
    <xf numFmtId="0" fontId="29" fillId="0" borderId="0" xfId="38" applyNumberFormat="1" applyFont="1" applyFill="1" applyAlignment="1" applyProtection="1">
      <alignment horizontal="left" vertical="center"/>
    </xf>
    <xf numFmtId="0" fontId="29" fillId="0" borderId="0" xfId="38" applyNumberFormat="1" applyFont="1" applyFill="1" applyBorder="1" applyAlignment="1" applyProtection="1">
      <alignment horizontal="left" vertical="center"/>
    </xf>
    <xf numFmtId="187" fontId="29" fillId="0" borderId="0" xfId="38" applyNumberFormat="1" applyFont="1" applyFill="1" applyBorder="1" applyAlignment="1">
      <alignment vertical="center"/>
    </xf>
    <xf numFmtId="188" fontId="29" fillId="0" borderId="0" xfId="38" applyNumberFormat="1" applyFont="1" applyFill="1" applyBorder="1" applyAlignment="1">
      <alignment vertical="center"/>
    </xf>
    <xf numFmtId="0" fontId="34" fillId="0" borderId="0" xfId="38" applyFont="1" applyFill="1" applyAlignment="1">
      <alignment vertical="center"/>
    </xf>
    <xf numFmtId="181" fontId="29" fillId="0" borderId="0" xfId="38" applyNumberFormat="1" applyFont="1" applyFill="1" applyBorder="1" applyAlignment="1">
      <alignment vertical="center"/>
    </xf>
    <xf numFmtId="187" fontId="29" fillId="0" borderId="0" xfId="38" applyNumberFormat="1" applyFont="1" applyFill="1" applyBorder="1" applyAlignment="1" applyProtection="1">
      <alignment vertical="center"/>
    </xf>
    <xf numFmtId="188" fontId="29" fillId="0" borderId="0" xfId="38" applyNumberFormat="1" applyFont="1" applyFill="1" applyBorder="1" applyAlignment="1" applyProtection="1">
      <alignment vertical="center"/>
    </xf>
    <xf numFmtId="181" fontId="31" fillId="0" borderId="0" xfId="38" applyNumberFormat="1" applyFont="1" applyFill="1" applyBorder="1" applyAlignment="1" applyProtection="1">
      <alignment horizontal="right" vertical="center"/>
    </xf>
    <xf numFmtId="188" fontId="31" fillId="0" borderId="0" xfId="38" applyNumberFormat="1" applyFont="1" applyFill="1" applyBorder="1" applyAlignment="1" applyProtection="1">
      <alignment horizontal="center" vertical="center"/>
    </xf>
    <xf numFmtId="188" fontId="31" fillId="0" borderId="0" xfId="38" applyNumberFormat="1" applyFont="1" applyFill="1" applyBorder="1" applyAlignment="1" applyProtection="1">
      <alignment horizontal="right" vertical="center"/>
    </xf>
    <xf numFmtId="169" fontId="31" fillId="0" borderId="0" xfId="38" applyNumberFormat="1" applyFont="1" applyFill="1" applyBorder="1" applyAlignment="1" applyProtection="1">
      <alignment horizontal="center" vertical="center"/>
    </xf>
    <xf numFmtId="188" fontId="31" fillId="0" borderId="0" xfId="38" quotePrefix="1" applyNumberFormat="1" applyFont="1" applyFill="1" applyBorder="1" applyAlignment="1" applyProtection="1">
      <alignment horizontal="right" vertical="center"/>
    </xf>
    <xf numFmtId="181" fontId="31" fillId="0" borderId="0" xfId="38" applyNumberFormat="1" applyFont="1" applyFill="1" applyBorder="1" applyAlignment="1">
      <alignment vertical="center"/>
    </xf>
    <xf numFmtId="188" fontId="31" fillId="0" borderId="0" xfId="38" applyNumberFormat="1" applyFont="1" applyFill="1" applyBorder="1" applyAlignment="1">
      <alignment vertical="center"/>
    </xf>
    <xf numFmtId="0" fontId="31" fillId="0" borderId="0" xfId="38" applyFont="1" applyFill="1" applyBorder="1" applyAlignment="1">
      <alignment vertical="center"/>
    </xf>
    <xf numFmtId="188" fontId="31" fillId="0" borderId="0" xfId="38" applyNumberFormat="1" applyFont="1" applyFill="1" applyBorder="1" applyAlignment="1">
      <alignment horizontal="centerContinuous" vertical="center"/>
    </xf>
    <xf numFmtId="169" fontId="31" fillId="0" borderId="0" xfId="38" applyNumberFormat="1" applyFont="1" applyFill="1" applyBorder="1" applyAlignment="1" applyProtection="1">
      <alignment horizontal="right" vertical="center"/>
    </xf>
    <xf numFmtId="169" fontId="31" fillId="0" borderId="0" xfId="38" quotePrefix="1" applyNumberFormat="1" applyFont="1" applyFill="1" applyBorder="1" applyAlignment="1" applyProtection="1">
      <alignment horizontal="right" vertical="center"/>
    </xf>
    <xf numFmtId="169" fontId="29" fillId="0" borderId="0" xfId="38" applyNumberFormat="1" applyFont="1" applyFill="1" applyBorder="1" applyAlignment="1" applyProtection="1">
      <alignment horizontal="left" vertical="center"/>
    </xf>
    <xf numFmtId="169" fontId="29" fillId="0" borderId="0" xfId="38" applyNumberFormat="1" applyFont="1" applyFill="1" applyAlignment="1" applyProtection="1">
      <alignment horizontal="left" vertical="center"/>
    </xf>
    <xf numFmtId="169" fontId="29" fillId="0" borderId="12" xfId="38" applyNumberFormat="1" applyFont="1" applyFill="1" applyBorder="1" applyAlignment="1" applyProtection="1">
      <alignment horizontal="left" vertical="center"/>
    </xf>
    <xf numFmtId="169" fontId="29" fillId="0" borderId="0" xfId="40" applyNumberFormat="1" applyFont="1" applyFill="1" applyAlignment="1" applyProtection="1">
      <alignment horizontal="left" vertical="center"/>
    </xf>
    <xf numFmtId="170" fontId="31" fillId="0" borderId="0" xfId="45" quotePrefix="1" applyNumberFormat="1" applyFont="1" applyFill="1" applyBorder="1" applyAlignment="1" applyProtection="1">
      <alignment horizontal="left" vertical="center"/>
    </xf>
    <xf numFmtId="169" fontId="29" fillId="0" borderId="0" xfId="45" quotePrefix="1" applyNumberFormat="1" applyFont="1" applyFill="1" applyBorder="1" applyAlignment="1" applyProtection="1">
      <alignment horizontal="left" vertical="center"/>
    </xf>
    <xf numFmtId="169" fontId="29" fillId="0" borderId="0" xfId="45" quotePrefix="1" applyNumberFormat="1" applyFont="1" applyFill="1" applyAlignment="1" applyProtection="1">
      <alignment horizontal="left" vertical="center"/>
    </xf>
    <xf numFmtId="169" fontId="31" fillId="0" borderId="0" xfId="0" applyNumberFormat="1" applyFont="1" applyFill="1" applyAlignment="1" applyProtection="1">
      <alignment vertical="center"/>
    </xf>
    <xf numFmtId="0" fontId="31" fillId="0" borderId="12" xfId="45" applyFont="1" applyFill="1" applyBorder="1" applyAlignment="1">
      <alignment vertical="center"/>
    </xf>
    <xf numFmtId="0" fontId="31" fillId="0" borderId="0" xfId="45" applyFont="1" applyFill="1" applyAlignment="1">
      <alignment horizontal="centerContinuous" vertical="center"/>
    </xf>
    <xf numFmtId="0" fontId="29" fillId="0" borderId="12" xfId="45" applyFont="1" applyFill="1" applyBorder="1" applyAlignment="1">
      <alignment vertical="center"/>
    </xf>
    <xf numFmtId="3" fontId="29" fillId="0" borderId="0" xfId="47" applyNumberFormat="1" applyFont="1" applyFill="1" applyAlignment="1" applyProtection="1">
      <alignment horizontal="right" vertical="center"/>
    </xf>
    <xf numFmtId="168" fontId="30" fillId="0" borderId="0" xfId="0" applyFont="1" applyFill="1"/>
    <xf numFmtId="37" fontId="29" fillId="0" borderId="0" xfId="38" applyNumberFormat="1" applyFont="1" applyFill="1" applyAlignment="1" applyProtection="1">
      <alignment vertical="center"/>
    </xf>
    <xf numFmtId="37" fontId="29" fillId="0" borderId="0" xfId="38" applyNumberFormat="1" applyFont="1" applyFill="1" applyBorder="1" applyAlignment="1" applyProtection="1">
      <alignment vertical="center"/>
    </xf>
    <xf numFmtId="169" fontId="29" fillId="0" borderId="0" xfId="48" quotePrefix="1" applyNumberFormat="1" applyFont="1" applyFill="1" applyAlignment="1" applyProtection="1">
      <alignment horizontal="left" vertical="center"/>
    </xf>
    <xf numFmtId="177" fontId="31" fillId="18" borderId="11" xfId="32" quotePrefix="1" applyNumberFormat="1" applyFont="1" applyFill="1" applyBorder="1" applyAlignment="1" applyProtection="1">
      <alignment horizontal="center" vertical="center"/>
    </xf>
    <xf numFmtId="3" fontId="31" fillId="18" borderId="11" xfId="32" quotePrefix="1" applyNumberFormat="1" applyFont="1" applyFill="1" applyBorder="1" applyAlignment="1" applyProtection="1">
      <alignment horizontal="center" vertical="center"/>
    </xf>
    <xf numFmtId="180" fontId="29" fillId="0" borderId="0" xfId="0" applyNumberFormat="1" applyFont="1" applyFill="1" applyAlignment="1">
      <alignment vertical="center"/>
    </xf>
    <xf numFmtId="168" fontId="29" fillId="0" borderId="0" xfId="0" applyNumberFormat="1" applyFont="1" applyFill="1" applyAlignment="1">
      <alignment vertical="center"/>
    </xf>
    <xf numFmtId="168" fontId="31" fillId="0" borderId="0" xfId="0" applyFont="1" applyFill="1" applyAlignment="1">
      <alignment vertical="center"/>
    </xf>
    <xf numFmtId="168" fontId="29" fillId="0" borderId="0" xfId="0" applyFont="1" applyFill="1" applyAlignment="1">
      <alignment horizontal="center" vertical="center"/>
    </xf>
    <xf numFmtId="181" fontId="29" fillId="0" borderId="0" xfId="0" applyNumberFormat="1" applyFont="1" applyFill="1" applyAlignment="1">
      <alignment horizontal="center" vertical="center"/>
    </xf>
    <xf numFmtId="181" fontId="29" fillId="0" borderId="12" xfId="0" applyNumberFormat="1" applyFont="1" applyFill="1" applyBorder="1" applyAlignment="1">
      <alignment horizontal="center" vertical="center"/>
    </xf>
    <xf numFmtId="191" fontId="29" fillId="0" borderId="0" xfId="0" applyNumberFormat="1" applyFont="1" applyFill="1" applyAlignment="1">
      <alignment vertical="center"/>
    </xf>
    <xf numFmtId="168" fontId="29" fillId="0" borderId="0" xfId="0" applyFont="1" applyFill="1" applyBorder="1" applyAlignment="1">
      <alignment vertical="center"/>
    </xf>
    <xf numFmtId="168" fontId="29" fillId="0" borderId="0" xfId="0" applyNumberFormat="1" applyFont="1" applyFill="1" applyAlignment="1" applyProtection="1">
      <alignment vertical="center"/>
    </xf>
    <xf numFmtId="171" fontId="29" fillId="0" borderId="0" xfId="0" applyNumberFormat="1" applyFont="1" applyFill="1" applyAlignment="1">
      <alignment vertical="center"/>
    </xf>
    <xf numFmtId="194" fontId="29" fillId="0" borderId="0" xfId="0" applyNumberFormat="1" applyFont="1" applyFill="1" applyAlignment="1">
      <alignment vertical="center"/>
    </xf>
    <xf numFmtId="168" fontId="31" fillId="0" borderId="0" xfId="0" applyNumberFormat="1" applyFont="1" applyFill="1" applyAlignment="1" applyProtection="1">
      <alignment vertical="center"/>
    </xf>
    <xf numFmtId="170" fontId="34" fillId="0" borderId="0" xfId="0" applyNumberFormat="1" applyFont="1" applyFill="1" applyAlignment="1" applyProtection="1">
      <alignment vertical="center"/>
    </xf>
    <xf numFmtId="172" fontId="34" fillId="0" borderId="0" xfId="0" applyNumberFormat="1" applyFont="1" applyFill="1" applyAlignment="1" applyProtection="1">
      <alignment vertical="center"/>
    </xf>
    <xf numFmtId="179" fontId="39" fillId="0" borderId="0" xfId="33" applyNumberFormat="1" applyFont="1" applyFill="1" applyAlignment="1">
      <alignment vertical="center"/>
    </xf>
    <xf numFmtId="168" fontId="34" fillId="0" borderId="0" xfId="0" applyFont="1" applyFill="1" applyAlignment="1">
      <alignment vertical="center"/>
    </xf>
    <xf numFmtId="169" fontId="34" fillId="0" borderId="0" xfId="0" applyNumberFormat="1" applyFont="1" applyFill="1" applyBorder="1" applyAlignment="1" applyProtection="1">
      <alignment horizontal="left" vertical="center"/>
    </xf>
    <xf numFmtId="171" fontId="34" fillId="0" borderId="0" xfId="0" applyNumberFormat="1" applyFont="1" applyFill="1" applyBorder="1" applyAlignment="1" applyProtection="1">
      <alignment vertical="center"/>
    </xf>
    <xf numFmtId="168" fontId="37" fillId="0" borderId="0" xfId="0" applyFont="1" applyFill="1" applyAlignment="1">
      <alignment vertical="center"/>
    </xf>
    <xf numFmtId="168" fontId="37" fillId="0" borderId="0" xfId="0" applyFont="1" applyFill="1" applyBorder="1" applyAlignment="1">
      <alignment vertical="top"/>
    </xf>
    <xf numFmtId="168" fontId="37" fillId="0" borderId="0" xfId="0" applyFont="1" applyFill="1" applyAlignment="1"/>
    <xf numFmtId="169" fontId="37" fillId="0" borderId="0" xfId="0" applyNumberFormat="1" applyFont="1" applyFill="1" applyAlignment="1" applyProtection="1">
      <alignment vertical="center"/>
    </xf>
    <xf numFmtId="168" fontId="37" fillId="0" borderId="0" xfId="0" applyFont="1" applyFill="1" applyAlignment="1">
      <alignment vertical="top"/>
    </xf>
    <xf numFmtId="169" fontId="34" fillId="0" borderId="0" xfId="0" applyNumberFormat="1" applyFont="1" applyFill="1" applyAlignment="1" applyProtection="1">
      <alignment horizontal="left" vertical="center"/>
    </xf>
    <xf numFmtId="168" fontId="30" fillId="0" borderId="0" xfId="0" applyFont="1" applyFill="1" applyAlignment="1">
      <alignment vertical="center"/>
    </xf>
    <xf numFmtId="49" fontId="31" fillId="19" borderId="11" xfId="32" quotePrefix="1" applyNumberFormat="1" applyFont="1" applyFill="1" applyBorder="1" applyAlignment="1" applyProtection="1">
      <alignment horizontal="center" vertical="center"/>
    </xf>
    <xf numFmtId="49" fontId="31" fillId="19" borderId="10" xfId="38" applyNumberFormat="1" applyFont="1" applyFill="1" applyBorder="1" applyAlignment="1">
      <alignment horizontal="center" vertical="center"/>
    </xf>
    <xf numFmtId="190" fontId="31" fillId="19" borderId="10" xfId="38" applyNumberFormat="1" applyFont="1" applyFill="1" applyBorder="1" applyAlignment="1">
      <alignment horizontal="center" vertical="center"/>
    </xf>
    <xf numFmtId="49" fontId="31" fillId="19" borderId="13" xfId="38" applyNumberFormat="1" applyFont="1" applyFill="1" applyBorder="1" applyAlignment="1">
      <alignment horizontal="center" vertical="center"/>
    </xf>
    <xf numFmtId="190" fontId="31" fillId="19" borderId="13" xfId="38" applyNumberFormat="1" applyFont="1" applyFill="1" applyBorder="1" applyAlignment="1">
      <alignment horizontal="center" vertical="center"/>
    </xf>
    <xf numFmtId="168" fontId="31" fillId="20" borderId="10" xfId="0" applyFont="1" applyFill="1" applyBorder="1" applyAlignment="1">
      <alignment horizontal="centerContinuous" vertical="center"/>
    </xf>
    <xf numFmtId="175" fontId="31" fillId="20" borderId="10" xfId="32" quotePrefix="1" applyNumberFormat="1" applyFont="1" applyFill="1" applyBorder="1" applyAlignment="1" applyProtection="1">
      <alignment horizontal="right" vertical="center"/>
    </xf>
    <xf numFmtId="175" fontId="31" fillId="20" borderId="11" xfId="32" quotePrefix="1" applyNumberFormat="1" applyFont="1" applyFill="1" applyBorder="1" applyAlignment="1" applyProtection="1">
      <alignment horizontal="right" vertical="center"/>
    </xf>
    <xf numFmtId="168" fontId="31" fillId="20" borderId="11" xfId="0" applyFont="1" applyFill="1" applyBorder="1" applyAlignment="1">
      <alignment horizontal="center" vertical="center"/>
    </xf>
    <xf numFmtId="175" fontId="31" fillId="20" borderId="10" xfId="0" applyNumberFormat="1" applyFont="1" applyFill="1" applyBorder="1" applyAlignment="1" applyProtection="1">
      <alignment vertical="center"/>
    </xf>
    <xf numFmtId="183" fontId="31" fillId="20" borderId="11" xfId="36" applyNumberFormat="1" applyFont="1" applyFill="1" applyBorder="1" applyAlignment="1" applyProtection="1">
      <alignment vertical="center"/>
    </xf>
    <xf numFmtId="184" fontId="31" fillId="20" borderId="10" xfId="32" quotePrefix="1" applyNumberFormat="1" applyFont="1" applyFill="1" applyBorder="1" applyAlignment="1" applyProtection="1">
      <alignment horizontal="right" vertical="center"/>
    </xf>
    <xf numFmtId="168" fontId="31" fillId="20" borderId="10" xfId="0" applyFont="1" applyFill="1" applyBorder="1" applyAlignment="1">
      <alignment horizontal="left" vertical="center"/>
    </xf>
    <xf numFmtId="168" fontId="33" fillId="20" borderId="10" xfId="0" applyFont="1" applyFill="1" applyBorder="1" applyAlignment="1">
      <alignment vertical="center"/>
    </xf>
    <xf numFmtId="168" fontId="31" fillId="19" borderId="13" xfId="0" applyFont="1" applyFill="1" applyBorder="1" applyAlignment="1">
      <alignment horizontal="center" vertical="center"/>
    </xf>
    <xf numFmtId="177" fontId="31" fillId="19" borderId="10" xfId="32" quotePrefix="1" applyNumberFormat="1" applyFont="1" applyFill="1" applyBorder="1" applyAlignment="1" applyProtection="1">
      <alignment horizontal="center" vertical="center"/>
    </xf>
    <xf numFmtId="3" fontId="31" fillId="19" borderId="10" xfId="32" quotePrefix="1" applyNumberFormat="1" applyFont="1" applyFill="1" applyBorder="1" applyAlignment="1" applyProtection="1">
      <alignment horizontal="center" vertical="center"/>
    </xf>
    <xf numFmtId="49" fontId="31" fillId="19" borderId="10" xfId="32" quotePrefix="1" applyNumberFormat="1" applyFont="1" applyFill="1" applyBorder="1" applyAlignment="1" applyProtection="1">
      <alignment horizontal="center" vertical="center"/>
    </xf>
    <xf numFmtId="179" fontId="34" fillId="0" borderId="0" xfId="33" applyNumberFormat="1" applyFont="1" applyFill="1" applyAlignment="1">
      <alignment vertical="center"/>
    </xf>
    <xf numFmtId="169" fontId="31" fillId="0" borderId="0" xfId="38" applyNumberFormat="1" applyFont="1" applyFill="1" applyAlignment="1" applyProtection="1">
      <alignment horizontal="centerContinuous" vertical="center"/>
    </xf>
    <xf numFmtId="173" fontId="31" fillId="0" borderId="0" xfId="38" applyNumberFormat="1" applyFont="1" applyFill="1" applyAlignment="1" applyProtection="1">
      <alignment horizontal="centerContinuous" vertical="center"/>
    </xf>
    <xf numFmtId="187" fontId="31" fillId="0" borderId="0" xfId="38" applyNumberFormat="1" applyFont="1" applyFill="1" applyBorder="1" applyAlignment="1" applyProtection="1">
      <alignment horizontal="centerContinuous" vertical="center"/>
    </xf>
    <xf numFmtId="188" fontId="31" fillId="0" borderId="0" xfId="38" applyNumberFormat="1" applyFont="1" applyFill="1" applyBorder="1" applyAlignment="1" applyProtection="1">
      <alignment horizontal="centerContinuous" vertical="center"/>
    </xf>
    <xf numFmtId="181" fontId="31" fillId="0" borderId="0" xfId="38" applyNumberFormat="1" applyFont="1" applyFill="1" applyBorder="1" applyAlignment="1" applyProtection="1">
      <alignment horizontal="centerContinuous" vertical="center"/>
    </xf>
    <xf numFmtId="169" fontId="31" fillId="0" borderId="0" xfId="38" applyNumberFormat="1" applyFont="1" applyFill="1" applyBorder="1" applyAlignment="1" applyProtection="1">
      <alignment horizontal="centerContinuous" vertical="center"/>
    </xf>
    <xf numFmtId="3" fontId="29" fillId="0" borderId="0" xfId="38" applyNumberFormat="1" applyFont="1" applyFill="1" applyAlignment="1">
      <alignment vertical="center"/>
    </xf>
    <xf numFmtId="0" fontId="29" fillId="0" borderId="0" xfId="38" quotePrefix="1" applyFont="1" applyFill="1" applyAlignment="1">
      <alignment vertical="center"/>
    </xf>
    <xf numFmtId="1" fontId="31" fillId="0" borderId="0" xfId="38" quotePrefix="1" applyNumberFormat="1" applyFont="1" applyFill="1" applyAlignment="1">
      <alignment vertical="center"/>
    </xf>
    <xf numFmtId="0" fontId="29" fillId="0" borderId="12" xfId="38" applyFont="1" applyFill="1" applyBorder="1" applyAlignment="1">
      <alignment vertical="center"/>
    </xf>
    <xf numFmtId="181" fontId="31" fillId="0" borderId="0" xfId="38" applyNumberFormat="1" applyFont="1" applyFill="1" applyAlignment="1">
      <alignment vertical="center"/>
    </xf>
    <xf numFmtId="0" fontId="29" fillId="0" borderId="0" xfId="38" applyFont="1" applyFill="1" applyAlignment="1" applyProtection="1">
      <alignment horizontal="left" vertical="center"/>
    </xf>
    <xf numFmtId="3" fontId="29" fillId="0" borderId="0" xfId="0" applyNumberFormat="1" applyFont="1" applyFill="1" applyAlignment="1" applyProtection="1">
      <alignment horizontal="right" vertical="center"/>
    </xf>
    <xf numFmtId="37" fontId="29" fillId="0" borderId="0" xfId="46" applyNumberFormat="1" applyFont="1" applyFill="1" applyAlignment="1" applyProtection="1">
      <alignment horizontal="right" vertical="center"/>
    </xf>
    <xf numFmtId="37" fontId="29" fillId="0" borderId="0" xfId="38" applyNumberFormat="1" applyFont="1" applyFill="1" applyAlignment="1" applyProtection="1">
      <alignment horizontal="right" vertical="center"/>
    </xf>
    <xf numFmtId="37" fontId="41" fillId="0" borderId="0" xfId="46" applyNumberFormat="1" applyFont="1" applyFill="1" applyAlignment="1" applyProtection="1">
      <alignment horizontal="right" vertical="center"/>
    </xf>
    <xf numFmtId="37" fontId="41" fillId="0" borderId="0" xfId="38" applyNumberFormat="1" applyFont="1" applyFill="1" applyAlignment="1" applyProtection="1">
      <alignment horizontal="right" vertical="center"/>
    </xf>
    <xf numFmtId="0" fontId="29" fillId="0" borderId="0" xfId="38" quotePrefix="1" applyFont="1" applyFill="1" applyAlignment="1" applyProtection="1">
      <alignment horizontal="left" vertical="center"/>
    </xf>
    <xf numFmtId="37" fontId="29" fillId="0" borderId="0" xfId="38" applyNumberFormat="1" applyFont="1" applyFill="1" applyAlignment="1">
      <alignment vertical="center"/>
    </xf>
    <xf numFmtId="0" fontId="29" fillId="0" borderId="12" xfId="38" applyFont="1" applyFill="1" applyBorder="1" applyAlignment="1" applyProtection="1">
      <alignment horizontal="left" vertical="center"/>
    </xf>
    <xf numFmtId="37" fontId="29" fillId="0" borderId="12" xfId="38" applyNumberFormat="1" applyFont="1" applyFill="1" applyBorder="1" applyAlignment="1" applyProtection="1">
      <alignment horizontal="right" vertical="center"/>
    </xf>
    <xf numFmtId="0" fontId="29" fillId="0" borderId="0" xfId="38" quotePrefix="1" applyFont="1" applyFill="1" applyAlignment="1">
      <alignment horizontal="left" vertical="center"/>
    </xf>
    <xf numFmtId="3" fontId="29" fillId="0" borderId="0" xfId="38" applyNumberFormat="1" applyFont="1" applyFill="1" applyAlignment="1" applyProtection="1">
      <alignment horizontal="right" vertical="center"/>
    </xf>
    <xf numFmtId="37" fontId="29" fillId="0" borderId="0" xfId="40" applyNumberFormat="1" applyFont="1" applyFill="1" applyAlignment="1" applyProtection="1">
      <alignment vertical="center"/>
    </xf>
    <xf numFmtId="0" fontId="29" fillId="0" borderId="0" xfId="40" applyFont="1" applyFill="1" applyAlignment="1">
      <alignment vertical="center"/>
    </xf>
    <xf numFmtId="0" fontId="29" fillId="0" borderId="12" xfId="40" applyFont="1" applyFill="1" applyBorder="1" applyAlignment="1">
      <alignment vertical="center"/>
    </xf>
    <xf numFmtId="0" fontId="29" fillId="0" borderId="13" xfId="40" applyFont="1" applyFill="1" applyBorder="1" applyAlignment="1">
      <alignment horizontal="center" vertical="center"/>
    </xf>
    <xf numFmtId="0" fontId="29" fillId="0" borderId="0" xfId="40" applyFont="1" applyFill="1" applyAlignment="1">
      <alignment horizontal="center" vertical="center"/>
    </xf>
    <xf numFmtId="3" fontId="29" fillId="0" borderId="0" xfId="40" applyNumberFormat="1" applyFont="1" applyFill="1" applyAlignment="1">
      <alignment vertical="center"/>
    </xf>
    <xf numFmtId="174" fontId="29" fillId="0" borderId="0" xfId="40" applyNumberFormat="1" applyFont="1" applyFill="1" applyAlignment="1">
      <alignment vertical="center"/>
    </xf>
    <xf numFmtId="0" fontId="29" fillId="0" borderId="12" xfId="40" applyFont="1" applyFill="1" applyBorder="1" applyAlignment="1">
      <alignment horizontal="center" vertical="center"/>
    </xf>
    <xf numFmtId="174" fontId="29" fillId="0" borderId="12" xfId="40" applyNumberFormat="1" applyFont="1" applyFill="1" applyBorder="1" applyAlignment="1">
      <alignment vertical="center"/>
    </xf>
    <xf numFmtId="0" fontId="29" fillId="0" borderId="0" xfId="40" applyFont="1" applyFill="1" applyBorder="1" applyAlignment="1">
      <alignment horizontal="left" vertical="center"/>
    </xf>
    <xf numFmtId="0" fontId="29" fillId="0" borderId="0" xfId="45" applyFont="1" applyFill="1" applyAlignment="1">
      <alignment vertical="center"/>
    </xf>
    <xf numFmtId="169" fontId="31" fillId="0" borderId="0" xfId="45" applyNumberFormat="1" applyFont="1" applyFill="1" applyBorder="1" applyAlignment="1" applyProtection="1">
      <alignment horizontal="left" vertical="center"/>
    </xf>
    <xf numFmtId="0" fontId="33" fillId="0" borderId="0" xfId="45" applyFont="1" applyFill="1" applyBorder="1" applyAlignment="1">
      <alignment vertical="center"/>
    </xf>
    <xf numFmtId="4" fontId="31" fillId="0" borderId="0" xfId="35" applyNumberFormat="1" applyFont="1" applyFill="1" applyBorder="1" applyAlignment="1" applyProtection="1">
      <alignment vertical="center"/>
    </xf>
    <xf numFmtId="4" fontId="29" fillId="0" borderId="0" xfId="35" applyNumberFormat="1" applyFont="1" applyFill="1" applyBorder="1" applyAlignment="1" applyProtection="1">
      <alignment horizontal="right" vertical="center"/>
    </xf>
    <xf numFmtId="174" fontId="29" fillId="0" borderId="0" xfId="45" applyNumberFormat="1" applyFont="1" applyFill="1" applyAlignment="1">
      <alignment vertical="center"/>
    </xf>
    <xf numFmtId="4" fontId="29" fillId="0" borderId="0" xfId="35" applyNumberFormat="1" applyFont="1" applyFill="1" applyBorder="1" applyAlignment="1" applyProtection="1">
      <alignment vertical="center"/>
    </xf>
    <xf numFmtId="169" fontId="31" fillId="0" borderId="12" xfId="45" applyNumberFormat="1" applyFont="1" applyFill="1" applyBorder="1" applyAlignment="1" applyProtection="1">
      <alignment horizontal="left" vertical="center"/>
    </xf>
    <xf numFmtId="3" fontId="29" fillId="0" borderId="12" xfId="35" applyNumberFormat="1" applyFont="1" applyFill="1" applyBorder="1" applyAlignment="1" applyProtection="1">
      <alignment vertical="center"/>
    </xf>
    <xf numFmtId="3" fontId="29" fillId="0" borderId="0" xfId="45" applyNumberFormat="1" applyFont="1" applyFill="1" applyAlignment="1">
      <alignment vertical="center"/>
    </xf>
    <xf numFmtId="3" fontId="31" fillId="0" borderId="0" xfId="35" applyNumberFormat="1" applyFont="1" applyFill="1" applyBorder="1" applyAlignment="1" applyProtection="1">
      <alignment vertical="center"/>
    </xf>
    <xf numFmtId="37" fontId="29" fillId="0" borderId="0" xfId="45" applyNumberFormat="1" applyFont="1" applyFill="1" applyAlignment="1" applyProtection="1">
      <alignment horizontal="right" vertical="center"/>
    </xf>
    <xf numFmtId="3" fontId="29" fillId="0" borderId="0" xfId="45" applyNumberFormat="1" applyFont="1" applyFill="1" applyAlignment="1">
      <alignment horizontal="right" vertical="center"/>
    </xf>
    <xf numFmtId="37" fontId="29" fillId="0" borderId="0" xfId="45" applyNumberFormat="1" applyFont="1" applyFill="1" applyBorder="1" applyAlignment="1" applyProtection="1">
      <alignment horizontal="right" vertical="center"/>
    </xf>
    <xf numFmtId="190" fontId="29" fillId="0" borderId="0" xfId="45" applyNumberFormat="1" applyFont="1" applyFill="1" applyAlignment="1" applyProtection="1">
      <alignment horizontal="right" vertical="center"/>
    </xf>
    <xf numFmtId="37" fontId="29" fillId="0" borderId="0" xfId="44" applyNumberFormat="1" applyFont="1" applyFill="1" applyAlignment="1" applyProtection="1">
      <alignment horizontal="left" vertical="center"/>
    </xf>
    <xf numFmtId="37" fontId="29" fillId="0" borderId="0" xfId="44" applyFont="1" applyFill="1" applyAlignment="1">
      <alignment horizontal="centerContinuous" vertical="center"/>
    </xf>
    <xf numFmtId="37" fontId="29" fillId="0" borderId="0" xfId="44" applyFont="1" applyFill="1" applyAlignment="1">
      <alignment vertical="center"/>
    </xf>
    <xf numFmtId="37" fontId="29" fillId="0" borderId="12" xfId="44" applyFont="1" applyFill="1" applyBorder="1" applyAlignment="1">
      <alignment vertical="center"/>
    </xf>
    <xf numFmtId="37" fontId="29" fillId="0" borderId="0" xfId="44" applyFont="1" applyFill="1" applyBorder="1" applyAlignment="1">
      <alignment vertical="center"/>
    </xf>
    <xf numFmtId="3" fontId="29" fillId="0" borderId="0" xfId="44" applyNumberFormat="1" applyFont="1" applyFill="1" applyAlignment="1">
      <alignment vertical="center"/>
    </xf>
    <xf numFmtId="37" fontId="29" fillId="0" borderId="12" xfId="44" applyNumberFormat="1" applyFont="1" applyFill="1" applyBorder="1" applyAlignment="1" applyProtection="1">
      <alignment horizontal="left" vertical="center"/>
    </xf>
    <xf numFmtId="37" fontId="29" fillId="0" borderId="0" xfId="44" applyFont="1" applyFill="1" applyAlignment="1">
      <alignment horizontal="left" vertical="center"/>
    </xf>
    <xf numFmtId="37" fontId="29" fillId="0" borderId="0" xfId="44" applyFont="1" applyFill="1" applyAlignment="1">
      <alignment horizontal="right" vertical="center"/>
    </xf>
    <xf numFmtId="3" fontId="29" fillId="0" borderId="0" xfId="40" applyNumberFormat="1" applyFont="1" applyFill="1" applyBorder="1" applyAlignment="1">
      <alignment vertical="center"/>
    </xf>
    <xf numFmtId="3" fontId="29" fillId="0" borderId="12" xfId="40" applyNumberFormat="1" applyFont="1" applyFill="1" applyBorder="1" applyAlignment="1">
      <alignment vertical="center"/>
    </xf>
    <xf numFmtId="37" fontId="29" fillId="0" borderId="0" xfId="44" quotePrefix="1" applyNumberFormat="1" applyFont="1" applyFill="1" applyAlignment="1" applyProtection="1">
      <alignment vertical="center"/>
    </xf>
    <xf numFmtId="37" fontId="29" fillId="0" borderId="0" xfId="44" applyNumberFormat="1" applyFont="1" applyFill="1" applyAlignment="1" applyProtection="1">
      <alignment vertical="center"/>
    </xf>
    <xf numFmtId="37" fontId="31" fillId="0" borderId="0" xfId="44" applyFont="1" applyFill="1" applyAlignment="1">
      <alignment horizontal="left" vertical="center"/>
    </xf>
    <xf numFmtId="37" fontId="29" fillId="0" borderId="12" xfId="44" applyFont="1" applyFill="1" applyBorder="1" applyAlignment="1">
      <alignment horizontal="left" vertical="center"/>
    </xf>
    <xf numFmtId="3" fontId="29" fillId="0" borderId="12" xfId="44" applyNumberFormat="1" applyFont="1" applyFill="1" applyBorder="1" applyAlignment="1">
      <alignment vertical="center"/>
    </xf>
    <xf numFmtId="37" fontId="31" fillId="0" borderId="0" xfId="44" applyFont="1" applyFill="1" applyAlignment="1">
      <alignment vertical="center"/>
    </xf>
    <xf numFmtId="0" fontId="29" fillId="0" borderId="0" xfId="40" quotePrefix="1" applyFont="1" applyFill="1" applyAlignment="1">
      <alignment vertical="center"/>
    </xf>
    <xf numFmtId="0" fontId="31" fillId="0" borderId="0" xfId="40" quotePrefix="1" applyFont="1" applyFill="1" applyAlignment="1">
      <alignment vertical="center"/>
    </xf>
    <xf numFmtId="0" fontId="29" fillId="0" borderId="0" xfId="40" quotePrefix="1" applyFont="1" applyFill="1" applyAlignment="1">
      <alignment horizontal="left" vertical="center"/>
    </xf>
    <xf numFmtId="175" fontId="29" fillId="0" borderId="0" xfId="40" applyNumberFormat="1" applyFont="1" applyFill="1" applyAlignment="1">
      <alignment vertical="center"/>
    </xf>
    <xf numFmtId="3" fontId="29" fillId="0" borderId="0" xfId="40" applyNumberFormat="1" applyFont="1" applyFill="1" applyAlignment="1">
      <alignment horizontal="right" vertical="center"/>
    </xf>
    <xf numFmtId="0" fontId="29" fillId="0" borderId="0" xfId="40" applyFont="1" applyFill="1" applyAlignment="1">
      <alignment horizontal="left" vertical="center"/>
    </xf>
    <xf numFmtId="4" fontId="29" fillId="0" borderId="0" xfId="40" applyNumberFormat="1" applyFont="1" applyFill="1" applyAlignment="1">
      <alignment vertical="center"/>
    </xf>
    <xf numFmtId="0" fontId="31" fillId="0" borderId="0" xfId="40" applyFont="1" applyFill="1" applyAlignment="1">
      <alignment vertical="center"/>
    </xf>
    <xf numFmtId="0" fontId="29" fillId="0" borderId="12" xfId="40" quotePrefix="1" applyFont="1" applyFill="1" applyBorder="1" applyAlignment="1">
      <alignment horizontal="center" vertical="center"/>
    </xf>
    <xf numFmtId="0" fontId="29" fillId="0" borderId="0" xfId="40" applyFont="1" applyFill="1" applyBorder="1" applyAlignment="1">
      <alignment vertical="center"/>
    </xf>
    <xf numFmtId="0" fontId="31" fillId="0" borderId="0" xfId="40" applyFont="1" applyFill="1" applyAlignment="1">
      <alignment horizontal="centerContinuous" vertical="center"/>
    </xf>
    <xf numFmtId="0" fontId="29" fillId="0" borderId="0" xfId="40" applyFont="1" applyFill="1" applyAlignment="1">
      <alignment horizontal="centerContinuous" vertical="center"/>
    </xf>
    <xf numFmtId="0" fontId="31" fillId="0" borderId="10" xfId="40" applyFont="1" applyFill="1" applyBorder="1" applyAlignment="1">
      <alignment horizontal="centerContinuous" vertical="center"/>
    </xf>
    <xf numFmtId="2" fontId="31" fillId="0" borderId="10" xfId="40" applyNumberFormat="1" applyFont="1" applyFill="1" applyBorder="1" applyAlignment="1">
      <alignment horizontal="centerContinuous" vertical="center"/>
    </xf>
    <xf numFmtId="0" fontId="29" fillId="0" borderId="13" xfId="40" applyFont="1" applyFill="1" applyBorder="1" applyAlignment="1" applyProtection="1">
      <alignment vertical="center"/>
    </xf>
    <xf numFmtId="0" fontId="29" fillId="0" borderId="13" xfId="40" applyFont="1" applyFill="1" applyBorder="1" applyAlignment="1">
      <alignment horizontal="centerContinuous" vertical="center"/>
    </xf>
    <xf numFmtId="0" fontId="29" fillId="0" borderId="10" xfId="40" applyFont="1" applyFill="1" applyBorder="1" applyAlignment="1">
      <alignment vertical="center"/>
    </xf>
    <xf numFmtId="2" fontId="29" fillId="0" borderId="10" xfId="40" applyNumberFormat="1" applyFont="1" applyFill="1" applyBorder="1" applyAlignment="1">
      <alignment vertical="center"/>
    </xf>
    <xf numFmtId="2" fontId="29" fillId="0" borderId="0" xfId="40" applyNumberFormat="1" applyFont="1" applyFill="1" applyAlignment="1">
      <alignment horizontal="right" vertical="center"/>
    </xf>
    <xf numFmtId="2" fontId="29" fillId="0" borderId="0" xfId="40" applyNumberFormat="1" applyFont="1" applyFill="1" applyAlignment="1">
      <alignment vertical="center"/>
    </xf>
    <xf numFmtId="0" fontId="29" fillId="0" borderId="12" xfId="40" quotePrefix="1" applyFont="1" applyFill="1" applyBorder="1" applyAlignment="1">
      <alignment horizontal="left" vertical="center"/>
    </xf>
    <xf numFmtId="2" fontId="29" fillId="0" borderId="12" xfId="40" applyNumberFormat="1" applyFont="1" applyFill="1" applyBorder="1" applyAlignment="1">
      <alignment horizontal="right" vertical="center"/>
    </xf>
    <xf numFmtId="0" fontId="31" fillId="0" borderId="0" xfId="40" quotePrefix="1" applyFont="1" applyFill="1" applyAlignment="1">
      <alignment horizontal="left" vertical="center"/>
    </xf>
    <xf numFmtId="2" fontId="29" fillId="0" borderId="11" xfId="40" applyNumberFormat="1" applyFont="1" applyFill="1" applyBorder="1" applyAlignment="1">
      <alignment horizontal="right" vertical="center"/>
    </xf>
    <xf numFmtId="2" fontId="29" fillId="0" borderId="0" xfId="40" applyNumberFormat="1" applyFont="1" applyFill="1" applyBorder="1" applyAlignment="1">
      <alignment horizontal="right" vertical="center"/>
    </xf>
    <xf numFmtId="2" fontId="29" fillId="0" borderId="12" xfId="40" applyNumberFormat="1" applyFont="1" applyFill="1" applyBorder="1" applyAlignment="1">
      <alignment vertical="center"/>
    </xf>
    <xf numFmtId="2" fontId="31" fillId="0" borderId="0" xfId="40" applyNumberFormat="1" applyFont="1" applyFill="1" applyAlignment="1">
      <alignment vertical="center"/>
    </xf>
    <xf numFmtId="2" fontId="31" fillId="0" borderId="0" xfId="40" applyNumberFormat="1" applyFont="1" applyFill="1" applyBorder="1" applyAlignment="1">
      <alignment vertical="center"/>
    </xf>
    <xf numFmtId="0" fontId="31" fillId="0" borderId="0" xfId="40" applyFont="1" applyFill="1" applyBorder="1" applyAlignment="1">
      <alignment horizontal="centerContinuous" vertical="center"/>
    </xf>
    <xf numFmtId="169" fontId="29" fillId="0" borderId="0" xfId="41" quotePrefix="1" applyFont="1" applyFill="1" applyAlignment="1">
      <alignment horizontal="left" vertical="center"/>
    </xf>
    <xf numFmtId="169" fontId="29" fillId="0" borderId="0" xfId="41" quotePrefix="1" applyFont="1" applyFill="1" applyAlignment="1">
      <alignment horizontal="center" vertical="center"/>
    </xf>
    <xf numFmtId="169" fontId="29" fillId="0" borderId="0" xfId="41" applyFont="1" applyFill="1" applyAlignment="1">
      <alignment vertical="center"/>
    </xf>
    <xf numFmtId="169" fontId="29" fillId="0" borderId="0" xfId="41" applyFont="1" applyFill="1" applyAlignment="1">
      <alignment horizontal="center" vertical="center"/>
    </xf>
    <xf numFmtId="169" fontId="29" fillId="0" borderId="0" xfId="41" applyFont="1" applyFill="1" applyBorder="1" applyAlignment="1" applyProtection="1">
      <alignment horizontal="center" vertical="center"/>
    </xf>
    <xf numFmtId="169" fontId="29" fillId="0" borderId="0" xfId="41" applyFont="1" applyFill="1" applyBorder="1" applyAlignment="1">
      <alignment horizontal="center" vertical="center"/>
    </xf>
    <xf numFmtId="169" fontId="29" fillId="0" borderId="0" xfId="41" applyFont="1" applyFill="1" applyBorder="1" applyAlignment="1">
      <alignment vertical="center"/>
    </xf>
    <xf numFmtId="4" fontId="31" fillId="0" borderId="0" xfId="41" applyNumberFormat="1" applyFont="1" applyFill="1" applyBorder="1" applyAlignment="1">
      <alignment vertical="center"/>
    </xf>
    <xf numFmtId="174" fontId="31" fillId="0" borderId="0" xfId="41" applyNumberFormat="1" applyFont="1" applyFill="1" applyBorder="1" applyAlignment="1">
      <alignment vertical="center"/>
    </xf>
    <xf numFmtId="4" fontId="29" fillId="0" borderId="0" xfId="41" applyNumberFormat="1" applyFont="1" applyFill="1" applyAlignment="1">
      <alignment vertical="center"/>
    </xf>
    <xf numFmtId="176" fontId="29" fillId="0" borderId="0" xfId="41" applyNumberFormat="1" applyFont="1" applyFill="1" applyAlignment="1" applyProtection="1">
      <alignment horizontal="right" vertical="center"/>
    </xf>
    <xf numFmtId="4" fontId="29" fillId="0" borderId="0" xfId="41" applyNumberFormat="1" applyFont="1" applyFill="1" applyBorder="1" applyAlignment="1">
      <alignment vertical="center"/>
    </xf>
    <xf numFmtId="175" fontId="29" fillId="0" borderId="0" xfId="41" applyNumberFormat="1" applyFont="1" applyFill="1" applyAlignment="1">
      <alignment vertical="center"/>
    </xf>
    <xf numFmtId="169" fontId="29" fillId="0" borderId="12" xfId="41" applyFont="1" applyFill="1" applyBorder="1" applyAlignment="1">
      <alignment vertical="center"/>
    </xf>
    <xf numFmtId="176" fontId="29" fillId="0" borderId="0" xfId="41" applyNumberFormat="1" applyFont="1" applyFill="1" applyBorder="1" applyAlignment="1" applyProtection="1">
      <alignment horizontal="right" vertical="center"/>
    </xf>
    <xf numFmtId="169" fontId="29" fillId="0" borderId="0" xfId="41" quotePrefix="1" applyFont="1" applyFill="1" applyAlignment="1" applyProtection="1">
      <alignment horizontal="left" vertical="center"/>
    </xf>
    <xf numFmtId="169" fontId="29" fillId="0" borderId="0" xfId="41" quotePrefix="1" applyFont="1" applyFill="1" applyAlignment="1">
      <alignment vertical="center"/>
    </xf>
    <xf numFmtId="171" fontId="31" fillId="0" borderId="0" xfId="41" applyNumberFormat="1" applyFont="1" applyFill="1" applyAlignment="1" applyProtection="1">
      <alignment vertical="center"/>
    </xf>
    <xf numFmtId="174" fontId="29" fillId="0" borderId="0" xfId="41" applyNumberFormat="1" applyFont="1" applyFill="1" applyAlignment="1">
      <alignment vertical="center"/>
    </xf>
    <xf numFmtId="169" fontId="29" fillId="0" borderId="0" xfId="42" applyFont="1" applyFill="1" applyAlignment="1">
      <alignment vertical="center"/>
    </xf>
    <xf numFmtId="169" fontId="29" fillId="0" borderId="0" xfId="42" applyFont="1" applyFill="1" applyAlignment="1" applyProtection="1">
      <alignment horizontal="center" vertical="center"/>
    </xf>
    <xf numFmtId="169" fontId="29" fillId="0" borderId="0" xfId="42" quotePrefix="1" applyFont="1" applyFill="1" applyAlignment="1" applyProtection="1">
      <alignment vertical="center"/>
    </xf>
    <xf numFmtId="169" fontId="29" fillId="0" borderId="0" xfId="42" quotePrefix="1" applyFont="1" applyFill="1" applyAlignment="1" applyProtection="1">
      <alignment horizontal="center" vertical="center"/>
    </xf>
    <xf numFmtId="169" fontId="29" fillId="0" borderId="0" xfId="42" applyFont="1" applyFill="1" applyBorder="1" applyAlignment="1" applyProtection="1">
      <alignment horizontal="center" vertical="center"/>
    </xf>
    <xf numFmtId="169" fontId="29" fillId="0" borderId="0" xfId="42" applyFont="1" applyFill="1" applyBorder="1" applyAlignment="1">
      <alignment vertical="center"/>
    </xf>
    <xf numFmtId="3" fontId="29" fillId="0" borderId="0" xfId="42" applyNumberFormat="1" applyFont="1" applyFill="1" applyAlignment="1">
      <alignment vertical="center"/>
    </xf>
    <xf numFmtId="169" fontId="29" fillId="0" borderId="12" xfId="42" applyFont="1" applyFill="1" applyBorder="1" applyAlignment="1" applyProtection="1">
      <alignment horizontal="center" vertical="center"/>
    </xf>
    <xf numFmtId="169" fontId="29" fillId="0" borderId="0" xfId="42" quotePrefix="1" applyFont="1" applyFill="1" applyAlignment="1" applyProtection="1">
      <alignment horizontal="left" vertical="center"/>
    </xf>
    <xf numFmtId="169" fontId="29" fillId="0" borderId="0" xfId="42" applyFont="1" applyFill="1" applyAlignment="1" applyProtection="1">
      <alignment horizontal="left" vertical="center"/>
    </xf>
    <xf numFmtId="169" fontId="29" fillId="0" borderId="12" xfId="42" applyFont="1" applyFill="1" applyBorder="1" applyAlignment="1">
      <alignment vertical="center"/>
    </xf>
    <xf numFmtId="169" fontId="29" fillId="0" borderId="0" xfId="42" applyFont="1" applyFill="1" applyBorder="1" applyAlignment="1">
      <alignment horizontal="center" vertical="center"/>
    </xf>
    <xf numFmtId="3" fontId="29" fillId="0" borderId="0" xfId="41" applyNumberFormat="1" applyFont="1" applyFill="1" applyBorder="1" applyAlignment="1" applyProtection="1">
      <alignment vertical="center"/>
    </xf>
    <xf numFmtId="173" fontId="31" fillId="0" borderId="12" xfId="38" applyNumberFormat="1" applyFont="1" applyFill="1" applyBorder="1" applyAlignment="1">
      <alignment vertical="center"/>
    </xf>
    <xf numFmtId="181" fontId="29" fillId="0" borderId="0" xfId="38" applyNumberFormat="1" applyFont="1" applyFill="1" applyBorder="1" applyAlignment="1" applyProtection="1">
      <alignment vertical="center"/>
    </xf>
    <xf numFmtId="181" fontId="31" fillId="0" borderId="0" xfId="38" applyNumberFormat="1" applyFont="1" applyFill="1" applyBorder="1" applyAlignment="1" applyProtection="1">
      <alignment vertical="center"/>
    </xf>
    <xf numFmtId="187" fontId="31" fillId="0" borderId="0" xfId="38" applyNumberFormat="1" applyFont="1" applyFill="1" applyAlignment="1" applyProtection="1">
      <alignment vertical="center"/>
    </xf>
    <xf numFmtId="188" fontId="31" fillId="0" borderId="0" xfId="38" applyNumberFormat="1" applyFont="1" applyFill="1" applyBorder="1" applyAlignment="1" applyProtection="1">
      <alignment vertical="center"/>
    </xf>
    <xf numFmtId="188" fontId="31" fillId="0" borderId="0" xfId="38" applyNumberFormat="1" applyFont="1" applyFill="1" applyBorder="1" applyAlignment="1">
      <alignment horizontal="right" vertical="center"/>
    </xf>
    <xf numFmtId="0" fontId="31" fillId="0" borderId="0" xfId="38" applyFont="1" applyFill="1" applyBorder="1" applyAlignment="1">
      <alignment horizontal="right" vertical="center"/>
    </xf>
    <xf numFmtId="0" fontId="31" fillId="0" borderId="0" xfId="38" quotePrefix="1" applyFont="1" applyFill="1" applyBorder="1" applyAlignment="1">
      <alignment horizontal="left" vertical="center"/>
    </xf>
    <xf numFmtId="188" fontId="40" fillId="0" borderId="0" xfId="38" applyNumberFormat="1" applyFont="1" applyFill="1" applyBorder="1" applyAlignment="1" applyProtection="1">
      <alignment vertical="center"/>
    </xf>
    <xf numFmtId="188" fontId="29" fillId="0" borderId="0" xfId="38" applyNumberFormat="1" applyFont="1" applyFill="1" applyBorder="1" applyAlignment="1" applyProtection="1">
      <alignment horizontal="right" vertical="center"/>
    </xf>
    <xf numFmtId="169" fontId="31" fillId="0" borderId="0" xfId="38" applyNumberFormat="1" applyFont="1" applyFill="1" applyBorder="1" applyAlignment="1" applyProtection="1">
      <alignment horizontal="left" vertical="center"/>
    </xf>
    <xf numFmtId="169" fontId="31" fillId="0" borderId="0" xfId="38" quotePrefix="1" applyNumberFormat="1" applyFont="1" applyFill="1" applyBorder="1" applyAlignment="1" applyProtection="1">
      <alignment horizontal="left" vertical="center"/>
    </xf>
    <xf numFmtId="3" fontId="29" fillId="0" borderId="0" xfId="38" applyNumberFormat="1" applyFont="1" applyFill="1" applyBorder="1" applyAlignment="1">
      <alignment vertical="center"/>
    </xf>
    <xf numFmtId="3" fontId="29" fillId="0" borderId="0" xfId="38" applyNumberFormat="1" applyFont="1" applyFill="1" applyBorder="1" applyAlignment="1" applyProtection="1">
      <alignment vertical="center"/>
    </xf>
    <xf numFmtId="37" fontId="31" fillId="0" borderId="0" xfId="38" applyNumberFormat="1" applyFont="1" applyFill="1" applyBorder="1" applyAlignment="1" applyProtection="1">
      <alignment vertical="center"/>
    </xf>
    <xf numFmtId="37" fontId="31" fillId="0" borderId="0" xfId="38" applyNumberFormat="1" applyFont="1" applyFill="1" applyBorder="1" applyAlignment="1" applyProtection="1">
      <alignment horizontal="right" vertical="center"/>
    </xf>
    <xf numFmtId="37" fontId="31" fillId="0" borderId="0" xfId="38" applyNumberFormat="1" applyFont="1" applyFill="1" applyAlignment="1" applyProtection="1">
      <alignment vertical="center"/>
    </xf>
    <xf numFmtId="169" fontId="31" fillId="0" borderId="0" xfId="38" applyNumberFormat="1" applyFont="1" applyFill="1" applyAlignment="1" applyProtection="1">
      <alignment horizontal="left" vertical="center"/>
    </xf>
    <xf numFmtId="175" fontId="29" fillId="0" borderId="0" xfId="42" applyNumberFormat="1" applyFont="1" applyFill="1" applyAlignment="1" applyProtection="1">
      <alignment vertical="center"/>
    </xf>
    <xf numFmtId="3" fontId="29" fillId="0" borderId="0" xfId="42" applyNumberFormat="1" applyFont="1" applyFill="1" applyAlignment="1" applyProtection="1">
      <alignment vertical="center"/>
    </xf>
    <xf numFmtId="175" fontId="29" fillId="0" borderId="0" xfId="42" applyNumberFormat="1" applyFont="1" applyFill="1" applyBorder="1" applyAlignment="1" applyProtection="1">
      <alignment vertical="center"/>
    </xf>
    <xf numFmtId="3" fontId="29" fillId="0" borderId="0" xfId="42" applyNumberFormat="1" applyFont="1" applyFill="1" applyBorder="1" applyAlignment="1" applyProtection="1">
      <alignment vertical="center"/>
    </xf>
    <xf numFmtId="169" fontId="29" fillId="0" borderId="12" xfId="42" applyFont="1" applyFill="1" applyBorder="1" applyAlignment="1" applyProtection="1">
      <alignment horizontal="left" vertical="center"/>
    </xf>
    <xf numFmtId="175" fontId="31" fillId="0" borderId="0" xfId="42" applyNumberFormat="1" applyFont="1" applyFill="1" applyBorder="1" applyAlignment="1" applyProtection="1">
      <alignment vertical="center"/>
    </xf>
    <xf numFmtId="175" fontId="29" fillId="0" borderId="0" xfId="42" applyNumberFormat="1" applyFont="1" applyFill="1" applyAlignment="1" applyProtection="1">
      <alignment horizontal="right" vertical="center"/>
    </xf>
    <xf numFmtId="169" fontId="29" fillId="0" borderId="0" xfId="42" quotePrefix="1" applyFont="1" applyFill="1" applyAlignment="1">
      <alignment vertical="center"/>
    </xf>
    <xf numFmtId="169" fontId="29" fillId="0" borderId="0" xfId="41" applyFont="1" applyFill="1" applyBorder="1" applyAlignment="1" applyProtection="1">
      <alignment horizontal="left" vertical="center"/>
    </xf>
    <xf numFmtId="174" fontId="29" fillId="0" borderId="0" xfId="41" applyNumberFormat="1" applyFont="1" applyFill="1" applyBorder="1" applyAlignment="1" applyProtection="1">
      <alignment horizontal="right" vertical="center"/>
    </xf>
    <xf numFmtId="169" fontId="29" fillId="0" borderId="0" xfId="41" quotePrefix="1" applyFont="1" applyFill="1" applyBorder="1" applyAlignment="1" applyProtection="1">
      <alignment horizontal="left" vertical="center"/>
    </xf>
    <xf numFmtId="169" fontId="29" fillId="0" borderId="12" xfId="41" applyFont="1" applyFill="1" applyBorder="1" applyAlignment="1" applyProtection="1">
      <alignment horizontal="left" vertical="center"/>
    </xf>
    <xf numFmtId="175" fontId="29" fillId="0" borderId="0" xfId="41" applyNumberFormat="1" applyFont="1" applyFill="1" applyBorder="1" applyAlignment="1" applyProtection="1">
      <alignment horizontal="right" vertical="center"/>
    </xf>
    <xf numFmtId="169" fontId="29" fillId="0" borderId="0" xfId="41" applyFont="1" applyFill="1" applyAlignment="1">
      <alignment horizontal="right" vertical="center"/>
    </xf>
    <xf numFmtId="175" fontId="29" fillId="0" borderId="0" xfId="41" applyNumberFormat="1" applyFont="1" applyFill="1" applyBorder="1" applyAlignment="1" applyProtection="1">
      <alignment vertical="center"/>
    </xf>
    <xf numFmtId="169" fontId="29" fillId="0" borderId="0" xfId="41" quotePrefix="1" applyFont="1" applyFill="1" applyBorder="1" applyAlignment="1" applyProtection="1">
      <alignment horizontal="center" vertical="center"/>
    </xf>
    <xf numFmtId="3" fontId="29" fillId="0" borderId="0" xfId="41" applyNumberFormat="1" applyFont="1" applyFill="1" applyAlignment="1">
      <alignment vertical="center"/>
    </xf>
    <xf numFmtId="3" fontId="29" fillId="0" borderId="12" xfId="41" applyNumberFormat="1" applyFont="1" applyFill="1" applyBorder="1" applyAlignment="1" applyProtection="1">
      <alignment vertical="center"/>
    </xf>
    <xf numFmtId="37" fontId="29" fillId="0" borderId="0" xfId="41" applyNumberFormat="1" applyFont="1" applyFill="1" applyBorder="1" applyAlignment="1" applyProtection="1">
      <alignment vertical="center"/>
    </xf>
    <xf numFmtId="0" fontId="29" fillId="0" borderId="0" xfId="40" applyFont="1" applyFill="1" applyBorder="1" applyAlignment="1" applyProtection="1">
      <alignment horizontal="left" vertical="center"/>
    </xf>
    <xf numFmtId="0" fontId="29" fillId="0" borderId="0" xfId="40" quotePrefix="1" applyFont="1" applyFill="1" applyBorder="1" applyAlignment="1" applyProtection="1">
      <alignment horizontal="left" vertical="center"/>
    </xf>
    <xf numFmtId="0" fontId="29" fillId="0" borderId="0" xfId="40" applyFont="1" applyFill="1" applyAlignment="1">
      <alignment horizontal="right" vertical="center"/>
    </xf>
    <xf numFmtId="3" fontId="29" fillId="0" borderId="0" xfId="40" applyNumberFormat="1" applyFont="1" applyFill="1" applyBorder="1" applyAlignment="1" applyProtection="1">
      <alignment vertical="center"/>
    </xf>
    <xf numFmtId="169" fontId="29" fillId="0" borderId="0" xfId="41" applyFont="1" applyFill="1" applyBorder="1" applyAlignment="1">
      <alignment horizontal="right" vertical="center"/>
    </xf>
    <xf numFmtId="169" fontId="29" fillId="0" borderId="0" xfId="41" applyFont="1" applyFill="1" applyBorder="1" applyAlignment="1" applyProtection="1">
      <alignment horizontal="right" vertical="center"/>
    </xf>
    <xf numFmtId="3" fontId="29" fillId="0" borderId="0" xfId="41" applyNumberFormat="1" applyFont="1" applyFill="1" applyBorder="1" applyAlignment="1">
      <alignment vertical="center"/>
    </xf>
    <xf numFmtId="175" fontId="29" fillId="0" borderId="0" xfId="41" applyNumberFormat="1" applyFont="1" applyFill="1" applyBorder="1" applyAlignment="1">
      <alignment vertical="center"/>
    </xf>
    <xf numFmtId="181" fontId="29" fillId="0" borderId="0" xfId="41" applyNumberFormat="1" applyFont="1" applyFill="1" applyBorder="1" applyAlignment="1">
      <alignment vertical="center"/>
    </xf>
    <xf numFmtId="169" fontId="29" fillId="0" borderId="0" xfId="41" quotePrefix="1" applyFont="1" applyFill="1" applyAlignment="1" applyProtection="1">
      <alignment horizontal="center" vertical="center"/>
    </xf>
    <xf numFmtId="169" fontId="29" fillId="0" borderId="0" xfId="41" applyFont="1" applyFill="1" applyAlignment="1" applyProtection="1">
      <alignment horizontal="left" vertical="center"/>
    </xf>
    <xf numFmtId="169" fontId="29" fillId="0" borderId="0" xfId="41" quotePrefix="1" applyFont="1" applyFill="1" applyBorder="1" applyAlignment="1">
      <alignment horizontal="left" vertical="center"/>
    </xf>
    <xf numFmtId="3" fontId="29" fillId="0" borderId="0" xfId="41" applyNumberFormat="1" applyFont="1" applyFill="1" applyAlignment="1" applyProtection="1">
      <alignment vertical="center"/>
    </xf>
    <xf numFmtId="4" fontId="29" fillId="0" borderId="0" xfId="45" applyNumberFormat="1" applyFont="1" applyFill="1" applyAlignment="1">
      <alignment vertical="center"/>
    </xf>
    <xf numFmtId="0" fontId="29" fillId="0" borderId="0" xfId="45" applyFont="1" applyFill="1" applyBorder="1" applyAlignment="1">
      <alignment vertical="center"/>
    </xf>
    <xf numFmtId="0" fontId="31" fillId="0" borderId="0" xfId="45" applyFont="1" applyFill="1" applyAlignment="1">
      <alignment horizontal="center" vertical="center"/>
    </xf>
    <xf numFmtId="0" fontId="31" fillId="0" borderId="0" xfId="45" applyFont="1" applyFill="1" applyAlignment="1">
      <alignment vertical="center"/>
    </xf>
    <xf numFmtId="0" fontId="31" fillId="0" borderId="0" xfId="40" applyFont="1" applyFill="1" applyBorder="1" applyAlignment="1">
      <alignment vertical="center"/>
    </xf>
    <xf numFmtId="185" fontId="29" fillId="0" borderId="0" xfId="40" applyNumberFormat="1" applyFont="1" applyFill="1" applyAlignment="1">
      <alignment vertical="center"/>
    </xf>
    <xf numFmtId="3" fontId="29" fillId="0" borderId="0" xfId="40" applyNumberFormat="1" applyFont="1" applyFill="1" applyBorder="1" applyAlignment="1">
      <alignment horizontal="right" vertical="center"/>
    </xf>
    <xf numFmtId="185" fontId="29" fillId="0" borderId="0" xfId="40" applyNumberFormat="1" applyFont="1" applyFill="1" applyBorder="1" applyAlignment="1">
      <alignment horizontal="right" vertical="center"/>
    </xf>
    <xf numFmtId="175" fontId="29" fillId="0" borderId="0" xfId="40" applyNumberFormat="1" applyFont="1" applyFill="1" applyAlignment="1">
      <alignment horizontal="right" vertical="center"/>
    </xf>
    <xf numFmtId="174" fontId="29" fillId="0" borderId="0" xfId="34" applyNumberFormat="1" applyFont="1" applyFill="1" applyAlignment="1">
      <alignment vertical="center"/>
    </xf>
    <xf numFmtId="4" fontId="29" fillId="0" borderId="12" xfId="40" applyNumberFormat="1" applyFont="1" applyFill="1" applyBorder="1" applyAlignment="1">
      <alignment vertical="center"/>
    </xf>
    <xf numFmtId="4" fontId="29" fillId="0" borderId="0" xfId="40" applyNumberFormat="1" applyFont="1" applyFill="1" applyBorder="1" applyAlignment="1">
      <alignment vertical="center"/>
    </xf>
    <xf numFmtId="0" fontId="29" fillId="0" borderId="0" xfId="39" applyFont="1" applyFill="1" applyAlignment="1">
      <alignment vertical="center"/>
    </xf>
    <xf numFmtId="3" fontId="29" fillId="0" borderId="0" xfId="39" applyNumberFormat="1" applyFont="1" applyFill="1" applyAlignment="1">
      <alignment vertical="center"/>
    </xf>
    <xf numFmtId="0" fontId="29" fillId="0" borderId="0" xfId="39" applyFont="1" applyFill="1" applyAlignment="1" applyProtection="1">
      <alignment vertical="center"/>
    </xf>
    <xf numFmtId="0" fontId="29" fillId="0" borderId="0" xfId="39" applyFont="1" applyFill="1" applyAlignment="1" applyProtection="1">
      <alignment horizontal="fill" vertical="center"/>
    </xf>
    <xf numFmtId="0" fontId="29" fillId="0" borderId="0" xfId="39" applyFont="1" applyFill="1" applyAlignment="1" applyProtection="1">
      <alignment horizontal="center" vertical="center"/>
    </xf>
    <xf numFmtId="0" fontId="29" fillId="0" borderId="0" xfId="39" applyFont="1" applyFill="1" applyAlignment="1" applyProtection="1">
      <alignment horizontal="left" vertical="center"/>
    </xf>
    <xf numFmtId="3" fontId="29" fillId="0" borderId="0" xfId="39" applyNumberFormat="1" applyFont="1" applyFill="1" applyAlignment="1" applyProtection="1">
      <alignment vertical="center"/>
    </xf>
    <xf numFmtId="3" fontId="29" fillId="0" borderId="0" xfId="39" applyNumberFormat="1" applyFont="1" applyFill="1" applyBorder="1" applyAlignment="1" applyProtection="1">
      <alignment vertical="center"/>
    </xf>
    <xf numFmtId="3" fontId="29" fillId="0" borderId="0" xfId="39" applyNumberFormat="1" applyFont="1" applyFill="1" applyAlignment="1">
      <alignment horizontal="center" vertical="center"/>
    </xf>
    <xf numFmtId="0" fontId="37" fillId="0" borderId="0" xfId="38" quotePrefix="1" applyFont="1" applyFill="1" applyAlignment="1"/>
    <xf numFmtId="3" fontId="31" fillId="20" borderId="11" xfId="38" quotePrefix="1" applyNumberFormat="1" applyFont="1" applyFill="1" applyBorder="1" applyAlignment="1">
      <alignment horizontal="center" vertical="center"/>
    </xf>
    <xf numFmtId="190" fontId="31" fillId="0" borderId="0" xfId="38" applyNumberFormat="1" applyFont="1" applyFill="1" applyBorder="1" applyAlignment="1">
      <alignment horizontal="center" vertical="center"/>
    </xf>
    <xf numFmtId="184" fontId="31" fillId="0" borderId="0" xfId="32" quotePrefix="1" applyNumberFormat="1" applyFont="1" applyFill="1" applyBorder="1" applyAlignment="1" applyProtection="1">
      <alignment horizontal="right" vertical="center"/>
    </xf>
    <xf numFmtId="0" fontId="31" fillId="19" borderId="10" xfId="38" applyFont="1" applyFill="1" applyBorder="1" applyAlignment="1" applyProtection="1">
      <alignment horizontal="center" vertical="center"/>
    </xf>
    <xf numFmtId="0" fontId="31" fillId="19" borderId="10" xfId="38" applyFont="1" applyFill="1" applyBorder="1" applyAlignment="1" applyProtection="1">
      <alignment horizontal="center" vertical="center" wrapText="1"/>
    </xf>
    <xf numFmtId="3" fontId="34" fillId="0" borderId="0" xfId="38" applyNumberFormat="1" applyFont="1" applyFill="1" applyAlignment="1" applyProtection="1">
      <alignment horizontal="right" vertical="center"/>
    </xf>
    <xf numFmtId="195" fontId="31" fillId="20" borderId="11" xfId="38" applyNumberFormat="1" applyFont="1" applyFill="1" applyBorder="1" applyAlignment="1" applyProtection="1">
      <alignment vertical="center"/>
    </xf>
    <xf numFmtId="195" fontId="29" fillId="0" borderId="0" xfId="38" applyNumberFormat="1" applyFont="1" applyFill="1" applyAlignment="1">
      <alignment vertical="center"/>
    </xf>
    <xf numFmtId="195" fontId="29" fillId="0" borderId="0" xfId="0" applyNumberFormat="1" applyFont="1" applyFill="1" applyAlignment="1" applyProtection="1">
      <alignment horizontal="right" vertical="center"/>
    </xf>
    <xf numFmtId="195" fontId="29" fillId="0" borderId="0" xfId="46" applyNumberFormat="1" applyFont="1" applyFill="1" applyAlignment="1" applyProtection="1">
      <alignment horizontal="right" vertical="center"/>
    </xf>
    <xf numFmtId="195" fontId="29" fillId="0" borderId="0" xfId="38" applyNumberFormat="1" applyFont="1" applyFill="1" applyAlignment="1" applyProtection="1">
      <alignment horizontal="right" vertical="center"/>
    </xf>
    <xf numFmtId="195" fontId="41" fillId="0" borderId="0" xfId="0" applyNumberFormat="1" applyFont="1" applyFill="1" applyAlignment="1" applyProtection="1">
      <alignment horizontal="right" vertical="center"/>
    </xf>
    <xf numFmtId="195" fontId="41" fillId="0" borderId="0" xfId="0" applyNumberFormat="1" applyFont="1" applyFill="1" applyBorder="1" applyAlignment="1" applyProtection="1">
      <alignment horizontal="right" vertical="center"/>
    </xf>
    <xf numFmtId="195" fontId="41" fillId="0" borderId="0" xfId="46" applyNumberFormat="1" applyFont="1" applyFill="1" applyAlignment="1" applyProtection="1">
      <alignment horizontal="right" vertical="center"/>
    </xf>
    <xf numFmtId="195" fontId="41" fillId="0" borderId="0" xfId="38" applyNumberFormat="1" applyFont="1" applyFill="1" applyAlignment="1" applyProtection="1">
      <alignment horizontal="right" vertical="center"/>
    </xf>
    <xf numFmtId="195" fontId="29" fillId="0" borderId="0" xfId="0" applyNumberFormat="1" applyFont="1" applyFill="1" applyBorder="1" applyAlignment="1" applyProtection="1">
      <alignment horizontal="right" vertical="center"/>
    </xf>
    <xf numFmtId="195" fontId="29" fillId="0" borderId="0" xfId="0" applyNumberFormat="1" applyFont="1" applyFill="1" applyAlignment="1">
      <alignment vertical="center"/>
    </xf>
    <xf numFmtId="195" fontId="29" fillId="0" borderId="0" xfId="47" applyNumberFormat="1" applyFont="1" applyFill="1" applyAlignment="1" applyProtection="1">
      <alignment horizontal="right" vertical="center"/>
    </xf>
    <xf numFmtId="195" fontId="29" fillId="0" borderId="12" xfId="0" applyNumberFormat="1" applyFont="1" applyFill="1" applyBorder="1" applyAlignment="1" applyProtection="1">
      <alignment horizontal="right" vertical="center"/>
    </xf>
    <xf numFmtId="195" fontId="29" fillId="0" borderId="12" xfId="47" applyNumberFormat="1" applyFont="1" applyFill="1" applyBorder="1" applyAlignment="1" applyProtection="1">
      <alignment horizontal="right" vertical="center"/>
    </xf>
    <xf numFmtId="195" fontId="29" fillId="0" borderId="12" xfId="46" applyNumberFormat="1" applyFont="1" applyFill="1" applyBorder="1" applyAlignment="1" applyProtection="1">
      <alignment horizontal="right" vertical="center"/>
    </xf>
    <xf numFmtId="195" fontId="29" fillId="0" borderId="12" xfId="38" applyNumberFormat="1" applyFont="1" applyFill="1" applyBorder="1" applyAlignment="1" applyProtection="1">
      <alignment horizontal="right" vertical="center"/>
    </xf>
    <xf numFmtId="0" fontId="37" fillId="0" borderId="0" xfId="38" quotePrefix="1" applyFont="1" applyFill="1" applyAlignment="1">
      <alignment vertical="top"/>
    </xf>
    <xf numFmtId="3" fontId="29" fillId="0" borderId="0" xfId="38" quotePrefix="1" applyNumberFormat="1" applyFont="1" applyFill="1" applyAlignment="1">
      <alignment horizontal="center" vertical="top"/>
    </xf>
    <xf numFmtId="3" fontId="29" fillId="0" borderId="0" xfId="38" quotePrefix="1" applyNumberFormat="1" applyFont="1" applyFill="1" applyAlignment="1">
      <alignment vertical="top"/>
    </xf>
    <xf numFmtId="0" fontId="29" fillId="0" borderId="0" xfId="38" applyFont="1" applyFill="1" applyAlignment="1">
      <alignment vertical="top"/>
    </xf>
    <xf numFmtId="169" fontId="37" fillId="0" borderId="0" xfId="0" applyNumberFormat="1" applyFont="1" applyFill="1" applyAlignment="1" applyProtection="1"/>
    <xf numFmtId="0" fontId="31" fillId="19" borderId="16" xfId="39" applyFont="1" applyFill="1" applyBorder="1" applyAlignment="1" applyProtection="1">
      <alignment horizontal="center" vertical="center"/>
    </xf>
    <xf numFmtId="37" fontId="31" fillId="19" borderId="16" xfId="38" applyNumberFormat="1" applyFont="1" applyFill="1" applyBorder="1" applyAlignment="1">
      <alignment horizontal="center" vertical="center"/>
    </xf>
    <xf numFmtId="170" fontId="31" fillId="19" borderId="16" xfId="45" quotePrefix="1" applyNumberFormat="1" applyFont="1" applyFill="1" applyBorder="1" applyAlignment="1" applyProtection="1">
      <alignment horizontal="center" vertical="center"/>
    </xf>
    <xf numFmtId="0" fontId="34" fillId="0" borderId="0" xfId="39" applyFont="1" applyFill="1" applyAlignment="1" applyProtection="1">
      <alignment horizontal="fill" vertical="center"/>
    </xf>
    <xf numFmtId="0" fontId="34" fillId="0" borderId="0" xfId="39" applyFont="1" applyFill="1" applyAlignment="1">
      <alignment vertical="center"/>
    </xf>
    <xf numFmtId="0" fontId="29" fillId="0" borderId="10" xfId="39" applyFont="1" applyFill="1" applyBorder="1" applyAlignment="1">
      <alignment vertical="center"/>
    </xf>
    <xf numFmtId="0" fontId="34" fillId="0" borderId="0" xfId="39" applyFont="1" applyFill="1" applyAlignment="1" applyProtection="1">
      <alignment horizontal="right" vertical="center"/>
    </xf>
    <xf numFmtId="0" fontId="34" fillId="0" borderId="0" xfId="39" applyFont="1" applyFill="1" applyAlignment="1" applyProtection="1">
      <alignment horizontal="left" vertical="center"/>
    </xf>
    <xf numFmtId="3" fontId="34" fillId="0" borderId="0" xfId="39" applyNumberFormat="1" applyFont="1" applyFill="1" applyAlignment="1" applyProtection="1">
      <alignment vertical="center"/>
    </xf>
    <xf numFmtId="3" fontId="34" fillId="0" borderId="0" xfId="39" applyNumberFormat="1" applyFont="1" applyFill="1" applyBorder="1" applyAlignment="1" applyProtection="1">
      <alignment vertical="center"/>
    </xf>
    <xf numFmtId="175" fontId="34" fillId="0" borderId="0" xfId="39" applyNumberFormat="1" applyFont="1" applyFill="1" applyBorder="1" applyAlignment="1" applyProtection="1">
      <alignment vertical="center"/>
    </xf>
    <xf numFmtId="0" fontId="34" fillId="0" borderId="10" xfId="39" applyFont="1" applyFill="1" applyBorder="1" applyAlignment="1" applyProtection="1">
      <alignment horizontal="left" vertical="center"/>
    </xf>
    <xf numFmtId="4" fontId="34" fillId="0" borderId="10" xfId="39" applyNumberFormat="1" applyFont="1" applyFill="1" applyBorder="1" applyAlignment="1" applyProtection="1">
      <alignment vertical="center"/>
      <protection locked="0"/>
    </xf>
    <xf numFmtId="174" fontId="34" fillId="0" borderId="0" xfId="39" applyNumberFormat="1" applyFont="1" applyFill="1" applyBorder="1" applyAlignment="1" applyProtection="1">
      <alignment vertical="center"/>
    </xf>
    <xf numFmtId="2" fontId="34" fillId="0" borderId="10" xfId="39" applyNumberFormat="1" applyFont="1" applyFill="1" applyBorder="1" applyAlignment="1">
      <alignment horizontal="right" vertical="center"/>
    </xf>
    <xf numFmtId="2" fontId="34" fillId="0" borderId="10" xfId="39" applyNumberFormat="1" applyFont="1" applyFill="1" applyBorder="1" applyAlignment="1">
      <alignment vertical="center"/>
    </xf>
    <xf numFmtId="0" fontId="31" fillId="19" borderId="16" xfId="39" applyFont="1" applyFill="1" applyBorder="1" applyAlignment="1" applyProtection="1">
      <alignment horizontal="center" vertical="center" wrapText="1"/>
      <protection locked="0"/>
    </xf>
    <xf numFmtId="0" fontId="37" fillId="0" borderId="0" xfId="39" applyFont="1" applyFill="1" applyAlignment="1" applyProtection="1"/>
    <xf numFmtId="0" fontId="37" fillId="0" borderId="0" xfId="39" applyFont="1" applyFill="1" applyAlignment="1" applyProtection="1">
      <alignment vertical="top"/>
    </xf>
    <xf numFmtId="0" fontId="29" fillId="0" borderId="0" xfId="39" applyFont="1" applyFill="1" applyAlignment="1"/>
    <xf numFmtId="0" fontId="29" fillId="0" borderId="0" xfId="39" applyFont="1" applyFill="1" applyAlignment="1" applyProtection="1"/>
    <xf numFmtId="3" fontId="34" fillId="0" borderId="0" xfId="40" applyNumberFormat="1" applyFont="1" applyFill="1" applyBorder="1" applyAlignment="1">
      <alignment vertical="center"/>
    </xf>
    <xf numFmtId="4" fontId="34" fillId="0" borderId="0" xfId="40" applyNumberFormat="1" applyFont="1" applyFill="1" applyBorder="1" applyAlignment="1">
      <alignment vertical="center"/>
    </xf>
    <xf numFmtId="0" fontId="34" fillId="0" borderId="0" xfId="40" applyFont="1" applyFill="1" applyAlignment="1">
      <alignment vertical="center"/>
    </xf>
    <xf numFmtId="169" fontId="34" fillId="0" borderId="0" xfId="40" quotePrefix="1" applyNumberFormat="1" applyFont="1" applyFill="1" applyAlignment="1" applyProtection="1">
      <alignment horizontal="left" vertical="center"/>
    </xf>
    <xf numFmtId="3" fontId="34" fillId="0" borderId="0" xfId="40" applyNumberFormat="1" applyFont="1" applyFill="1" applyAlignment="1">
      <alignment vertical="center"/>
    </xf>
    <xf numFmtId="0" fontId="29" fillId="0" borderId="17" xfId="39" applyFont="1" applyFill="1" applyBorder="1" applyAlignment="1">
      <alignment vertical="center"/>
    </xf>
    <xf numFmtId="0" fontId="34" fillId="0" borderId="17" xfId="39" applyFont="1" applyFill="1" applyBorder="1" applyAlignment="1" applyProtection="1">
      <alignment horizontal="left" vertical="center"/>
    </xf>
    <xf numFmtId="4" fontId="34" fillId="0" borderId="17" xfId="39" applyNumberFormat="1" applyFont="1" applyFill="1" applyBorder="1" applyAlignment="1" applyProtection="1">
      <alignment vertical="center"/>
      <protection locked="0"/>
    </xf>
    <xf numFmtId="3" fontId="43" fillId="0" borderId="0" xfId="40" applyNumberFormat="1" applyFont="1"/>
    <xf numFmtId="3" fontId="43" fillId="0" borderId="12" xfId="40" applyNumberFormat="1" applyFont="1" applyBorder="1"/>
    <xf numFmtId="3" fontId="31" fillId="19" borderId="13" xfId="40" applyNumberFormat="1" applyFont="1" applyFill="1" applyBorder="1" applyAlignment="1">
      <alignment horizontal="center" vertical="center" wrapText="1"/>
    </xf>
    <xf numFmtId="3" fontId="31" fillId="19" borderId="13" xfId="40" applyNumberFormat="1" applyFont="1" applyFill="1" applyBorder="1" applyAlignment="1">
      <alignment horizontal="center" vertical="center"/>
    </xf>
    <xf numFmtId="3" fontId="43" fillId="0" borderId="10" xfId="40" applyNumberFormat="1" applyFont="1" applyBorder="1"/>
    <xf numFmtId="4" fontId="29" fillId="0" borderId="10" xfId="40" applyNumberFormat="1" applyFont="1" applyFill="1" applyBorder="1" applyAlignment="1">
      <alignment vertical="center"/>
    </xf>
    <xf numFmtId="3" fontId="31" fillId="0" borderId="0" xfId="40" applyNumberFormat="1" applyFont="1" applyFill="1" applyAlignment="1">
      <alignment vertical="center"/>
    </xf>
    <xf numFmtId="3" fontId="31" fillId="20" borderId="0" xfId="40" applyNumberFormat="1" applyFont="1" applyFill="1" applyAlignment="1">
      <alignment vertical="center"/>
    </xf>
    <xf numFmtId="174" fontId="31" fillId="20" borderId="0" xfId="40" applyNumberFormat="1" applyFont="1" applyFill="1" applyAlignment="1">
      <alignment vertical="center"/>
    </xf>
    <xf numFmtId="4" fontId="31" fillId="20" borderId="10" xfId="40" applyNumberFormat="1" applyFont="1" applyFill="1" applyBorder="1" applyAlignment="1">
      <alignment vertical="center"/>
    </xf>
    <xf numFmtId="175" fontId="31" fillId="20" borderId="0" xfId="40" applyNumberFormat="1" applyFont="1" applyFill="1" applyAlignment="1">
      <alignment vertical="center"/>
    </xf>
    <xf numFmtId="4" fontId="31" fillId="20" borderId="12" xfId="40" applyNumberFormat="1" applyFont="1" applyFill="1" applyBorder="1" applyAlignment="1">
      <alignment vertical="center"/>
    </xf>
    <xf numFmtId="3" fontId="29" fillId="0" borderId="0" xfId="40" applyNumberFormat="1" applyFont="1" applyFill="1" applyBorder="1" applyAlignment="1">
      <alignment horizontal="left" vertical="center"/>
    </xf>
    <xf numFmtId="3" fontId="43" fillId="0" borderId="0" xfId="40" applyNumberFormat="1" applyFont="1" applyBorder="1"/>
    <xf numFmtId="4" fontId="31" fillId="0" borderId="0" xfId="40" applyNumberFormat="1" applyFont="1" applyFill="1" applyBorder="1" applyAlignment="1">
      <alignment vertical="center"/>
    </xf>
    <xf numFmtId="3" fontId="37" fillId="0" borderId="0" xfId="40" applyNumberFormat="1" applyFont="1" applyFill="1" applyAlignment="1"/>
    <xf numFmtId="0" fontId="37" fillId="0" borderId="0" xfId="40" applyFont="1" applyFill="1" applyAlignment="1">
      <alignment vertical="center"/>
    </xf>
    <xf numFmtId="0" fontId="37" fillId="0" borderId="0" xfId="40" applyFont="1" applyFill="1" applyAlignment="1"/>
    <xf numFmtId="0" fontId="37" fillId="0" borderId="0" xfId="40" applyFont="1" applyFill="1" applyAlignment="1">
      <alignment vertical="top"/>
    </xf>
    <xf numFmtId="0" fontId="31" fillId="19" borderId="16" xfId="40" applyFont="1" applyFill="1" applyBorder="1" applyAlignment="1">
      <alignment horizontal="center" vertical="center"/>
    </xf>
    <xf numFmtId="3" fontId="34" fillId="0" borderId="0" xfId="40" applyNumberFormat="1" applyFont="1" applyFill="1" applyBorder="1" applyAlignment="1">
      <alignment horizontal="right" vertical="center"/>
    </xf>
    <xf numFmtId="185" fontId="34" fillId="0" borderId="0" xfId="40" applyNumberFormat="1" applyFont="1" applyFill="1" applyAlignment="1">
      <alignment vertical="center"/>
    </xf>
    <xf numFmtId="0" fontId="34" fillId="0" borderId="0" xfId="40" quotePrefix="1" applyFont="1" applyFill="1" applyAlignment="1">
      <alignment horizontal="left" vertical="center"/>
    </xf>
    <xf numFmtId="0" fontId="44" fillId="19" borderId="16" xfId="40" applyFont="1" applyFill="1" applyBorder="1" applyAlignment="1">
      <alignment horizontal="center" vertical="center"/>
    </xf>
    <xf numFmtId="0" fontId="44" fillId="19" borderId="16" xfId="40" quotePrefix="1" applyFont="1" applyFill="1" applyBorder="1" applyAlignment="1">
      <alignment horizontal="center" vertical="center"/>
    </xf>
    <xf numFmtId="0" fontId="31" fillId="20" borderId="11" xfId="40" applyFont="1" applyFill="1" applyBorder="1" applyAlignment="1">
      <alignment horizontal="center" vertical="center"/>
    </xf>
    <xf numFmtId="0" fontId="44" fillId="20" borderId="11" xfId="40" applyFont="1" applyFill="1" applyBorder="1" applyAlignment="1">
      <alignment vertical="center"/>
    </xf>
    <xf numFmtId="0" fontId="29" fillId="0" borderId="17" xfId="40" applyFont="1" applyFill="1" applyBorder="1" applyAlignment="1">
      <alignment vertical="center"/>
    </xf>
    <xf numFmtId="3" fontId="29" fillId="0" borderId="17" xfId="40" applyNumberFormat="1" applyFont="1" applyFill="1" applyBorder="1" applyAlignment="1">
      <alignment vertical="center"/>
    </xf>
    <xf numFmtId="0" fontId="37" fillId="0" borderId="0" xfId="40" quotePrefix="1" applyFont="1" applyFill="1" applyAlignment="1">
      <alignment vertical="top"/>
    </xf>
    <xf numFmtId="0" fontId="44" fillId="20" borderId="11" xfId="40" applyFont="1" applyFill="1" applyBorder="1" applyAlignment="1">
      <alignment horizontal="center" vertical="center"/>
    </xf>
    <xf numFmtId="195" fontId="31" fillId="20" borderId="11" xfId="40" applyNumberFormat="1" applyFont="1" applyFill="1" applyBorder="1" applyAlignment="1" applyProtection="1">
      <alignment vertical="center"/>
    </xf>
    <xf numFmtId="195" fontId="31" fillId="0" borderId="0" xfId="40" applyNumberFormat="1" applyFont="1" applyFill="1" applyBorder="1" applyAlignment="1" applyProtection="1">
      <alignment vertical="center"/>
    </xf>
    <xf numFmtId="195" fontId="29" fillId="0" borderId="0" xfId="40" applyNumberFormat="1" applyFont="1" applyFill="1" applyAlignment="1">
      <alignment vertical="center"/>
    </xf>
    <xf numFmtId="195" fontId="29" fillId="0" borderId="17" xfId="40" applyNumberFormat="1" applyFont="1" applyFill="1" applyBorder="1" applyAlignment="1">
      <alignment vertical="center"/>
    </xf>
    <xf numFmtId="195" fontId="44" fillId="20" borderId="11" xfId="40" applyNumberFormat="1" applyFont="1" applyFill="1" applyBorder="1" applyAlignment="1" applyProtection="1">
      <alignment vertical="center"/>
    </xf>
    <xf numFmtId="195" fontId="29" fillId="0" borderId="0" xfId="40" applyNumberFormat="1" applyFont="1" applyFill="1" applyBorder="1" applyAlignment="1">
      <alignment vertical="center"/>
    </xf>
    <xf numFmtId="195" fontId="44" fillId="20" borderId="11" xfId="40" applyNumberFormat="1" applyFont="1" applyFill="1" applyBorder="1" applyAlignment="1">
      <alignment horizontal="center" vertical="center"/>
    </xf>
    <xf numFmtId="195" fontId="31" fillId="0" borderId="0" xfId="40" applyNumberFormat="1" applyFont="1" applyFill="1" applyBorder="1" applyAlignment="1">
      <alignment horizontal="center" vertical="center"/>
    </xf>
    <xf numFmtId="195" fontId="29" fillId="0" borderId="0" xfId="40" applyNumberFormat="1" applyFont="1" applyFill="1" applyAlignment="1">
      <alignment horizontal="center" vertical="center"/>
    </xf>
    <xf numFmtId="195" fontId="29" fillId="0" borderId="17" xfId="40" applyNumberFormat="1" applyFont="1" applyFill="1" applyBorder="1" applyAlignment="1">
      <alignment horizontal="center" vertical="center"/>
    </xf>
    <xf numFmtId="196" fontId="44" fillId="20" borderId="11" xfId="40" applyNumberFormat="1" applyFont="1" applyFill="1" applyBorder="1" applyAlignment="1" applyProtection="1">
      <alignment vertical="center"/>
    </xf>
    <xf numFmtId="196" fontId="31" fillId="0" borderId="0" xfId="40" applyNumberFormat="1" applyFont="1" applyFill="1" applyBorder="1" applyAlignment="1" applyProtection="1">
      <alignment vertical="center"/>
    </xf>
    <xf numFmtId="196" fontId="29" fillId="0" borderId="0" xfId="40" applyNumberFormat="1" applyFont="1" applyFill="1" applyAlignment="1">
      <alignment vertical="center"/>
    </xf>
    <xf numFmtId="196" fontId="29" fillId="0" borderId="0" xfId="40" applyNumberFormat="1" applyFont="1" applyFill="1" applyBorder="1" applyAlignment="1">
      <alignment vertical="center"/>
    </xf>
    <xf numFmtId="196" fontId="29" fillId="0" borderId="17" xfId="40" applyNumberFormat="1" applyFont="1" applyFill="1" applyBorder="1" applyAlignment="1">
      <alignment vertical="center"/>
    </xf>
    <xf numFmtId="197" fontId="44" fillId="20" borderId="11" xfId="40" applyNumberFormat="1" applyFont="1" applyFill="1" applyBorder="1" applyAlignment="1" applyProtection="1">
      <alignment vertical="center"/>
    </xf>
    <xf numFmtId="197" fontId="31" fillId="0" borderId="0" xfId="40" applyNumberFormat="1" applyFont="1" applyFill="1" applyBorder="1" applyAlignment="1" applyProtection="1">
      <alignment vertical="center"/>
    </xf>
    <xf numFmtId="197" fontId="29" fillId="0" borderId="0" xfId="40" applyNumberFormat="1" applyFont="1" applyFill="1" applyAlignment="1">
      <alignment vertical="center"/>
    </xf>
    <xf numFmtId="197" fontId="29" fillId="0" borderId="0" xfId="40" applyNumberFormat="1" applyFont="1" applyFill="1" applyAlignment="1">
      <alignment horizontal="right" vertical="center"/>
    </xf>
    <xf numFmtId="197" fontId="29" fillId="0" borderId="0" xfId="40" applyNumberFormat="1" applyFont="1" applyFill="1" applyBorder="1" applyAlignment="1">
      <alignment vertical="center"/>
    </xf>
    <xf numFmtId="197" fontId="29" fillId="0" borderId="0" xfId="40" applyNumberFormat="1" applyFont="1" applyFill="1" applyBorder="1" applyAlignment="1">
      <alignment horizontal="right" vertical="center"/>
    </xf>
    <xf numFmtId="197" fontId="29" fillId="0" borderId="17" xfId="40" applyNumberFormat="1" applyFont="1" applyFill="1" applyBorder="1" applyAlignment="1">
      <alignment vertical="center"/>
    </xf>
    <xf numFmtId="197" fontId="29" fillId="0" borderId="17" xfId="40" applyNumberFormat="1" applyFont="1" applyFill="1" applyBorder="1" applyAlignment="1">
      <alignment horizontal="right" vertical="center"/>
    </xf>
    <xf numFmtId="0" fontId="37" fillId="0" borderId="0" xfId="40" quotePrefix="1" applyFont="1" applyFill="1" applyAlignment="1"/>
    <xf numFmtId="198" fontId="44" fillId="20" borderId="11" xfId="40" applyNumberFormat="1" applyFont="1" applyFill="1" applyBorder="1" applyAlignment="1">
      <alignment vertical="center"/>
    </xf>
    <xf numFmtId="198" fontId="31" fillId="0" borderId="0" xfId="40" applyNumberFormat="1" applyFont="1" applyFill="1" applyBorder="1" applyAlignment="1">
      <alignment vertical="center"/>
    </xf>
    <xf numFmtId="198" fontId="29" fillId="0" borderId="0" xfId="40" applyNumberFormat="1" applyFont="1" applyFill="1" applyAlignment="1">
      <alignment vertical="center"/>
    </xf>
    <xf numFmtId="198" fontId="29" fillId="0" borderId="0" xfId="40" applyNumberFormat="1" applyFont="1" applyFill="1" applyAlignment="1">
      <alignment horizontal="right" vertical="center"/>
    </xf>
    <xf numFmtId="198" fontId="29" fillId="0" borderId="17" xfId="40" applyNumberFormat="1" applyFont="1" applyFill="1" applyBorder="1" applyAlignment="1">
      <alignment vertical="center"/>
    </xf>
    <xf numFmtId="198" fontId="29" fillId="0" borderId="17" xfId="40" applyNumberFormat="1" applyFont="1" applyFill="1" applyBorder="1" applyAlignment="1">
      <alignment horizontal="right" vertical="center"/>
    </xf>
    <xf numFmtId="0" fontId="31" fillId="0" borderId="17" xfId="40" applyFont="1" applyFill="1" applyBorder="1" applyAlignment="1">
      <alignment vertical="center"/>
    </xf>
    <xf numFmtId="3" fontId="31" fillId="0" borderId="17" xfId="40" applyNumberFormat="1" applyFont="1" applyFill="1" applyBorder="1" applyAlignment="1">
      <alignment vertical="center"/>
    </xf>
    <xf numFmtId="192" fontId="31" fillId="20" borderId="11" xfId="32" quotePrefix="1" applyNumberFormat="1" applyFont="1" applyFill="1" applyBorder="1" applyAlignment="1" applyProtection="1">
      <alignment horizontal="right" vertical="center"/>
    </xf>
    <xf numFmtId="192" fontId="31" fillId="20" borderId="11" xfId="38" applyNumberFormat="1" applyFont="1" applyFill="1" applyBorder="1" applyAlignment="1">
      <alignment horizontal="center" vertical="center"/>
    </xf>
    <xf numFmtId="192" fontId="31" fillId="20" borderId="10" xfId="38" applyNumberFormat="1" applyFont="1" applyFill="1" applyBorder="1" applyAlignment="1">
      <alignment horizontal="center" vertical="center"/>
    </xf>
    <xf numFmtId="192" fontId="31" fillId="20" borderId="11" xfId="36" applyNumberFormat="1" applyFont="1" applyFill="1" applyBorder="1" applyAlignment="1" applyProtection="1">
      <alignment vertical="center"/>
    </xf>
    <xf numFmtId="192" fontId="31" fillId="0" borderId="0" xfId="0" applyNumberFormat="1" applyFont="1" applyFill="1" applyBorder="1" applyAlignment="1" applyProtection="1">
      <alignment vertical="center"/>
    </xf>
    <xf numFmtId="192" fontId="29" fillId="0" borderId="0" xfId="0" applyNumberFormat="1" applyFont="1" applyFill="1" applyBorder="1" applyAlignment="1" applyProtection="1">
      <alignment vertical="center"/>
    </xf>
    <xf numFmtId="192" fontId="29" fillId="0" borderId="0" xfId="0" applyNumberFormat="1" applyFont="1" applyFill="1" applyAlignment="1" applyProtection="1">
      <alignment vertical="center"/>
    </xf>
    <xf numFmtId="192" fontId="29" fillId="0" borderId="12" xfId="0" applyNumberFormat="1" applyFont="1" applyFill="1" applyBorder="1" applyAlignment="1" applyProtection="1">
      <alignment vertical="center"/>
    </xf>
    <xf numFmtId="193" fontId="29" fillId="0" borderId="0" xfId="0" applyNumberFormat="1" applyFont="1" applyFill="1" applyBorder="1" applyAlignment="1" applyProtection="1">
      <alignment vertical="center"/>
    </xf>
    <xf numFmtId="199" fontId="31" fillId="20" borderId="10" xfId="32" quotePrefix="1" applyNumberFormat="1" applyFont="1" applyFill="1" applyBorder="1" applyAlignment="1" applyProtection="1">
      <alignment horizontal="right" vertical="center"/>
    </xf>
    <xf numFmtId="199" fontId="29" fillId="0" borderId="0" xfId="0" applyNumberFormat="1" applyFont="1" applyFill="1" applyBorder="1" applyAlignment="1" applyProtection="1">
      <alignment vertical="center"/>
    </xf>
    <xf numFmtId="199" fontId="29" fillId="0" borderId="0" xfId="32" quotePrefix="1" applyNumberFormat="1" applyFont="1" applyFill="1" applyBorder="1" applyAlignment="1" applyProtection="1">
      <alignment horizontal="right" vertical="center"/>
    </xf>
    <xf numFmtId="199" fontId="29" fillId="0" borderId="12" xfId="32" quotePrefix="1" applyNumberFormat="1" applyFont="1" applyFill="1" applyBorder="1" applyAlignment="1" applyProtection="1">
      <alignment horizontal="right" vertical="center"/>
    </xf>
    <xf numFmtId="193" fontId="29" fillId="0" borderId="0" xfId="0" applyNumberFormat="1" applyFont="1" applyFill="1" applyAlignment="1" applyProtection="1">
      <alignment vertical="center"/>
    </xf>
    <xf numFmtId="193" fontId="29" fillId="0" borderId="12" xfId="0" applyNumberFormat="1" applyFont="1" applyFill="1" applyBorder="1" applyAlignment="1" applyProtection="1">
      <alignment vertical="center"/>
    </xf>
    <xf numFmtId="0" fontId="39" fillId="0" borderId="0" xfId="45" applyFont="1" applyFill="1" applyAlignment="1">
      <alignment horizontal="centerContinuous" vertical="center"/>
    </xf>
    <xf numFmtId="0" fontId="37" fillId="0" borderId="0" xfId="45" applyFont="1" applyFill="1" applyAlignment="1">
      <alignment vertical="center"/>
    </xf>
    <xf numFmtId="0" fontId="37" fillId="0" borderId="0" xfId="45" applyFont="1" applyFill="1" applyAlignment="1">
      <alignment vertical="top"/>
    </xf>
    <xf numFmtId="0" fontId="37" fillId="0" borderId="0" xfId="45" applyFont="1" applyFill="1" applyAlignment="1"/>
    <xf numFmtId="169" fontId="31" fillId="0" borderId="17" xfId="45" applyNumberFormat="1" applyFont="1" applyFill="1" applyBorder="1" applyAlignment="1" applyProtection="1">
      <alignment horizontal="left" vertical="center"/>
    </xf>
    <xf numFmtId="169" fontId="29" fillId="0" borderId="17" xfId="45" applyNumberFormat="1" applyFont="1" applyFill="1" applyBorder="1" applyAlignment="1" applyProtection="1">
      <alignment horizontal="left" vertical="center"/>
    </xf>
    <xf numFmtId="195" fontId="29" fillId="0" borderId="0" xfId="45" applyNumberFormat="1" applyFont="1" applyFill="1" applyAlignment="1" applyProtection="1">
      <alignment horizontal="right" vertical="center"/>
    </xf>
    <xf numFmtId="195" fontId="29" fillId="0" borderId="0" xfId="45" applyNumberFormat="1" applyFont="1" applyFill="1" applyBorder="1" applyAlignment="1" applyProtection="1">
      <alignment horizontal="right" vertical="center"/>
    </xf>
    <xf numFmtId="195" fontId="29" fillId="0" borderId="0" xfId="45" applyNumberFormat="1" applyFont="1" applyFill="1" applyAlignment="1">
      <alignment horizontal="right" vertical="center"/>
    </xf>
    <xf numFmtId="195" fontId="29" fillId="0" borderId="17" xfId="45" applyNumberFormat="1" applyFont="1" applyFill="1" applyBorder="1" applyAlignment="1" applyProtection="1">
      <alignment horizontal="right" vertical="center"/>
    </xf>
    <xf numFmtId="0" fontId="31" fillId="0" borderId="0" xfId="45" applyFont="1" applyFill="1" applyBorder="1" applyAlignment="1">
      <alignment vertical="center"/>
    </xf>
    <xf numFmtId="195" fontId="31" fillId="20" borderId="11" xfId="35" applyNumberFormat="1" applyFont="1" applyFill="1" applyBorder="1" applyAlignment="1" applyProtection="1">
      <alignment horizontal="right" vertical="center"/>
    </xf>
    <xf numFmtId="195" fontId="31" fillId="0" borderId="0" xfId="35" applyNumberFormat="1" applyFont="1" applyFill="1" applyBorder="1" applyAlignment="1" applyProtection="1">
      <alignment horizontal="right" vertical="center"/>
    </xf>
    <xf numFmtId="195" fontId="29" fillId="0" borderId="0" xfId="35" applyNumberFormat="1" applyFont="1" applyFill="1" applyBorder="1" applyAlignment="1" applyProtection="1">
      <alignment horizontal="right" vertical="center"/>
    </xf>
    <xf numFmtId="0" fontId="46" fillId="0" borderId="0" xfId="45" applyFont="1" applyFill="1" applyBorder="1" applyAlignment="1">
      <alignment vertical="center"/>
    </xf>
    <xf numFmtId="0" fontId="34" fillId="0" borderId="0" xfId="45" applyFont="1" applyFill="1" applyAlignment="1">
      <alignment vertical="center"/>
    </xf>
    <xf numFmtId="3" fontId="46" fillId="0" borderId="0" xfId="45" applyNumberFormat="1" applyFont="1" applyFill="1" applyBorder="1" applyAlignment="1">
      <alignment vertical="center"/>
    </xf>
    <xf numFmtId="3" fontId="34" fillId="0" borderId="0" xfId="45" applyNumberFormat="1" applyFont="1" applyFill="1" applyAlignment="1">
      <alignment vertical="center"/>
    </xf>
    <xf numFmtId="4" fontId="34" fillId="0" borderId="0" xfId="45" applyNumberFormat="1" applyFont="1" applyFill="1" applyAlignment="1">
      <alignment vertical="center"/>
    </xf>
    <xf numFmtId="0" fontId="47" fillId="0" borderId="0" xfId="45" applyFont="1" applyFill="1" applyAlignment="1"/>
    <xf numFmtId="0" fontId="47" fillId="0" borderId="0" xfId="45" applyFont="1" applyFill="1" applyAlignment="1">
      <alignment vertical="center"/>
    </xf>
    <xf numFmtId="0" fontId="47" fillId="0" borderId="0" xfId="45" applyFont="1" applyFill="1" applyAlignment="1">
      <alignment vertical="top"/>
    </xf>
    <xf numFmtId="0" fontId="29" fillId="0" borderId="17" xfId="45" applyFont="1" applyFill="1" applyBorder="1" applyAlignment="1">
      <alignment vertical="center"/>
    </xf>
    <xf numFmtId="169" fontId="29" fillId="0" borderId="17" xfId="48" quotePrefix="1" applyNumberFormat="1" applyFont="1" applyFill="1" applyBorder="1" applyAlignment="1" applyProtection="1">
      <alignment horizontal="left" vertical="center"/>
    </xf>
    <xf numFmtId="195" fontId="29" fillId="0" borderId="17" xfId="35" applyNumberFormat="1" applyFont="1" applyFill="1" applyBorder="1" applyAlignment="1" applyProtection="1">
      <alignment horizontal="right" vertical="center"/>
    </xf>
    <xf numFmtId="170" fontId="44" fillId="19" borderId="16" xfId="45" quotePrefix="1" applyNumberFormat="1" applyFont="1" applyFill="1" applyBorder="1" applyAlignment="1" applyProtection="1">
      <alignment horizontal="center" vertical="center"/>
    </xf>
    <xf numFmtId="200" fontId="31" fillId="20" borderId="11" xfId="35" applyNumberFormat="1" applyFont="1" applyFill="1" applyBorder="1" applyAlignment="1" applyProtection="1">
      <alignment horizontal="right" vertical="center"/>
    </xf>
    <xf numFmtId="200" fontId="31" fillId="0" borderId="0" xfId="35" applyNumberFormat="1" applyFont="1" applyFill="1" applyBorder="1" applyAlignment="1" applyProtection="1">
      <alignment horizontal="right" vertical="center"/>
    </xf>
    <xf numFmtId="200" fontId="29" fillId="0" borderId="0" xfId="45" applyNumberFormat="1" applyFont="1" applyFill="1" applyAlignment="1" applyProtection="1">
      <alignment horizontal="right" vertical="center"/>
    </xf>
    <xf numFmtId="200" fontId="29" fillId="0" borderId="0" xfId="46" applyNumberFormat="1" applyFont="1" applyFill="1" applyAlignment="1" applyProtection="1">
      <alignment horizontal="right" vertical="center"/>
    </xf>
    <xf numFmtId="200" fontId="29" fillId="0" borderId="0" xfId="45" applyNumberFormat="1" applyFont="1" applyFill="1" applyBorder="1" applyAlignment="1" applyProtection="1">
      <alignment horizontal="right" vertical="center"/>
    </xf>
    <xf numFmtId="200" fontId="29" fillId="0" borderId="0" xfId="46" applyNumberFormat="1" applyFont="1" applyFill="1" applyBorder="1" applyAlignment="1" applyProtection="1">
      <alignment horizontal="right" vertical="center"/>
    </xf>
    <xf numFmtId="200" fontId="29" fillId="0" borderId="0" xfId="45" applyNumberFormat="1" applyFont="1" applyFill="1" applyAlignment="1">
      <alignment horizontal="right" vertical="center"/>
    </xf>
    <xf numFmtId="200" fontId="29" fillId="0" borderId="17" xfId="45" applyNumberFormat="1" applyFont="1" applyFill="1" applyBorder="1" applyAlignment="1" applyProtection="1">
      <alignment horizontal="right" vertical="center"/>
    </xf>
    <xf numFmtId="200" fontId="29" fillId="0" borderId="17" xfId="46" applyNumberFormat="1" applyFont="1" applyFill="1" applyBorder="1" applyAlignment="1" applyProtection="1">
      <alignment horizontal="right" vertical="center"/>
    </xf>
    <xf numFmtId="201" fontId="31" fillId="20" borderId="11" xfId="35" applyNumberFormat="1" applyFont="1" applyFill="1" applyBorder="1" applyAlignment="1" applyProtection="1">
      <alignment horizontal="right" vertical="center"/>
    </xf>
    <xf numFmtId="201" fontId="31" fillId="0" borderId="0" xfId="35" applyNumberFormat="1" applyFont="1" applyFill="1" applyBorder="1" applyAlignment="1" applyProtection="1">
      <alignment horizontal="right" vertical="center"/>
    </xf>
    <xf numFmtId="201" fontId="29" fillId="0" borderId="0" xfId="45" applyNumberFormat="1" applyFont="1" applyFill="1" applyAlignment="1" applyProtection="1">
      <alignment horizontal="right" vertical="center"/>
    </xf>
    <xf numFmtId="201" fontId="29" fillId="0" borderId="0" xfId="46" applyNumberFormat="1" applyFont="1" applyFill="1" applyAlignment="1" applyProtection="1">
      <alignment horizontal="right" vertical="center"/>
    </xf>
    <xf numFmtId="201" fontId="29" fillId="0" borderId="0" xfId="45" applyNumberFormat="1" applyFont="1" applyFill="1" applyBorder="1" applyAlignment="1" applyProtection="1">
      <alignment horizontal="right" vertical="center"/>
    </xf>
    <xf numFmtId="201" fontId="29" fillId="0" borderId="0" xfId="46" applyNumberFormat="1" applyFont="1" applyFill="1" applyBorder="1" applyAlignment="1" applyProtection="1">
      <alignment horizontal="right" vertical="center"/>
    </xf>
    <xf numFmtId="201" fontId="29" fillId="0" borderId="0" xfId="45" applyNumberFormat="1" applyFont="1" applyFill="1" applyAlignment="1">
      <alignment horizontal="right" vertical="center"/>
    </xf>
    <xf numFmtId="201" fontId="29" fillId="0" borderId="17" xfId="45" applyNumberFormat="1" applyFont="1" applyFill="1" applyBorder="1" applyAlignment="1" applyProtection="1">
      <alignment horizontal="right" vertical="center"/>
    </xf>
    <xf numFmtId="201" fontId="29" fillId="0" borderId="17" xfId="46" applyNumberFormat="1" applyFont="1" applyFill="1" applyBorder="1" applyAlignment="1" applyProtection="1">
      <alignment horizontal="right" vertical="center"/>
    </xf>
    <xf numFmtId="4" fontId="31" fillId="20" borderId="11" xfId="35" applyNumberFormat="1" applyFont="1" applyFill="1" applyBorder="1" applyAlignment="1" applyProtection="1">
      <alignment horizontal="center" vertical="center"/>
    </xf>
    <xf numFmtId="4" fontId="31" fillId="0" borderId="0" xfId="35" applyNumberFormat="1" applyFont="1" applyFill="1" applyBorder="1" applyAlignment="1" applyProtection="1">
      <alignment horizontal="center" vertical="center"/>
    </xf>
    <xf numFmtId="4" fontId="29" fillId="0" borderId="0" xfId="35" applyNumberFormat="1" applyFont="1" applyFill="1" applyBorder="1" applyAlignment="1" applyProtection="1">
      <alignment horizontal="center" vertical="center"/>
    </xf>
    <xf numFmtId="4" fontId="29" fillId="0" borderId="17" xfId="35" applyNumberFormat="1" applyFont="1" applyFill="1" applyBorder="1" applyAlignment="1" applyProtection="1">
      <alignment horizontal="center" vertical="center"/>
    </xf>
    <xf numFmtId="200" fontId="29" fillId="0" borderId="0" xfId="35" applyNumberFormat="1" applyFont="1" applyFill="1" applyBorder="1" applyAlignment="1" applyProtection="1">
      <alignment horizontal="right" vertical="center"/>
    </xf>
    <xf numFmtId="200" fontId="29" fillId="0" borderId="17" xfId="35" applyNumberFormat="1" applyFont="1" applyFill="1" applyBorder="1" applyAlignment="1" applyProtection="1">
      <alignment horizontal="right" vertical="center"/>
    </xf>
    <xf numFmtId="201" fontId="29" fillId="0" borderId="0" xfId="35" applyNumberFormat="1" applyFont="1" applyFill="1" applyBorder="1" applyAlignment="1" applyProtection="1">
      <alignment horizontal="right" vertical="center"/>
    </xf>
    <xf numFmtId="201" fontId="29" fillId="0" borderId="17" xfId="35" applyNumberFormat="1" applyFont="1" applyFill="1" applyBorder="1" applyAlignment="1" applyProtection="1">
      <alignment horizontal="right" vertical="center"/>
    </xf>
    <xf numFmtId="196" fontId="31" fillId="20" borderId="11" xfId="35" applyNumberFormat="1" applyFont="1" applyFill="1" applyBorder="1" applyAlignment="1" applyProtection="1">
      <alignment horizontal="right" vertical="center"/>
    </xf>
    <xf numFmtId="196" fontId="31" fillId="0" borderId="0" xfId="35" applyNumberFormat="1" applyFont="1" applyFill="1" applyBorder="1" applyAlignment="1" applyProtection="1">
      <alignment horizontal="right" vertical="center"/>
    </xf>
    <xf numFmtId="196" fontId="29" fillId="0" borderId="0" xfId="35" applyNumberFormat="1" applyFont="1" applyFill="1" applyBorder="1" applyAlignment="1" applyProtection="1">
      <alignment horizontal="right" vertical="center"/>
    </xf>
    <xf numFmtId="196" fontId="29" fillId="0" borderId="17" xfId="35" applyNumberFormat="1" applyFont="1" applyFill="1" applyBorder="1" applyAlignment="1" applyProtection="1">
      <alignment horizontal="right" vertical="center"/>
    </xf>
    <xf numFmtId="4" fontId="29" fillId="0" borderId="0" xfId="45" applyNumberFormat="1" applyFont="1" applyFill="1" applyAlignment="1">
      <alignment horizontal="center" vertical="center"/>
    </xf>
    <xf numFmtId="169" fontId="37" fillId="0" borderId="0" xfId="41" applyFont="1" applyFill="1" applyAlignment="1">
      <alignment vertical="center"/>
    </xf>
    <xf numFmtId="169" fontId="47" fillId="0" borderId="0" xfId="41" applyFont="1" applyFill="1" applyAlignment="1">
      <alignment vertical="center"/>
    </xf>
    <xf numFmtId="0" fontId="47" fillId="0" borderId="0" xfId="40" applyFont="1" applyFill="1" applyAlignment="1">
      <alignment vertical="center"/>
    </xf>
    <xf numFmtId="169" fontId="47" fillId="0" borderId="0" xfId="41" quotePrefix="1" applyFont="1" applyFill="1" applyAlignment="1">
      <alignment vertical="center"/>
    </xf>
    <xf numFmtId="169" fontId="37" fillId="0" borderId="0" xfId="41" applyFont="1" applyFill="1" applyAlignment="1"/>
    <xf numFmtId="169" fontId="47" fillId="0" borderId="0" xfId="41" applyFont="1" applyFill="1" applyAlignment="1"/>
    <xf numFmtId="0" fontId="47" fillId="0" borderId="0" xfId="40" applyFont="1" applyFill="1" applyAlignment="1"/>
    <xf numFmtId="169" fontId="37" fillId="0" borderId="0" xfId="41" applyFont="1" applyFill="1" applyAlignment="1">
      <alignment vertical="top"/>
    </xf>
    <xf numFmtId="169" fontId="47" fillId="0" borderId="0" xfId="41" applyFont="1" applyFill="1" applyAlignment="1">
      <alignment vertical="top"/>
    </xf>
    <xf numFmtId="0" fontId="47" fillId="0" borderId="0" xfId="40" applyFont="1" applyFill="1" applyAlignment="1">
      <alignment vertical="top"/>
    </xf>
    <xf numFmtId="169" fontId="47" fillId="0" borderId="0" xfId="41" quotePrefix="1" applyFont="1" applyFill="1" applyAlignment="1">
      <alignment vertical="top"/>
    </xf>
    <xf numFmtId="169" fontId="31" fillId="19" borderId="13" xfId="41" applyFont="1" applyFill="1" applyBorder="1" applyAlignment="1" applyProtection="1">
      <alignment horizontal="center" vertical="center"/>
    </xf>
    <xf numFmtId="169" fontId="31" fillId="19" borderId="13" xfId="41" quotePrefix="1" applyFont="1" applyFill="1" applyBorder="1" applyAlignment="1" applyProtection="1">
      <alignment horizontal="center" vertical="center"/>
    </xf>
    <xf numFmtId="169" fontId="44" fillId="19" borderId="13" xfId="41" applyFont="1" applyFill="1" applyBorder="1" applyAlignment="1" applyProtection="1">
      <alignment horizontal="center" vertical="center"/>
    </xf>
    <xf numFmtId="169" fontId="44" fillId="19" borderId="13" xfId="41" quotePrefix="1" applyFont="1" applyFill="1" applyBorder="1" applyAlignment="1" applyProtection="1">
      <alignment horizontal="center" vertical="center"/>
    </xf>
    <xf numFmtId="169" fontId="44" fillId="19" borderId="10" xfId="41" quotePrefix="1" applyFont="1" applyFill="1" applyBorder="1" applyAlignment="1" applyProtection="1">
      <alignment horizontal="center" vertical="center"/>
    </xf>
    <xf numFmtId="175" fontId="44" fillId="19" borderId="13" xfId="41" quotePrefix="1" applyNumberFormat="1" applyFont="1" applyFill="1" applyBorder="1" applyAlignment="1" applyProtection="1">
      <alignment horizontal="center" vertical="center"/>
    </xf>
    <xf numFmtId="175" fontId="44" fillId="19" borderId="10" xfId="41" quotePrefix="1" applyNumberFormat="1" applyFont="1" applyFill="1" applyBorder="1" applyAlignment="1" applyProtection="1">
      <alignment horizontal="center" vertical="center"/>
    </xf>
    <xf numFmtId="169" fontId="44" fillId="19" borderId="10" xfId="41" applyFont="1" applyFill="1" applyBorder="1" applyAlignment="1" applyProtection="1">
      <alignment horizontal="center" vertical="center"/>
    </xf>
    <xf numFmtId="0" fontId="44" fillId="19" borderId="13" xfId="40" applyFont="1" applyFill="1" applyBorder="1" applyAlignment="1" applyProtection="1">
      <alignment horizontal="center" vertical="center"/>
    </xf>
    <xf numFmtId="0" fontId="44" fillId="19" borderId="13" xfId="40" quotePrefix="1" applyFont="1" applyFill="1" applyBorder="1" applyAlignment="1" applyProtection="1">
      <alignment horizontal="center" vertical="center"/>
    </xf>
    <xf numFmtId="3" fontId="44" fillId="19" borderId="13" xfId="41" quotePrefix="1" applyNumberFormat="1" applyFont="1" applyFill="1" applyBorder="1" applyAlignment="1" applyProtection="1">
      <alignment horizontal="center" vertical="center"/>
    </xf>
    <xf numFmtId="169" fontId="31" fillId="20" borderId="10" xfId="41" applyFont="1" applyFill="1" applyBorder="1" applyAlignment="1">
      <alignment horizontal="center" vertical="center"/>
    </xf>
    <xf numFmtId="3" fontId="31" fillId="20" borderId="10" xfId="41" applyNumberFormat="1" applyFont="1" applyFill="1" applyBorder="1" applyAlignment="1" applyProtection="1">
      <alignment vertical="center"/>
    </xf>
    <xf numFmtId="169" fontId="44" fillId="20" borderId="11" xfId="41" applyFont="1" applyFill="1" applyBorder="1" applyAlignment="1">
      <alignment horizontal="center" vertical="center"/>
    </xf>
    <xf numFmtId="3" fontId="44" fillId="20" borderId="11" xfId="41" applyNumberFormat="1" applyFont="1" applyFill="1" applyBorder="1" applyAlignment="1" applyProtection="1">
      <alignment vertical="center"/>
    </xf>
    <xf numFmtId="0" fontId="44" fillId="20" borderId="11" xfId="40" quotePrefix="1" applyFont="1" applyFill="1" applyBorder="1" applyAlignment="1">
      <alignment horizontal="center" vertical="center"/>
    </xf>
    <xf numFmtId="169" fontId="44" fillId="20" borderId="10" xfId="45" applyNumberFormat="1" applyFont="1" applyFill="1" applyBorder="1" applyAlignment="1" applyProtection="1">
      <alignment horizontal="center" vertical="center"/>
    </xf>
    <xf numFmtId="169" fontId="44" fillId="20" borderId="11" xfId="41" quotePrefix="1" applyFont="1" applyFill="1" applyBorder="1" applyAlignment="1">
      <alignment horizontal="center" vertical="center"/>
    </xf>
    <xf numFmtId="169" fontId="44" fillId="20" borderId="10" xfId="41" applyFont="1" applyFill="1" applyBorder="1" applyAlignment="1">
      <alignment horizontal="center" vertical="center"/>
    </xf>
    <xf numFmtId="169" fontId="34" fillId="0" borderId="0" xfId="41" applyFont="1" applyFill="1" applyAlignment="1">
      <alignment vertical="center"/>
    </xf>
    <xf numFmtId="3" fontId="34" fillId="0" borderId="0" xfId="41" applyNumberFormat="1" applyFont="1" applyFill="1" applyBorder="1" applyAlignment="1" applyProtection="1">
      <alignment vertical="center"/>
    </xf>
    <xf numFmtId="3" fontId="34" fillId="0" borderId="0" xfId="41" applyNumberFormat="1" applyFont="1" applyFill="1" applyAlignment="1">
      <alignment vertical="center"/>
    </xf>
    <xf numFmtId="175" fontId="34" fillId="0" borderId="0" xfId="41" applyNumberFormat="1" applyFont="1" applyFill="1" applyAlignment="1">
      <alignment vertical="center"/>
    </xf>
    <xf numFmtId="3" fontId="34" fillId="0" borderId="0" xfId="40" applyNumberFormat="1" applyFont="1" applyFill="1" applyBorder="1" applyAlignment="1" applyProtection="1">
      <alignment vertical="center"/>
    </xf>
    <xf numFmtId="186" fontId="34" fillId="0" borderId="0" xfId="41" applyNumberFormat="1" applyFont="1" applyFill="1" applyBorder="1" applyAlignment="1">
      <alignment vertical="center"/>
    </xf>
    <xf numFmtId="3" fontId="31" fillId="20" borderId="0" xfId="41" applyNumberFormat="1" applyFont="1" applyFill="1" applyBorder="1" applyAlignment="1" applyProtection="1">
      <alignment vertical="center"/>
    </xf>
    <xf numFmtId="3" fontId="31" fillId="20" borderId="12" xfId="41" applyNumberFormat="1" applyFont="1" applyFill="1" applyBorder="1" applyAlignment="1" applyProtection="1">
      <alignment vertical="center"/>
    </xf>
    <xf numFmtId="37" fontId="44" fillId="20" borderId="0" xfId="41" applyNumberFormat="1" applyFont="1" applyFill="1" applyBorder="1" applyAlignment="1" applyProtection="1">
      <alignment vertical="center"/>
    </xf>
    <xf numFmtId="37" fontId="44" fillId="20" borderId="12" xfId="41" applyNumberFormat="1" applyFont="1" applyFill="1" applyBorder="1" applyAlignment="1" applyProtection="1">
      <alignment vertical="center"/>
    </xf>
    <xf numFmtId="175" fontId="44" fillId="19" borderId="13" xfId="41" applyNumberFormat="1" applyFont="1" applyFill="1" applyBorder="1" applyAlignment="1" applyProtection="1">
      <alignment horizontal="center" vertical="center"/>
    </xf>
    <xf numFmtId="175" fontId="44" fillId="19" borderId="10" xfId="41" applyNumberFormat="1" applyFont="1" applyFill="1" applyBorder="1" applyAlignment="1" applyProtection="1">
      <alignment horizontal="center" vertical="center"/>
    </xf>
    <xf numFmtId="3" fontId="44" fillId="19" borderId="13" xfId="41" applyNumberFormat="1" applyFont="1" applyFill="1" applyBorder="1" applyAlignment="1" applyProtection="1">
      <alignment horizontal="center" vertical="center"/>
    </xf>
    <xf numFmtId="200" fontId="44" fillId="20" borderId="10" xfId="41" applyNumberFormat="1" applyFont="1" applyFill="1" applyBorder="1" applyAlignment="1" applyProtection="1">
      <alignment vertical="center"/>
    </xf>
    <xf numFmtId="200" fontId="44" fillId="20" borderId="0" xfId="41" applyNumberFormat="1" applyFont="1" applyFill="1" applyBorder="1" applyAlignment="1" applyProtection="1">
      <alignment vertical="center"/>
    </xf>
    <xf numFmtId="200" fontId="29" fillId="0" borderId="0" xfId="41" applyNumberFormat="1" applyFont="1" applyFill="1" applyBorder="1" applyAlignment="1" applyProtection="1">
      <alignment vertical="center"/>
    </xf>
    <xf numFmtId="200" fontId="44" fillId="20" borderId="12" xfId="41" applyNumberFormat="1" applyFont="1" applyFill="1" applyBorder="1" applyAlignment="1" applyProtection="1">
      <alignment vertical="center"/>
    </xf>
    <xf numFmtId="200" fontId="29" fillId="0" borderId="12" xfId="41" applyNumberFormat="1" applyFont="1" applyFill="1" applyBorder="1" applyAlignment="1" applyProtection="1">
      <alignment vertical="center"/>
    </xf>
    <xf numFmtId="174" fontId="44" fillId="20" borderId="10" xfId="41" applyNumberFormat="1" applyFont="1" applyFill="1" applyBorder="1" applyAlignment="1" applyProtection="1">
      <alignment horizontal="center" vertical="center"/>
    </xf>
    <xf numFmtId="174" fontId="44" fillId="20" borderId="0" xfId="41" applyNumberFormat="1" applyFont="1" applyFill="1" applyBorder="1" applyAlignment="1" applyProtection="1">
      <alignment horizontal="center" vertical="center"/>
    </xf>
    <xf numFmtId="174" fontId="29" fillId="0" borderId="0" xfId="41" applyNumberFormat="1" applyFont="1" applyFill="1" applyBorder="1" applyAlignment="1" applyProtection="1">
      <alignment horizontal="center" vertical="center"/>
    </xf>
    <xf numFmtId="174" fontId="44" fillId="20" borderId="12" xfId="41" applyNumberFormat="1" applyFont="1" applyFill="1" applyBorder="1" applyAlignment="1" applyProtection="1">
      <alignment horizontal="center" vertical="center"/>
    </xf>
    <xf numFmtId="174" fontId="29" fillId="0" borderId="12" xfId="41" applyNumberFormat="1" applyFont="1" applyFill="1" applyBorder="1" applyAlignment="1" applyProtection="1">
      <alignment horizontal="center" vertical="center"/>
    </xf>
    <xf numFmtId="200" fontId="44" fillId="20" borderId="11" xfId="41" applyNumberFormat="1" applyFont="1" applyFill="1" applyBorder="1" applyAlignment="1" applyProtection="1">
      <alignment vertical="center"/>
    </xf>
    <xf numFmtId="201" fontId="44" fillId="20" borderId="11" xfId="41" applyNumberFormat="1" applyFont="1" applyFill="1" applyBorder="1" applyAlignment="1" applyProtection="1">
      <alignment vertical="center"/>
    </xf>
    <xf numFmtId="201" fontId="44" fillId="20" borderId="0" xfId="41" applyNumberFormat="1" applyFont="1" applyFill="1" applyBorder="1" applyAlignment="1" applyProtection="1">
      <alignment vertical="center"/>
    </xf>
    <xf numFmtId="201" fontId="29" fillId="0" borderId="0" xfId="41" applyNumberFormat="1" applyFont="1" applyFill="1" applyBorder="1" applyAlignment="1" applyProtection="1">
      <alignment vertical="center"/>
    </xf>
    <xf numFmtId="201" fontId="44" fillId="20" borderId="12" xfId="41" applyNumberFormat="1" applyFont="1" applyFill="1" applyBorder="1" applyAlignment="1" applyProtection="1">
      <alignment vertical="center"/>
    </xf>
    <xf numFmtId="201" fontId="29" fillId="0" borderId="12" xfId="41" applyNumberFormat="1" applyFont="1" applyFill="1" applyBorder="1" applyAlignment="1" applyProtection="1">
      <alignment vertical="center"/>
    </xf>
    <xf numFmtId="175" fontId="44" fillId="20" borderId="11" xfId="41" applyNumberFormat="1" applyFont="1" applyFill="1" applyBorder="1" applyAlignment="1" applyProtection="1">
      <alignment horizontal="center" vertical="center"/>
    </xf>
    <xf numFmtId="175" fontId="44" fillId="20" borderId="0" xfId="41" applyNumberFormat="1" applyFont="1" applyFill="1" applyBorder="1" applyAlignment="1" applyProtection="1">
      <alignment horizontal="center" vertical="center"/>
    </xf>
    <xf numFmtId="175" fontId="29" fillId="0" borderId="0" xfId="41" applyNumberFormat="1" applyFont="1" applyFill="1" applyBorder="1" applyAlignment="1" applyProtection="1">
      <alignment horizontal="center" vertical="center"/>
    </xf>
    <xf numFmtId="175" fontId="44" fillId="20" borderId="12" xfId="41" applyNumberFormat="1" applyFont="1" applyFill="1" applyBorder="1" applyAlignment="1" applyProtection="1">
      <alignment horizontal="center" vertical="center"/>
    </xf>
    <xf numFmtId="175" fontId="29" fillId="0" borderId="12" xfId="41" applyNumberFormat="1" applyFont="1" applyFill="1" applyBorder="1" applyAlignment="1" applyProtection="1">
      <alignment horizontal="center" vertical="center"/>
    </xf>
    <xf numFmtId="196" fontId="44" fillId="20" borderId="11" xfId="41" applyNumberFormat="1" applyFont="1" applyFill="1" applyBorder="1" applyAlignment="1" applyProtection="1">
      <alignment vertical="center"/>
    </xf>
    <xf numFmtId="196" fontId="29" fillId="0" borderId="0" xfId="41" applyNumberFormat="1" applyFont="1" applyFill="1" applyBorder="1" applyAlignment="1" applyProtection="1">
      <alignment vertical="center"/>
    </xf>
    <xf numFmtId="196" fontId="29" fillId="0" borderId="12" xfId="41" applyNumberFormat="1" applyFont="1" applyFill="1" applyBorder="1" applyAlignment="1" applyProtection="1">
      <alignment vertical="center"/>
    </xf>
    <xf numFmtId="200" fontId="44" fillId="20" borderId="11" xfId="40" applyNumberFormat="1" applyFont="1" applyFill="1" applyBorder="1" applyAlignment="1" applyProtection="1">
      <alignment vertical="center"/>
    </xf>
    <xf numFmtId="200" fontId="44" fillId="20" borderId="0" xfId="40" applyNumberFormat="1" applyFont="1" applyFill="1" applyBorder="1" applyAlignment="1" applyProtection="1">
      <alignment vertical="center"/>
    </xf>
    <xf numFmtId="200" fontId="29" fillId="0" borderId="0" xfId="40" applyNumberFormat="1" applyFont="1" applyFill="1" applyBorder="1" applyAlignment="1" applyProtection="1">
      <alignment vertical="center"/>
    </xf>
    <xf numFmtId="200" fontId="44" fillId="20" borderId="12" xfId="40" applyNumberFormat="1" applyFont="1" applyFill="1" applyBorder="1" applyAlignment="1" applyProtection="1">
      <alignment vertical="center"/>
    </xf>
    <xf numFmtId="200" fontId="29" fillId="0" borderId="12" xfId="40" applyNumberFormat="1" applyFont="1" applyFill="1" applyBorder="1" applyAlignment="1" applyProtection="1">
      <alignment vertical="center"/>
    </xf>
    <xf numFmtId="201" fontId="44" fillId="20" borderId="11" xfId="40" applyNumberFormat="1" applyFont="1" applyFill="1" applyBorder="1" applyAlignment="1" applyProtection="1">
      <alignment vertical="center"/>
    </xf>
    <xf numFmtId="201" fontId="44" fillId="20" borderId="0" xfId="40" applyNumberFormat="1" applyFont="1" applyFill="1" applyBorder="1" applyAlignment="1" applyProtection="1">
      <alignment vertical="center"/>
    </xf>
    <xf numFmtId="201" fontId="29" fillId="0" borderId="0" xfId="40" applyNumberFormat="1" applyFont="1" applyFill="1" applyBorder="1" applyAlignment="1" applyProtection="1">
      <alignment vertical="center"/>
    </xf>
    <xf numFmtId="201" fontId="44" fillId="20" borderId="12" xfId="40" applyNumberFormat="1" applyFont="1" applyFill="1" applyBorder="1" applyAlignment="1" applyProtection="1">
      <alignment vertical="center"/>
    </xf>
    <xf numFmtId="201" fontId="29" fillId="0" borderId="12" xfId="40" applyNumberFormat="1" applyFont="1" applyFill="1" applyBorder="1" applyAlignment="1" applyProtection="1">
      <alignment vertical="center"/>
    </xf>
    <xf numFmtId="175" fontId="44" fillId="20" borderId="11" xfId="40" applyNumberFormat="1" applyFont="1" applyFill="1" applyBorder="1" applyAlignment="1" applyProtection="1">
      <alignment horizontal="center" vertical="center"/>
    </xf>
    <xf numFmtId="175" fontId="44" fillId="20" borderId="0" xfId="40" applyNumberFormat="1" applyFont="1" applyFill="1" applyBorder="1" applyAlignment="1" applyProtection="1">
      <alignment horizontal="center" vertical="center"/>
    </xf>
    <xf numFmtId="175" fontId="29" fillId="0" borderId="0" xfId="40" applyNumberFormat="1" applyFont="1" applyFill="1" applyBorder="1" applyAlignment="1" applyProtection="1">
      <alignment horizontal="center" vertical="center"/>
    </xf>
    <xf numFmtId="175" fontId="44" fillId="20" borderId="12" xfId="40" applyNumberFormat="1" applyFont="1" applyFill="1" applyBorder="1" applyAlignment="1" applyProtection="1">
      <alignment horizontal="center" vertical="center"/>
    </xf>
    <xf numFmtId="175" fontId="29" fillId="0" borderId="12" xfId="40" applyNumberFormat="1" applyFont="1" applyFill="1" applyBorder="1" applyAlignment="1" applyProtection="1">
      <alignment horizontal="center" vertical="center"/>
    </xf>
    <xf numFmtId="202" fontId="44" fillId="20" borderId="11" xfId="41" applyNumberFormat="1" applyFont="1" applyFill="1" applyBorder="1" applyAlignment="1" applyProtection="1">
      <alignment vertical="center"/>
    </xf>
    <xf numFmtId="202" fontId="44" fillId="20" borderId="0" xfId="41" applyNumberFormat="1" applyFont="1" applyFill="1" applyBorder="1" applyAlignment="1" applyProtection="1">
      <alignment vertical="center"/>
    </xf>
    <xf numFmtId="202" fontId="29" fillId="0" borderId="0" xfId="41" applyNumberFormat="1" applyFont="1" applyFill="1" applyBorder="1" applyAlignment="1" applyProtection="1">
      <alignment vertical="center"/>
    </xf>
    <xf numFmtId="202" fontId="44" fillId="20" borderId="12" xfId="41" applyNumberFormat="1" applyFont="1" applyFill="1" applyBorder="1" applyAlignment="1" applyProtection="1">
      <alignment vertical="center"/>
    </xf>
    <xf numFmtId="202" fontId="29" fillId="0" borderId="12" xfId="41" applyNumberFormat="1" applyFont="1" applyFill="1" applyBorder="1" applyAlignment="1" applyProtection="1">
      <alignment vertical="center"/>
    </xf>
    <xf numFmtId="195" fontId="44" fillId="20" borderId="11" xfId="41" applyNumberFormat="1" applyFont="1" applyFill="1" applyBorder="1" applyAlignment="1" applyProtection="1">
      <alignment vertical="center"/>
    </xf>
    <xf numFmtId="195" fontId="44" fillId="20" borderId="0" xfId="41" applyNumberFormat="1" applyFont="1" applyFill="1" applyBorder="1" applyAlignment="1" applyProtection="1">
      <alignment vertical="center"/>
    </xf>
    <xf numFmtId="195" fontId="44" fillId="20" borderId="12" xfId="41" applyNumberFormat="1" applyFont="1" applyFill="1" applyBorder="1" applyAlignment="1" applyProtection="1">
      <alignment vertical="center"/>
    </xf>
    <xf numFmtId="201" fontId="44" fillId="20" borderId="0" xfId="41" applyNumberFormat="1" applyFont="1" applyFill="1" applyBorder="1" applyAlignment="1" applyProtection="1">
      <alignment horizontal="right" vertical="center"/>
    </xf>
    <xf numFmtId="201" fontId="29" fillId="0" borderId="0" xfId="41" applyNumberFormat="1" applyFont="1" applyFill="1" applyBorder="1" applyAlignment="1" applyProtection="1">
      <alignment horizontal="right" vertical="center"/>
    </xf>
    <xf numFmtId="201" fontId="44" fillId="20" borderId="12" xfId="41" applyNumberFormat="1" applyFont="1" applyFill="1" applyBorder="1" applyAlignment="1" applyProtection="1">
      <alignment horizontal="right" vertical="center"/>
    </xf>
    <xf numFmtId="201" fontId="29" fillId="0" borderId="12" xfId="41" applyNumberFormat="1" applyFont="1" applyFill="1" applyBorder="1" applyAlignment="1" applyProtection="1">
      <alignment horizontal="right" vertical="center"/>
    </xf>
    <xf numFmtId="195" fontId="44" fillId="20" borderId="0" xfId="41" applyNumberFormat="1" applyFont="1" applyFill="1" applyBorder="1" applyAlignment="1" applyProtection="1">
      <alignment horizontal="right" vertical="center"/>
    </xf>
    <xf numFmtId="195" fontId="44" fillId="20" borderId="12" xfId="41" applyNumberFormat="1" applyFont="1" applyFill="1" applyBorder="1" applyAlignment="1" applyProtection="1">
      <alignment horizontal="right" vertical="center"/>
    </xf>
    <xf numFmtId="174" fontId="44" fillId="20" borderId="11" xfId="41" applyNumberFormat="1" applyFont="1" applyFill="1" applyBorder="1" applyAlignment="1" applyProtection="1">
      <alignment horizontal="center" vertical="center"/>
    </xf>
    <xf numFmtId="200" fontId="44" fillId="20" borderId="0" xfId="41" applyNumberFormat="1" applyFont="1" applyFill="1" applyBorder="1" applyAlignment="1" applyProtection="1">
      <alignment horizontal="right" vertical="center"/>
    </xf>
    <xf numFmtId="200" fontId="29" fillId="0" borderId="0" xfId="41" applyNumberFormat="1" applyFont="1" applyFill="1" applyBorder="1" applyAlignment="1" applyProtection="1">
      <alignment horizontal="right" vertical="center"/>
    </xf>
    <xf numFmtId="200" fontId="44" fillId="20" borderId="12" xfId="41" applyNumberFormat="1" applyFont="1" applyFill="1" applyBorder="1" applyAlignment="1" applyProtection="1">
      <alignment horizontal="right" vertical="center"/>
    </xf>
    <xf numFmtId="200" fontId="29" fillId="0" borderId="12" xfId="41" applyNumberFormat="1" applyFont="1" applyFill="1" applyBorder="1" applyAlignment="1" applyProtection="1">
      <alignment horizontal="right" vertical="center"/>
    </xf>
    <xf numFmtId="199" fontId="44" fillId="20" borderId="11" xfId="41" applyNumberFormat="1" applyFont="1" applyFill="1" applyBorder="1" applyAlignment="1" applyProtection="1">
      <alignment vertical="center"/>
    </xf>
    <xf numFmtId="199" fontId="44" fillId="20" borderId="11" xfId="41" applyNumberFormat="1" applyFont="1" applyFill="1" applyBorder="1" applyAlignment="1" applyProtection="1">
      <alignment horizontal="right" vertical="center"/>
    </xf>
    <xf numFmtId="199" fontId="44" fillId="20" borderId="0" xfId="41" applyNumberFormat="1" applyFont="1" applyFill="1" applyBorder="1" applyAlignment="1" applyProtection="1">
      <alignment horizontal="right" vertical="center"/>
    </xf>
    <xf numFmtId="199" fontId="29" fillId="0" borderId="0" xfId="41" applyNumberFormat="1" applyFont="1" applyFill="1" applyBorder="1" applyAlignment="1" applyProtection="1">
      <alignment horizontal="right" vertical="center"/>
    </xf>
    <xf numFmtId="199" fontId="44" fillId="20" borderId="0" xfId="41" applyNumberFormat="1" applyFont="1" applyFill="1" applyBorder="1" applyAlignment="1" applyProtection="1">
      <alignment vertical="center"/>
    </xf>
    <xf numFmtId="199" fontId="44" fillId="20" borderId="12" xfId="41" applyNumberFormat="1" applyFont="1" applyFill="1" applyBorder="1" applyAlignment="1" applyProtection="1">
      <alignment horizontal="right" vertical="center"/>
    </xf>
    <xf numFmtId="199" fontId="29" fillId="0" borderId="12" xfId="41" applyNumberFormat="1" applyFont="1" applyFill="1" applyBorder="1" applyAlignment="1" applyProtection="1">
      <alignment horizontal="right" vertical="center"/>
    </xf>
    <xf numFmtId="193" fontId="44" fillId="20" borderId="11" xfId="41" applyNumberFormat="1" applyFont="1" applyFill="1" applyBorder="1" applyAlignment="1" applyProtection="1">
      <alignment vertical="center"/>
    </xf>
    <xf numFmtId="193" fontId="44" fillId="20" borderId="0" xfId="41" applyNumberFormat="1" applyFont="1" applyFill="1" applyBorder="1" applyAlignment="1" applyProtection="1">
      <alignment horizontal="right" vertical="center"/>
    </xf>
    <xf numFmtId="193" fontId="44" fillId="20" borderId="0" xfId="41" applyNumberFormat="1" applyFont="1" applyFill="1" applyBorder="1" applyAlignment="1" applyProtection="1">
      <alignment vertical="center"/>
    </xf>
    <xf numFmtId="193" fontId="44" fillId="20" borderId="12" xfId="41" applyNumberFormat="1" applyFont="1" applyFill="1" applyBorder="1" applyAlignment="1" applyProtection="1">
      <alignment horizontal="right" vertical="center"/>
    </xf>
    <xf numFmtId="169" fontId="29" fillId="0" borderId="17" xfId="42" applyFont="1" applyFill="1" applyBorder="1" applyAlignment="1">
      <alignment vertical="center"/>
    </xf>
    <xf numFmtId="169" fontId="31" fillId="19" borderId="13" xfId="42" applyFont="1" applyFill="1" applyBorder="1" applyAlignment="1">
      <alignment horizontal="center" vertical="center"/>
    </xf>
    <xf numFmtId="169" fontId="34" fillId="0" borderId="0" xfId="42" applyFont="1" applyFill="1" applyAlignment="1">
      <alignment vertical="center"/>
    </xf>
    <xf numFmtId="169" fontId="34" fillId="0" borderId="0" xfId="42" quotePrefix="1" applyNumberFormat="1" applyFont="1" applyFill="1" applyAlignment="1" applyProtection="1">
      <alignment horizontal="left" vertical="center"/>
    </xf>
    <xf numFmtId="169" fontId="37" fillId="0" borderId="0" xfId="42" quotePrefix="1" applyFont="1" applyFill="1" applyAlignment="1">
      <alignment vertical="center"/>
    </xf>
    <xf numFmtId="169" fontId="37" fillId="0" borderId="0" xfId="42" quotePrefix="1" applyFont="1" applyFill="1" applyAlignment="1">
      <alignment vertical="top"/>
    </xf>
    <xf numFmtId="195" fontId="29" fillId="0" borderId="0" xfId="42" applyNumberFormat="1" applyFont="1" applyFill="1" applyAlignment="1">
      <alignment vertical="center"/>
    </xf>
    <xf numFmtId="192" fontId="29" fillId="0" borderId="12" xfId="42" applyNumberFormat="1" applyFont="1" applyFill="1" applyBorder="1" applyAlignment="1">
      <alignment vertical="center"/>
    </xf>
    <xf numFmtId="192" fontId="29" fillId="0" borderId="0" xfId="42" applyNumberFormat="1" applyFont="1" applyFill="1" applyAlignment="1">
      <alignment vertical="center"/>
    </xf>
    <xf numFmtId="169" fontId="31" fillId="19" borderId="10" xfId="42" applyFont="1" applyFill="1" applyBorder="1" applyAlignment="1" applyProtection="1">
      <alignment horizontal="center" vertical="center"/>
    </xf>
    <xf numFmtId="169" fontId="31" fillId="20" borderId="10" xfId="42" applyFont="1" applyFill="1" applyBorder="1" applyAlignment="1" applyProtection="1">
      <alignment horizontal="center" vertical="center"/>
    </xf>
    <xf numFmtId="169" fontId="31" fillId="20" borderId="11" xfId="42" applyFont="1" applyFill="1" applyBorder="1" applyAlignment="1" applyProtection="1">
      <alignment horizontal="center" vertical="center"/>
    </xf>
    <xf numFmtId="201" fontId="31" fillId="20" borderId="10" xfId="42" applyNumberFormat="1" applyFont="1" applyFill="1" applyBorder="1" applyAlignment="1" applyProtection="1">
      <alignment vertical="center"/>
    </xf>
    <xf numFmtId="201" fontId="29" fillId="0" borderId="0" xfId="42" applyNumberFormat="1" applyFont="1" applyFill="1" applyAlignment="1" applyProtection="1">
      <alignment vertical="center"/>
    </xf>
    <xf numFmtId="201" fontId="29" fillId="0" borderId="0" xfId="42" applyNumberFormat="1" applyFont="1" applyFill="1" applyBorder="1" applyAlignment="1" applyProtection="1">
      <alignment vertical="center"/>
    </xf>
    <xf numFmtId="201" fontId="29" fillId="0" borderId="0" xfId="42" applyNumberFormat="1" applyFont="1" applyFill="1" applyAlignment="1">
      <alignment vertical="center"/>
    </xf>
    <xf numFmtId="201" fontId="29" fillId="0" borderId="12" xfId="42" applyNumberFormat="1" applyFont="1" applyFill="1" applyBorder="1" applyAlignment="1" applyProtection="1">
      <alignment horizontal="right" vertical="center"/>
    </xf>
    <xf numFmtId="201" fontId="31" fillId="20" borderId="11" xfId="42" applyNumberFormat="1" applyFont="1" applyFill="1" applyBorder="1" applyAlignment="1" applyProtection="1">
      <alignment vertical="center"/>
    </xf>
    <xf numFmtId="201" fontId="31" fillId="20" borderId="11" xfId="42" applyNumberFormat="1" applyFont="1" applyFill="1" applyBorder="1" applyAlignment="1" applyProtection="1">
      <alignment horizontal="right" vertical="center"/>
    </xf>
    <xf numFmtId="201" fontId="29" fillId="0" borderId="0" xfId="42" applyNumberFormat="1" applyFont="1" applyFill="1" applyBorder="1" applyAlignment="1">
      <alignment vertical="center"/>
    </xf>
    <xf numFmtId="201" fontId="29" fillId="0" borderId="0" xfId="42" applyNumberFormat="1" applyFont="1" applyFill="1" applyBorder="1" applyAlignment="1" applyProtection="1">
      <alignment horizontal="right" vertical="center"/>
    </xf>
    <xf numFmtId="199" fontId="31" fillId="20" borderId="10" xfId="42" applyNumberFormat="1" applyFont="1" applyFill="1" applyBorder="1" applyAlignment="1" applyProtection="1">
      <alignment vertical="center"/>
    </xf>
    <xf numFmtId="199" fontId="29" fillId="0" borderId="0" xfId="42" applyNumberFormat="1" applyFont="1" applyFill="1" applyAlignment="1" applyProtection="1">
      <alignment vertical="center"/>
    </xf>
    <xf numFmtId="199" fontId="29" fillId="0" borderId="0" xfId="42" applyNumberFormat="1" applyFont="1" applyFill="1" applyAlignment="1" applyProtection="1">
      <alignment horizontal="right" vertical="center"/>
    </xf>
    <xf numFmtId="199" fontId="29" fillId="0" borderId="0" xfId="42" applyNumberFormat="1" applyFont="1" applyFill="1" applyBorder="1" applyAlignment="1" applyProtection="1">
      <alignment vertical="center"/>
    </xf>
    <xf numFmtId="199" fontId="31" fillId="20" borderId="11" xfId="42" applyNumberFormat="1" applyFont="1" applyFill="1" applyBorder="1" applyAlignment="1" applyProtection="1">
      <alignment vertical="center"/>
    </xf>
    <xf numFmtId="199" fontId="29" fillId="0" borderId="0" xfId="42" applyNumberFormat="1" applyFont="1" applyFill="1" applyBorder="1" applyAlignment="1" applyProtection="1">
      <alignment horizontal="right" vertical="center"/>
    </xf>
    <xf numFmtId="199" fontId="34" fillId="0" borderId="0" xfId="41" applyNumberFormat="1" applyFont="1" applyFill="1" applyBorder="1" applyAlignment="1" applyProtection="1">
      <alignment vertical="center"/>
    </xf>
    <xf numFmtId="169" fontId="37" fillId="0" borderId="0" xfId="42" quotePrefix="1" applyFont="1" applyFill="1" applyAlignment="1" applyProtection="1">
      <alignment vertical="top"/>
    </xf>
    <xf numFmtId="169" fontId="37" fillId="0" borderId="0" xfId="42" quotePrefix="1" applyFont="1" applyFill="1" applyAlignment="1" applyProtection="1"/>
    <xf numFmtId="169" fontId="31" fillId="19" borderId="21" xfId="42" applyFont="1" applyFill="1" applyBorder="1" applyAlignment="1" applyProtection="1">
      <alignment horizontal="center" vertical="center"/>
    </xf>
    <xf numFmtId="169" fontId="31" fillId="19" borderId="15" xfId="42" applyFont="1" applyFill="1" applyBorder="1" applyAlignment="1" applyProtection="1">
      <alignment horizontal="center" vertical="center"/>
    </xf>
    <xf numFmtId="37" fontId="44" fillId="19" borderId="21" xfId="42" applyNumberFormat="1" applyFont="1" applyFill="1" applyBorder="1" applyAlignment="1" applyProtection="1">
      <alignment horizontal="center" vertical="center"/>
    </xf>
    <xf numFmtId="169" fontId="44" fillId="19" borderId="10" xfId="42" applyFont="1" applyFill="1" applyBorder="1" applyAlignment="1" applyProtection="1">
      <alignment horizontal="center" vertical="center"/>
    </xf>
    <xf numFmtId="169" fontId="44" fillId="19" borderId="15" xfId="42" applyFont="1" applyFill="1" applyBorder="1" applyAlignment="1" applyProtection="1">
      <alignment horizontal="center" vertical="center"/>
    </xf>
    <xf numFmtId="37" fontId="44" fillId="19" borderId="10" xfId="42" applyNumberFormat="1" applyFont="1" applyFill="1" applyBorder="1" applyAlignment="1" applyProtection="1">
      <alignment horizontal="center" vertical="center"/>
    </xf>
    <xf numFmtId="0" fontId="29" fillId="0" borderId="17" xfId="38" applyNumberFormat="1" applyFont="1" applyFill="1" applyBorder="1" applyAlignment="1" applyProtection="1">
      <alignment horizontal="left" vertical="center"/>
    </xf>
    <xf numFmtId="187" fontId="34" fillId="0" borderId="0" xfId="38" applyNumberFormat="1" applyFont="1" applyFill="1" applyBorder="1" applyAlignment="1">
      <alignment vertical="center"/>
    </xf>
    <xf numFmtId="188" fontId="34" fillId="0" borderId="0" xfId="38" applyNumberFormat="1" applyFont="1" applyFill="1" applyBorder="1" applyAlignment="1">
      <alignment vertical="center"/>
    </xf>
    <xf numFmtId="181" fontId="34" fillId="0" borderId="0" xfId="38" applyNumberFormat="1" applyFont="1" applyFill="1" applyBorder="1" applyAlignment="1" applyProtection="1">
      <alignment vertical="center"/>
    </xf>
    <xf numFmtId="187" fontId="39" fillId="0" borderId="0" xfId="38" applyNumberFormat="1" applyFont="1" applyFill="1" applyAlignment="1" applyProtection="1">
      <alignment vertical="center"/>
    </xf>
    <xf numFmtId="187" fontId="34" fillId="0" borderId="0" xfId="38" applyNumberFormat="1" applyFont="1" applyFill="1" applyAlignment="1">
      <alignment vertical="center"/>
    </xf>
    <xf numFmtId="187" fontId="39" fillId="0" borderId="0" xfId="38" quotePrefix="1" applyNumberFormat="1" applyFont="1" applyFill="1" applyAlignment="1" applyProtection="1">
      <alignment horizontal="left" vertical="center"/>
    </xf>
    <xf numFmtId="187" fontId="39" fillId="0" borderId="0" xfId="38" applyNumberFormat="1" applyFont="1" applyFill="1" applyAlignment="1">
      <alignment vertical="center"/>
    </xf>
    <xf numFmtId="181" fontId="39" fillId="0" borderId="0" xfId="38" applyNumberFormat="1" applyFont="1" applyFill="1" applyAlignment="1" applyProtection="1">
      <alignment horizontal="right" vertical="center"/>
    </xf>
    <xf numFmtId="0" fontId="39" fillId="0" borderId="0" xfId="38" applyFont="1" applyFill="1" applyAlignment="1">
      <alignment vertical="center"/>
    </xf>
    <xf numFmtId="0" fontId="31" fillId="20" borderId="11" xfId="38" quotePrefix="1" applyFont="1" applyFill="1" applyBorder="1" applyAlignment="1">
      <alignment horizontal="center" vertical="center"/>
    </xf>
    <xf numFmtId="0" fontId="31" fillId="19" borderId="13" xfId="38" applyNumberFormat="1" applyFont="1" applyFill="1" applyBorder="1" applyAlignment="1" applyProtection="1">
      <alignment horizontal="center" vertical="center"/>
    </xf>
    <xf numFmtId="0" fontId="31" fillId="19" borderId="13" xfId="38" quotePrefix="1" applyNumberFormat="1" applyFont="1" applyFill="1" applyBorder="1" applyAlignment="1" applyProtection="1">
      <alignment horizontal="center" vertical="center"/>
    </xf>
    <xf numFmtId="169" fontId="37" fillId="0" borderId="0" xfId="38" quotePrefix="1" applyNumberFormat="1" applyFont="1" applyFill="1" applyAlignment="1" applyProtection="1"/>
    <xf numFmtId="0" fontId="37" fillId="0" borderId="0" xfId="38" applyFont="1" applyFill="1" applyAlignment="1"/>
    <xf numFmtId="169" fontId="37" fillId="0" borderId="0" xfId="38" applyNumberFormat="1" applyFont="1" applyFill="1" applyAlignment="1" applyProtection="1">
      <alignment vertical="top"/>
    </xf>
    <xf numFmtId="0" fontId="37" fillId="0" borderId="0" xfId="38" applyFont="1" applyFill="1" applyAlignment="1">
      <alignment vertical="top"/>
    </xf>
    <xf numFmtId="0" fontId="29" fillId="0" borderId="0" xfId="38" applyNumberFormat="1" applyFont="1" applyFill="1" applyAlignment="1" applyProtection="1">
      <alignment vertical="center"/>
    </xf>
    <xf numFmtId="188" fontId="31" fillId="20" borderId="11" xfId="38" applyNumberFormat="1" applyFont="1" applyFill="1" applyBorder="1" applyAlignment="1" applyProtection="1">
      <alignment horizontal="center" vertical="center"/>
    </xf>
    <xf numFmtId="188" fontId="29" fillId="0" borderId="0" xfId="38" applyNumberFormat="1" applyFont="1" applyFill="1" applyAlignment="1" applyProtection="1">
      <alignment horizontal="center" vertical="center"/>
    </xf>
    <xf numFmtId="188" fontId="29" fillId="0" borderId="17" xfId="38" applyNumberFormat="1" applyFont="1" applyFill="1" applyBorder="1" applyAlignment="1" applyProtection="1">
      <alignment horizontal="center" vertical="center"/>
    </xf>
    <xf numFmtId="188" fontId="31" fillId="20" borderId="0" xfId="38" applyNumberFormat="1" applyFont="1" applyFill="1" applyAlignment="1" applyProtection="1">
      <alignment horizontal="center" vertical="center"/>
    </xf>
    <xf numFmtId="188" fontId="31" fillId="20" borderId="17" xfId="38" applyNumberFormat="1" applyFont="1" applyFill="1" applyBorder="1" applyAlignment="1" applyProtection="1">
      <alignment horizontal="center" vertical="center"/>
    </xf>
    <xf numFmtId="200" fontId="31" fillId="20" borderId="11" xfId="38" applyNumberFormat="1" applyFont="1" applyFill="1" applyBorder="1" applyAlignment="1" applyProtection="1">
      <alignment vertical="center"/>
    </xf>
    <xf numFmtId="200" fontId="31" fillId="20" borderId="11" xfId="0" applyNumberFormat="1" applyFont="1" applyFill="1" applyBorder="1" applyAlignment="1" applyProtection="1">
      <alignment vertical="center"/>
    </xf>
    <xf numFmtId="200" fontId="29" fillId="20" borderId="0" xfId="38" applyNumberFormat="1" applyFont="1" applyFill="1" applyBorder="1" applyAlignment="1" applyProtection="1">
      <alignment vertical="center"/>
    </xf>
    <xf numFmtId="200" fontId="29" fillId="0" borderId="0" xfId="38" applyNumberFormat="1" applyFont="1" applyFill="1" applyBorder="1" applyAlignment="1" applyProtection="1">
      <alignment vertical="center"/>
    </xf>
    <xf numFmtId="200" fontId="31" fillId="20" borderId="0" xfId="38" applyNumberFormat="1" applyFont="1" applyFill="1" applyBorder="1" applyAlignment="1" applyProtection="1">
      <alignment vertical="center"/>
    </xf>
    <xf numFmtId="200" fontId="31" fillId="20" borderId="17" xfId="38" applyNumberFormat="1" applyFont="1" applyFill="1" applyBorder="1" applyAlignment="1" applyProtection="1">
      <alignment vertical="center"/>
    </xf>
    <xf numFmtId="200" fontId="29" fillId="0" borderId="17" xfId="38" applyNumberFormat="1" applyFont="1" applyFill="1" applyBorder="1" applyAlignment="1" applyProtection="1">
      <alignment vertical="center"/>
    </xf>
    <xf numFmtId="188" fontId="29" fillId="0" borderId="0" xfId="38" applyNumberFormat="1" applyFont="1" applyFill="1" applyBorder="1" applyAlignment="1" applyProtection="1">
      <alignment horizontal="center" vertical="center"/>
    </xf>
    <xf numFmtId="181" fontId="29" fillId="0" borderId="0" xfId="38" applyNumberFormat="1" applyFont="1" applyFill="1" applyBorder="1" applyAlignment="1" applyProtection="1">
      <alignment horizontal="center" vertical="center"/>
    </xf>
    <xf numFmtId="181" fontId="29" fillId="0" borderId="17" xfId="38" applyNumberFormat="1" applyFont="1" applyFill="1" applyBorder="1" applyAlignment="1" applyProtection="1">
      <alignment horizontal="center" vertical="center"/>
    </xf>
    <xf numFmtId="181" fontId="31" fillId="0" borderId="0" xfId="38" applyNumberFormat="1" applyFont="1" applyFill="1" applyBorder="1" applyAlignment="1" applyProtection="1">
      <alignment horizontal="center" vertical="center"/>
    </xf>
    <xf numFmtId="188" fontId="31" fillId="20" borderId="0" xfId="38" applyNumberFormat="1" applyFont="1" applyFill="1" applyBorder="1" applyAlignment="1" applyProtection="1">
      <alignment horizontal="center" vertical="center"/>
    </xf>
    <xf numFmtId="181" fontId="31" fillId="20" borderId="0" xfId="38" applyNumberFormat="1" applyFont="1" applyFill="1" applyBorder="1" applyAlignment="1" applyProtection="1">
      <alignment horizontal="center" vertical="center"/>
    </xf>
    <xf numFmtId="181" fontId="31" fillId="20" borderId="17" xfId="38" applyNumberFormat="1" applyFont="1" applyFill="1" applyBorder="1" applyAlignment="1" applyProtection="1">
      <alignment horizontal="center" vertical="center"/>
    </xf>
    <xf numFmtId="188" fontId="29" fillId="20" borderId="0" xfId="38" applyNumberFormat="1" applyFont="1" applyFill="1" applyAlignment="1">
      <alignment horizontal="center" vertical="center"/>
    </xf>
    <xf numFmtId="188" fontId="29" fillId="20" borderId="0" xfId="38" applyNumberFormat="1" applyFont="1" applyFill="1" applyBorder="1" applyAlignment="1" applyProtection="1">
      <alignment horizontal="center" vertical="center"/>
    </xf>
    <xf numFmtId="200" fontId="29" fillId="0" borderId="0" xfId="38" applyNumberFormat="1" applyFont="1" applyFill="1" applyBorder="1" applyAlignment="1">
      <alignment vertical="center"/>
    </xf>
    <xf numFmtId="200" fontId="31" fillId="20" borderId="0" xfId="38" applyNumberFormat="1" applyFont="1" applyFill="1" applyBorder="1" applyAlignment="1" applyProtection="1">
      <alignment horizontal="right" vertical="center"/>
    </xf>
    <xf numFmtId="200" fontId="29" fillId="0" borderId="0" xfId="38" applyNumberFormat="1" applyFont="1" applyFill="1" applyBorder="1" applyAlignment="1" applyProtection="1">
      <alignment horizontal="right" vertical="center"/>
    </xf>
    <xf numFmtId="200" fontId="31" fillId="20" borderId="17" xfId="38" applyNumberFormat="1" applyFont="1" applyFill="1" applyBorder="1" applyAlignment="1" applyProtection="1">
      <alignment horizontal="right" vertical="center"/>
    </xf>
    <xf numFmtId="200" fontId="29" fillId="0" borderId="17" xfId="38" applyNumberFormat="1" applyFont="1" applyFill="1" applyBorder="1" applyAlignment="1" applyProtection="1">
      <alignment horizontal="right" vertical="center"/>
    </xf>
    <xf numFmtId="195" fontId="31" fillId="20" borderId="11" xfId="0" applyNumberFormat="1" applyFont="1" applyFill="1" applyBorder="1" applyAlignment="1" applyProtection="1">
      <alignment vertical="center"/>
    </xf>
    <xf numFmtId="195" fontId="31" fillId="20" borderId="0" xfId="38" applyNumberFormat="1" applyFont="1" applyFill="1" applyBorder="1" applyAlignment="1" applyProtection="1">
      <alignment vertical="center"/>
    </xf>
    <xf numFmtId="195" fontId="29" fillId="0" borderId="0" xfId="38" applyNumberFormat="1" applyFont="1" applyFill="1" applyBorder="1" applyAlignment="1" applyProtection="1">
      <alignment vertical="center"/>
    </xf>
    <xf numFmtId="195" fontId="29" fillId="0" borderId="0" xfId="38" applyNumberFormat="1" applyFont="1" applyFill="1" applyBorder="1" applyAlignment="1">
      <alignment vertical="center"/>
    </xf>
    <xf numFmtId="195" fontId="31" fillId="20" borderId="0" xfId="38" applyNumberFormat="1" applyFont="1" applyFill="1" applyBorder="1" applyAlignment="1" applyProtection="1">
      <alignment horizontal="right" vertical="center"/>
    </xf>
    <xf numFmtId="195" fontId="29" fillId="0" borderId="0" xfId="38" applyNumberFormat="1" applyFont="1" applyFill="1" applyBorder="1" applyAlignment="1" applyProtection="1">
      <alignment horizontal="right" vertical="center"/>
    </xf>
    <xf numFmtId="195" fontId="31" fillId="20" borderId="17" xfId="38" applyNumberFormat="1" applyFont="1" applyFill="1" applyBorder="1" applyAlignment="1" applyProtection="1">
      <alignment horizontal="right" vertical="center"/>
    </xf>
    <xf numFmtId="195" fontId="29" fillId="0" borderId="17" xfId="38" applyNumberFormat="1" applyFont="1" applyFill="1" applyBorder="1" applyAlignment="1" applyProtection="1">
      <alignment horizontal="right" vertical="center"/>
    </xf>
    <xf numFmtId="181" fontId="31" fillId="20" borderId="11" xfId="38" applyNumberFormat="1" applyFont="1" applyFill="1" applyBorder="1" applyAlignment="1" applyProtection="1">
      <alignment horizontal="center" vertical="center"/>
    </xf>
    <xf numFmtId="201" fontId="31" fillId="20" borderId="11" xfId="38" applyNumberFormat="1" applyFont="1" applyFill="1" applyBorder="1" applyAlignment="1" applyProtection="1">
      <alignment vertical="center"/>
    </xf>
    <xf numFmtId="201" fontId="31" fillId="20" borderId="11" xfId="0" applyNumberFormat="1" applyFont="1" applyFill="1" applyBorder="1" applyAlignment="1" applyProtection="1">
      <alignment vertical="center"/>
    </xf>
    <xf numFmtId="201" fontId="29" fillId="0" borderId="0" xfId="38" applyNumberFormat="1" applyFont="1" applyFill="1" applyBorder="1" applyAlignment="1" applyProtection="1">
      <alignment vertical="center"/>
    </xf>
    <xf numFmtId="201" fontId="29" fillId="0" borderId="17" xfId="38" applyNumberFormat="1" applyFont="1" applyFill="1" applyBorder="1" applyAlignment="1" applyProtection="1">
      <alignment horizontal="right" vertical="center"/>
    </xf>
    <xf numFmtId="201" fontId="31" fillId="20" borderId="0" xfId="38" applyNumberFormat="1" applyFont="1" applyFill="1" applyBorder="1" applyAlignment="1" applyProtection="1">
      <alignment vertical="center"/>
    </xf>
    <xf numFmtId="201" fontId="31" fillId="20" borderId="17" xfId="38" applyNumberFormat="1" applyFont="1" applyFill="1" applyBorder="1" applyAlignment="1" applyProtection="1">
      <alignment horizontal="right" vertical="center"/>
    </xf>
    <xf numFmtId="169" fontId="43" fillId="0" borderId="0" xfId="42" quotePrefix="1" applyFont="1" applyBorder="1" applyAlignment="1" applyProtection="1">
      <alignment horizontal="center"/>
    </xf>
    <xf numFmtId="169" fontId="43" fillId="0" borderId="0" xfId="42" applyFont="1"/>
    <xf numFmtId="171" fontId="43" fillId="0" borderId="0" xfId="42" applyNumberFormat="1" applyFont="1" applyBorder="1" applyProtection="1"/>
    <xf numFmtId="169" fontId="43" fillId="0" borderId="0" xfId="42" applyFont="1" applyAlignment="1" applyProtection="1">
      <alignment horizontal="center"/>
    </xf>
    <xf numFmtId="169" fontId="43" fillId="0" borderId="0" xfId="42" quotePrefix="1" applyFont="1" applyAlignment="1" applyProtection="1"/>
    <xf numFmtId="169" fontId="43" fillId="0" borderId="0" xfId="42" applyFont="1" applyAlignment="1" applyProtection="1"/>
    <xf numFmtId="169" fontId="43" fillId="0" borderId="12" xfId="42" applyFont="1" applyBorder="1"/>
    <xf numFmtId="37" fontId="43" fillId="0" borderId="0" xfId="42" applyNumberFormat="1" applyFont="1" applyBorder="1" applyProtection="1"/>
    <xf numFmtId="3" fontId="43" fillId="0" borderId="0" xfId="42" applyNumberFormat="1" applyFont="1" applyBorder="1"/>
    <xf numFmtId="3" fontId="43" fillId="0" borderId="0" xfId="42" applyNumberFormat="1" applyFont="1"/>
    <xf numFmtId="37" fontId="49" fillId="0" borderId="0" xfId="42" applyNumberFormat="1" applyFont="1" applyBorder="1" applyProtection="1"/>
    <xf numFmtId="169" fontId="43" fillId="0" borderId="0" xfId="42" applyFont="1" applyAlignment="1" applyProtection="1">
      <alignment horizontal="left"/>
    </xf>
    <xf numFmtId="169" fontId="51" fillId="0" borderId="0" xfId="0" quotePrefix="1" applyNumberFormat="1" applyFont="1" applyFill="1" applyAlignment="1" applyProtection="1">
      <alignment horizontal="left" vertical="center"/>
    </xf>
    <xf numFmtId="169" fontId="43" fillId="0" borderId="0" xfId="42" applyFont="1" applyBorder="1"/>
    <xf numFmtId="3" fontId="43" fillId="0" borderId="0" xfId="41" applyNumberFormat="1" applyFont="1" applyBorder="1" applyProtection="1"/>
    <xf numFmtId="0" fontId="43" fillId="0" borderId="0" xfId="38" applyFont="1" applyFill="1" applyAlignment="1">
      <alignment vertical="center"/>
    </xf>
    <xf numFmtId="175" fontId="43" fillId="0" borderId="0" xfId="42" applyNumberFormat="1" applyFont="1"/>
    <xf numFmtId="169" fontId="51" fillId="0" borderId="0" xfId="40" quotePrefix="1" applyNumberFormat="1" applyFont="1" applyFill="1" applyAlignment="1" applyProtection="1">
      <alignment horizontal="left" vertical="center"/>
    </xf>
    <xf numFmtId="174" fontId="43" fillId="0" borderId="0" xfId="42" applyNumberFormat="1" applyFont="1" applyBorder="1"/>
    <xf numFmtId="169" fontId="43" fillId="0" borderId="0" xfId="41" applyFont="1"/>
    <xf numFmtId="0" fontId="53" fillId="0" borderId="0" xfId="40" applyFont="1"/>
    <xf numFmtId="174" fontId="43" fillId="0" borderId="0" xfId="42" applyNumberFormat="1" applyFont="1"/>
    <xf numFmtId="0" fontId="43" fillId="0" borderId="0" xfId="38" applyFont="1"/>
    <xf numFmtId="3" fontId="43" fillId="0" borderId="0" xfId="42" applyNumberFormat="1" applyFont="1" applyAlignment="1"/>
    <xf numFmtId="0" fontId="29" fillId="0" borderId="0" xfId="39" applyFont="1" applyFill="1" applyBorder="1" applyAlignment="1">
      <alignment vertical="center"/>
    </xf>
    <xf numFmtId="0" fontId="34" fillId="0" borderId="0" xfId="39" applyFont="1" applyFill="1" applyBorder="1" applyAlignment="1" applyProtection="1">
      <alignment horizontal="left" vertical="center"/>
    </xf>
    <xf numFmtId="4" fontId="34" fillId="0" borderId="0" xfId="39" applyNumberFormat="1" applyFont="1" applyFill="1" applyBorder="1" applyAlignment="1" applyProtection="1">
      <alignment vertical="center"/>
      <protection locked="0"/>
    </xf>
    <xf numFmtId="0" fontId="37" fillId="0" borderId="0" xfId="39" applyFont="1" applyFill="1" applyBorder="1" applyAlignment="1">
      <alignment vertical="center"/>
    </xf>
    <xf numFmtId="201" fontId="29" fillId="0" borderId="17" xfId="45" applyNumberFormat="1" applyFont="1" applyFill="1" applyBorder="1" applyAlignment="1">
      <alignment horizontal="right" vertical="center"/>
    </xf>
    <xf numFmtId="169" fontId="43" fillId="0" borderId="10" xfId="42" quotePrefix="1" applyFont="1" applyBorder="1" applyAlignment="1" applyProtection="1">
      <alignment horizontal="center" vertical="center"/>
    </xf>
    <xf numFmtId="169" fontId="43" fillId="0" borderId="10" xfId="42" applyFont="1" applyBorder="1" applyAlignment="1" applyProtection="1">
      <alignment horizontal="center" vertical="center"/>
    </xf>
    <xf numFmtId="175" fontId="43" fillId="0" borderId="0" xfId="42" applyNumberFormat="1" applyFont="1" applyBorder="1"/>
    <xf numFmtId="169" fontId="55" fillId="0" borderId="0" xfId="42" quotePrefix="1" applyFont="1" applyAlignment="1" applyProtection="1"/>
    <xf numFmtId="169" fontId="54" fillId="0" borderId="0" xfId="42" quotePrefix="1" applyFont="1" applyAlignment="1" applyProtection="1"/>
    <xf numFmtId="169" fontId="54" fillId="0" borderId="0" xfId="42" applyFont="1" applyAlignment="1" applyProtection="1"/>
    <xf numFmtId="169" fontId="55" fillId="0" borderId="0" xfId="42" applyFont="1" applyAlignment="1" applyProtection="1">
      <alignment vertical="top"/>
    </xf>
    <xf numFmtId="169" fontId="55" fillId="0" borderId="0" xfId="42" applyFont="1" applyAlignment="1" applyProtection="1"/>
    <xf numFmtId="169" fontId="51" fillId="0" borderId="0" xfId="42" quotePrefix="1" applyFont="1" applyAlignment="1" applyProtection="1">
      <alignment horizontal="left"/>
    </xf>
    <xf numFmtId="169" fontId="51" fillId="0" borderId="0" xfId="42" applyFont="1"/>
    <xf numFmtId="169" fontId="51" fillId="0" borderId="0" xfId="42" applyFont="1" applyAlignment="1" applyProtection="1">
      <alignment horizontal="left"/>
    </xf>
    <xf numFmtId="0" fontId="51" fillId="0" borderId="0" xfId="38" applyFont="1" applyFill="1" applyAlignment="1">
      <alignment vertical="center"/>
    </xf>
    <xf numFmtId="3" fontId="51" fillId="0" borderId="0" xfId="41" applyNumberFormat="1" applyFont="1" applyBorder="1" applyProtection="1"/>
    <xf numFmtId="171" fontId="51" fillId="0" borderId="0" xfId="42" applyNumberFormat="1" applyFont="1" applyBorder="1" applyProtection="1"/>
    <xf numFmtId="175" fontId="51" fillId="0" borderId="0" xfId="42" applyNumberFormat="1" applyFont="1"/>
    <xf numFmtId="169" fontId="54" fillId="19" borderId="0" xfId="42" applyFont="1" applyFill="1" applyBorder="1" applyAlignment="1">
      <alignment horizontal="center"/>
    </xf>
    <xf numFmtId="169" fontId="54" fillId="19" borderId="10" xfId="42" quotePrefix="1" applyFont="1" applyFill="1" applyBorder="1" applyAlignment="1" applyProtection="1">
      <alignment horizontal="center" vertical="top"/>
    </xf>
    <xf numFmtId="169" fontId="54" fillId="19" borderId="10" xfId="42" applyFont="1" applyFill="1" applyBorder="1" applyAlignment="1" applyProtection="1">
      <alignment horizontal="center" vertical="top"/>
    </xf>
    <xf numFmtId="169" fontId="54" fillId="19" borderId="10" xfId="42" applyFont="1" applyFill="1" applyBorder="1" applyAlignment="1" applyProtection="1">
      <alignment horizontal="center"/>
    </xf>
    <xf numFmtId="169" fontId="54" fillId="19" borderId="10" xfId="42" applyFont="1" applyFill="1" applyBorder="1" applyAlignment="1" applyProtection="1">
      <alignment horizontal="center" vertical="center"/>
    </xf>
    <xf numFmtId="169" fontId="51" fillId="0" borderId="0" xfId="42" applyFont="1" applyAlignment="1"/>
    <xf numFmtId="3" fontId="51" fillId="0" borderId="0" xfId="42" applyNumberFormat="1" applyFont="1" applyAlignment="1"/>
    <xf numFmtId="169" fontId="51" fillId="0" borderId="0" xfId="0" quotePrefix="1" applyNumberFormat="1" applyFont="1" applyFill="1" applyAlignment="1" applyProtection="1">
      <alignment horizontal="left"/>
    </xf>
    <xf numFmtId="0" fontId="51" fillId="0" borderId="0" xfId="38" applyFont="1" applyFill="1" applyAlignment="1"/>
    <xf numFmtId="37" fontId="56" fillId="0" borderId="0" xfId="42" applyNumberFormat="1" applyFont="1" applyBorder="1" applyAlignment="1" applyProtection="1"/>
    <xf numFmtId="169" fontId="51" fillId="0" borderId="0" xfId="42" quotePrefix="1" applyFont="1" applyAlignment="1" applyProtection="1">
      <alignment horizontal="left" vertical="center"/>
    </xf>
    <xf numFmtId="169" fontId="51" fillId="0" borderId="0" xfId="42" applyFont="1" applyAlignment="1">
      <alignment vertical="center"/>
    </xf>
    <xf numFmtId="169" fontId="51" fillId="0" borderId="0" xfId="42" applyFont="1" applyAlignment="1" applyProtection="1">
      <alignment horizontal="left" vertical="center"/>
    </xf>
    <xf numFmtId="169" fontId="43" fillId="0" borderId="0" xfId="42" applyFont="1" applyAlignment="1" applyProtection="1">
      <alignment horizontal="left" vertical="center"/>
    </xf>
    <xf numFmtId="3" fontId="43" fillId="0" borderId="0" xfId="42" applyNumberFormat="1" applyFont="1" applyAlignment="1">
      <alignment vertical="center"/>
    </xf>
    <xf numFmtId="171" fontId="43" fillId="0" borderId="0" xfId="42" applyNumberFormat="1" applyFont="1" applyBorder="1" applyAlignment="1" applyProtection="1">
      <alignment horizontal="center"/>
    </xf>
    <xf numFmtId="171" fontId="43" fillId="0" borderId="12" xfId="42" applyNumberFormat="1" applyFont="1" applyBorder="1" applyAlignment="1" applyProtection="1">
      <alignment horizontal="center"/>
    </xf>
    <xf numFmtId="169" fontId="43" fillId="0" borderId="0" xfId="42" quotePrefix="1" applyFont="1" applyBorder="1" applyAlignment="1" applyProtection="1">
      <alignment horizontal="center" vertical="center"/>
    </xf>
    <xf numFmtId="168" fontId="43" fillId="0" borderId="0" xfId="42" applyNumberFormat="1" applyFont="1" applyBorder="1" applyAlignment="1" applyProtection="1">
      <alignment horizontal="center" vertical="center"/>
    </xf>
    <xf numFmtId="171" fontId="43" fillId="0" borderId="0" xfId="42" applyNumberFormat="1" applyFont="1" applyBorder="1" applyAlignment="1" applyProtection="1">
      <alignment horizontal="center" vertical="center"/>
    </xf>
    <xf numFmtId="169" fontId="43" fillId="0" borderId="12" xfId="42" quotePrefix="1" applyFont="1" applyBorder="1" applyAlignment="1" applyProtection="1">
      <alignment horizontal="center" vertical="center"/>
    </xf>
    <xf numFmtId="168" fontId="43" fillId="0" borderId="12" xfId="42" applyNumberFormat="1" applyFont="1" applyBorder="1" applyAlignment="1" applyProtection="1">
      <alignment horizontal="center" vertical="center"/>
    </xf>
    <xf numFmtId="171" fontId="43" fillId="0" borderId="12" xfId="42" applyNumberFormat="1" applyFont="1" applyBorder="1" applyAlignment="1" applyProtection="1">
      <alignment horizontal="center" vertical="center"/>
    </xf>
    <xf numFmtId="169" fontId="43" fillId="0" borderId="0" xfId="42" applyFont="1" applyBorder="1" applyAlignment="1" applyProtection="1">
      <alignment horizontal="center" vertical="center"/>
    </xf>
    <xf numFmtId="3" fontId="43" fillId="0" borderId="0" xfId="42" applyNumberFormat="1" applyFont="1" applyBorder="1" applyAlignment="1" applyProtection="1">
      <alignment horizontal="center" vertical="center"/>
    </xf>
    <xf numFmtId="3" fontId="43" fillId="0" borderId="0" xfId="42" applyNumberFormat="1" applyFont="1" applyBorder="1" applyAlignment="1">
      <alignment horizontal="center" vertical="center"/>
    </xf>
    <xf numFmtId="37" fontId="43" fillId="0" borderId="0" xfId="42" applyNumberFormat="1" applyFont="1" applyBorder="1" applyAlignment="1" applyProtection="1">
      <alignment vertical="center"/>
    </xf>
    <xf numFmtId="3" fontId="49" fillId="0" borderId="0" xfId="42" applyNumberFormat="1" applyFont="1" applyBorder="1" applyAlignment="1" applyProtection="1">
      <alignment horizontal="center" vertical="center"/>
    </xf>
    <xf numFmtId="3" fontId="49" fillId="0" borderId="0" xfId="42" applyNumberFormat="1" applyFont="1" applyBorder="1" applyAlignment="1">
      <alignment horizontal="center" vertical="center"/>
    </xf>
    <xf numFmtId="37" fontId="49" fillId="0" borderId="0" xfId="42" applyNumberFormat="1" applyFont="1" applyBorder="1" applyAlignment="1" applyProtection="1">
      <alignment vertical="center"/>
    </xf>
    <xf numFmtId="3" fontId="43" fillId="0" borderId="12" xfId="42" applyNumberFormat="1" applyFont="1" applyBorder="1" applyAlignment="1" applyProtection="1">
      <alignment horizontal="center" vertical="center"/>
    </xf>
    <xf numFmtId="3" fontId="49" fillId="0" borderId="12" xfId="42" applyNumberFormat="1" applyFont="1" applyBorder="1" applyAlignment="1" applyProtection="1">
      <alignment horizontal="center" vertical="center"/>
    </xf>
    <xf numFmtId="3" fontId="49" fillId="0" borderId="12" xfId="42" applyNumberFormat="1" applyFont="1" applyBorder="1" applyAlignment="1">
      <alignment horizontal="center" vertical="center"/>
    </xf>
    <xf numFmtId="169" fontId="43" fillId="0" borderId="0" xfId="42" applyFont="1" applyAlignment="1">
      <alignment vertical="center"/>
    </xf>
    <xf numFmtId="169" fontId="43" fillId="0" borderId="0" xfId="42" applyFont="1" applyAlignment="1" applyProtection="1">
      <alignment horizontal="center" vertical="center"/>
    </xf>
    <xf numFmtId="169" fontId="43" fillId="0" borderId="0" xfId="42" quotePrefix="1" applyFont="1" applyAlignment="1" applyProtection="1">
      <alignment vertical="center"/>
    </xf>
    <xf numFmtId="169" fontId="43" fillId="0" borderId="0" xfId="42" applyFont="1" applyAlignment="1" applyProtection="1">
      <alignment vertical="center"/>
    </xf>
    <xf numFmtId="169" fontId="43" fillId="0" borderId="0" xfId="42" quotePrefix="1" applyFont="1" applyAlignment="1" applyProtection="1">
      <alignment horizontal="center" vertical="center"/>
    </xf>
    <xf numFmtId="169" fontId="54" fillId="0" borderId="0" xfId="42" quotePrefix="1" applyFont="1" applyAlignment="1" applyProtection="1">
      <alignment horizontal="center" vertical="center"/>
    </xf>
    <xf numFmtId="169" fontId="43" fillId="0" borderId="10" xfId="42" applyFont="1" applyBorder="1" applyAlignment="1">
      <alignment vertical="center"/>
    </xf>
    <xf numFmtId="169" fontId="43" fillId="0" borderId="10" xfId="42" applyFont="1" applyBorder="1" applyAlignment="1" applyProtection="1">
      <alignment horizontal="left" vertical="center"/>
    </xf>
    <xf numFmtId="169" fontId="43" fillId="0" borderId="0" xfId="42" applyFont="1" applyBorder="1" applyAlignment="1">
      <alignment vertical="center"/>
    </xf>
    <xf numFmtId="169" fontId="54" fillId="0" borderId="11" xfId="42" applyFont="1" applyBorder="1" applyAlignment="1" applyProtection="1">
      <alignment horizontal="center" vertical="center"/>
    </xf>
    <xf numFmtId="37" fontId="54" fillId="0" borderId="11" xfId="42" applyNumberFormat="1" applyFont="1" applyBorder="1" applyAlignment="1" applyProtection="1">
      <alignment vertical="center"/>
    </xf>
    <xf numFmtId="3" fontId="54" fillId="0" borderId="11" xfId="42" applyNumberFormat="1" applyFont="1" applyBorder="1" applyAlignment="1" applyProtection="1">
      <alignment vertical="center"/>
    </xf>
    <xf numFmtId="3" fontId="43" fillId="0" borderId="0" xfId="42" applyNumberFormat="1" applyFont="1" applyBorder="1" applyAlignment="1">
      <alignment vertical="center"/>
    </xf>
    <xf numFmtId="169" fontId="43" fillId="0" borderId="12" xfId="42" applyFont="1" applyBorder="1" applyAlignment="1" applyProtection="1">
      <alignment horizontal="center" vertical="center"/>
    </xf>
    <xf numFmtId="3" fontId="43" fillId="0" borderId="12" xfId="42" applyNumberFormat="1" applyFont="1" applyBorder="1" applyAlignment="1">
      <alignment vertical="center"/>
    </xf>
    <xf numFmtId="169" fontId="43" fillId="0" borderId="0" xfId="42" quotePrefix="1" applyFont="1" applyAlignment="1" applyProtection="1">
      <alignment horizontal="left" vertical="center"/>
    </xf>
    <xf numFmtId="37" fontId="43" fillId="0" borderId="0" xfId="42" applyNumberFormat="1" applyFont="1" applyAlignment="1" applyProtection="1">
      <alignment vertical="center"/>
    </xf>
    <xf numFmtId="169" fontId="43" fillId="0" borderId="0" xfId="43" applyFont="1" applyAlignment="1">
      <alignment vertical="center"/>
    </xf>
    <xf numFmtId="168" fontId="43" fillId="0" borderId="0" xfId="0" applyFont="1" applyBorder="1" applyAlignment="1">
      <alignment vertical="center"/>
    </xf>
    <xf numFmtId="168" fontId="43" fillId="0" borderId="12" xfId="0" applyFont="1" applyBorder="1" applyAlignment="1">
      <alignment vertical="center"/>
    </xf>
    <xf numFmtId="168" fontId="43" fillId="0" borderId="0" xfId="0" applyFont="1" applyAlignment="1">
      <alignment vertical="center"/>
    </xf>
    <xf numFmtId="168" fontId="43" fillId="0" borderId="0" xfId="0" applyFont="1" applyBorder="1" applyAlignment="1" applyProtection="1">
      <alignment horizontal="center" vertical="center"/>
    </xf>
    <xf numFmtId="191" fontId="43" fillId="0" borderId="0" xfId="0" quotePrefix="1" applyNumberFormat="1" applyFont="1" applyBorder="1" applyAlignment="1" applyProtection="1">
      <alignment horizontal="center" vertical="center"/>
    </xf>
    <xf numFmtId="3" fontId="43" fillId="0" borderId="0" xfId="43" applyNumberFormat="1" applyFont="1" applyAlignment="1">
      <alignment vertical="center"/>
    </xf>
    <xf numFmtId="191" fontId="43" fillId="0" borderId="12" xfId="0" quotePrefix="1" applyNumberFormat="1" applyFont="1" applyBorder="1" applyAlignment="1" applyProtection="1">
      <alignment horizontal="center" vertical="center"/>
    </xf>
    <xf numFmtId="169" fontId="43" fillId="0" borderId="12" xfId="43" applyFont="1" applyBorder="1" applyAlignment="1">
      <alignment vertical="center"/>
    </xf>
    <xf numFmtId="169" fontId="43" fillId="0" borderId="0" xfId="43" applyFont="1" applyBorder="1" applyAlignment="1">
      <alignment vertical="center"/>
    </xf>
    <xf numFmtId="37" fontId="43" fillId="0" borderId="0" xfId="0" applyNumberFormat="1" applyFont="1" applyBorder="1" applyAlignment="1" applyProtection="1">
      <alignment vertical="center"/>
    </xf>
    <xf numFmtId="168" fontId="43" fillId="0" borderId="0" xfId="0" quotePrefix="1" applyFont="1" applyAlignment="1" applyProtection="1">
      <alignment horizontal="left" vertical="center"/>
    </xf>
    <xf numFmtId="3" fontId="43" fillId="0" borderId="0" xfId="0" applyNumberFormat="1" applyFont="1" applyAlignment="1">
      <alignment horizontal="center" vertical="center"/>
    </xf>
    <xf numFmtId="168" fontId="43" fillId="0" borderId="0" xfId="0" quotePrefix="1" applyFont="1" applyAlignment="1">
      <alignment horizontal="left" vertical="center"/>
    </xf>
    <xf numFmtId="168" fontId="43" fillId="0" borderId="0" xfId="0" applyFont="1" applyAlignment="1">
      <alignment horizontal="left" vertical="center"/>
    </xf>
    <xf numFmtId="0" fontId="43" fillId="0" borderId="0" xfId="38" applyFont="1" applyAlignment="1">
      <alignment vertical="center"/>
    </xf>
    <xf numFmtId="169" fontId="43" fillId="0" borderId="12" xfId="42" quotePrefix="1" applyFont="1" applyBorder="1" applyAlignment="1" applyProtection="1">
      <alignment vertical="center"/>
    </xf>
    <xf numFmtId="169" fontId="43" fillId="0" borderId="12" xfId="42" applyFont="1" applyBorder="1" applyAlignment="1" applyProtection="1">
      <alignment vertical="center"/>
    </xf>
    <xf numFmtId="169" fontId="43" fillId="0" borderId="0" xfId="42" applyFont="1" applyBorder="1" applyAlignment="1" applyProtection="1">
      <alignment vertical="center"/>
    </xf>
    <xf numFmtId="171" fontId="43" fillId="0" borderId="0" xfId="42" applyNumberFormat="1" applyFont="1" applyBorder="1" applyAlignment="1" applyProtection="1">
      <alignment vertical="center"/>
    </xf>
    <xf numFmtId="175" fontId="43" fillId="0" borderId="0" xfId="42" applyNumberFormat="1" applyFont="1" applyAlignment="1">
      <alignment vertical="center"/>
    </xf>
    <xf numFmtId="169" fontId="54" fillId="0" borderId="0" xfId="42" applyFont="1" applyAlignment="1">
      <alignment vertical="center"/>
    </xf>
    <xf numFmtId="175" fontId="43" fillId="0" borderId="0" xfId="42" applyNumberFormat="1" applyFont="1" applyBorder="1" applyAlignment="1" applyProtection="1">
      <alignment horizontal="center" vertical="center"/>
    </xf>
    <xf numFmtId="175" fontId="43" fillId="0" borderId="12" xfId="42" applyNumberFormat="1" applyFont="1" applyBorder="1" applyAlignment="1" applyProtection="1">
      <alignment horizontal="center" vertical="center"/>
    </xf>
    <xf numFmtId="173" fontId="43" fillId="0" borderId="0" xfId="42" applyNumberFormat="1" applyFont="1" applyBorder="1" applyAlignment="1" applyProtection="1">
      <alignment horizontal="center" vertical="center"/>
    </xf>
    <xf numFmtId="173" fontId="43" fillId="0" borderId="12" xfId="42" applyNumberFormat="1" applyFont="1" applyBorder="1" applyAlignment="1" applyProtection="1">
      <alignment horizontal="center" vertical="center"/>
    </xf>
    <xf numFmtId="169" fontId="54" fillId="19" borderId="10" xfId="42" applyFont="1" applyFill="1" applyBorder="1" applyAlignment="1">
      <alignment vertical="center"/>
    </xf>
    <xf numFmtId="169" fontId="54" fillId="19" borderId="10" xfId="42" applyFont="1" applyFill="1" applyBorder="1" applyAlignment="1" applyProtection="1">
      <alignment horizontal="left" vertical="center"/>
    </xf>
    <xf numFmtId="169" fontId="54" fillId="0" borderId="0" xfId="42" applyFont="1" applyFill="1" applyBorder="1" applyAlignment="1" applyProtection="1">
      <alignment horizontal="center" vertical="center"/>
    </xf>
    <xf numFmtId="3" fontId="43" fillId="0" borderId="0" xfId="42" applyNumberFormat="1" applyFont="1" applyFill="1" applyBorder="1" applyAlignment="1">
      <alignment vertical="center"/>
    </xf>
    <xf numFmtId="169" fontId="54" fillId="0" borderId="0" xfId="42" quotePrefix="1" applyFont="1" applyFill="1" applyBorder="1" applyAlignment="1" applyProtection="1">
      <alignment horizontal="center" vertical="center"/>
    </xf>
    <xf numFmtId="37" fontId="54" fillId="0" borderId="0" xfId="42" applyNumberFormat="1" applyFont="1" applyFill="1" applyBorder="1" applyAlignment="1" applyProtection="1">
      <alignment vertical="center"/>
    </xf>
    <xf numFmtId="3" fontId="54" fillId="0" borderId="0" xfId="42" applyNumberFormat="1" applyFont="1" applyFill="1" applyBorder="1" applyAlignment="1" applyProtection="1">
      <alignment vertical="center"/>
    </xf>
    <xf numFmtId="169" fontId="54" fillId="20" borderId="11" xfId="42" applyFont="1" applyFill="1" applyBorder="1" applyAlignment="1" applyProtection="1">
      <alignment horizontal="center" vertical="center"/>
    </xf>
    <xf numFmtId="169" fontId="51" fillId="0" borderId="0" xfId="42" applyFont="1" applyBorder="1" applyAlignment="1" applyProtection="1">
      <alignment horizontal="left" vertical="center"/>
    </xf>
    <xf numFmtId="3" fontId="51" fillId="0" borderId="0" xfId="42" applyNumberFormat="1" applyFont="1" applyBorder="1" applyAlignment="1">
      <alignment vertical="center"/>
    </xf>
    <xf numFmtId="37" fontId="51" fillId="0" borderId="0" xfId="42" applyNumberFormat="1" applyFont="1" applyAlignment="1" applyProtection="1">
      <alignment vertical="center"/>
    </xf>
    <xf numFmtId="169" fontId="55" fillId="0" borderId="0" xfId="42" quotePrefix="1" applyFont="1" applyAlignment="1" applyProtection="1">
      <alignment vertical="center"/>
    </xf>
    <xf numFmtId="169" fontId="55" fillId="0" borderId="0" xfId="42" applyFont="1" applyAlignment="1" applyProtection="1">
      <alignment vertical="center"/>
    </xf>
    <xf numFmtId="196" fontId="54" fillId="20" borderId="11" xfId="42" applyNumberFormat="1" applyFont="1" applyFill="1" applyBorder="1" applyAlignment="1" applyProtection="1">
      <alignment vertical="center"/>
    </xf>
    <xf numFmtId="196" fontId="43" fillId="0" borderId="0" xfId="42" applyNumberFormat="1" applyFont="1" applyAlignment="1">
      <alignment vertical="center"/>
    </xf>
    <xf numFmtId="196" fontId="43" fillId="0" borderId="12" xfId="42" applyNumberFormat="1" applyFont="1" applyBorder="1" applyAlignment="1">
      <alignment vertical="center"/>
    </xf>
    <xf numFmtId="169" fontId="43" fillId="0" borderId="0" xfId="42" quotePrefix="1" applyFont="1" applyBorder="1" applyAlignment="1" applyProtection="1">
      <alignment vertical="center"/>
    </xf>
    <xf numFmtId="196" fontId="43" fillId="0" borderId="0" xfId="42" applyNumberFormat="1" applyFont="1" applyBorder="1" applyAlignment="1">
      <alignment vertical="center"/>
    </xf>
    <xf numFmtId="197" fontId="54" fillId="20" borderId="11" xfId="42" applyNumberFormat="1" applyFont="1" applyFill="1" applyBorder="1" applyAlignment="1" applyProtection="1">
      <alignment vertical="center"/>
    </xf>
    <xf numFmtId="197" fontId="43" fillId="0" borderId="0" xfId="42" applyNumberFormat="1" applyFont="1" applyAlignment="1">
      <alignment vertical="center"/>
    </xf>
    <xf numFmtId="197" fontId="43" fillId="0" borderId="12" xfId="42" applyNumberFormat="1" applyFont="1" applyBorder="1" applyAlignment="1">
      <alignment vertical="center"/>
    </xf>
    <xf numFmtId="175" fontId="51" fillId="0" borderId="0" xfId="42" applyNumberFormat="1" applyFont="1" applyAlignment="1">
      <alignment vertical="center"/>
    </xf>
    <xf numFmtId="169" fontId="51" fillId="0" borderId="0" xfId="42" applyFont="1" applyBorder="1" applyAlignment="1">
      <alignment vertical="center"/>
    </xf>
    <xf numFmtId="169" fontId="43" fillId="0" borderId="0" xfId="42" applyFont="1" applyBorder="1" applyAlignment="1">
      <alignment horizontal="center" vertical="center"/>
    </xf>
    <xf numFmtId="175" fontId="43" fillId="0" borderId="0" xfId="42" applyNumberFormat="1" applyFont="1" applyBorder="1" applyAlignment="1">
      <alignment vertical="center"/>
    </xf>
    <xf numFmtId="169" fontId="54" fillId="19" borderId="0" xfId="42" applyFont="1" applyFill="1" applyAlignment="1">
      <alignment horizontal="center" vertical="center"/>
    </xf>
    <xf numFmtId="169" fontId="54" fillId="19" borderId="0" xfId="42" applyFont="1" applyFill="1" applyAlignment="1">
      <alignment horizontal="center"/>
    </xf>
    <xf numFmtId="169" fontId="54" fillId="19" borderId="0" xfId="42" quotePrefix="1" applyFont="1" applyFill="1" applyBorder="1" applyAlignment="1" applyProtection="1">
      <alignment horizontal="center"/>
    </xf>
    <xf numFmtId="169" fontId="54" fillId="19" borderId="10" xfId="42" applyFont="1" applyFill="1" applyBorder="1" applyAlignment="1"/>
    <xf numFmtId="169" fontId="54" fillId="19" borderId="10" xfId="42" applyFont="1" applyFill="1" applyBorder="1" applyAlignment="1" applyProtection="1">
      <alignment horizontal="left"/>
    </xf>
    <xf numFmtId="203" fontId="54" fillId="20" borderId="11" xfId="42" applyNumberFormat="1" applyFont="1" applyFill="1" applyBorder="1" applyAlignment="1" applyProtection="1">
      <alignment vertical="center"/>
    </xf>
    <xf numFmtId="203" fontId="43" fillId="0" borderId="0" xfId="42" applyNumberFormat="1" applyFont="1" applyAlignment="1">
      <alignment vertical="center"/>
    </xf>
    <xf numFmtId="203" fontId="43" fillId="0" borderId="12" xfId="42" applyNumberFormat="1" applyFont="1" applyBorder="1" applyAlignment="1">
      <alignment vertical="center"/>
    </xf>
    <xf numFmtId="168" fontId="51" fillId="0" borderId="0" xfId="0" applyFont="1" applyBorder="1" applyAlignment="1">
      <alignment vertical="center"/>
    </xf>
    <xf numFmtId="3" fontId="51" fillId="0" borderId="0" xfId="0" applyNumberFormat="1" applyFont="1" applyAlignment="1" applyProtection="1">
      <alignment vertical="center"/>
    </xf>
    <xf numFmtId="169" fontId="51" fillId="0" borderId="0" xfId="43" applyFont="1" applyAlignment="1">
      <alignment vertical="center"/>
    </xf>
    <xf numFmtId="169" fontId="55" fillId="0" borderId="0" xfId="43" applyFont="1" applyAlignment="1">
      <alignment vertical="center"/>
    </xf>
    <xf numFmtId="169" fontId="55" fillId="0" borderId="0" xfId="43" applyFont="1" applyAlignment="1">
      <alignment vertical="top"/>
    </xf>
    <xf numFmtId="169" fontId="55" fillId="0" borderId="0" xfId="43" applyFont="1" applyAlignment="1"/>
    <xf numFmtId="168" fontId="54" fillId="19" borderId="0" xfId="0" applyFont="1" applyFill="1" applyBorder="1" applyAlignment="1">
      <alignment vertical="center"/>
    </xf>
    <xf numFmtId="168" fontId="54" fillId="19" borderId="0" xfId="0" applyFont="1" applyFill="1" applyBorder="1" applyAlignment="1" applyProtection="1">
      <alignment horizontal="center" vertical="center"/>
    </xf>
    <xf numFmtId="168" fontId="54" fillId="19" borderId="10" xfId="0" applyFont="1" applyFill="1" applyBorder="1" applyAlignment="1">
      <alignment vertical="center"/>
    </xf>
    <xf numFmtId="168" fontId="54" fillId="19" borderId="10" xfId="0" quotePrefix="1" applyFont="1" applyFill="1" applyBorder="1" applyAlignment="1" applyProtection="1">
      <alignment horizontal="center" vertical="center"/>
    </xf>
    <xf numFmtId="168" fontId="54" fillId="19" borderId="10" xfId="0" applyFont="1" applyFill="1" applyBorder="1" applyAlignment="1">
      <alignment horizontal="center" vertical="center"/>
    </xf>
    <xf numFmtId="195" fontId="43" fillId="0" borderId="0" xfId="0" applyNumberFormat="1" applyFont="1" applyBorder="1" applyAlignment="1">
      <alignment horizontal="right" vertical="center"/>
    </xf>
    <xf numFmtId="195" fontId="43" fillId="0" borderId="12" xfId="0" applyNumberFormat="1" applyFont="1" applyBorder="1" applyAlignment="1">
      <alignment horizontal="right" vertical="center"/>
    </xf>
    <xf numFmtId="175" fontId="43" fillId="0" borderId="0" xfId="0" applyNumberFormat="1" applyFont="1" applyBorder="1" applyAlignment="1">
      <alignment horizontal="center" vertical="center"/>
    </xf>
    <xf numFmtId="175" fontId="43" fillId="0" borderId="0" xfId="0" applyNumberFormat="1" applyFont="1" applyBorder="1" applyAlignment="1" applyProtection="1">
      <alignment horizontal="center" vertical="center"/>
    </xf>
    <xf numFmtId="4" fontId="43" fillId="0" borderId="0" xfId="0" applyNumberFormat="1" applyFont="1" applyBorder="1" applyAlignment="1" applyProtection="1">
      <alignment horizontal="center" vertical="center"/>
    </xf>
    <xf numFmtId="175" fontId="43" fillId="0" borderId="12" xfId="0" applyNumberFormat="1" applyFont="1" applyBorder="1" applyAlignment="1">
      <alignment horizontal="center" vertical="center"/>
    </xf>
    <xf numFmtId="175" fontId="43" fillId="0" borderId="12" xfId="0" applyNumberFormat="1" applyFont="1" applyBorder="1" applyAlignment="1" applyProtection="1">
      <alignment horizontal="center" vertical="center"/>
    </xf>
    <xf numFmtId="37" fontId="51" fillId="0" borderId="0" xfId="0" applyNumberFormat="1" applyFont="1" applyBorder="1" applyAlignment="1" applyProtection="1">
      <alignment vertical="center"/>
    </xf>
    <xf numFmtId="168" fontId="51" fillId="0" borderId="0" xfId="0" applyFont="1" applyAlignment="1">
      <alignment vertical="center"/>
    </xf>
    <xf numFmtId="175" fontId="54" fillId="20" borderId="0" xfId="0" applyNumberFormat="1" applyFont="1" applyFill="1" applyBorder="1" applyAlignment="1" applyProtection="1">
      <alignment horizontal="center" vertical="center"/>
    </xf>
    <xf numFmtId="175" fontId="54" fillId="20" borderId="12" xfId="0" applyNumberFormat="1" applyFont="1" applyFill="1" applyBorder="1" applyAlignment="1" applyProtection="1">
      <alignment horizontal="center" vertical="center"/>
    </xf>
    <xf numFmtId="168" fontId="54" fillId="19" borderId="0" xfId="0" applyFont="1" applyFill="1" applyBorder="1" applyAlignment="1" applyProtection="1">
      <alignment horizontal="center" vertical="top"/>
    </xf>
    <xf numFmtId="168" fontId="54" fillId="19" borderId="0" xfId="0" applyFont="1" applyFill="1" applyBorder="1" applyAlignment="1" applyProtection="1">
      <alignment horizontal="center"/>
    </xf>
    <xf numFmtId="169" fontId="34" fillId="0" borderId="0" xfId="41" quotePrefix="1" applyFont="1" applyFill="1" applyAlignment="1" applyProtection="1">
      <alignment horizontal="left" vertical="center"/>
    </xf>
    <xf numFmtId="169" fontId="34" fillId="0" borderId="0" xfId="41" quotePrefix="1" applyFont="1" applyFill="1" applyAlignment="1">
      <alignment horizontal="left" vertical="center"/>
    </xf>
    <xf numFmtId="169" fontId="34" fillId="0" borderId="0" xfId="41" applyFont="1" applyFill="1" applyBorder="1" applyAlignment="1">
      <alignment vertical="center"/>
    </xf>
    <xf numFmtId="176" fontId="34" fillId="0" borderId="0" xfId="41" applyNumberFormat="1" applyFont="1" applyFill="1" applyBorder="1" applyAlignment="1" applyProtection="1">
      <alignment horizontal="right" vertical="center"/>
    </xf>
    <xf numFmtId="169" fontId="37" fillId="0" borderId="0" xfId="41" quotePrefix="1" applyFont="1" applyFill="1" applyAlignment="1">
      <alignment horizontal="left" vertical="center"/>
    </xf>
    <xf numFmtId="169" fontId="37" fillId="0" borderId="0" xfId="41" quotePrefix="1" applyFont="1" applyFill="1" applyAlignment="1">
      <alignment horizontal="center" vertical="center"/>
    </xf>
    <xf numFmtId="169" fontId="37" fillId="0" borderId="0" xfId="41" applyFont="1" applyFill="1" applyAlignment="1">
      <alignment horizontal="left" vertical="center"/>
    </xf>
    <xf numFmtId="169" fontId="37" fillId="0" borderId="0" xfId="41" applyFont="1" applyFill="1" applyAlignment="1">
      <alignment horizontal="center" vertical="center"/>
    </xf>
    <xf numFmtId="169" fontId="37" fillId="0" borderId="0" xfId="41" quotePrefix="1" applyFont="1" applyFill="1" applyAlignment="1">
      <alignment vertical="center"/>
    </xf>
    <xf numFmtId="169" fontId="31" fillId="19" borderId="0" xfId="41" applyFont="1" applyFill="1" applyAlignment="1">
      <alignment vertical="center"/>
    </xf>
    <xf numFmtId="169" fontId="31" fillId="19" borderId="10" xfId="41" applyFont="1" applyFill="1" applyBorder="1" applyAlignment="1">
      <alignment horizontal="center" vertical="center"/>
    </xf>
    <xf numFmtId="4" fontId="29" fillId="0" borderId="0" xfId="41" applyNumberFormat="1" applyFont="1" applyFill="1" applyAlignment="1">
      <alignment horizontal="center" vertical="center"/>
    </xf>
    <xf numFmtId="176" fontId="29" fillId="0" borderId="0" xfId="41" applyNumberFormat="1" applyFont="1" applyFill="1" applyAlignment="1" applyProtection="1">
      <alignment horizontal="center" vertical="center"/>
    </xf>
    <xf numFmtId="4" fontId="29" fillId="0" borderId="0" xfId="41" applyNumberFormat="1" applyFont="1" applyFill="1" applyBorder="1" applyAlignment="1">
      <alignment horizontal="center" vertical="center"/>
    </xf>
    <xf numFmtId="4" fontId="29" fillId="0" borderId="12" xfId="41" applyNumberFormat="1" applyFont="1" applyFill="1" applyBorder="1" applyAlignment="1">
      <alignment horizontal="center" vertical="center"/>
    </xf>
    <xf numFmtId="176" fontId="29" fillId="0" borderId="12" xfId="41" applyNumberFormat="1" applyFont="1" applyFill="1" applyBorder="1" applyAlignment="1" applyProtection="1">
      <alignment horizontal="center" vertical="center"/>
    </xf>
    <xf numFmtId="169" fontId="31" fillId="20" borderId="11" xfId="41" applyFont="1" applyFill="1" applyBorder="1" applyAlignment="1">
      <alignment horizontal="center" vertical="center"/>
    </xf>
    <xf numFmtId="4" fontId="31" fillId="20" borderId="11" xfId="41" applyNumberFormat="1" applyFont="1" applyFill="1" applyBorder="1" applyAlignment="1">
      <alignment horizontal="center" vertical="center"/>
    </xf>
    <xf numFmtId="0" fontId="31" fillId="0" borderId="0" xfId="40" applyFont="1" applyFill="1" applyAlignment="1">
      <alignment horizontal="left" vertical="center"/>
    </xf>
    <xf numFmtId="0" fontId="37" fillId="0" borderId="0" xfId="40" applyFont="1" applyFill="1" applyAlignment="1">
      <alignment horizontal="left" vertical="center"/>
    </xf>
    <xf numFmtId="0" fontId="37" fillId="0" borderId="0" xfId="40" applyFont="1" applyFill="1" applyAlignment="1" applyProtection="1">
      <alignment horizontal="left"/>
      <protection locked="0"/>
    </xf>
    <xf numFmtId="0" fontId="31" fillId="0" borderId="0" xfId="40" applyFont="1" applyFill="1" applyAlignment="1">
      <alignment horizontal="center"/>
    </xf>
    <xf numFmtId="0" fontId="29" fillId="0" borderId="0" xfId="40" applyFont="1" applyFill="1" applyAlignment="1">
      <alignment horizontal="center"/>
    </xf>
    <xf numFmtId="0" fontId="37" fillId="0" borderId="0" xfId="40" applyFont="1" applyFill="1" applyAlignment="1">
      <alignment horizontal="left" vertical="top"/>
    </xf>
    <xf numFmtId="0" fontId="34" fillId="0" borderId="0" xfId="40" applyFont="1" applyFill="1" applyBorder="1" applyAlignment="1">
      <alignment vertical="center"/>
    </xf>
    <xf numFmtId="2" fontId="39" fillId="0" borderId="0" xfId="40" applyNumberFormat="1" applyFont="1" applyFill="1" applyAlignment="1">
      <alignment vertical="center"/>
    </xf>
    <xf numFmtId="0" fontId="29" fillId="0" borderId="0" xfId="40" applyFont="1" applyFill="1" applyBorder="1" applyAlignment="1">
      <alignment horizontal="centerContinuous" vertical="center"/>
    </xf>
    <xf numFmtId="0" fontId="31" fillId="19" borderId="22" xfId="40" applyFont="1" applyFill="1" applyBorder="1" applyAlignment="1">
      <alignment horizontal="center" vertical="center"/>
    </xf>
    <xf numFmtId="0" fontId="31" fillId="19" borderId="16" xfId="40" applyFont="1" applyFill="1" applyBorder="1" applyAlignment="1">
      <alignment horizontal="centerContinuous" vertical="center"/>
    </xf>
    <xf numFmtId="0" fontId="31" fillId="19" borderId="10" xfId="40" applyFont="1" applyFill="1" applyBorder="1" applyAlignment="1">
      <alignment horizontal="center" vertical="center"/>
    </xf>
    <xf numFmtId="0" fontId="31" fillId="19" borderId="10" xfId="40" quotePrefix="1" applyFont="1" applyFill="1" applyBorder="1" applyAlignment="1">
      <alignment horizontal="center" vertical="center"/>
    </xf>
    <xf numFmtId="0" fontId="31" fillId="20" borderId="10" xfId="40" applyFont="1" applyFill="1" applyBorder="1" applyAlignment="1">
      <alignment horizontal="center" vertical="center"/>
    </xf>
    <xf numFmtId="2" fontId="31" fillId="20" borderId="10" xfId="40" applyNumberFormat="1" applyFont="1" applyFill="1" applyBorder="1" applyAlignment="1">
      <alignment horizontal="center" vertical="center"/>
    </xf>
    <xf numFmtId="2" fontId="29" fillId="0" borderId="0" xfId="40" applyNumberFormat="1" applyFont="1" applyFill="1" applyBorder="1" applyAlignment="1">
      <alignment horizontal="center" vertical="center"/>
    </xf>
    <xf numFmtId="2" fontId="29" fillId="0" borderId="0" xfId="40" applyNumberFormat="1" applyFont="1" applyFill="1" applyAlignment="1">
      <alignment horizontal="center" vertical="center"/>
    </xf>
    <xf numFmtId="2" fontId="29" fillId="0" borderId="12" xfId="40" applyNumberFormat="1" applyFont="1" applyFill="1" applyBorder="1" applyAlignment="1">
      <alignment horizontal="center" vertical="center"/>
    </xf>
    <xf numFmtId="2" fontId="29" fillId="0" borderId="0" xfId="40" quotePrefix="1" applyNumberFormat="1" applyFont="1" applyFill="1" applyAlignment="1">
      <alignment horizontal="center" vertical="center"/>
    </xf>
    <xf numFmtId="0" fontId="47" fillId="0" borderId="0" xfId="40" applyFont="1" applyFill="1" applyAlignment="1">
      <alignment horizontal="left" vertical="center"/>
    </xf>
    <xf numFmtId="4" fontId="29" fillId="0" borderId="0" xfId="40" applyNumberFormat="1" applyFont="1" applyFill="1" applyAlignment="1">
      <alignment horizontal="center" vertical="center"/>
    </xf>
    <xf numFmtId="0" fontId="44" fillId="20" borderId="10" xfId="40" applyFont="1" applyFill="1" applyBorder="1" applyAlignment="1">
      <alignment horizontal="center" vertical="center"/>
    </xf>
    <xf numFmtId="2" fontId="44" fillId="20" borderId="10" xfId="40" applyNumberFormat="1" applyFont="1" applyFill="1" applyBorder="1" applyAlignment="1">
      <alignment horizontal="center" vertical="center"/>
    </xf>
    <xf numFmtId="2" fontId="44" fillId="20" borderId="11" xfId="40" applyNumberFormat="1" applyFont="1" applyFill="1" applyBorder="1" applyAlignment="1">
      <alignment horizontal="center" vertical="center"/>
    </xf>
    <xf numFmtId="0" fontId="31" fillId="19" borderId="13" xfId="40" applyFont="1" applyFill="1" applyBorder="1" applyAlignment="1" applyProtection="1">
      <alignment horizontal="center" vertical="center"/>
    </xf>
    <xf numFmtId="0" fontId="31" fillId="19" borderId="13" xfId="40" applyFont="1" applyFill="1" applyBorder="1" applyAlignment="1">
      <alignment horizontal="center" vertical="center"/>
    </xf>
    <xf numFmtId="0" fontId="44" fillId="19" borderId="13" xfId="40" applyFont="1" applyFill="1" applyBorder="1" applyAlignment="1">
      <alignment horizontal="center" vertical="center"/>
    </xf>
    <xf numFmtId="0" fontId="39" fillId="0" borderId="0" xfId="40" quotePrefix="1" applyFont="1" applyFill="1" applyAlignment="1">
      <alignment horizontal="left" vertical="center"/>
    </xf>
    <xf numFmtId="0" fontId="39" fillId="0" borderId="0" xfId="40" applyFont="1" applyFill="1" applyAlignment="1">
      <alignment vertical="center"/>
    </xf>
    <xf numFmtId="2" fontId="31" fillId="20" borderId="0" xfId="40" applyNumberFormat="1" applyFont="1" applyFill="1" applyAlignment="1">
      <alignment horizontal="center" vertical="center"/>
    </xf>
    <xf numFmtId="2" fontId="31" fillId="20" borderId="12" xfId="40" applyNumberFormat="1" applyFont="1" applyFill="1" applyBorder="1" applyAlignment="1">
      <alignment horizontal="center" vertical="center"/>
    </xf>
    <xf numFmtId="2" fontId="44" fillId="20" borderId="0" xfId="40" applyNumberFormat="1" applyFont="1" applyFill="1" applyAlignment="1">
      <alignment horizontal="center" vertical="center"/>
    </xf>
    <xf numFmtId="2" fontId="44" fillId="20" borderId="12" xfId="40" applyNumberFormat="1" applyFont="1" applyFill="1" applyBorder="1" applyAlignment="1">
      <alignment horizontal="center" vertical="center"/>
    </xf>
    <xf numFmtId="2" fontId="44" fillId="20" borderId="0" xfId="40" applyNumberFormat="1" applyFont="1" applyFill="1" applyBorder="1" applyAlignment="1">
      <alignment horizontal="center" vertical="center"/>
    </xf>
    <xf numFmtId="0" fontId="37" fillId="0" borderId="0" xfId="40" applyFont="1" applyFill="1" applyAlignment="1">
      <alignment horizontal="left"/>
    </xf>
    <xf numFmtId="0" fontId="47" fillId="0" borderId="0" xfId="40" applyFont="1" applyFill="1" applyAlignment="1">
      <alignment horizontal="left"/>
    </xf>
    <xf numFmtId="0" fontId="31" fillId="0" borderId="0" xfId="40" applyFont="1" applyFill="1" applyAlignment="1">
      <alignment horizontal="left"/>
    </xf>
    <xf numFmtId="0" fontId="44" fillId="19" borderId="16" xfId="40" applyFont="1" applyFill="1" applyBorder="1" applyAlignment="1">
      <alignment horizontal="center" vertical="center"/>
    </xf>
    <xf numFmtId="0" fontId="29" fillId="0" borderId="0" xfId="40" applyFont="1" applyFill="1" applyAlignment="1">
      <alignment horizontal="center" vertical="center"/>
    </xf>
    <xf numFmtId="0" fontId="31" fillId="0" borderId="0" xfId="40" applyFont="1" applyFill="1" applyAlignment="1">
      <alignment horizontal="center" vertical="center"/>
    </xf>
    <xf numFmtId="0" fontId="29" fillId="0" borderId="0" xfId="40" applyFont="1" applyFill="1" applyAlignment="1">
      <alignment horizontal="center" vertical="center"/>
    </xf>
    <xf numFmtId="0" fontId="29" fillId="0" borderId="0" xfId="40" applyFont="1" applyFill="1" applyBorder="1" applyAlignment="1">
      <alignment horizontal="center" vertical="center"/>
    </xf>
    <xf numFmtId="0" fontId="29" fillId="0" borderId="0" xfId="40" quotePrefix="1" applyFont="1" applyFill="1" applyAlignment="1">
      <alignment horizontal="left"/>
    </xf>
    <xf numFmtId="0" fontId="29" fillId="0" borderId="0" xfId="40" applyFont="1" applyFill="1" applyAlignment="1"/>
    <xf numFmtId="175" fontId="29" fillId="0" borderId="0" xfId="40" applyNumberFormat="1" applyFont="1" applyFill="1" applyAlignment="1"/>
    <xf numFmtId="181" fontId="29" fillId="0" borderId="0" xfId="40" applyNumberFormat="1" applyFont="1" applyFill="1" applyAlignment="1"/>
    <xf numFmtId="1" fontId="29" fillId="0" borderId="0" xfId="40" applyNumberFormat="1" applyFont="1" applyFill="1" applyAlignment="1"/>
    <xf numFmtId="3" fontId="29" fillId="0" borderId="0" xfId="40" applyNumberFormat="1" applyFont="1" applyFill="1" applyAlignment="1"/>
    <xf numFmtId="0" fontId="29" fillId="0" borderId="0" xfId="40" applyFont="1" applyFill="1" applyAlignment="1">
      <alignment horizontal="left"/>
    </xf>
    <xf numFmtId="174" fontId="29" fillId="0" borderId="0" xfId="40" applyNumberFormat="1" applyFont="1" applyFill="1" applyAlignment="1"/>
    <xf numFmtId="4" fontId="29" fillId="0" borderId="0" xfId="40" applyNumberFormat="1" applyFont="1" applyFill="1" applyAlignment="1"/>
    <xf numFmtId="175" fontId="31" fillId="0" borderId="0" xfId="40" applyNumberFormat="1" applyFont="1" applyFill="1" applyAlignment="1"/>
    <xf numFmtId="189" fontId="29" fillId="0" borderId="0" xfId="40" applyNumberFormat="1" applyFont="1" applyFill="1" applyAlignment="1"/>
    <xf numFmtId="0" fontId="31" fillId="0" borderId="0" xfId="40" quotePrefix="1" applyFont="1" applyFill="1" applyAlignment="1">
      <alignment horizontal="left"/>
    </xf>
    <xf numFmtId="0" fontId="31" fillId="0" borderId="0" xfId="40" applyFont="1" applyFill="1" applyAlignment="1"/>
    <xf numFmtId="0" fontId="34" fillId="0" borderId="0" xfId="40" applyFont="1" applyFill="1" applyAlignment="1">
      <alignment horizontal="center"/>
    </xf>
    <xf numFmtId="0" fontId="34" fillId="0" borderId="0" xfId="40" quotePrefix="1" applyFont="1" applyFill="1" applyBorder="1" applyAlignment="1">
      <alignment horizontal="center"/>
    </xf>
    <xf numFmtId="0" fontId="37" fillId="0" borderId="0" xfId="40" quotePrefix="1" applyFont="1" applyFill="1" applyAlignment="1">
      <alignment vertical="center"/>
    </xf>
    <xf numFmtId="37" fontId="37" fillId="0" borderId="0" xfId="44" applyNumberFormat="1" applyFont="1" applyFill="1" applyAlignment="1" applyProtection="1">
      <alignment vertical="top"/>
    </xf>
    <xf numFmtId="37" fontId="37" fillId="0" borderId="0" xfId="44" quotePrefix="1" applyNumberFormat="1" applyFont="1" applyFill="1" applyAlignment="1" applyProtection="1"/>
    <xf numFmtId="37" fontId="31" fillId="19" borderId="16" xfId="44" applyFont="1" applyFill="1" applyBorder="1" applyAlignment="1">
      <alignment horizontal="center" vertical="center"/>
    </xf>
    <xf numFmtId="3" fontId="34" fillId="0" borderId="14" xfId="44" applyNumberFormat="1" applyFont="1" applyFill="1" applyBorder="1" applyAlignment="1">
      <alignment vertical="center"/>
    </xf>
    <xf numFmtId="37" fontId="34" fillId="0" borderId="0" xfId="44" applyFont="1" applyFill="1" applyAlignment="1">
      <alignment vertical="center"/>
    </xf>
    <xf numFmtId="37" fontId="34" fillId="0" borderId="0" xfId="44" applyFont="1" applyFill="1" applyBorder="1" applyAlignment="1">
      <alignment vertical="center"/>
    </xf>
    <xf numFmtId="3" fontId="34" fillId="0" borderId="0" xfId="44" applyNumberFormat="1" applyFont="1" applyFill="1" applyBorder="1" applyAlignment="1">
      <alignment vertical="center"/>
    </xf>
    <xf numFmtId="3" fontId="34" fillId="0" borderId="0" xfId="44" applyNumberFormat="1" applyFont="1" applyFill="1" applyAlignment="1">
      <alignment vertical="center"/>
    </xf>
    <xf numFmtId="49" fontId="31" fillId="19" borderId="16" xfId="44" applyNumberFormat="1" applyFont="1" applyFill="1" applyBorder="1" applyAlignment="1">
      <alignment horizontal="center" vertical="center"/>
    </xf>
    <xf numFmtId="3" fontId="31" fillId="20" borderId="11" xfId="40" applyNumberFormat="1" applyFont="1" applyFill="1" applyBorder="1" applyAlignment="1">
      <alignment vertical="center"/>
    </xf>
    <xf numFmtId="49" fontId="31" fillId="19" borderId="16" xfId="38" applyNumberFormat="1" applyFont="1" applyFill="1" applyBorder="1" applyAlignment="1">
      <alignment horizontal="center" vertical="center"/>
    </xf>
    <xf numFmtId="190" fontId="31" fillId="19" borderId="16" xfId="38" applyNumberFormat="1" applyFont="1" applyFill="1" applyBorder="1" applyAlignment="1">
      <alignment horizontal="center" vertical="center"/>
    </xf>
    <xf numFmtId="49" fontId="44" fillId="19" borderId="16" xfId="40" applyNumberFormat="1" applyFont="1" applyFill="1" applyBorder="1" applyAlignment="1">
      <alignment horizontal="center" vertical="center"/>
    </xf>
    <xf numFmtId="37" fontId="44" fillId="19" borderId="16" xfId="38" applyNumberFormat="1" applyFont="1" applyFill="1" applyBorder="1" applyAlignment="1">
      <alignment horizontal="center" vertical="center"/>
    </xf>
    <xf numFmtId="49" fontId="44" fillId="19" borderId="16" xfId="38" applyNumberFormat="1" applyFont="1" applyFill="1" applyBorder="1" applyAlignment="1">
      <alignment horizontal="center" vertical="center"/>
    </xf>
    <xf numFmtId="190" fontId="44" fillId="19" borderId="16" xfId="38" applyNumberFormat="1" applyFont="1" applyFill="1" applyBorder="1" applyAlignment="1">
      <alignment horizontal="center" vertical="center"/>
    </xf>
    <xf numFmtId="0" fontId="34" fillId="0" borderId="0" xfId="40" applyFont="1" applyFill="1" applyBorder="1" applyAlignment="1">
      <alignment horizontal="left" vertical="center"/>
    </xf>
    <xf numFmtId="201" fontId="31" fillId="20" borderId="11" xfId="40" applyNumberFormat="1" applyFont="1" applyFill="1" applyBorder="1" applyAlignment="1">
      <alignment vertical="center"/>
    </xf>
    <xf numFmtId="201" fontId="29" fillId="0" borderId="0" xfId="40" applyNumberFormat="1" applyFont="1" applyFill="1" applyAlignment="1">
      <alignment vertical="center"/>
    </xf>
    <xf numFmtId="201" fontId="29" fillId="0" borderId="0" xfId="40" applyNumberFormat="1" applyFont="1" applyFill="1" applyBorder="1" applyAlignment="1">
      <alignment vertical="center"/>
    </xf>
    <xf numFmtId="201" fontId="29" fillId="0" borderId="12" xfId="40" applyNumberFormat="1" applyFont="1" applyFill="1" applyBorder="1" applyAlignment="1">
      <alignment vertical="center"/>
    </xf>
    <xf numFmtId="0" fontId="59" fillId="0" borderId="0" xfId="0" applyNumberFormat="1" applyFont="1" applyAlignment="1">
      <alignment vertical="top"/>
    </xf>
    <xf numFmtId="0" fontId="44" fillId="20" borderId="16" xfId="40" applyFont="1" applyFill="1" applyBorder="1" applyAlignment="1">
      <alignment horizontal="center" vertical="center"/>
    </xf>
    <xf numFmtId="0" fontId="31" fillId="20" borderId="16" xfId="40" applyFont="1" applyFill="1" applyBorder="1" applyAlignment="1">
      <alignment horizontal="center" vertical="center"/>
    </xf>
    <xf numFmtId="200" fontId="31" fillId="20" borderId="11" xfId="40" applyNumberFormat="1" applyFont="1" applyFill="1" applyBorder="1" applyAlignment="1">
      <alignment vertical="center"/>
    </xf>
    <xf numFmtId="200" fontId="29" fillId="0" borderId="0" xfId="40" applyNumberFormat="1" applyFont="1" applyFill="1" applyAlignment="1">
      <alignment vertical="center"/>
    </xf>
    <xf numFmtId="200" fontId="29" fillId="0" borderId="0" xfId="40" applyNumberFormat="1" applyFont="1" applyFill="1" applyBorder="1" applyAlignment="1">
      <alignment vertical="center"/>
    </xf>
    <xf numFmtId="200" fontId="29" fillId="0" borderId="12" xfId="40" applyNumberFormat="1" applyFont="1" applyFill="1" applyBorder="1" applyAlignment="1">
      <alignment vertical="center"/>
    </xf>
    <xf numFmtId="195" fontId="31" fillId="20" borderId="11" xfId="40" applyNumberFormat="1" applyFont="1" applyFill="1" applyBorder="1" applyAlignment="1">
      <alignment vertical="center"/>
    </xf>
    <xf numFmtId="195" fontId="29" fillId="0" borderId="12" xfId="40" applyNumberFormat="1" applyFont="1" applyFill="1" applyBorder="1" applyAlignment="1">
      <alignment vertical="center"/>
    </xf>
    <xf numFmtId="37" fontId="37" fillId="0" borderId="0" xfId="44" applyFont="1" applyFill="1" applyAlignment="1">
      <alignment horizontal="left" vertical="top"/>
    </xf>
    <xf numFmtId="37" fontId="38" fillId="0" borderId="0" xfId="45" applyNumberFormat="1" applyFont="1" applyFill="1" applyAlignment="1" applyProtection="1">
      <alignment horizontal="right" vertical="center"/>
    </xf>
    <xf numFmtId="190" fontId="38" fillId="0" borderId="0" xfId="45" applyNumberFormat="1" applyFont="1" applyFill="1" applyAlignment="1" applyProtection="1">
      <alignment horizontal="right" vertical="center"/>
    </xf>
    <xf numFmtId="37" fontId="37" fillId="0" borderId="0" xfId="44" applyNumberFormat="1" applyFont="1" applyFill="1" applyAlignment="1" applyProtection="1">
      <alignment horizontal="left"/>
    </xf>
    <xf numFmtId="37" fontId="30" fillId="0" borderId="0" xfId="44" applyFont="1" applyFill="1" applyAlignment="1">
      <alignment horizontal="left"/>
    </xf>
    <xf numFmtId="37" fontId="31" fillId="19" borderId="0" xfId="44" applyNumberFormat="1" applyFont="1" applyFill="1" applyAlignment="1" applyProtection="1">
      <alignment horizontal="center" vertical="center"/>
    </xf>
    <xf numFmtId="37" fontId="31" fillId="19" borderId="0" xfId="44" applyFont="1" applyFill="1" applyAlignment="1">
      <alignment horizontal="center" vertical="center"/>
    </xf>
    <xf numFmtId="37" fontId="44" fillId="19" borderId="0" xfId="44" applyNumberFormat="1" applyFont="1" applyFill="1" applyAlignment="1" applyProtection="1">
      <alignment horizontal="center" vertical="center"/>
    </xf>
    <xf numFmtId="37" fontId="44" fillId="19" borderId="0" xfId="44" applyFont="1" applyFill="1" applyAlignment="1">
      <alignment horizontal="center" vertical="center"/>
    </xf>
    <xf numFmtId="37" fontId="31" fillId="20" borderId="11" xfId="44" applyNumberFormat="1" applyFont="1" applyFill="1" applyBorder="1" applyAlignment="1" applyProtection="1">
      <alignment horizontal="center" vertical="center"/>
    </xf>
    <xf numFmtId="37" fontId="31" fillId="20" borderId="11" xfId="44" applyFont="1" applyFill="1" applyBorder="1" applyAlignment="1">
      <alignment horizontal="right" vertical="center"/>
    </xf>
    <xf numFmtId="37" fontId="44" fillId="20" borderId="11" xfId="44" applyNumberFormat="1" applyFont="1" applyFill="1" applyBorder="1" applyAlignment="1" applyProtection="1">
      <alignment horizontal="center" vertical="center"/>
    </xf>
    <xf numFmtId="37" fontId="44" fillId="20" borderId="11" xfId="44" applyFont="1" applyFill="1" applyBorder="1" applyAlignment="1">
      <alignment vertical="center"/>
    </xf>
    <xf numFmtId="37" fontId="31" fillId="20" borderId="0" xfId="44" applyFont="1" applyFill="1" applyBorder="1" applyAlignment="1">
      <alignment horizontal="right" vertical="center"/>
    </xf>
    <xf numFmtId="3" fontId="31" fillId="20" borderId="0" xfId="47" applyNumberFormat="1" applyFont="1" applyFill="1" applyAlignment="1" applyProtection="1">
      <alignment horizontal="right" vertical="center"/>
    </xf>
    <xf numFmtId="37" fontId="31" fillId="20" borderId="12" xfId="44" applyFont="1" applyFill="1" applyBorder="1" applyAlignment="1">
      <alignment horizontal="right" vertical="center"/>
    </xf>
    <xf numFmtId="37" fontId="44" fillId="20" borderId="0" xfId="44" applyFont="1" applyFill="1" applyAlignment="1">
      <alignment vertical="center"/>
    </xf>
    <xf numFmtId="37" fontId="44" fillId="20" borderId="0" xfId="44" applyFont="1" applyFill="1" applyBorder="1" applyAlignment="1">
      <alignment vertical="center"/>
    </xf>
    <xf numFmtId="37" fontId="44" fillId="20" borderId="12" xfId="44" applyFont="1" applyFill="1" applyBorder="1" applyAlignment="1">
      <alignment vertical="center"/>
    </xf>
    <xf numFmtId="37" fontId="31" fillId="20" borderId="0" xfId="44" applyNumberFormat="1" applyFont="1" applyFill="1" applyAlignment="1" applyProtection="1">
      <alignment vertical="center"/>
    </xf>
    <xf numFmtId="37" fontId="31" fillId="20" borderId="0" xfId="44" applyNumberFormat="1" applyFont="1" applyFill="1" applyAlignment="1" applyProtection="1">
      <alignment horizontal="left" vertical="center"/>
    </xf>
    <xf numFmtId="37" fontId="37" fillId="0" borderId="0" xfId="44" applyFont="1" applyFill="1" applyAlignment="1">
      <alignment horizontal="left"/>
    </xf>
    <xf numFmtId="37" fontId="31" fillId="0" borderId="0" xfId="44" applyFont="1" applyFill="1" applyAlignment="1">
      <alignment horizontal="centerContinuous" vertical="center"/>
    </xf>
    <xf numFmtId="37" fontId="47" fillId="0" borderId="0" xfId="44" applyNumberFormat="1" applyFont="1" applyFill="1" applyAlignment="1" applyProtection="1">
      <alignment horizontal="left"/>
    </xf>
    <xf numFmtId="37" fontId="47" fillId="0" borderId="0" xfId="44" applyFont="1" applyFill="1" applyAlignment="1">
      <alignment horizontal="left"/>
    </xf>
    <xf numFmtId="37" fontId="44" fillId="0" borderId="0" xfId="44" applyFont="1" applyFill="1" applyAlignment="1">
      <alignment horizontal="centerContinuous" vertical="center"/>
    </xf>
    <xf numFmtId="200" fontId="31" fillId="20" borderId="11" xfId="44" applyNumberFormat="1" applyFont="1" applyFill="1" applyBorder="1" applyAlignment="1">
      <alignment horizontal="right" vertical="center"/>
    </xf>
    <xf numFmtId="200" fontId="29" fillId="0" borderId="0" xfId="44" applyNumberFormat="1" applyFont="1" applyFill="1" applyAlignment="1">
      <alignment horizontal="right" vertical="center"/>
    </xf>
    <xf numFmtId="200" fontId="31" fillId="20" borderId="0" xfId="44" applyNumberFormat="1" applyFont="1" applyFill="1" applyAlignment="1">
      <alignment horizontal="right" vertical="center"/>
    </xf>
    <xf numFmtId="200" fontId="29" fillId="0" borderId="12" xfId="44" applyNumberFormat="1" applyFont="1" applyFill="1" applyBorder="1" applyAlignment="1">
      <alignment horizontal="right" vertical="center"/>
    </xf>
    <xf numFmtId="200" fontId="29" fillId="0" borderId="12" xfId="44" applyNumberFormat="1" applyFont="1" applyFill="1" applyBorder="1" applyAlignment="1">
      <alignment vertical="center"/>
    </xf>
    <xf numFmtId="170" fontId="31" fillId="19" borderId="11" xfId="45" quotePrefix="1" applyNumberFormat="1" applyFont="1" applyFill="1" applyBorder="1" applyAlignment="1" applyProtection="1">
      <alignment horizontal="center" vertical="center"/>
    </xf>
    <xf numFmtId="3" fontId="29" fillId="20" borderId="10" xfId="35" applyNumberFormat="1" applyFont="1" applyFill="1" applyBorder="1" applyAlignment="1" applyProtection="1">
      <alignment vertical="center"/>
    </xf>
    <xf numFmtId="175" fontId="29" fillId="20" borderId="10" xfId="35" applyNumberFormat="1" applyFont="1" applyFill="1" applyBorder="1" applyAlignment="1" applyProtection="1">
      <alignment vertical="center"/>
    </xf>
    <xf numFmtId="175" fontId="31" fillId="20" borderId="10" xfId="35" applyNumberFormat="1" applyFont="1" applyFill="1" applyBorder="1" applyAlignment="1" applyProtection="1">
      <alignment vertical="center"/>
    </xf>
    <xf numFmtId="0" fontId="37" fillId="0" borderId="0" xfId="45" applyFont="1" applyFill="1" applyAlignment="1">
      <alignment horizontal="left" vertical="top"/>
    </xf>
    <xf numFmtId="0" fontId="47" fillId="0" borderId="0" xfId="45" applyFont="1" applyFill="1" applyAlignment="1">
      <alignment horizontal="left" vertical="top"/>
    </xf>
    <xf numFmtId="193" fontId="31" fillId="20" borderId="10" xfId="35" applyNumberFormat="1" applyFont="1" applyFill="1" applyBorder="1" applyAlignment="1" applyProtection="1">
      <alignment vertical="center"/>
    </xf>
    <xf numFmtId="193" fontId="31" fillId="0" borderId="0" xfId="35" applyNumberFormat="1" applyFont="1" applyFill="1" applyBorder="1" applyAlignment="1" applyProtection="1">
      <alignment vertical="center"/>
    </xf>
    <xf numFmtId="193" fontId="29" fillId="0" borderId="0" xfId="45" applyNumberFormat="1" applyFont="1" applyFill="1" applyAlignment="1" applyProtection="1">
      <alignment horizontal="right" vertical="center"/>
    </xf>
    <xf numFmtId="193" fontId="44" fillId="20" borderId="10" xfId="35" applyNumberFormat="1" applyFont="1" applyFill="1" applyBorder="1" applyAlignment="1" applyProtection="1">
      <alignment vertical="center"/>
    </xf>
    <xf numFmtId="202" fontId="44" fillId="20" borderId="10" xfId="35" applyNumberFormat="1" applyFont="1" applyFill="1" applyBorder="1" applyAlignment="1" applyProtection="1">
      <alignment vertical="center"/>
    </xf>
    <xf numFmtId="202" fontId="31" fillId="0" borderId="0" xfId="35" applyNumberFormat="1" applyFont="1" applyFill="1" applyBorder="1" applyAlignment="1" applyProtection="1">
      <alignment vertical="center"/>
    </xf>
    <xf numFmtId="202" fontId="29" fillId="0" borderId="0" xfId="45" applyNumberFormat="1" applyFont="1" applyFill="1" applyAlignment="1" applyProtection="1">
      <alignment horizontal="right" vertical="center"/>
    </xf>
    <xf numFmtId="175" fontId="44" fillId="20" borderId="10" xfId="35" applyNumberFormat="1" applyFont="1" applyFill="1" applyBorder="1" applyAlignment="1" applyProtection="1">
      <alignment horizontal="center" vertical="center"/>
    </xf>
    <xf numFmtId="175" fontId="31" fillId="0" borderId="0" xfId="35" applyNumberFormat="1" applyFont="1" applyFill="1" applyBorder="1" applyAlignment="1" applyProtection="1">
      <alignment horizontal="center" vertical="center"/>
    </xf>
    <xf numFmtId="175" fontId="29" fillId="0" borderId="0" xfId="45" applyNumberFormat="1" applyFont="1" applyFill="1" applyAlignment="1" applyProtection="1">
      <alignment horizontal="center" vertical="center"/>
    </xf>
    <xf numFmtId="170" fontId="31" fillId="19" borderId="11" xfId="45" quotePrefix="1" applyNumberFormat="1" applyFont="1" applyFill="1" applyBorder="1" applyAlignment="1" applyProtection="1">
      <alignment horizontal="right" vertical="center"/>
    </xf>
    <xf numFmtId="170" fontId="44" fillId="19" borderId="11" xfId="45" quotePrefix="1" applyNumberFormat="1" applyFont="1" applyFill="1" applyBorder="1" applyAlignment="1" applyProtection="1">
      <alignment horizontal="right" vertical="center"/>
    </xf>
    <xf numFmtId="4" fontId="31" fillId="20" borderId="10" xfId="35" applyNumberFormat="1" applyFont="1" applyFill="1" applyBorder="1" applyAlignment="1" applyProtection="1">
      <alignment vertical="center"/>
    </xf>
    <xf numFmtId="4" fontId="31" fillId="20" borderId="10" xfId="35" applyNumberFormat="1" applyFont="1" applyFill="1" applyBorder="1" applyAlignment="1" applyProtection="1">
      <alignment horizontal="center" vertical="center"/>
    </xf>
    <xf numFmtId="170" fontId="44" fillId="19" borderId="11" xfId="45" quotePrefix="1" applyNumberFormat="1" applyFont="1" applyFill="1" applyBorder="1" applyAlignment="1" applyProtection="1">
      <alignment horizontal="center" vertical="center"/>
    </xf>
    <xf numFmtId="193" fontId="31" fillId="20" borderId="10" xfId="35" applyNumberFormat="1" applyFont="1" applyFill="1" applyBorder="1" applyAlignment="1" applyProtection="1">
      <alignment horizontal="right" vertical="center"/>
    </xf>
    <xf numFmtId="193" fontId="31" fillId="0" borderId="0" xfId="35" applyNumberFormat="1" applyFont="1" applyFill="1" applyBorder="1" applyAlignment="1" applyProtection="1">
      <alignment horizontal="right" vertical="center"/>
    </xf>
    <xf numFmtId="0" fontId="31" fillId="20" borderId="0" xfId="40" applyFont="1" applyFill="1" applyAlignment="1">
      <alignment vertical="center"/>
    </xf>
    <xf numFmtId="174" fontId="31" fillId="20" borderId="12" xfId="40" applyNumberFormat="1" applyFont="1" applyFill="1" applyBorder="1" applyAlignment="1">
      <alignment vertical="center"/>
    </xf>
    <xf numFmtId="0" fontId="29" fillId="0" borderId="17" xfId="40" applyFont="1" applyFill="1" applyBorder="1" applyAlignment="1">
      <alignment horizontal="center" vertical="center"/>
    </xf>
    <xf numFmtId="37" fontId="37" fillId="0" borderId="0" xfId="40" applyNumberFormat="1" applyFont="1" applyFill="1" applyAlignment="1" applyProtection="1">
      <alignment vertical="center"/>
    </xf>
    <xf numFmtId="0" fontId="47" fillId="0" borderId="0" xfId="40" applyFont="1" applyFill="1" applyAlignment="1">
      <alignment horizontal="left" vertical="top"/>
    </xf>
    <xf numFmtId="192" fontId="29" fillId="0" borderId="0" xfId="40" applyNumberFormat="1" applyFont="1" applyFill="1" applyAlignment="1"/>
    <xf numFmtId="204" fontId="29" fillId="0" borderId="0" xfId="40" applyNumberFormat="1" applyFont="1" applyFill="1" applyAlignment="1"/>
    <xf numFmtId="195" fontId="29" fillId="0" borderId="0" xfId="40" applyNumberFormat="1" applyFont="1" applyFill="1" applyAlignment="1"/>
    <xf numFmtId="195" fontId="29" fillId="0" borderId="0" xfId="40" applyNumberFormat="1" applyFont="1" applyFill="1" applyAlignment="1">
      <alignment horizontal="right"/>
    </xf>
    <xf numFmtId="205" fontId="29" fillId="0" borderId="0" xfId="40" applyNumberFormat="1" applyFont="1" applyFill="1" applyAlignment="1"/>
    <xf numFmtId="168" fontId="54" fillId="19" borderId="0" xfId="0" applyFont="1" applyFill="1" applyBorder="1" applyAlignment="1" applyProtection="1">
      <alignment horizontal="center" vertical="center"/>
    </xf>
    <xf numFmtId="168" fontId="54" fillId="19" borderId="10" xfId="0" applyFont="1" applyFill="1" applyBorder="1" applyAlignment="1" applyProtection="1">
      <alignment horizontal="center" vertical="center"/>
    </xf>
    <xf numFmtId="168" fontId="54" fillId="19" borderId="14" xfId="0" applyFont="1" applyFill="1" applyBorder="1" applyAlignment="1">
      <alignment vertical="center"/>
    </xf>
    <xf numFmtId="168" fontId="54" fillId="19" borderId="14" xfId="0" applyFont="1" applyFill="1" applyBorder="1" applyAlignment="1" applyProtection="1">
      <alignment vertical="center"/>
    </xf>
    <xf numFmtId="168" fontId="54" fillId="19" borderId="0" xfId="0" applyFont="1" applyFill="1" applyBorder="1" applyAlignment="1" applyProtection="1">
      <alignment vertical="center"/>
    </xf>
    <xf numFmtId="168" fontId="54" fillId="19" borderId="10" xfId="0" applyFont="1" applyFill="1" applyBorder="1" applyAlignment="1" applyProtection="1">
      <alignment vertical="center"/>
    </xf>
    <xf numFmtId="195" fontId="54" fillId="20" borderId="0" xfId="0" applyNumberFormat="1" applyFont="1" applyFill="1" applyBorder="1" applyAlignment="1" applyProtection="1">
      <alignment horizontal="right" vertical="center"/>
    </xf>
    <xf numFmtId="195" fontId="43" fillId="0" borderId="0" xfId="0" applyNumberFormat="1" applyFont="1" applyBorder="1" applyAlignment="1" applyProtection="1">
      <alignment horizontal="right" vertical="center"/>
    </xf>
    <xf numFmtId="195" fontId="43" fillId="0" borderId="0" xfId="0" applyNumberFormat="1" applyFont="1" applyAlignment="1" applyProtection="1">
      <alignment horizontal="right" vertical="center"/>
    </xf>
    <xf numFmtId="195" fontId="54" fillId="20" borderId="12" xfId="0" applyNumberFormat="1" applyFont="1" applyFill="1" applyBorder="1" applyAlignment="1" applyProtection="1">
      <alignment horizontal="right" vertical="center"/>
    </xf>
    <xf numFmtId="195" fontId="43" fillId="0" borderId="12" xfId="0" applyNumberFormat="1" applyFont="1" applyBorder="1" applyAlignment="1" applyProtection="1">
      <alignment horizontal="right" vertical="center"/>
    </xf>
    <xf numFmtId="1" fontId="43" fillId="0" borderId="0" xfId="0" quotePrefix="1" applyNumberFormat="1" applyFont="1" applyBorder="1" applyAlignment="1" applyProtection="1">
      <alignment horizontal="center" vertical="center"/>
    </xf>
    <xf numFmtId="1" fontId="43" fillId="0" borderId="12" xfId="0" quotePrefix="1" applyNumberFormat="1" applyFont="1" applyBorder="1" applyAlignment="1" applyProtection="1">
      <alignment horizontal="center" vertical="center"/>
    </xf>
    <xf numFmtId="200" fontId="54" fillId="20" borderId="11" xfId="42" applyNumberFormat="1" applyFont="1" applyFill="1" applyBorder="1" applyAlignment="1" applyProtection="1">
      <alignment vertical="center"/>
    </xf>
    <xf numFmtId="200" fontId="43" fillId="0" borderId="0" xfId="42" applyNumberFormat="1" applyFont="1" applyAlignment="1">
      <alignment vertical="center"/>
    </xf>
    <xf numFmtId="200" fontId="43" fillId="0" borderId="0" xfId="42" applyNumberFormat="1" applyFont="1" applyBorder="1" applyAlignment="1">
      <alignment vertical="center"/>
    </xf>
    <xf numFmtId="200" fontId="43" fillId="0" borderId="12" xfId="42" applyNumberFormat="1" applyFont="1" applyBorder="1" applyAlignment="1">
      <alignment vertical="center"/>
    </xf>
    <xf numFmtId="200" fontId="43" fillId="0" borderId="0" xfId="42" applyNumberFormat="1" applyFont="1" applyBorder="1" applyAlignment="1" applyProtection="1">
      <alignment horizontal="right" vertical="center"/>
    </xf>
    <xf numFmtId="200" fontId="49" fillId="0" borderId="0" xfId="42" applyNumberFormat="1" applyFont="1" applyBorder="1" applyAlignment="1" applyProtection="1">
      <alignment horizontal="right" vertical="center"/>
    </xf>
    <xf numFmtId="200" fontId="43" fillId="0" borderId="12" xfId="42" applyNumberFormat="1" applyFont="1" applyBorder="1" applyAlignment="1" applyProtection="1">
      <alignment horizontal="right" vertical="center"/>
    </xf>
    <xf numFmtId="195" fontId="43" fillId="0" borderId="0" xfId="42" applyNumberFormat="1" applyFont="1" applyBorder="1" applyAlignment="1" applyProtection="1">
      <alignment horizontal="right" vertical="center"/>
    </xf>
    <xf numFmtId="195" fontId="43" fillId="0" borderId="0" xfId="42" applyNumberFormat="1" applyFont="1" applyBorder="1" applyAlignment="1">
      <alignment horizontal="right" vertical="center"/>
    </xf>
    <xf numFmtId="195" fontId="43" fillId="0" borderId="0" xfId="42" applyNumberFormat="1" applyFont="1" applyAlignment="1">
      <alignment horizontal="right" vertical="center"/>
    </xf>
    <xf numFmtId="195" fontId="43" fillId="0" borderId="12" xfId="42" applyNumberFormat="1" applyFont="1" applyBorder="1" applyAlignment="1" applyProtection="1">
      <alignment horizontal="right" vertical="center"/>
    </xf>
    <xf numFmtId="195" fontId="43" fillId="0" borderId="12" xfId="42" applyNumberFormat="1" applyFont="1" applyBorder="1" applyAlignment="1">
      <alignment horizontal="right" vertical="center"/>
    </xf>
    <xf numFmtId="195" fontId="31" fillId="20" borderId="11" xfId="40" applyNumberFormat="1" applyFont="1" applyFill="1" applyBorder="1" applyAlignment="1">
      <alignment horizontal="right" vertical="center"/>
    </xf>
    <xf numFmtId="195" fontId="29" fillId="0" borderId="0" xfId="40" applyNumberFormat="1" applyFont="1" applyFill="1" applyBorder="1" applyAlignment="1">
      <alignment horizontal="right" vertical="center"/>
    </xf>
    <xf numFmtId="195" fontId="29" fillId="0" borderId="12" xfId="40" applyNumberFormat="1" applyFont="1" applyFill="1" applyBorder="1" applyAlignment="1">
      <alignment horizontal="right" vertical="center"/>
    </xf>
    <xf numFmtId="195" fontId="44" fillId="20" borderId="11" xfId="44" applyNumberFormat="1" applyFont="1" applyFill="1" applyBorder="1" applyAlignment="1">
      <alignment vertical="center"/>
    </xf>
    <xf numFmtId="195" fontId="29" fillId="0" borderId="0" xfId="44" applyNumberFormat="1" applyFont="1" applyFill="1" applyAlignment="1">
      <alignment vertical="center"/>
    </xf>
    <xf numFmtId="195" fontId="31" fillId="20" borderId="0" xfId="44" applyNumberFormat="1" applyFont="1" applyFill="1" applyAlignment="1">
      <alignment vertical="center"/>
    </xf>
    <xf numFmtId="195" fontId="29" fillId="0" borderId="0" xfId="44" applyNumberFormat="1" applyFont="1" applyFill="1" applyAlignment="1" applyProtection="1">
      <alignment vertical="center"/>
    </xf>
    <xf numFmtId="195" fontId="29" fillId="0" borderId="0" xfId="44" applyNumberFormat="1" applyFont="1" applyFill="1" applyBorder="1" applyAlignment="1" applyProtection="1">
      <alignment vertical="center"/>
    </xf>
    <xf numFmtId="195" fontId="29" fillId="0" borderId="0" xfId="44" applyNumberFormat="1" applyFont="1" applyFill="1" applyBorder="1" applyAlignment="1">
      <alignment vertical="center"/>
    </xf>
    <xf numFmtId="168" fontId="31" fillId="19" borderId="13" xfId="0" applyFont="1" applyFill="1" applyBorder="1" applyAlignment="1">
      <alignment horizontal="center" vertical="center"/>
    </xf>
    <xf numFmtId="0" fontId="31" fillId="0" borderId="0" xfId="39" applyFont="1" applyFill="1" applyAlignment="1" applyProtection="1">
      <alignment horizontal="center" vertical="center"/>
    </xf>
    <xf numFmtId="3" fontId="29" fillId="0" borderId="18" xfId="40" applyNumberFormat="1" applyFont="1" applyFill="1" applyBorder="1" applyAlignment="1">
      <alignment horizontal="left" vertical="center"/>
    </xf>
    <xf numFmtId="3" fontId="29" fillId="0" borderId="0" xfId="40" applyNumberFormat="1" applyFont="1" applyFill="1" applyAlignment="1">
      <alignment horizontal="left" vertical="center"/>
    </xf>
    <xf numFmtId="3" fontId="29" fillId="0" borderId="12" xfId="40" applyNumberFormat="1" applyFont="1" applyFill="1" applyBorder="1" applyAlignment="1">
      <alignment horizontal="left" vertical="center"/>
    </xf>
    <xf numFmtId="3" fontId="29" fillId="0" borderId="10" xfId="40" applyNumberFormat="1" applyFont="1" applyFill="1" applyBorder="1" applyAlignment="1">
      <alignment horizontal="left" vertical="center"/>
    </xf>
    <xf numFmtId="0" fontId="44" fillId="19" borderId="16" xfId="40" applyFont="1" applyFill="1" applyBorder="1" applyAlignment="1">
      <alignment horizontal="center" vertical="center"/>
    </xf>
    <xf numFmtId="0" fontId="31" fillId="19" borderId="16" xfId="45" applyFont="1" applyFill="1" applyBorder="1" applyAlignment="1">
      <alignment horizontal="center" vertical="center"/>
    </xf>
    <xf numFmtId="169" fontId="31" fillId="20" borderId="11" xfId="45" applyNumberFormat="1" applyFont="1" applyFill="1" applyBorder="1" applyAlignment="1" applyProtection="1">
      <alignment horizontal="center" vertical="center"/>
    </xf>
    <xf numFmtId="0" fontId="44" fillId="19" borderId="16" xfId="45" applyFont="1" applyFill="1" applyBorder="1" applyAlignment="1">
      <alignment horizontal="center" vertical="center"/>
    </xf>
    <xf numFmtId="0" fontId="31" fillId="20" borderId="11" xfId="45" applyFont="1" applyFill="1" applyBorder="1" applyAlignment="1">
      <alignment horizontal="center" vertical="center"/>
    </xf>
    <xf numFmtId="169" fontId="29" fillId="0" borderId="12" xfId="41" applyFont="1" applyFill="1" applyBorder="1" applyAlignment="1">
      <alignment horizontal="center" vertical="center"/>
    </xf>
    <xf numFmtId="169" fontId="31" fillId="19" borderId="19" xfId="42" applyFont="1" applyFill="1" applyBorder="1" applyAlignment="1">
      <alignment horizontal="center" vertical="center"/>
    </xf>
    <xf numFmtId="169" fontId="31" fillId="19" borderId="13" xfId="42" applyFont="1" applyFill="1" applyBorder="1" applyAlignment="1">
      <alignment horizontal="center" vertical="center"/>
    </xf>
    <xf numFmtId="169" fontId="31" fillId="19" borderId="20" xfId="42" applyFont="1" applyFill="1" applyBorder="1" applyAlignment="1">
      <alignment horizontal="center" vertical="center"/>
    </xf>
    <xf numFmtId="169" fontId="31" fillId="19" borderId="14" xfId="42" applyFont="1" applyFill="1" applyBorder="1" applyAlignment="1">
      <alignment horizontal="center" vertical="center"/>
    </xf>
    <xf numFmtId="169" fontId="31" fillId="19" borderId="10" xfId="42" applyFont="1" applyFill="1" applyBorder="1" applyAlignment="1">
      <alignment horizontal="center" vertical="center"/>
    </xf>
    <xf numFmtId="169" fontId="29" fillId="0" borderId="12" xfId="42" applyFont="1" applyFill="1" applyBorder="1" applyAlignment="1" applyProtection="1">
      <alignment horizontal="center" vertical="center"/>
    </xf>
    <xf numFmtId="169" fontId="44" fillId="19" borderId="19" xfId="42" applyFont="1" applyFill="1" applyBorder="1" applyAlignment="1">
      <alignment horizontal="center" vertical="center"/>
    </xf>
    <xf numFmtId="169" fontId="44" fillId="19" borderId="13" xfId="42" applyFont="1" applyFill="1" applyBorder="1" applyAlignment="1">
      <alignment horizontal="center" vertical="center"/>
    </xf>
    <xf numFmtId="169" fontId="44" fillId="19" borderId="20" xfId="42" applyFont="1" applyFill="1" applyBorder="1" applyAlignment="1">
      <alignment horizontal="center" vertical="center"/>
    </xf>
    <xf numFmtId="169" fontId="44" fillId="19" borderId="14" xfId="42" applyFont="1" applyFill="1" applyBorder="1" applyAlignment="1">
      <alignment horizontal="center" vertical="center"/>
    </xf>
    <xf numFmtId="169" fontId="44" fillId="19" borderId="10" xfId="42" applyFont="1" applyFill="1" applyBorder="1" applyAlignment="1">
      <alignment horizontal="center" vertical="center"/>
    </xf>
    <xf numFmtId="169" fontId="54" fillId="19" borderId="14" xfId="42" applyFont="1" applyFill="1" applyBorder="1" applyAlignment="1">
      <alignment horizontal="center" vertical="center"/>
    </xf>
    <xf numFmtId="169" fontId="54" fillId="19" borderId="10" xfId="42" applyFont="1" applyFill="1" applyBorder="1" applyAlignment="1">
      <alignment horizontal="center" vertical="center"/>
    </xf>
    <xf numFmtId="169" fontId="54" fillId="19" borderId="14" xfId="42" applyFont="1" applyFill="1" applyBorder="1" applyAlignment="1" applyProtection="1">
      <alignment horizontal="center" vertical="center"/>
    </xf>
    <xf numFmtId="169" fontId="54" fillId="19" borderId="10" xfId="42" applyFont="1" applyFill="1" applyBorder="1" applyAlignment="1" applyProtection="1">
      <alignment horizontal="center" vertical="center"/>
    </xf>
    <xf numFmtId="169" fontId="54" fillId="19" borderId="13" xfId="42" applyFont="1" applyFill="1" applyBorder="1" applyAlignment="1">
      <alignment horizontal="center" vertical="center"/>
    </xf>
    <xf numFmtId="169" fontId="54" fillId="19" borderId="14" xfId="42" quotePrefix="1" applyFont="1" applyFill="1" applyBorder="1" applyAlignment="1" applyProtection="1">
      <alignment horizontal="center" vertical="center"/>
    </xf>
    <xf numFmtId="169" fontId="54" fillId="19" borderId="10" xfId="42" quotePrefix="1" applyFont="1" applyFill="1" applyBorder="1" applyAlignment="1" applyProtection="1">
      <alignment horizontal="center" vertical="center"/>
    </xf>
    <xf numFmtId="169" fontId="54" fillId="0" borderId="0" xfId="42" applyFont="1" applyFill="1" applyBorder="1" applyAlignment="1" applyProtection="1">
      <alignment horizontal="center" vertical="center"/>
    </xf>
    <xf numFmtId="169" fontId="54" fillId="0" borderId="0" xfId="42" quotePrefix="1" applyFont="1" applyAlignment="1" applyProtection="1">
      <alignment horizontal="center" vertical="center"/>
    </xf>
    <xf numFmtId="169" fontId="54" fillId="0" borderId="12" xfId="42" quotePrefix="1" applyFont="1" applyBorder="1" applyAlignment="1" applyProtection="1">
      <alignment horizontal="center" vertical="center"/>
    </xf>
    <xf numFmtId="169" fontId="43" fillId="0" borderId="12" xfId="42" quotePrefix="1" applyFont="1" applyBorder="1" applyAlignment="1" applyProtection="1">
      <alignment horizontal="center" vertical="center"/>
    </xf>
    <xf numFmtId="168" fontId="54" fillId="19" borderId="14" xfId="0" applyFont="1" applyFill="1" applyBorder="1" applyAlignment="1" applyProtection="1">
      <alignment horizontal="center" vertical="center"/>
    </xf>
    <xf numFmtId="168" fontId="54" fillId="19" borderId="0" xfId="0" applyFont="1" applyFill="1" applyBorder="1" applyAlignment="1" applyProtection="1">
      <alignment horizontal="center" vertical="center"/>
    </xf>
    <xf numFmtId="168" fontId="54" fillId="19" borderId="10" xfId="0" applyFont="1" applyFill="1" applyBorder="1" applyAlignment="1" applyProtection="1">
      <alignment horizontal="center" vertical="center"/>
    </xf>
    <xf numFmtId="168" fontId="54" fillId="19" borderId="10" xfId="0" applyFont="1" applyFill="1" applyBorder="1" applyAlignment="1">
      <alignment horizontal="center" vertical="center"/>
    </xf>
    <xf numFmtId="168" fontId="54" fillId="19" borderId="13" xfId="0" quotePrefix="1" applyFont="1" applyFill="1" applyBorder="1" applyAlignment="1" applyProtection="1">
      <alignment horizontal="center" vertical="center"/>
    </xf>
    <xf numFmtId="168" fontId="54" fillId="19" borderId="13" xfId="0" applyFont="1" applyFill="1" applyBorder="1" applyAlignment="1">
      <alignment horizontal="center" vertical="center"/>
    </xf>
    <xf numFmtId="169" fontId="29" fillId="0" borderId="12" xfId="41" applyFont="1" applyFill="1" applyBorder="1" applyAlignment="1" applyProtection="1">
      <alignment horizontal="center" vertical="center"/>
    </xf>
    <xf numFmtId="169" fontId="31" fillId="19" borderId="10" xfId="41" quotePrefix="1" applyFont="1" applyFill="1" applyBorder="1" applyAlignment="1">
      <alignment horizontal="center" vertical="center"/>
    </xf>
    <xf numFmtId="169" fontId="31" fillId="19" borderId="13" xfId="41" applyFont="1" applyFill="1" applyBorder="1" applyAlignment="1">
      <alignment horizontal="center" vertical="center"/>
    </xf>
    <xf numFmtId="169" fontId="31" fillId="19" borderId="14" xfId="41" applyFont="1" applyFill="1" applyBorder="1" applyAlignment="1">
      <alignment horizontal="center" vertical="center"/>
    </xf>
    <xf numFmtId="169" fontId="31" fillId="19" borderId="10" xfId="41" applyFont="1" applyFill="1" applyBorder="1" applyAlignment="1">
      <alignment horizontal="center" vertical="center"/>
    </xf>
    <xf numFmtId="0" fontId="31" fillId="19" borderId="22" xfId="40" applyFont="1" applyFill="1" applyBorder="1" applyAlignment="1">
      <alignment horizontal="center" vertical="center"/>
    </xf>
    <xf numFmtId="0" fontId="31" fillId="19" borderId="10" xfId="40" applyFont="1" applyFill="1" applyBorder="1" applyAlignment="1">
      <alignment horizontal="center" vertical="center"/>
    </xf>
    <xf numFmtId="0" fontId="29" fillId="0" borderId="0" xfId="40" applyFont="1" applyFill="1" applyAlignment="1">
      <alignment horizontal="center" vertical="center"/>
    </xf>
    <xf numFmtId="0" fontId="31" fillId="19" borderId="13" xfId="40" applyFont="1" applyFill="1" applyBorder="1" applyAlignment="1">
      <alignment horizontal="center" vertical="center"/>
    </xf>
    <xf numFmtId="37" fontId="29" fillId="0" borderId="0" xfId="44" applyFont="1" applyFill="1" applyBorder="1" applyAlignment="1">
      <alignment horizontal="center" vertical="center"/>
    </xf>
    <xf numFmtId="0" fontId="31" fillId="0" borderId="0" xfId="40" applyFont="1" applyFill="1" applyAlignment="1">
      <alignment horizontal="center" vertical="center"/>
    </xf>
    <xf numFmtId="0" fontId="31" fillId="19" borderId="10" xfId="45" applyFont="1" applyFill="1" applyBorder="1" applyAlignment="1">
      <alignment horizontal="center" vertical="center"/>
    </xf>
    <xf numFmtId="169" fontId="44" fillId="20" borderId="11" xfId="45" applyNumberFormat="1" applyFont="1" applyFill="1" applyBorder="1" applyAlignment="1" applyProtection="1">
      <alignment horizontal="center" vertical="center"/>
    </xf>
    <xf numFmtId="0" fontId="44" fillId="19" borderId="10" xfId="45" applyFont="1" applyFill="1" applyBorder="1" applyAlignment="1">
      <alignment horizontal="center" vertical="center"/>
    </xf>
  </cellXfs>
  <cellStyles count="59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Euro" xfId="30" xr:uid="{00000000-0005-0000-0000-00001D000000}"/>
    <cellStyle name="Incorrecto" xfId="31" builtinId="27" customBuiltin="1"/>
    <cellStyle name="Millares" xfId="32" builtinId="3"/>
    <cellStyle name="Millares [0]" xfId="33" builtinId="6"/>
    <cellStyle name="Millares 2" xfId="34" xr:uid="{00000000-0005-0000-0000-000021000000}"/>
    <cellStyle name="Millares 3" xfId="35" xr:uid="{00000000-0005-0000-0000-000022000000}"/>
    <cellStyle name="Millares_Cuadro N° 1,1-a,1-b" xfId="36" xr:uid="{00000000-0005-0000-0000-000023000000}"/>
    <cellStyle name="Neutral" xfId="37" builtinId="28" customBuiltin="1"/>
    <cellStyle name="Normal" xfId="0" builtinId="0"/>
    <cellStyle name="Normal 2" xfId="38" xr:uid="{00000000-0005-0000-0000-000026000000}"/>
    <cellStyle name="Normal 3" xfId="39" xr:uid="{00000000-0005-0000-0000-000027000000}"/>
    <cellStyle name="Normal 4" xfId="40" xr:uid="{00000000-0005-0000-0000-000028000000}"/>
    <cellStyle name="Normal 5" xfId="41" xr:uid="{00000000-0005-0000-0000-000029000000}"/>
    <cellStyle name="Normal 6" xfId="42" xr:uid="{00000000-0005-0000-0000-00002A000000}"/>
    <cellStyle name="Normal 7" xfId="43" xr:uid="{00000000-0005-0000-0000-00002B000000}"/>
    <cellStyle name="Normal 8" xfId="44" xr:uid="{00000000-0005-0000-0000-00002C000000}"/>
    <cellStyle name="Normal 9" xfId="45" xr:uid="{00000000-0005-0000-0000-00002D000000}"/>
    <cellStyle name="Normal_C-002_a" xfId="46" xr:uid="{00000000-0005-0000-0000-00002E000000}"/>
    <cellStyle name="Normal_C-30" xfId="47" xr:uid="{00000000-0005-0000-0000-00002F000000}"/>
    <cellStyle name="Normal_Hoja1" xfId="48" xr:uid="{00000000-0005-0000-0000-000030000000}"/>
    <cellStyle name="Notas" xfId="49" builtinId="10" customBuiltin="1"/>
    <cellStyle name="Porcentaje 2" xfId="50" xr:uid="{00000000-0005-0000-0000-000032000000}"/>
    <cellStyle name="Salida" xfId="51" builtinId="21" customBuiltin="1"/>
    <cellStyle name="Texto de advertencia" xfId="52" builtinId="11" customBuiltin="1"/>
    <cellStyle name="Texto explicativo" xfId="53" builtinId="53" customBuiltin="1"/>
    <cellStyle name="Título" xfId="54" builtinId="15" customBuiltin="1"/>
    <cellStyle name="Título 1" xfId="55" xr:uid="{00000000-0005-0000-0000-000037000000}"/>
    <cellStyle name="Título 2" xfId="56" builtinId="17" customBuiltin="1"/>
    <cellStyle name="Título 3" xfId="57" builtinId="18" customBuiltin="1"/>
    <cellStyle name="Total" xfId="58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7335F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EFA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8D500"/>
      <color rgb="FFFF9300"/>
      <color rgb="FFFFFD78"/>
      <color rgb="FFD5FC79"/>
      <color rgb="FFFF9373"/>
      <color rgb="FFE9F594"/>
      <color rgb="FFFF7200"/>
      <color rgb="FFF8A2D0"/>
      <color rgb="FFEBB98C"/>
      <color rgb="FF945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externalLink" Target="externalLinks/externalLink1.xml"/><Relationship Id="rId14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externalLink" Target="externalLinks/externalLink2.xml"/><Relationship Id="rId14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theme" Target="theme/theme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B67-C54C-AADD-AD7335DCC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858544"/>
        <c:axId val="1"/>
      </c:lineChart>
      <c:catAx>
        <c:axId val="97685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9768585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718-BE45-8315-4477CA4AE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691584"/>
        <c:axId val="1"/>
      </c:lineChart>
      <c:catAx>
        <c:axId val="1014691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146915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BB0-664A-B728-756736B43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718160"/>
        <c:axId val="1"/>
      </c:lineChart>
      <c:catAx>
        <c:axId val="101471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147181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BE8-8249-9A14-8F1B510C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742000"/>
        <c:axId val="1"/>
      </c:lineChart>
      <c:catAx>
        <c:axId val="1014742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147420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162-0646-982A-568A37A2E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767424"/>
        <c:axId val="1"/>
      </c:lineChart>
      <c:catAx>
        <c:axId val="1014767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147674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BE3-194E-BCF9-6ECBF4AAC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791440"/>
        <c:axId val="1"/>
      </c:lineChart>
      <c:catAx>
        <c:axId val="101479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147914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EC1-764B-9A3A-494B31375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5208880"/>
        <c:axId val="1"/>
      </c:lineChart>
      <c:catAx>
        <c:axId val="97520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9752088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ACC-DB4B-BC81-FE83F9BD0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992992"/>
        <c:axId val="1"/>
      </c:lineChart>
      <c:catAx>
        <c:axId val="976992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9769929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B46-E54C-AB1C-9B0619C27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7018800"/>
        <c:axId val="1"/>
      </c:lineChart>
      <c:catAx>
        <c:axId val="97701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9770188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'[3]ALP 02-01'!$T$118:$AE$118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'[3]ALP 02-01'!$T$120:$AE$120</c:f>
              <c:numCache>
                <c:formatCode>General</c:formatCode>
                <c:ptCount val="12"/>
                <c:pt idx="0">
                  <c:v>5.7350236468733575</c:v>
                </c:pt>
                <c:pt idx="1">
                  <c:v>6.9653179190751455</c:v>
                </c:pt>
                <c:pt idx="2">
                  <c:v>7.6228323699421967</c:v>
                </c:pt>
                <c:pt idx="3">
                  <c:v>10.407251707829742</c:v>
                </c:pt>
                <c:pt idx="4">
                  <c:v>11.617840252233316</c:v>
                </c:pt>
                <c:pt idx="5">
                  <c:v>11.584997372569628</c:v>
                </c:pt>
                <c:pt idx="6">
                  <c:v>10.949487651077247</c:v>
                </c:pt>
                <c:pt idx="7">
                  <c:v>8.920126116657908</c:v>
                </c:pt>
                <c:pt idx="8">
                  <c:v>8.2294403573305317</c:v>
                </c:pt>
                <c:pt idx="9">
                  <c:v>6.8181818181818175</c:v>
                </c:pt>
                <c:pt idx="10">
                  <c:v>5.5599710982658959</c:v>
                </c:pt>
                <c:pt idx="11">
                  <c:v>5.5895296899632161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1A-F340-B55C-5C3642FF7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7045200"/>
        <c:axId val="1"/>
      </c:lineChart>
      <c:catAx>
        <c:axId val="977045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9770452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'[3]ALP 02-01'!$T$118:$AE$118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'[3]ALP 02-01'!$T$120:$AE$120</c:f>
              <c:numCache>
                <c:formatCode>General</c:formatCode>
                <c:ptCount val="12"/>
                <c:pt idx="0">
                  <c:v>5.7350236468733575</c:v>
                </c:pt>
                <c:pt idx="1">
                  <c:v>6.9653179190751455</c:v>
                </c:pt>
                <c:pt idx="2">
                  <c:v>7.6228323699421967</c:v>
                </c:pt>
                <c:pt idx="3">
                  <c:v>10.407251707829742</c:v>
                </c:pt>
                <c:pt idx="4">
                  <c:v>11.617840252233316</c:v>
                </c:pt>
                <c:pt idx="5">
                  <c:v>11.584997372569628</c:v>
                </c:pt>
                <c:pt idx="6">
                  <c:v>10.949487651077247</c:v>
                </c:pt>
                <c:pt idx="7">
                  <c:v>8.920126116657908</c:v>
                </c:pt>
                <c:pt idx="8">
                  <c:v>8.2294403573305317</c:v>
                </c:pt>
                <c:pt idx="9">
                  <c:v>6.8181818181818175</c:v>
                </c:pt>
                <c:pt idx="10">
                  <c:v>5.5599710982658959</c:v>
                </c:pt>
                <c:pt idx="11">
                  <c:v>5.5895296899632161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E-0F43-8883-8535F678B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809616"/>
        <c:axId val="1"/>
      </c:lineChart>
      <c:catAx>
        <c:axId val="101480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148096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'[3]ALP 02-01'!$T$118:$AE$118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'[3]ALP 02-01'!$T$120:$AE$120</c:f>
              <c:numCache>
                <c:formatCode>General</c:formatCode>
                <c:ptCount val="12"/>
                <c:pt idx="0">
                  <c:v>5.7350236468733575</c:v>
                </c:pt>
                <c:pt idx="1">
                  <c:v>6.9653179190751455</c:v>
                </c:pt>
                <c:pt idx="2">
                  <c:v>7.6228323699421967</c:v>
                </c:pt>
                <c:pt idx="3">
                  <c:v>10.407251707829742</c:v>
                </c:pt>
                <c:pt idx="4">
                  <c:v>11.617840252233316</c:v>
                </c:pt>
                <c:pt idx="5">
                  <c:v>11.584997372569628</c:v>
                </c:pt>
                <c:pt idx="6">
                  <c:v>10.949487651077247</c:v>
                </c:pt>
                <c:pt idx="7">
                  <c:v>8.920126116657908</c:v>
                </c:pt>
                <c:pt idx="8">
                  <c:v>8.2294403573305317</c:v>
                </c:pt>
                <c:pt idx="9">
                  <c:v>6.8181818181818175</c:v>
                </c:pt>
                <c:pt idx="10">
                  <c:v>5.5599710982658959</c:v>
                </c:pt>
                <c:pt idx="11">
                  <c:v>5.5895296899632161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47-794D-88EB-4212FA330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7557200"/>
        <c:axId val="1"/>
      </c:lineChart>
      <c:catAx>
        <c:axId val="977557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9775572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sz="1100" b="1">
                <a:latin typeface="+mn-lt"/>
              </a:rPr>
              <a:t>Gráfico 1:</a:t>
            </a:r>
          </a:p>
          <a:p>
            <a:pPr>
              <a:defRPr/>
            </a:pPr>
            <a:r>
              <a:rPr lang="es-ES_tradnl" sz="1100" b="1">
                <a:latin typeface="+mn-lt"/>
              </a:rPr>
              <a:t>PARTICIPACIÓN PORCENTUAL DE LAS PRINCIPALES ESPECIES Y</a:t>
            </a:r>
          </a:p>
          <a:p>
            <a:pPr>
              <a:defRPr/>
            </a:pPr>
            <a:r>
              <a:rPr lang="es-ES_tradnl" sz="1100" b="1">
                <a:latin typeface="+mn-lt"/>
              </a:rPr>
              <a:t>PRODUCTOS PECUARIOS EN EL VBP AGROPECUARIO, 2007 (%)</a:t>
            </a:r>
          </a:p>
          <a:p>
            <a:pPr>
              <a:defRPr/>
            </a:pPr>
            <a:endParaRPr lang="es-ES_tradnl"/>
          </a:p>
        </c:rich>
      </c:tx>
      <c:layout>
        <c:manualLayout>
          <c:xMode val="edge"/>
          <c:yMode val="edge"/>
          <c:x val="0.179289374012362"/>
          <c:y val="5.8095518471556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25073859136288379"/>
          <c:y val="0.17552795329505319"/>
          <c:w val="0.49043390033244177"/>
          <c:h val="0.70447247625109877"/>
        </c:manualLayout>
      </c:layout>
      <c:pieChart>
        <c:varyColors val="1"/>
        <c:ser>
          <c:idx val="0"/>
          <c:order val="0"/>
          <c:spPr>
            <a:ln w="3175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8A2D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AB8-9E4D-A0DE-AEEA03AF1D58}"/>
              </c:ext>
            </c:extLst>
          </c:dPt>
          <c:dPt>
            <c:idx val="1"/>
            <c:bubble3D val="0"/>
            <c:spPr>
              <a:solidFill>
                <a:srgbClr val="FFFD78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B8-9E4D-A0DE-AEEA03AF1D58}"/>
              </c:ext>
            </c:extLst>
          </c:dPt>
          <c:dPt>
            <c:idx val="2"/>
            <c:bubble3D val="0"/>
            <c:spPr>
              <a:solidFill>
                <a:srgbClr val="B8D50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AB8-9E4D-A0DE-AEEA03AF1D58}"/>
              </c:ext>
            </c:extLst>
          </c:dPt>
          <c:dPt>
            <c:idx val="3"/>
            <c:bubble3D val="0"/>
            <c:spPr>
              <a:solidFill>
                <a:srgbClr val="FF9373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AB8-9E4D-A0DE-AEEA03AF1D58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B8-9E4D-A0DE-AEEA03AF1D58}"/>
              </c:ext>
            </c:extLst>
          </c:dPt>
          <c:dPt>
            <c:idx val="5"/>
            <c:bubble3D val="0"/>
            <c:spPr>
              <a:solidFill>
                <a:schemeClr val="accent6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AB8-9E4D-A0DE-AEEA03AF1D58}"/>
              </c:ext>
            </c:extLst>
          </c:dPt>
          <c:dPt>
            <c:idx val="6"/>
            <c:bubble3D val="0"/>
            <c:spPr>
              <a:solidFill>
                <a:srgbClr val="FF930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AB8-9E4D-A0DE-AEEA03AF1D58}"/>
              </c:ext>
            </c:extLst>
          </c:dPt>
          <c:dPt>
            <c:idx val="7"/>
            <c:bubble3D val="0"/>
            <c:spPr>
              <a:solidFill>
                <a:schemeClr val="accent4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B8-9E4D-A0DE-AEEA03AF1D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'G1'!$A$3:$A$10</c:f>
              <c:strCache>
                <c:ptCount val="8"/>
                <c:pt idx="0">
                  <c:v>Porcinos</c:v>
                </c:pt>
                <c:pt idx="1">
                  <c:v>Leche Vaca</c:v>
                </c:pt>
                <c:pt idx="2">
                  <c:v>Vacunos</c:v>
                </c:pt>
                <c:pt idx="3">
                  <c:v>Huevo</c:v>
                </c:pt>
                <c:pt idx="4">
                  <c:v>Pollo</c:v>
                </c:pt>
                <c:pt idx="5">
                  <c:v>Aves</c:v>
                </c:pt>
                <c:pt idx="6">
                  <c:v>Pecuario</c:v>
                </c:pt>
                <c:pt idx="7">
                  <c:v>Avícola</c:v>
                </c:pt>
              </c:strCache>
            </c:strRef>
          </c:cat>
          <c:val>
            <c:numRef>
              <c:f>'G1'!$B$3:$B$10</c:f>
              <c:numCache>
                <c:formatCode>#\ ##0.0_);\(#\ ##0.0\)</c:formatCode>
                <c:ptCount val="8"/>
                <c:pt idx="0">
                  <c:v>2.4</c:v>
                </c:pt>
                <c:pt idx="1">
                  <c:v>5.3</c:v>
                </c:pt>
                <c:pt idx="2">
                  <c:v>6.1</c:v>
                </c:pt>
                <c:pt idx="3">
                  <c:v>3.5</c:v>
                </c:pt>
                <c:pt idx="4">
                  <c:v>14.4</c:v>
                </c:pt>
                <c:pt idx="5">
                  <c:v>15.5</c:v>
                </c:pt>
                <c:pt idx="6">
                  <c:v>36.299999999999997</c:v>
                </c:pt>
                <c:pt idx="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8-9E4D-A0DE-AEEA03AF1D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463257517129694"/>
          <c:y val="0.88172548001474282"/>
          <c:w val="0.68489744698512556"/>
          <c:h val="0.11718789390445557"/>
        </c:manualLayout>
      </c:layout>
      <c:overlay val="1"/>
      <c:spPr>
        <a:noFill/>
        <a:ln>
          <a:solidFill>
            <a:schemeClr val="bg2">
              <a:lumMod val="50000"/>
            </a:schemeClr>
          </a:solidFill>
        </a:ln>
        <a:effectLst>
          <a:glow>
            <a:schemeClr val="accent1">
              <a:alpha val="99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sz="1100" b="1">
                <a:latin typeface="+mn-lt"/>
              </a:rPr>
              <a:t>Gráfico 2:</a:t>
            </a:r>
          </a:p>
          <a:p>
            <a:pPr>
              <a:defRPr/>
            </a:pPr>
            <a:r>
              <a:rPr lang="es-ES_tradnl" sz="1100" b="1">
                <a:latin typeface="+mn-lt"/>
              </a:rPr>
              <a:t>PARTICIPACIÓN PORCENTUAL DE LAS PRINCIPALES ESPECIES Y</a:t>
            </a:r>
          </a:p>
          <a:p>
            <a:pPr>
              <a:defRPr/>
            </a:pPr>
            <a:r>
              <a:rPr lang="es-ES_tradnl" sz="1100" b="1">
                <a:latin typeface="+mn-lt"/>
              </a:rPr>
              <a:t>PRODUCTOS PECUARIOS EN EL VBP AGROPECUARIO, 2010 (%)</a:t>
            </a:r>
          </a:p>
          <a:p>
            <a:pPr>
              <a:defRPr/>
            </a:pPr>
            <a:endParaRPr lang="es-ES_tradnl"/>
          </a:p>
        </c:rich>
      </c:tx>
      <c:layout>
        <c:manualLayout>
          <c:xMode val="edge"/>
          <c:yMode val="edge"/>
          <c:x val="0.18154100693378833"/>
          <c:y val="5.8095518471556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25073859136288379"/>
          <c:y val="0.17552795329505319"/>
          <c:w val="0.49043390033244177"/>
          <c:h val="0.70447247625109877"/>
        </c:manualLayout>
      </c:layout>
      <c:pieChart>
        <c:varyColors val="1"/>
        <c:ser>
          <c:idx val="0"/>
          <c:order val="0"/>
          <c:spPr>
            <a:ln w="3175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8A2D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27-D94A-BF41-DF1A86DCF229}"/>
              </c:ext>
            </c:extLst>
          </c:dPt>
          <c:dPt>
            <c:idx val="1"/>
            <c:bubble3D val="0"/>
            <c:spPr>
              <a:solidFill>
                <a:srgbClr val="FFFD78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27-D94A-BF41-DF1A86DCF229}"/>
              </c:ext>
            </c:extLst>
          </c:dPt>
          <c:dPt>
            <c:idx val="2"/>
            <c:bubble3D val="0"/>
            <c:spPr>
              <a:solidFill>
                <a:srgbClr val="B8D50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27-D94A-BF41-DF1A86DCF229}"/>
              </c:ext>
            </c:extLst>
          </c:dPt>
          <c:dPt>
            <c:idx val="3"/>
            <c:bubble3D val="0"/>
            <c:spPr>
              <a:solidFill>
                <a:srgbClr val="FF9373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27-D94A-BF41-DF1A86DCF22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27-D94A-BF41-DF1A86DCF229}"/>
              </c:ext>
            </c:extLst>
          </c:dPt>
          <c:dPt>
            <c:idx val="5"/>
            <c:bubble3D val="0"/>
            <c:spPr>
              <a:solidFill>
                <a:schemeClr val="accent6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427-D94A-BF41-DF1A86DCF229}"/>
              </c:ext>
            </c:extLst>
          </c:dPt>
          <c:dPt>
            <c:idx val="6"/>
            <c:bubble3D val="0"/>
            <c:spPr>
              <a:solidFill>
                <a:srgbClr val="FF930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427-D94A-BF41-DF1A86DCF229}"/>
              </c:ext>
            </c:extLst>
          </c:dPt>
          <c:dPt>
            <c:idx val="7"/>
            <c:bubble3D val="0"/>
            <c:spPr>
              <a:solidFill>
                <a:schemeClr val="accent4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427-D94A-BF41-DF1A86DCF2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'G2'!$A$3:$A$10</c:f>
              <c:strCache>
                <c:ptCount val="8"/>
                <c:pt idx="0">
                  <c:v>Porcinos</c:v>
                </c:pt>
                <c:pt idx="1">
                  <c:v>Leche Vaca</c:v>
                </c:pt>
                <c:pt idx="2">
                  <c:v>Vacunos</c:v>
                </c:pt>
                <c:pt idx="3">
                  <c:v>Huevo</c:v>
                </c:pt>
                <c:pt idx="4">
                  <c:v>Pollo</c:v>
                </c:pt>
                <c:pt idx="5">
                  <c:v>Aves</c:v>
                </c:pt>
                <c:pt idx="6">
                  <c:v>Pecuario</c:v>
                </c:pt>
                <c:pt idx="7">
                  <c:v>Avícola</c:v>
                </c:pt>
              </c:strCache>
            </c:strRef>
          </c:cat>
          <c:val>
            <c:numRef>
              <c:f>'G2'!$B$3:$B$10</c:f>
              <c:numCache>
                <c:formatCode>#\ ##0.0_);\(#\ ##0.0\)</c:formatCode>
                <c:ptCount val="8"/>
                <c:pt idx="0">
                  <c:v>2.1</c:v>
                </c:pt>
                <c:pt idx="1">
                  <c:v>5.3</c:v>
                </c:pt>
                <c:pt idx="2">
                  <c:v>5.6</c:v>
                </c:pt>
                <c:pt idx="3">
                  <c:v>3.3</c:v>
                </c:pt>
                <c:pt idx="4">
                  <c:v>16.5</c:v>
                </c:pt>
                <c:pt idx="5">
                  <c:v>17.7</c:v>
                </c:pt>
                <c:pt idx="6">
                  <c:v>37.1</c:v>
                </c:pt>
                <c:pt idx="7">
                  <c:v>21.1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427-D94A-BF41-DF1A86DCF2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463257517129694"/>
          <c:y val="0.88172548001474282"/>
          <c:w val="0.68489744698512556"/>
          <c:h val="0.11718789390445557"/>
        </c:manualLayout>
      </c:layout>
      <c:overlay val="1"/>
      <c:spPr>
        <a:noFill/>
        <a:ln>
          <a:solidFill>
            <a:schemeClr val="bg2">
              <a:lumMod val="50000"/>
            </a:schemeClr>
          </a:solidFill>
        </a:ln>
        <a:effectLst>
          <a:glow>
            <a:schemeClr val="accent1">
              <a:alpha val="99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sz="1100" b="1">
                <a:latin typeface="+mn-lt"/>
              </a:rPr>
              <a:t>Gráfico 3:</a:t>
            </a:r>
          </a:p>
          <a:p>
            <a:pPr>
              <a:defRPr/>
            </a:pPr>
            <a:r>
              <a:rPr lang="es-ES_tradnl" sz="1100" b="1">
                <a:latin typeface="+mn-lt"/>
              </a:rPr>
              <a:t>PARTICIPACIÓN PORCENTUAL DE LAS PRINCIPALES ESPECIES Y</a:t>
            </a:r>
          </a:p>
          <a:p>
            <a:pPr>
              <a:defRPr/>
            </a:pPr>
            <a:r>
              <a:rPr lang="es-ES_tradnl" sz="1100" b="1">
                <a:latin typeface="+mn-lt"/>
              </a:rPr>
              <a:t>PRODUCTOS PECUARIOS EN EL VBP AGROPECUARIO, 2015 (%)</a:t>
            </a:r>
          </a:p>
          <a:p>
            <a:pPr>
              <a:defRPr/>
            </a:pPr>
            <a:endParaRPr lang="es-ES_tradnl"/>
          </a:p>
        </c:rich>
      </c:tx>
      <c:layout>
        <c:manualLayout>
          <c:xMode val="edge"/>
          <c:yMode val="edge"/>
          <c:x val="0.18154100693378833"/>
          <c:y val="5.8095518471556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25073859136288379"/>
          <c:y val="0.17552795329505319"/>
          <c:w val="0.49043390033244177"/>
          <c:h val="0.70447247625109877"/>
        </c:manualLayout>
      </c:layout>
      <c:pieChart>
        <c:varyColors val="1"/>
        <c:ser>
          <c:idx val="0"/>
          <c:order val="0"/>
          <c:spPr>
            <a:ln w="3175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8A2D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40-E94B-A577-81E3F7554E1D}"/>
              </c:ext>
            </c:extLst>
          </c:dPt>
          <c:dPt>
            <c:idx val="1"/>
            <c:bubble3D val="0"/>
            <c:spPr>
              <a:solidFill>
                <a:srgbClr val="FFFD78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40-E94B-A577-81E3F7554E1D}"/>
              </c:ext>
            </c:extLst>
          </c:dPt>
          <c:dPt>
            <c:idx val="2"/>
            <c:bubble3D val="0"/>
            <c:spPr>
              <a:solidFill>
                <a:srgbClr val="B8D50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40-E94B-A577-81E3F7554E1D}"/>
              </c:ext>
            </c:extLst>
          </c:dPt>
          <c:dPt>
            <c:idx val="3"/>
            <c:bubble3D val="0"/>
            <c:spPr>
              <a:solidFill>
                <a:srgbClr val="FF9373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40-E94B-A577-81E3F7554E1D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740-E94B-A577-81E3F7554E1D}"/>
              </c:ext>
            </c:extLst>
          </c:dPt>
          <c:dPt>
            <c:idx val="5"/>
            <c:bubble3D val="0"/>
            <c:spPr>
              <a:solidFill>
                <a:schemeClr val="accent6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740-E94B-A577-81E3F7554E1D}"/>
              </c:ext>
            </c:extLst>
          </c:dPt>
          <c:dPt>
            <c:idx val="6"/>
            <c:bubble3D val="0"/>
            <c:spPr>
              <a:solidFill>
                <a:srgbClr val="FF930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740-E94B-A577-81E3F7554E1D}"/>
              </c:ext>
            </c:extLst>
          </c:dPt>
          <c:dPt>
            <c:idx val="7"/>
            <c:bubble3D val="0"/>
            <c:spPr>
              <a:solidFill>
                <a:schemeClr val="accent4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740-E94B-A577-81E3F7554E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'G3'!$A$3:$A$10</c:f>
              <c:strCache>
                <c:ptCount val="8"/>
                <c:pt idx="0">
                  <c:v>Porcinos</c:v>
                </c:pt>
                <c:pt idx="1">
                  <c:v>Leche Vaca</c:v>
                </c:pt>
                <c:pt idx="2">
                  <c:v>Vacunos</c:v>
                </c:pt>
                <c:pt idx="3">
                  <c:v>Huevo</c:v>
                </c:pt>
                <c:pt idx="4">
                  <c:v>Pollo</c:v>
                </c:pt>
                <c:pt idx="5">
                  <c:v>Aves</c:v>
                </c:pt>
                <c:pt idx="6">
                  <c:v>Pecuario</c:v>
                </c:pt>
                <c:pt idx="7">
                  <c:v>Avícola</c:v>
                </c:pt>
              </c:strCache>
            </c:strRef>
          </c:cat>
          <c:val>
            <c:numRef>
              <c:f>'G3'!$B$3:$B$10</c:f>
              <c:numCache>
                <c:formatCode>#\ ##0.0_);\(#\ ##0.0\)</c:formatCode>
                <c:ptCount val="8"/>
                <c:pt idx="0">
                  <c:v>2.1</c:v>
                </c:pt>
                <c:pt idx="1">
                  <c:v>5</c:v>
                </c:pt>
                <c:pt idx="2">
                  <c:v>5.3</c:v>
                </c:pt>
                <c:pt idx="3">
                  <c:v>3.7</c:v>
                </c:pt>
                <c:pt idx="4">
                  <c:v>19.100000000000001</c:v>
                </c:pt>
                <c:pt idx="5">
                  <c:v>20.5</c:v>
                </c:pt>
                <c:pt idx="6">
                  <c:v>39.1</c:v>
                </c:pt>
                <c:pt idx="7">
                  <c:v>24.2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740-E94B-A577-81E3F7554E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463257517129694"/>
          <c:y val="0.88172548001474282"/>
          <c:w val="0.68489744698512556"/>
          <c:h val="0.11718789390445557"/>
        </c:manualLayout>
      </c:layout>
      <c:overlay val="1"/>
      <c:spPr>
        <a:noFill/>
        <a:ln>
          <a:solidFill>
            <a:schemeClr val="bg2">
              <a:lumMod val="50000"/>
            </a:schemeClr>
          </a:solidFill>
        </a:ln>
        <a:effectLst>
          <a:glow>
            <a:schemeClr val="accent1">
              <a:alpha val="99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sz="1100" b="1">
                <a:latin typeface="+mn-lt"/>
              </a:rPr>
              <a:t>Gráfico 4:</a:t>
            </a:r>
          </a:p>
          <a:p>
            <a:pPr>
              <a:defRPr/>
            </a:pPr>
            <a:r>
              <a:rPr lang="es-ES_tradnl" sz="1100" b="1">
                <a:latin typeface="+mn-lt"/>
              </a:rPr>
              <a:t>PARTICIPACIÓN PORCENTUAL DE LAS PRINCIPALES ESPECIES Y</a:t>
            </a:r>
          </a:p>
          <a:p>
            <a:pPr>
              <a:defRPr/>
            </a:pPr>
            <a:r>
              <a:rPr lang="es-ES_tradnl" sz="1100" b="1">
                <a:latin typeface="+mn-lt"/>
              </a:rPr>
              <a:t>PRODUCTOS PECUARIOS EN EL VBP AGROPECUARIO, 2019 (%)</a:t>
            </a:r>
          </a:p>
          <a:p>
            <a:pPr>
              <a:defRPr/>
            </a:pPr>
            <a:endParaRPr lang="es-ES_tradnl"/>
          </a:p>
        </c:rich>
      </c:tx>
      <c:layout>
        <c:manualLayout>
          <c:xMode val="edge"/>
          <c:yMode val="edge"/>
          <c:x val="0.17703774109093562"/>
          <c:y val="5.8095518471556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25073859136288379"/>
          <c:y val="0.17552795329505319"/>
          <c:w val="0.49043390033244177"/>
          <c:h val="0.70447247625109877"/>
        </c:manualLayout>
      </c:layout>
      <c:pieChart>
        <c:varyColors val="1"/>
        <c:ser>
          <c:idx val="0"/>
          <c:order val="0"/>
          <c:spPr>
            <a:ln w="3175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8A2D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58-1D48-AC21-79A8190F358C}"/>
              </c:ext>
            </c:extLst>
          </c:dPt>
          <c:dPt>
            <c:idx val="1"/>
            <c:bubble3D val="0"/>
            <c:spPr>
              <a:solidFill>
                <a:srgbClr val="FFFD78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58-1D48-AC21-79A8190F358C}"/>
              </c:ext>
            </c:extLst>
          </c:dPt>
          <c:dPt>
            <c:idx val="2"/>
            <c:bubble3D val="0"/>
            <c:spPr>
              <a:solidFill>
                <a:srgbClr val="B8D50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58-1D48-AC21-79A8190F358C}"/>
              </c:ext>
            </c:extLst>
          </c:dPt>
          <c:dPt>
            <c:idx val="3"/>
            <c:bubble3D val="0"/>
            <c:spPr>
              <a:solidFill>
                <a:srgbClr val="FF9373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058-1D48-AC21-79A8190F358C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058-1D48-AC21-79A8190F358C}"/>
              </c:ext>
            </c:extLst>
          </c:dPt>
          <c:dPt>
            <c:idx val="5"/>
            <c:bubble3D val="0"/>
            <c:spPr>
              <a:solidFill>
                <a:schemeClr val="accent6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058-1D48-AC21-79A8190F358C}"/>
              </c:ext>
            </c:extLst>
          </c:dPt>
          <c:dPt>
            <c:idx val="6"/>
            <c:bubble3D val="0"/>
            <c:spPr>
              <a:solidFill>
                <a:srgbClr val="FF930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058-1D48-AC21-79A8190F358C}"/>
              </c:ext>
            </c:extLst>
          </c:dPt>
          <c:dPt>
            <c:idx val="7"/>
            <c:bubble3D val="0"/>
            <c:spPr>
              <a:solidFill>
                <a:schemeClr val="accent4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058-1D48-AC21-79A8190F35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'G4'!$A$3:$A$10</c:f>
              <c:strCache>
                <c:ptCount val="8"/>
                <c:pt idx="0">
                  <c:v>Porcinos</c:v>
                </c:pt>
                <c:pt idx="1">
                  <c:v>Leche Vaca</c:v>
                </c:pt>
                <c:pt idx="2">
                  <c:v>Vacunos</c:v>
                </c:pt>
                <c:pt idx="3">
                  <c:v>Huevo</c:v>
                </c:pt>
                <c:pt idx="4">
                  <c:v>Pollo</c:v>
                </c:pt>
                <c:pt idx="5">
                  <c:v>Aves</c:v>
                </c:pt>
                <c:pt idx="6">
                  <c:v>Pecuario</c:v>
                </c:pt>
                <c:pt idx="7">
                  <c:v>Avícola</c:v>
                </c:pt>
              </c:strCache>
            </c:strRef>
          </c:cat>
          <c:val>
            <c:numRef>
              <c:f>'G4'!$B$3:$B$10</c:f>
              <c:numCache>
                <c:formatCode>#\ ##0.0_);\(#\ ##0.0\)</c:formatCode>
                <c:ptCount val="8"/>
                <c:pt idx="0">
                  <c:v>2.2000000000000002</c:v>
                </c:pt>
                <c:pt idx="1">
                  <c:v>4.7</c:v>
                </c:pt>
                <c:pt idx="2">
                  <c:v>4.4000000000000004</c:v>
                </c:pt>
                <c:pt idx="3">
                  <c:v>4</c:v>
                </c:pt>
                <c:pt idx="4">
                  <c:v>20.3</c:v>
                </c:pt>
                <c:pt idx="5">
                  <c:v>21.7</c:v>
                </c:pt>
                <c:pt idx="6">
                  <c:v>39.4</c:v>
                </c:pt>
                <c:pt idx="7">
                  <c:v>25.8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058-1D48-AC21-79A8190F35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463257517129694"/>
          <c:y val="0.88172548001474282"/>
          <c:w val="0.68489744698512556"/>
          <c:h val="0.11718789390445557"/>
        </c:manualLayout>
      </c:layout>
      <c:overlay val="1"/>
      <c:spPr>
        <a:noFill/>
        <a:ln>
          <a:solidFill>
            <a:schemeClr val="bg2">
              <a:lumMod val="50000"/>
            </a:schemeClr>
          </a:solidFill>
        </a:ln>
        <a:effectLst>
          <a:glow>
            <a:schemeClr val="accent1">
              <a:alpha val="99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37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6422109" name="Gráfico 1">
          <a:extLst>
            <a:ext uri="{FF2B5EF4-FFF2-40B4-BE49-F238E27FC236}">
              <a16:creationId xmlns:a16="http://schemas.microsoft.com/office/drawing/2014/main" id="{CC3C6AD9-6D25-FA45-922E-29711D137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37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6422110" name="Gráfico 2">
          <a:extLst>
            <a:ext uri="{FF2B5EF4-FFF2-40B4-BE49-F238E27FC236}">
              <a16:creationId xmlns:a16="http://schemas.microsoft.com/office/drawing/2014/main" id="{DF9E610A-5AEF-0342-A718-7703E311F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37</xdr:row>
      <xdr:rowOff>0</xdr:rowOff>
    </xdr:from>
    <xdr:to>
      <xdr:col>19</xdr:col>
      <xdr:colOff>0</xdr:colOff>
      <xdr:row>37</xdr:row>
      <xdr:rowOff>0</xdr:rowOff>
    </xdr:to>
    <xdr:graphicFrame macro="">
      <xdr:nvGraphicFramePr>
        <xdr:cNvPr id="6425181" name="Gráfico 1">
          <a:extLst>
            <a:ext uri="{FF2B5EF4-FFF2-40B4-BE49-F238E27FC236}">
              <a16:creationId xmlns:a16="http://schemas.microsoft.com/office/drawing/2014/main" id="{471F76FA-170A-1449-822B-AB02DFE24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37</xdr:row>
      <xdr:rowOff>0</xdr:rowOff>
    </xdr:from>
    <xdr:to>
      <xdr:col>19</xdr:col>
      <xdr:colOff>0</xdr:colOff>
      <xdr:row>37</xdr:row>
      <xdr:rowOff>0</xdr:rowOff>
    </xdr:to>
    <xdr:graphicFrame macro="">
      <xdr:nvGraphicFramePr>
        <xdr:cNvPr id="6425182" name="Gráfico 2">
          <a:extLst>
            <a:ext uri="{FF2B5EF4-FFF2-40B4-BE49-F238E27FC236}">
              <a16:creationId xmlns:a16="http://schemas.microsoft.com/office/drawing/2014/main" id="{9DFC6B18-CC73-D34D-A48E-C2A297E2C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37</xdr:row>
      <xdr:rowOff>0</xdr:rowOff>
    </xdr:from>
    <xdr:to>
      <xdr:col>32</xdr:col>
      <xdr:colOff>0</xdr:colOff>
      <xdr:row>37</xdr:row>
      <xdr:rowOff>0</xdr:rowOff>
    </xdr:to>
    <xdr:graphicFrame macro="">
      <xdr:nvGraphicFramePr>
        <xdr:cNvPr id="6428253" name="Gráfico 1">
          <a:extLst>
            <a:ext uri="{FF2B5EF4-FFF2-40B4-BE49-F238E27FC236}">
              <a16:creationId xmlns:a16="http://schemas.microsoft.com/office/drawing/2014/main" id="{742AE11D-5163-0F41-AF21-5646280A8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37</xdr:row>
      <xdr:rowOff>0</xdr:rowOff>
    </xdr:from>
    <xdr:to>
      <xdr:col>32</xdr:col>
      <xdr:colOff>0</xdr:colOff>
      <xdr:row>37</xdr:row>
      <xdr:rowOff>0</xdr:rowOff>
    </xdr:to>
    <xdr:graphicFrame macro="">
      <xdr:nvGraphicFramePr>
        <xdr:cNvPr id="6428254" name="Gráfico 2">
          <a:extLst>
            <a:ext uri="{FF2B5EF4-FFF2-40B4-BE49-F238E27FC236}">
              <a16:creationId xmlns:a16="http://schemas.microsoft.com/office/drawing/2014/main" id="{7E4DB0BB-E1D0-6347-9E7A-2FBB3A8DD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0</xdr:rowOff>
    </xdr:to>
    <xdr:graphicFrame macro="">
      <xdr:nvGraphicFramePr>
        <xdr:cNvPr id="13102" name="Gráfico 1">
          <a:extLst>
            <a:ext uri="{FF2B5EF4-FFF2-40B4-BE49-F238E27FC236}">
              <a16:creationId xmlns:a16="http://schemas.microsoft.com/office/drawing/2014/main" id="{498CE5B0-EC76-1A43-A0AD-F529E0507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14126" name="Gráfico 1">
          <a:extLst>
            <a:ext uri="{FF2B5EF4-FFF2-40B4-BE49-F238E27FC236}">
              <a16:creationId xmlns:a16="http://schemas.microsoft.com/office/drawing/2014/main" id="{32FABAAF-BF8C-284A-8507-5010605A7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37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15150" name="Gráfico 1">
          <a:extLst>
            <a:ext uri="{FF2B5EF4-FFF2-40B4-BE49-F238E27FC236}">
              <a16:creationId xmlns:a16="http://schemas.microsoft.com/office/drawing/2014/main" id="{5CAF96AC-9A03-3C48-BEA1-EE721B969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15</xdr:col>
      <xdr:colOff>0</xdr:colOff>
      <xdr:row>7</xdr:row>
      <xdr:rowOff>0</xdr:rowOff>
    </xdr:to>
    <xdr:graphicFrame macro="">
      <xdr:nvGraphicFramePr>
        <xdr:cNvPr id="25389" name="Gráfico 1">
          <a:extLst>
            <a:ext uri="{FF2B5EF4-FFF2-40B4-BE49-F238E27FC236}">
              <a16:creationId xmlns:a16="http://schemas.microsoft.com/office/drawing/2014/main" id="{E99173EF-56CB-5246-91DE-ADD26A996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15</xdr:col>
      <xdr:colOff>0</xdr:colOff>
      <xdr:row>7</xdr:row>
      <xdr:rowOff>0</xdr:rowOff>
    </xdr:to>
    <xdr:graphicFrame macro="">
      <xdr:nvGraphicFramePr>
        <xdr:cNvPr id="26413" name="Gráfico 1">
          <a:extLst>
            <a:ext uri="{FF2B5EF4-FFF2-40B4-BE49-F238E27FC236}">
              <a16:creationId xmlns:a16="http://schemas.microsoft.com/office/drawing/2014/main" id="{88AE0823-A211-CD4F-83E9-87915A18D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15</xdr:col>
      <xdr:colOff>0</xdr:colOff>
      <xdr:row>7</xdr:row>
      <xdr:rowOff>0</xdr:rowOff>
    </xdr:to>
    <xdr:graphicFrame macro="">
      <xdr:nvGraphicFramePr>
        <xdr:cNvPr id="27437" name="Gráfico 1">
          <a:extLst>
            <a:ext uri="{FF2B5EF4-FFF2-40B4-BE49-F238E27FC236}">
              <a16:creationId xmlns:a16="http://schemas.microsoft.com/office/drawing/2014/main" id="{138F7FFC-D2F1-A342-A132-BF1ECC541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1939</xdr:colOff>
      <xdr:row>12</xdr:row>
      <xdr:rowOff>9888</xdr:rowOff>
    </xdr:from>
    <xdr:to>
      <xdr:col>10</xdr:col>
      <xdr:colOff>58168</xdr:colOff>
      <xdr:row>39</xdr:row>
      <xdr:rowOff>135726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2CF251-C1C4-2749-AA9D-58E7CFAF9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1939</xdr:colOff>
      <xdr:row>12</xdr:row>
      <xdr:rowOff>9888</xdr:rowOff>
    </xdr:from>
    <xdr:to>
      <xdr:col>10</xdr:col>
      <xdr:colOff>58168</xdr:colOff>
      <xdr:row>39</xdr:row>
      <xdr:rowOff>135726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8D7F8B-44FB-DB47-BC60-295D199CF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1939</xdr:colOff>
      <xdr:row>12</xdr:row>
      <xdr:rowOff>9888</xdr:rowOff>
    </xdr:from>
    <xdr:to>
      <xdr:col>10</xdr:col>
      <xdr:colOff>58168</xdr:colOff>
      <xdr:row>39</xdr:row>
      <xdr:rowOff>135726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BFCC45-F0FE-B544-BD56-81B087B19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1939</xdr:colOff>
      <xdr:row>12</xdr:row>
      <xdr:rowOff>9888</xdr:rowOff>
    </xdr:from>
    <xdr:to>
      <xdr:col>10</xdr:col>
      <xdr:colOff>58168</xdr:colOff>
      <xdr:row>39</xdr:row>
      <xdr:rowOff>135726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B99316-CCDA-604A-A18F-87F1D4D7A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mis%20documentos/PECUARIO2000/COLO12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LEON/Prod-5/Producci&#243;n-Pec(Base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LEON/Prod-4/WINDOWS/Profiles/randrade/Escritorio/C-ALPACA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LEON/Avicola/Base/Indicadores(c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YPPOLLO"/>
      <sheetName val="PROD-POLLO"/>
      <sheetName val="PROD-POLLO%"/>
      <sheetName val="RES-PROD-POLL"/>
      <sheetName val="CDPTOPOLLO"/>
      <sheetName val="CYPPADRES"/>
      <sheetName val="PPADPON"/>
      <sheetName val="res-padpon"/>
      <sheetName val="CDPTOPADRE"/>
      <sheetName val="CYPPONED"/>
      <sheetName val="CDPTOPONE"/>
      <sheetName val="CYPPAPOS"/>
      <sheetName val="CDPTOPAPOST"/>
      <sheetName val="movpoll"/>
      <sheetName val="COL.RES"/>
      <sheetName val="cuad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E 04-99"/>
      <sheetName val="OVI 04-99"/>
      <sheetName val="POR 04-99"/>
      <sheetName val="VAC 04-99"/>
      <sheetName val="CAP 04-99"/>
      <sheetName val="ALP 04-99"/>
      <sheetName val="LLA 04-99"/>
      <sheetName val="HUE 04-99"/>
      <sheetName val="VAC-LE 04-01"/>
      <sheetName val="F AL 04-99"/>
      <sheetName val="F LL 04-99)"/>
      <sheetName val="L OV 04-99)"/>
      <sheetName val="Hoja1"/>
      <sheetName val="Resumen"/>
    </sheetNames>
    <sheetDataSet>
      <sheetData sheetId="0">
        <row r="1376">
          <cell r="E1376">
            <v>5961.052022644064</v>
          </cell>
          <cell r="F1376">
            <v>5480</v>
          </cell>
          <cell r="G1376">
            <v>8748.4597077144408</v>
          </cell>
          <cell r="H1376">
            <v>8685.3618209649358</v>
          </cell>
          <cell r="I1376">
            <v>5944.6593203520706</v>
          </cell>
          <cell r="J1376">
            <v>6581.2346677772412</v>
          </cell>
          <cell r="K1376">
            <v>5417.5887457252802</v>
          </cell>
          <cell r="L1376">
            <v>12514.171428571401</v>
          </cell>
          <cell r="M1376">
            <v>18665.020153214198</v>
          </cell>
          <cell r="N1376">
            <v>5745.6118132532647</v>
          </cell>
          <cell r="O1376">
            <v>35484.397426269003</v>
          </cell>
          <cell r="P1376">
            <v>12855.43282389</v>
          </cell>
        </row>
        <row r="1377">
          <cell r="E1377">
            <v>11.610722724528934</v>
          </cell>
          <cell r="F1377">
            <v>10.1484893</v>
          </cell>
          <cell r="G1377">
            <v>17.813764926710601</v>
          </cell>
          <cell r="H1377">
            <v>18.131829515206611</v>
          </cell>
          <cell r="I1377">
            <v>11.617596029640751</v>
          </cell>
          <cell r="J1377">
            <v>14.051660441062364</v>
          </cell>
          <cell r="K1377">
            <v>11.071134823351784</v>
          </cell>
          <cell r="L1377">
            <v>25.877209020853201</v>
          </cell>
          <cell r="M1377">
            <v>41.49209512558852</v>
          </cell>
          <cell r="N1377">
            <v>12.157357319837681</v>
          </cell>
          <cell r="O1377">
            <v>88.904507979725111</v>
          </cell>
          <cell r="P1377">
            <v>31.611678983738386</v>
          </cell>
        </row>
        <row r="1379">
          <cell r="E1379">
            <v>1223493.6562747767</v>
          </cell>
          <cell r="F1379">
            <v>1250135.07142857</v>
          </cell>
          <cell r="G1379">
            <v>1212664.9937193722</v>
          </cell>
          <cell r="H1379">
            <v>1211409.1113560484</v>
          </cell>
          <cell r="I1379">
            <v>1194891.671184832</v>
          </cell>
          <cell r="J1379">
            <v>1192685.7919888368</v>
          </cell>
          <cell r="K1379">
            <v>1157439.1759166259</v>
          </cell>
          <cell r="L1379">
            <v>1230585.0905883226</v>
          </cell>
          <cell r="M1379">
            <v>1228405.6137991627</v>
          </cell>
          <cell r="N1379">
            <v>1267765.7103004053</v>
          </cell>
          <cell r="O1379">
            <v>1309406.2529293366</v>
          </cell>
          <cell r="P1379">
            <v>1304993.9483778493</v>
          </cell>
        </row>
        <row r="1380">
          <cell r="E1380">
            <v>2704.6476640352594</v>
          </cell>
          <cell r="F1380">
            <v>2533.0390084710298</v>
          </cell>
          <cell r="G1380">
            <v>2579.7038782515619</v>
          </cell>
          <cell r="H1380">
            <v>2725.140356702077</v>
          </cell>
          <cell r="I1380">
            <v>2677.1569877163492</v>
          </cell>
          <cell r="J1380">
            <v>2641.563151908691</v>
          </cell>
          <cell r="K1380">
            <v>2608.8443821805968</v>
          </cell>
          <cell r="L1380">
            <v>2879.2448616382908</v>
          </cell>
          <cell r="M1380">
            <v>2819.1908093763614</v>
          </cell>
          <cell r="N1380">
            <v>2914.7765384846275</v>
          </cell>
          <cell r="O1380">
            <v>2969.6299594215916</v>
          </cell>
          <cell r="P1380">
            <v>2999.7248742510974</v>
          </cell>
        </row>
        <row r="1382">
          <cell r="E1382">
            <v>1364963.8626141206</v>
          </cell>
          <cell r="F1382">
            <v>737420.14286000002</v>
          </cell>
          <cell r="G1382">
            <v>931514.87027484563</v>
          </cell>
          <cell r="H1382">
            <v>1394275.6830017178</v>
          </cell>
          <cell r="I1382">
            <v>695317.12352387886</v>
          </cell>
          <cell r="J1382">
            <v>1046396.6971615257</v>
          </cell>
          <cell r="K1382">
            <v>859896.56920409086</v>
          </cell>
          <cell r="L1382">
            <v>1026169.5012537867</v>
          </cell>
          <cell r="M1382">
            <v>1104074.8163734402</v>
          </cell>
          <cell r="N1382">
            <v>1007104.5189098649</v>
          </cell>
          <cell r="O1382">
            <v>1208352.7531296196</v>
          </cell>
          <cell r="P1382">
            <v>703911.86925982207</v>
          </cell>
        </row>
        <row r="1383">
          <cell r="E1383">
            <v>2884.6334879986312</v>
          </cell>
          <cell r="F1383">
            <v>1479.9683378999998</v>
          </cell>
          <cell r="G1383">
            <v>1948.8463167732393</v>
          </cell>
          <cell r="H1383">
            <v>2811.5861269798556</v>
          </cell>
          <cell r="I1383">
            <v>1467.506683948927</v>
          </cell>
          <cell r="J1383">
            <v>2347.9414256639266</v>
          </cell>
          <cell r="K1383">
            <v>1977.445810779486</v>
          </cell>
          <cell r="L1383">
            <v>2360.4211880030366</v>
          </cell>
          <cell r="M1383">
            <v>2533.1884566985755</v>
          </cell>
          <cell r="N1383">
            <v>2247.3447009082529</v>
          </cell>
          <cell r="O1383">
            <v>2747.0527115414093</v>
          </cell>
          <cell r="P1383">
            <v>1551.7867410743465</v>
          </cell>
        </row>
        <row r="1385">
          <cell r="E1385">
            <v>11916294.898231868</v>
          </cell>
          <cell r="F1385">
            <v>10679770.103977</v>
          </cell>
          <cell r="G1385">
            <v>11968450.017736955</v>
          </cell>
          <cell r="H1385">
            <v>12162302.620967589</v>
          </cell>
          <cell r="I1385">
            <v>12098468.567193512</v>
          </cell>
          <cell r="J1385">
            <v>11078982.991151651</v>
          </cell>
          <cell r="K1385">
            <v>11434716.591416664</v>
          </cell>
          <cell r="L1385">
            <v>11966621.474413345</v>
          </cell>
          <cell r="M1385">
            <v>12122639.09630624</v>
          </cell>
          <cell r="N1385">
            <v>12362490.948785558</v>
          </cell>
          <cell r="O1385">
            <v>11324135.160556417</v>
          </cell>
          <cell r="P1385">
            <v>11584125.714184076</v>
          </cell>
        </row>
        <row r="1386">
          <cell r="E1386">
            <v>24747.483025386973</v>
          </cell>
          <cell r="F1386">
            <v>22389.857640141807</v>
          </cell>
          <cell r="G1386">
            <v>27066.810489492218</v>
          </cell>
          <cell r="H1386">
            <v>27509.923767863398</v>
          </cell>
          <cell r="I1386">
            <v>26289.819468286638</v>
          </cell>
          <cell r="J1386">
            <v>26221.746627236094</v>
          </cell>
          <cell r="K1386">
            <v>27005.359415722451</v>
          </cell>
          <cell r="L1386">
            <v>28156.840880402215</v>
          </cell>
          <cell r="M1386">
            <v>27813.567291366664</v>
          </cell>
          <cell r="N1386">
            <v>28068.940113880984</v>
          </cell>
          <cell r="O1386">
            <v>25908.345319636584</v>
          </cell>
          <cell r="P1386">
            <v>25728.691944455157</v>
          </cell>
        </row>
        <row r="1388">
          <cell r="E1388">
            <v>152027.26232592232</v>
          </cell>
          <cell r="F1388">
            <v>130763.8433682865</v>
          </cell>
          <cell r="G1388">
            <v>110034.28119506131</v>
          </cell>
          <cell r="H1388">
            <v>145179.91583391654</v>
          </cell>
          <cell r="I1388">
            <v>145344.88430490758</v>
          </cell>
          <cell r="J1388">
            <v>142196.37834971939</v>
          </cell>
          <cell r="K1388">
            <v>168526.71971360059</v>
          </cell>
          <cell r="L1388">
            <v>148360.48596257719</v>
          </cell>
          <cell r="M1388">
            <v>149153.92921023595</v>
          </cell>
          <cell r="N1388">
            <v>157744.68516256072</v>
          </cell>
          <cell r="O1388">
            <v>153859.67463028833</v>
          </cell>
          <cell r="P1388">
            <v>165620.08564746359</v>
          </cell>
        </row>
        <row r="1389">
          <cell r="E1389">
            <v>294.85229539629194</v>
          </cell>
          <cell r="F1389">
            <v>249.07750050000001</v>
          </cell>
          <cell r="G1389">
            <v>227.71780113620068</v>
          </cell>
          <cell r="H1389">
            <v>300.20441063607745</v>
          </cell>
          <cell r="I1389">
            <v>299.40281482310246</v>
          </cell>
          <cell r="J1389">
            <v>301.06254328530463</v>
          </cell>
          <cell r="K1389">
            <v>351.24973600511419</v>
          </cell>
          <cell r="L1389">
            <v>302.83795685590729</v>
          </cell>
          <cell r="M1389">
            <v>315.9363267599465</v>
          </cell>
          <cell r="N1389">
            <v>330.14285818515975</v>
          </cell>
          <cell r="O1389">
            <v>341.75009466951116</v>
          </cell>
          <cell r="P1389">
            <v>353.05099729608872</v>
          </cell>
        </row>
        <row r="1391">
          <cell r="E1391">
            <v>97811.594279257275</v>
          </cell>
          <cell r="F1391">
            <v>81526.8433682865</v>
          </cell>
          <cell r="G1391">
            <v>66892.207871569422</v>
          </cell>
          <cell r="H1391">
            <v>90428.726922939793</v>
          </cell>
          <cell r="I1391">
            <v>96305.980653413499</v>
          </cell>
          <cell r="J1391">
            <v>91481.349520917094</v>
          </cell>
          <cell r="K1391">
            <v>116427.02012819461</v>
          </cell>
          <cell r="L1391">
            <v>94869.937993703206</v>
          </cell>
          <cell r="M1391">
            <v>94932.563114490811</v>
          </cell>
          <cell r="N1391">
            <v>103290.31933940839</v>
          </cell>
          <cell r="O1391">
            <v>99636.808993608603</v>
          </cell>
          <cell r="P1391">
            <v>108560.33424895201</v>
          </cell>
        </row>
        <row r="1392">
          <cell r="E1392">
            <v>193.18791757538912</v>
          </cell>
          <cell r="F1392">
            <v>156.87810050000002</v>
          </cell>
          <cell r="G1392">
            <v>138.87268321948181</v>
          </cell>
          <cell r="H1392">
            <v>188.73312118841403</v>
          </cell>
          <cell r="I1392">
            <v>199.6537917669921</v>
          </cell>
          <cell r="J1392">
            <v>193.68008129483181</v>
          </cell>
          <cell r="K1392">
            <v>241.72469415589188</v>
          </cell>
          <cell r="L1392">
            <v>190.20243508485021</v>
          </cell>
          <cell r="M1392">
            <v>200.27094617685447</v>
          </cell>
          <cell r="N1392">
            <v>217.699626227088</v>
          </cell>
          <cell r="O1392">
            <v>232.36959975932592</v>
          </cell>
          <cell r="P1392">
            <v>234.39904471472101</v>
          </cell>
        </row>
        <row r="1394">
          <cell r="E1394">
            <v>26505.437711702911</v>
          </cell>
          <cell r="F1394">
            <v>24190</v>
          </cell>
          <cell r="G1394">
            <v>21091.680291484929</v>
          </cell>
          <cell r="H1394">
            <v>26767.247912033079</v>
          </cell>
          <cell r="I1394">
            <v>23974.575118508223</v>
          </cell>
          <cell r="J1394">
            <v>24794.014094081129</v>
          </cell>
          <cell r="K1394">
            <v>25937.630908420699</v>
          </cell>
          <cell r="L1394">
            <v>26128.712340338399</v>
          </cell>
          <cell r="M1394">
            <v>25997.112313475402</v>
          </cell>
          <cell r="N1394">
            <v>26475.467735763348</v>
          </cell>
          <cell r="O1394">
            <v>26264.51208904343</v>
          </cell>
          <cell r="P1394">
            <v>27895.878461494547</v>
          </cell>
        </row>
        <row r="1395">
          <cell r="E1395">
            <v>49.702584712441364</v>
          </cell>
          <cell r="F1395">
            <v>45.786000000000001</v>
          </cell>
          <cell r="G1395">
            <v>43.435390981507005</v>
          </cell>
          <cell r="H1395">
            <v>54.497074841079893</v>
          </cell>
          <cell r="I1395">
            <v>48.766189049653946</v>
          </cell>
          <cell r="J1395">
            <v>52.498092528675578</v>
          </cell>
          <cell r="K1395">
            <v>53.967798237397602</v>
          </cell>
          <cell r="L1395">
            <v>55.510699532516803</v>
          </cell>
          <cell r="M1395">
            <v>55.525297173956098</v>
          </cell>
          <cell r="N1395">
            <v>53.9500245128351</v>
          </cell>
          <cell r="O1395">
            <v>51.430464178312803</v>
          </cell>
          <cell r="P1395">
            <v>58.007621262002012</v>
          </cell>
        </row>
        <row r="1397">
          <cell r="E1397">
            <v>27710.230334962136</v>
          </cell>
          <cell r="F1397">
            <v>25047</v>
          </cell>
          <cell r="G1397">
            <v>22050.39303200697</v>
          </cell>
          <cell r="H1397">
            <v>27983.940998943672</v>
          </cell>
          <cell r="I1397">
            <v>25064.32853298587</v>
          </cell>
          <cell r="J1397">
            <v>25921.014734721182</v>
          </cell>
          <cell r="K1397">
            <v>26162.068676985298</v>
          </cell>
          <cell r="L1397">
            <v>27361.835628535599</v>
          </cell>
          <cell r="M1397">
            <v>28224.25378226972</v>
          </cell>
          <cell r="N1397">
            <v>27978.898087389</v>
          </cell>
          <cell r="O1397">
            <v>27958.353547636299</v>
          </cell>
          <cell r="P1397">
            <v>29163.872937017026</v>
          </cell>
        </row>
        <row r="1398">
          <cell r="E1398">
            <v>51.961793108461428</v>
          </cell>
          <cell r="F1398">
            <v>46.413400000000003</v>
          </cell>
          <cell r="G1398">
            <v>45.409726935211872</v>
          </cell>
          <cell r="H1398">
            <v>56.97421460658353</v>
          </cell>
          <cell r="I1398">
            <v>50.9828340064564</v>
          </cell>
          <cell r="J1398">
            <v>54.884369461797199</v>
          </cell>
          <cell r="K1398">
            <v>55.557243611824703</v>
          </cell>
          <cell r="L1398">
            <v>57.124822238540297</v>
          </cell>
          <cell r="M1398">
            <v>60.14008340913594</v>
          </cell>
          <cell r="N1398">
            <v>58.493207445236663</v>
          </cell>
          <cell r="O1398">
            <v>57.950030731872431</v>
          </cell>
          <cell r="P1398">
            <v>60.64433131936574</v>
          </cell>
        </row>
        <row r="1400">
          <cell r="E1400">
            <v>37878.003919050934</v>
          </cell>
          <cell r="F1400">
            <v>28988</v>
          </cell>
          <cell r="G1400">
            <v>31733.734163093188</v>
          </cell>
          <cell r="H1400">
            <v>28904.220760697543</v>
          </cell>
          <cell r="I1400">
            <v>25088.490992852901</v>
          </cell>
          <cell r="J1400">
            <v>30924.4675466074</v>
          </cell>
          <cell r="K1400">
            <v>29447.28041911111</v>
          </cell>
          <cell r="L1400">
            <v>33236.998207407407</v>
          </cell>
          <cell r="M1400">
            <v>36828.784352301162</v>
          </cell>
          <cell r="N1400">
            <v>33851.109430623939</v>
          </cell>
          <cell r="O1400">
            <v>41869.895251722504</v>
          </cell>
          <cell r="P1400">
            <v>36837.558129843615</v>
          </cell>
        </row>
        <row r="1401">
          <cell r="E1401">
            <v>74.906900832816277</v>
          </cell>
          <cell r="F1401">
            <v>55.314900000000002</v>
          </cell>
          <cell r="G1401">
            <v>66.608037494235603</v>
          </cell>
          <cell r="H1401">
            <v>59.720821322401449</v>
          </cell>
          <cell r="I1401">
            <v>50.989509918797296</v>
          </cell>
          <cell r="J1401">
            <v>64.873175390769489</v>
          </cell>
          <cell r="K1401">
            <v>60.329045685023104</v>
          </cell>
          <cell r="L1401">
            <v>71.959243484218177</v>
          </cell>
          <cell r="M1401">
            <v>77.980426156611657</v>
          </cell>
          <cell r="N1401">
            <v>71.785862208072103</v>
          </cell>
          <cell r="O1401">
            <v>89.595008641894736</v>
          </cell>
          <cell r="P1401">
            <v>75.646790605114234</v>
          </cell>
        </row>
        <row r="1403">
          <cell r="E1403">
            <v>2052833.4104748499</v>
          </cell>
          <cell r="F1403">
            <v>1195844</v>
          </cell>
          <cell r="G1403">
            <v>1374941.8872060417</v>
          </cell>
          <cell r="H1403">
            <v>958258.08223907207</v>
          </cell>
          <cell r="I1403">
            <v>1854649.4457228989</v>
          </cell>
          <cell r="J1403">
            <v>1442251.0888971628</v>
          </cell>
          <cell r="K1403">
            <v>1659374.707347746</v>
          </cell>
          <cell r="L1403">
            <v>1092904.9616946455</v>
          </cell>
          <cell r="M1403">
            <v>1305411.1416041781</v>
          </cell>
          <cell r="N1403">
            <v>1407097.2243218345</v>
          </cell>
          <cell r="O1403">
            <v>1072161.7351776569</v>
          </cell>
          <cell r="P1403">
            <v>1770014.9777974384</v>
          </cell>
        </row>
        <row r="1404">
          <cell r="E1404">
            <v>4576.2430518653773</v>
          </cell>
          <cell r="F1404">
            <v>2531.756288099542</v>
          </cell>
          <cell r="G1404">
            <v>2999.7280584933533</v>
          </cell>
          <cell r="H1404">
            <v>2025.9323649153059</v>
          </cell>
          <cell r="I1404">
            <v>4202.0606234723018</v>
          </cell>
          <cell r="J1404">
            <v>3081.4166395583529</v>
          </cell>
          <cell r="K1404">
            <v>3834.0896299917727</v>
          </cell>
          <cell r="L1404">
            <v>2560.2764430382413</v>
          </cell>
          <cell r="M1404">
            <v>3092.8956488032204</v>
          </cell>
          <cell r="N1404">
            <v>2990.6174551957579</v>
          </cell>
          <cell r="O1404">
            <v>2450.7329719237473</v>
          </cell>
          <cell r="P1404">
            <v>4064.0924948257966</v>
          </cell>
        </row>
        <row r="1406">
          <cell r="E1406">
            <v>33231519.074108761</v>
          </cell>
          <cell r="F1406">
            <v>31582854.449999999</v>
          </cell>
          <cell r="G1406">
            <v>34793919.537232891</v>
          </cell>
          <cell r="H1406">
            <v>34499926.707942218</v>
          </cell>
          <cell r="I1406">
            <v>35082674.404904388</v>
          </cell>
          <cell r="J1406">
            <v>34517284.937211156</v>
          </cell>
          <cell r="K1406">
            <v>35544763.589909859</v>
          </cell>
          <cell r="L1406">
            <v>36043637.185265243</v>
          </cell>
          <cell r="M1406">
            <v>33725718.189969383</v>
          </cell>
          <cell r="N1406">
            <v>36353821.02138944</v>
          </cell>
          <cell r="O1406">
            <v>35251254.044895083</v>
          </cell>
          <cell r="P1406">
            <v>36170433.821534559</v>
          </cell>
        </row>
        <row r="1407">
          <cell r="E1407">
            <v>73007.899177371582</v>
          </cell>
          <cell r="F1407">
            <v>67524.090440450149</v>
          </cell>
          <cell r="G1407">
            <v>74790.249435421298</v>
          </cell>
          <cell r="H1407">
            <v>75608.31861409772</v>
          </cell>
          <cell r="I1407">
            <v>79825.725108291503</v>
          </cell>
          <cell r="J1407">
            <v>81680.636893020564</v>
          </cell>
          <cell r="K1407">
            <v>83570.94509599192</v>
          </cell>
          <cell r="L1407">
            <v>85212.932685153675</v>
          </cell>
          <cell r="M1407">
            <v>81533.853945589202</v>
          </cell>
          <cell r="N1407">
            <v>80656.030732754531</v>
          </cell>
          <cell r="O1407">
            <v>76883.872043159092</v>
          </cell>
          <cell r="P1407">
            <v>82518.792607270079</v>
          </cell>
        </row>
        <row r="1409">
          <cell r="E1409">
            <v>3546104.5019840864</v>
          </cell>
          <cell r="F1409">
            <v>3534514.1571428599</v>
          </cell>
          <cell r="G1409">
            <v>3787578.498957003</v>
          </cell>
          <cell r="H1409">
            <v>4495618.6894635353</v>
          </cell>
          <cell r="I1409">
            <v>4057984.2428098144</v>
          </cell>
          <cell r="J1409">
            <v>3730555.8739772104</v>
          </cell>
          <cell r="K1409">
            <v>3787880.3061375897</v>
          </cell>
          <cell r="L1409">
            <v>3708772.6880159448</v>
          </cell>
          <cell r="M1409">
            <v>3626388.6042383923</v>
          </cell>
          <cell r="N1409">
            <v>3679937.1864171298</v>
          </cell>
          <cell r="O1409">
            <v>3768054.8585735462</v>
          </cell>
          <cell r="P1409">
            <v>3727830.8132713819</v>
          </cell>
        </row>
        <row r="1410">
          <cell r="E1410">
            <v>7576.060763817226</v>
          </cell>
          <cell r="F1410">
            <v>6957.8731500000004</v>
          </cell>
          <cell r="G1410">
            <v>7742.0727087982013</v>
          </cell>
          <cell r="H1410">
            <v>8999.9269153421646</v>
          </cell>
          <cell r="I1410">
            <v>8121.1537781673196</v>
          </cell>
          <cell r="J1410">
            <v>7918.5220420721207</v>
          </cell>
          <cell r="K1410">
            <v>7976.7483243972065</v>
          </cell>
          <cell r="L1410">
            <v>7949.8353866306616</v>
          </cell>
          <cell r="M1410">
            <v>7680.1013163359612</v>
          </cell>
          <cell r="N1410">
            <v>8215.1040996245811</v>
          </cell>
          <cell r="O1410">
            <v>8462.1690066250576</v>
          </cell>
          <cell r="P1410">
            <v>7936.4887644767114</v>
          </cell>
        </row>
        <row r="1412">
          <cell r="E1412">
            <v>50387.444722809174</v>
          </cell>
          <cell r="F1412">
            <v>44950</v>
          </cell>
          <cell r="G1412">
            <v>43828.681541982471</v>
          </cell>
          <cell r="H1412">
            <v>52463.305570560893</v>
          </cell>
          <cell r="I1412">
            <v>50389.290758735769</v>
          </cell>
          <cell r="J1412">
            <v>65084.923671780904</v>
          </cell>
          <cell r="K1412">
            <v>71779.599803026853</v>
          </cell>
          <cell r="L1412">
            <v>53219.965780106904</v>
          </cell>
          <cell r="M1412">
            <v>47525.768654315201</v>
          </cell>
          <cell r="N1412">
            <v>50951.654572316504</v>
          </cell>
          <cell r="O1412">
            <v>55304.300689640098</v>
          </cell>
          <cell r="P1412">
            <v>60185.157331657792</v>
          </cell>
        </row>
        <row r="1413">
          <cell r="E1413">
            <v>93.951916968892746</v>
          </cell>
          <cell r="F1413">
            <v>84.957110999999998</v>
          </cell>
          <cell r="G1413">
            <v>88.670263310183415</v>
          </cell>
          <cell r="H1413">
            <v>106.61613287735105</v>
          </cell>
          <cell r="I1413">
            <v>102.39457939886285</v>
          </cell>
          <cell r="J1413">
            <v>136.37633617757299</v>
          </cell>
          <cell r="K1413">
            <v>139.62406904094701</v>
          </cell>
          <cell r="L1413">
            <v>113.1424280865041</v>
          </cell>
          <cell r="M1413">
            <v>96.62746379972522</v>
          </cell>
          <cell r="N1413">
            <v>115.02669714402001</v>
          </cell>
          <cell r="O1413">
            <v>113.77233429022739</v>
          </cell>
          <cell r="P1413">
            <v>128.74936124276397</v>
          </cell>
        </row>
        <row r="1415">
          <cell r="E1415">
            <v>15382.127480969248</v>
          </cell>
          <cell r="F1415">
            <v>11145</v>
          </cell>
          <cell r="G1415">
            <v>11585.968301228439</v>
          </cell>
          <cell r="H1415">
            <v>43449.502552429629</v>
          </cell>
          <cell r="I1415">
            <v>24223.434470863693</v>
          </cell>
          <cell r="J1415">
            <v>18387.721028006497</v>
          </cell>
          <cell r="K1415">
            <v>33075.619016209697</v>
          </cell>
          <cell r="L1415">
            <v>27548.165108964</v>
          </cell>
          <cell r="M1415">
            <v>28298.04446439393</v>
          </cell>
          <cell r="N1415">
            <v>26413.1551442165</v>
          </cell>
          <cell r="O1415">
            <v>40768.784236170635</v>
          </cell>
          <cell r="P1415">
            <v>19806.532724209734</v>
          </cell>
        </row>
        <row r="1416">
          <cell r="E1416">
            <v>30.086389392721756</v>
          </cell>
          <cell r="F1416">
            <v>21.0028586</v>
          </cell>
          <cell r="G1416">
            <v>23.635104795378286</v>
          </cell>
          <cell r="H1416">
            <v>93.703726242116545</v>
          </cell>
          <cell r="I1416">
            <v>50.244208547266645</v>
          </cell>
          <cell r="J1416">
            <v>40.2702940408901</v>
          </cell>
          <cell r="K1416">
            <v>71.75207163105739</v>
          </cell>
          <cell r="L1416">
            <v>61.014700356103731</v>
          </cell>
          <cell r="M1416">
            <v>61.777221820709499</v>
          </cell>
          <cell r="N1416">
            <v>58.175452470178683</v>
          </cell>
          <cell r="O1416">
            <v>88.891815112943419</v>
          </cell>
          <cell r="P1416">
            <v>41.444434690729615</v>
          </cell>
        </row>
        <row r="1418">
          <cell r="E1418">
            <v>413515.14046245621</v>
          </cell>
          <cell r="F1418">
            <v>433418</v>
          </cell>
          <cell r="G1418">
            <v>497920.8042793739</v>
          </cell>
          <cell r="H1418">
            <v>491113.70655123459</v>
          </cell>
          <cell r="I1418">
            <v>461177.83769175346</v>
          </cell>
          <cell r="J1418">
            <v>383479.07119395537</v>
          </cell>
          <cell r="K1418">
            <v>396126.80243486923</v>
          </cell>
          <cell r="L1418">
            <v>422957.06259889726</v>
          </cell>
          <cell r="M1418">
            <v>417910.84420928062</v>
          </cell>
          <cell r="N1418">
            <v>402043.02380341035</v>
          </cell>
          <cell r="O1418">
            <v>390416.79793361464</v>
          </cell>
          <cell r="P1418">
            <v>421176.27303844196</v>
          </cell>
        </row>
        <row r="1419">
          <cell r="E1419">
            <v>904.86808876451028</v>
          </cell>
          <cell r="F1419">
            <v>891.08499211000003</v>
          </cell>
          <cell r="G1419">
            <v>1038.755122845072</v>
          </cell>
          <cell r="H1419">
            <v>1012.167504626213</v>
          </cell>
          <cell r="I1419">
            <v>946.26318514245963</v>
          </cell>
          <cell r="J1419">
            <v>852.14009699912731</v>
          </cell>
          <cell r="K1419">
            <v>901.51609728372819</v>
          </cell>
          <cell r="L1419">
            <v>961.65644318714692</v>
          </cell>
          <cell r="M1419">
            <v>935.59865735935409</v>
          </cell>
          <cell r="N1419">
            <v>916.7030492494082</v>
          </cell>
          <cell r="O1419">
            <v>894.48407984068149</v>
          </cell>
          <cell r="P1419">
            <v>981.53634333674961</v>
          </cell>
        </row>
        <row r="1421">
          <cell r="E1421">
            <v>45204.854868562223</v>
          </cell>
          <cell r="F1421">
            <v>46652</v>
          </cell>
          <cell r="G1421">
            <v>40210.914429617616</v>
          </cell>
          <cell r="H1421">
            <v>45651.370494441093</v>
          </cell>
          <cell r="I1421">
            <v>40549.503164243812</v>
          </cell>
          <cell r="J1421">
            <v>40512.950653318003</v>
          </cell>
          <cell r="K1421">
            <v>43054.085804040304</v>
          </cell>
          <cell r="L1421">
            <v>41314.220873846425</v>
          </cell>
          <cell r="M1421">
            <v>36342.173748852401</v>
          </cell>
          <cell r="N1421">
            <v>38446.080265362703</v>
          </cell>
          <cell r="O1421">
            <v>43420.786710895598</v>
          </cell>
          <cell r="P1421">
            <v>47206.988998183653</v>
          </cell>
        </row>
        <row r="1422">
          <cell r="E1422">
            <v>84.604786120514575</v>
          </cell>
          <cell r="F1422">
            <v>86.659653000000006</v>
          </cell>
          <cell r="G1422">
            <v>81.518253034317482</v>
          </cell>
          <cell r="H1422">
            <v>92.944413359545109</v>
          </cell>
          <cell r="I1422">
            <v>82.480908520897188</v>
          </cell>
          <cell r="J1422">
            <v>82.015630732326699</v>
          </cell>
          <cell r="K1422">
            <v>85.473895436639197</v>
          </cell>
          <cell r="L1422">
            <v>87.582842609262386</v>
          </cell>
          <cell r="M1422">
            <v>72.876638334175794</v>
          </cell>
          <cell r="N1422">
            <v>73.133979035487897</v>
          </cell>
          <cell r="O1422">
            <v>81.417326704257604</v>
          </cell>
          <cell r="P1422">
            <v>98.163789410897166</v>
          </cell>
        </row>
        <row r="1424">
          <cell r="E1424">
            <v>6043900.9252139376</v>
          </cell>
          <cell r="F1424">
            <v>6103115.9357142895</v>
          </cell>
          <cell r="G1424">
            <v>6072873.9816544149</v>
          </cell>
          <cell r="H1424">
            <v>6771884.7190039968</v>
          </cell>
          <cell r="I1424">
            <v>6867548.5240088701</v>
          </cell>
          <cell r="J1424">
            <v>5933709.7348359479</v>
          </cell>
          <cell r="K1424">
            <v>6589199.137000219</v>
          </cell>
          <cell r="L1424">
            <v>6254108.5571091007</v>
          </cell>
          <cell r="M1424">
            <v>5868523.7120796973</v>
          </cell>
          <cell r="N1424">
            <v>6240526.3445627168</v>
          </cell>
          <cell r="O1424">
            <v>6251732.1091476073</v>
          </cell>
          <cell r="P1424">
            <v>6372520.8584245518</v>
          </cell>
        </row>
        <row r="1425">
          <cell r="E1425">
            <v>13499.677187474195</v>
          </cell>
          <cell r="F1425">
            <v>12401.3384726514</v>
          </cell>
          <cell r="G1425">
            <v>13133.765053169231</v>
          </cell>
          <cell r="H1425">
            <v>14069.639831720293</v>
          </cell>
          <cell r="I1425">
            <v>15094.82961397997</v>
          </cell>
          <cell r="J1425">
            <v>14027.480251231585</v>
          </cell>
          <cell r="K1425">
            <v>15224.580739321604</v>
          </cell>
          <cell r="L1425">
            <v>14836.064210195436</v>
          </cell>
          <cell r="M1425">
            <v>13386.592620727428</v>
          </cell>
          <cell r="N1425">
            <v>14471.409136344011</v>
          </cell>
          <cell r="O1425">
            <v>13945.410968041468</v>
          </cell>
          <cell r="P1425">
            <v>14850.368887709243</v>
          </cell>
        </row>
        <row r="1427">
          <cell r="E1427">
            <v>7015.7194637813609</v>
          </cell>
          <cell r="F1427">
            <v>7350</v>
          </cell>
          <cell r="G1427">
            <v>6108.6986601378076</v>
          </cell>
          <cell r="H1427">
            <v>7085.0179578583648</v>
          </cell>
          <cell r="I1427">
            <v>6103.1034538687318</v>
          </cell>
          <cell r="J1427">
            <v>5358.618920151368</v>
          </cell>
          <cell r="K1427">
            <v>13228.972095321391</v>
          </cell>
          <cell r="L1427">
            <v>12500.462548680274</v>
          </cell>
          <cell r="M1427">
            <v>7520.7524328225199</v>
          </cell>
          <cell r="N1427">
            <v>7559.0940160456475</v>
          </cell>
          <cell r="O1427">
            <v>8393.0833212814432</v>
          </cell>
          <cell r="P1427">
            <v>7334.1532250056562</v>
          </cell>
        </row>
        <row r="1428">
          <cell r="E1428">
            <v>13.130524286398002</v>
          </cell>
          <cell r="F1428">
            <v>13.7286</v>
          </cell>
          <cell r="G1428">
            <v>12.443059183892744</v>
          </cell>
          <cell r="H1428">
            <v>14.424820779809323</v>
          </cell>
          <cell r="I1428">
            <v>12.414196929446055</v>
          </cell>
          <cell r="J1428">
            <v>11.346176977578418</v>
          </cell>
          <cell r="K1428">
            <v>24.424468734863911</v>
          </cell>
          <cell r="L1428">
            <v>23.935308116076776</v>
          </cell>
          <cell r="M1428">
            <v>15.252156502053268</v>
          </cell>
          <cell r="N1428">
            <v>17.406147862081546</v>
          </cell>
          <cell r="O1428">
            <v>23.818970974523751</v>
          </cell>
          <cell r="P1428">
            <v>15.250883141782426</v>
          </cell>
        </row>
        <row r="1430">
          <cell r="E1430">
            <v>802223.68295658357</v>
          </cell>
          <cell r="F1430">
            <v>744913.42856999999</v>
          </cell>
          <cell r="G1430">
            <v>735729.69421709003</v>
          </cell>
          <cell r="H1430">
            <v>765569.5264155966</v>
          </cell>
          <cell r="I1430">
            <v>790389.59930265846</v>
          </cell>
          <cell r="J1430">
            <v>740281.48335310176</v>
          </cell>
          <cell r="K1430">
            <v>769187.16490058368</v>
          </cell>
          <cell r="L1430">
            <v>755141.9845668209</v>
          </cell>
          <cell r="M1430">
            <v>621881.81213269581</v>
          </cell>
          <cell r="N1430">
            <v>724566.35827368638</v>
          </cell>
          <cell r="O1430">
            <v>683924.24568678369</v>
          </cell>
          <cell r="P1430">
            <v>752349.32252593338</v>
          </cell>
        </row>
        <row r="1431">
          <cell r="E1431">
            <v>1778.4172277443565</v>
          </cell>
          <cell r="F1431">
            <v>1538.9736</v>
          </cell>
          <cell r="G1431">
            <v>1658.4135539654958</v>
          </cell>
          <cell r="H1431">
            <v>1746.7991941377948</v>
          </cell>
          <cell r="I1431">
            <v>1786.9875412419669</v>
          </cell>
          <cell r="J1431">
            <v>1722.2176906577336</v>
          </cell>
          <cell r="K1431">
            <v>1752.3378723665257</v>
          </cell>
          <cell r="L1431">
            <v>1776.0178748338915</v>
          </cell>
          <cell r="M1431">
            <v>1461.6411163373339</v>
          </cell>
          <cell r="N1431">
            <v>1682.9161330549905</v>
          </cell>
          <cell r="O1431">
            <v>1580.3304698465884</v>
          </cell>
          <cell r="P1431">
            <v>1741.6019254217883</v>
          </cell>
        </row>
        <row r="1433">
          <cell r="E1433">
            <v>39994.577518621998</v>
          </cell>
          <cell r="F1433">
            <v>39969</v>
          </cell>
          <cell r="G1433">
            <v>44436.871840379063</v>
          </cell>
          <cell r="H1433">
            <v>52220.3442147389</v>
          </cell>
          <cell r="I1433">
            <v>44670.618822394856</v>
          </cell>
          <cell r="J1433">
            <v>41898.285098054599</v>
          </cell>
          <cell r="K1433">
            <v>48062.102109787898</v>
          </cell>
          <cell r="L1433">
            <v>46479.634993952001</v>
          </cell>
          <cell r="M1433">
            <v>41149.933331925</v>
          </cell>
          <cell r="N1433">
            <v>44680.987474503701</v>
          </cell>
          <cell r="O1433">
            <v>46611.9478810734</v>
          </cell>
          <cell r="P1433">
            <v>54335.771696132419</v>
          </cell>
        </row>
        <row r="1434">
          <cell r="E1434">
            <v>76.414599781689603</v>
          </cell>
          <cell r="F1434">
            <v>74.419961973699998</v>
          </cell>
          <cell r="G1434">
            <v>90.867957914454607</v>
          </cell>
          <cell r="H1434">
            <v>106.31858815856224</v>
          </cell>
          <cell r="I1434">
            <v>86.863584930696604</v>
          </cell>
          <cell r="J1434">
            <v>85.520212918230499</v>
          </cell>
          <cell r="K1434">
            <v>96.211379912790349</v>
          </cell>
          <cell r="L1434">
            <v>92.496463716726211</v>
          </cell>
          <cell r="M1434">
            <v>83.446087053730508</v>
          </cell>
          <cell r="N1434">
            <v>86.892438751422006</v>
          </cell>
          <cell r="O1434">
            <v>91.501079803074603</v>
          </cell>
          <cell r="P1434">
            <v>132.6792905727342</v>
          </cell>
        </row>
        <row r="1436">
          <cell r="E1436">
            <v>33938.9410364574</v>
          </cell>
          <cell r="F1436">
            <v>29610</v>
          </cell>
          <cell r="G1436">
            <v>34953.450235768498</v>
          </cell>
          <cell r="H1436">
            <v>42959.123822937865</v>
          </cell>
          <cell r="I1436">
            <v>33594.23839939633</v>
          </cell>
          <cell r="J1436">
            <v>33837.407931407921</v>
          </cell>
          <cell r="K1436">
            <v>34952.887043017319</v>
          </cell>
          <cell r="L1436">
            <v>28952.8264386667</v>
          </cell>
          <cell r="M1436">
            <v>31029.08210850276</v>
          </cell>
          <cell r="N1436">
            <v>34052.629791850348</v>
          </cell>
          <cell r="O1436">
            <v>34092.205456587166</v>
          </cell>
          <cell r="P1436">
            <v>33684.980910959341</v>
          </cell>
        </row>
        <row r="1437">
          <cell r="E1437">
            <v>62.615298371095697</v>
          </cell>
          <cell r="F1437">
            <v>56.097051999999998</v>
          </cell>
          <cell r="G1437">
            <v>68.938151788970004</v>
          </cell>
          <cell r="H1437">
            <v>87.463103931331446</v>
          </cell>
          <cell r="I1437">
            <v>69.401506607864349</v>
          </cell>
          <cell r="J1437">
            <v>69.646300021167534</v>
          </cell>
          <cell r="K1437">
            <v>70.4644120235738</v>
          </cell>
          <cell r="L1437">
            <v>61.614883612411006</v>
          </cell>
          <cell r="M1437">
            <v>64.408165554631708</v>
          </cell>
          <cell r="N1437">
            <v>67.075952714677001</v>
          </cell>
          <cell r="O1437">
            <v>66.3483722035499</v>
          </cell>
          <cell r="P1437">
            <v>70.045674223804667</v>
          </cell>
        </row>
        <row r="1439">
          <cell r="E1439">
            <v>20523.3646218744</v>
          </cell>
          <cell r="F1439">
            <v>18170</v>
          </cell>
          <cell r="G1439">
            <v>22964.070141461099</v>
          </cell>
          <cell r="H1439">
            <v>25775.47429376272</v>
          </cell>
          <cell r="I1439">
            <v>19356.5430396378</v>
          </cell>
          <cell r="J1439">
            <v>20302.444758844751</v>
          </cell>
          <cell r="K1439">
            <v>21211.732225810418</v>
          </cell>
          <cell r="L1439">
            <v>17812.495863200002</v>
          </cell>
          <cell r="M1439">
            <v>18760.108914207955</v>
          </cell>
          <cell r="N1439">
            <v>20031.577875110201</v>
          </cell>
          <cell r="O1439">
            <v>20455.323273952297</v>
          </cell>
          <cell r="P1439">
            <v>20210.988546575605</v>
          </cell>
        </row>
        <row r="1440">
          <cell r="E1440">
            <v>37.769179022657397</v>
          </cell>
          <cell r="F1440">
            <v>34.187441999999997</v>
          </cell>
          <cell r="G1440">
            <v>44.516491073381999</v>
          </cell>
          <cell r="H1440">
            <v>52.477862358798866</v>
          </cell>
          <cell r="I1440">
            <v>40.440903964718601</v>
          </cell>
          <cell r="J1440">
            <v>40.987780012700497</v>
          </cell>
          <cell r="K1440">
            <v>41.558647214144301</v>
          </cell>
          <cell r="L1440">
            <v>37.878354167446602</v>
          </cell>
          <cell r="M1440">
            <v>40.492819332779</v>
          </cell>
          <cell r="N1440">
            <v>41.445571628806199</v>
          </cell>
          <cell r="O1440">
            <v>41.170345603549897</v>
          </cell>
          <cell r="P1440">
            <v>42.027404534282802</v>
          </cell>
        </row>
        <row r="1442">
          <cell r="E1442">
            <v>13415.576414583</v>
          </cell>
          <cell r="F1442">
            <v>11440</v>
          </cell>
          <cell r="G1442">
            <v>11989.3800943074</v>
          </cell>
          <cell r="H1442">
            <v>17183.649529175145</v>
          </cell>
          <cell r="I1442">
            <v>14237.695359758533</v>
          </cell>
          <cell r="J1442">
            <v>13534.96317256317</v>
          </cell>
          <cell r="K1442">
            <v>13741.1548172069</v>
          </cell>
          <cell r="L1442">
            <v>11140.3305754667</v>
          </cell>
          <cell r="M1442">
            <v>12268.973194294806</v>
          </cell>
          <cell r="N1442">
            <v>14021.051916740149</v>
          </cell>
          <cell r="O1442">
            <v>13636.882182634867</v>
          </cell>
          <cell r="P1442">
            <v>13473.992364383737</v>
          </cell>
        </row>
        <row r="1443">
          <cell r="E1443">
            <v>24.8461193484383</v>
          </cell>
          <cell r="F1443">
            <v>21.909610000000001</v>
          </cell>
          <cell r="G1443">
            <v>24.421660715588001</v>
          </cell>
          <cell r="H1443">
            <v>34.98524157253258</v>
          </cell>
          <cell r="I1443">
            <v>28.960602643145748</v>
          </cell>
          <cell r="J1443">
            <v>28.658520008467033</v>
          </cell>
          <cell r="K1443">
            <v>28.905764809429499</v>
          </cell>
          <cell r="L1443">
            <v>23.7365294449644</v>
          </cell>
          <cell r="M1443">
            <v>23.915346221852701</v>
          </cell>
          <cell r="N1443">
            <v>25.630381085870798</v>
          </cell>
          <cell r="O1443">
            <v>25.178026599999999</v>
          </cell>
          <cell r="P1443">
            <v>28.018269689521869</v>
          </cell>
        </row>
        <row r="1445">
          <cell r="E1445">
            <v>123722.41961044179</v>
          </cell>
          <cell r="F1445">
            <v>131455</v>
          </cell>
          <cell r="G1445">
            <v>137673.87068147503</v>
          </cell>
          <cell r="H1445">
            <v>140914.9377122251</v>
          </cell>
          <cell r="I1445">
            <v>147075.80313602206</v>
          </cell>
          <cell r="J1445">
            <v>172148.8499209673</v>
          </cell>
          <cell r="K1445">
            <v>170288.66633793275</v>
          </cell>
          <cell r="L1445">
            <v>157868.79529816651</v>
          </cell>
          <cell r="M1445">
            <v>189172.84530669899</v>
          </cell>
          <cell r="N1445">
            <v>180998.3949485388</v>
          </cell>
          <cell r="O1445">
            <v>175954.32756462938</v>
          </cell>
          <cell r="P1445">
            <v>172247.08364995185</v>
          </cell>
        </row>
        <row r="1446">
          <cell r="E1446">
            <v>257.00299103673905</v>
          </cell>
          <cell r="F1446">
            <v>263.79083591428599</v>
          </cell>
          <cell r="G1446">
            <v>287.60815521703171</v>
          </cell>
          <cell r="H1446">
            <v>303.5596874482402</v>
          </cell>
          <cell r="I1446">
            <v>304.72386971341683</v>
          </cell>
          <cell r="J1446">
            <v>377.82952288630997</v>
          </cell>
          <cell r="K1446">
            <v>367.61679699054184</v>
          </cell>
          <cell r="L1446">
            <v>342.99964829473032</v>
          </cell>
          <cell r="M1446">
            <v>402.93596253358101</v>
          </cell>
          <cell r="N1446">
            <v>380.11826368161894</v>
          </cell>
          <cell r="O1446">
            <v>393.28587811444004</v>
          </cell>
          <cell r="P1446">
            <v>376.09580865523844</v>
          </cell>
        </row>
        <row r="1448">
          <cell r="E1448">
            <v>108774.48325588384</v>
          </cell>
          <cell r="F1448">
            <v>110270</v>
          </cell>
          <cell r="G1448">
            <v>89396.669484582177</v>
          </cell>
          <cell r="H1448">
            <v>109222.03137574403</v>
          </cell>
          <cell r="I1448">
            <v>120024.84077029886</v>
          </cell>
          <cell r="J1448">
            <v>110656.530599135</v>
          </cell>
          <cell r="K1448">
            <v>122810.18668750999</v>
          </cell>
          <cell r="L1448">
            <v>123386.88090759714</v>
          </cell>
          <cell r="M1448">
            <v>121393.82579208814</v>
          </cell>
          <cell r="N1448">
            <v>115717.94456565654</v>
          </cell>
          <cell r="O1448">
            <v>117813.603638443</v>
          </cell>
          <cell r="P1448">
            <v>105173.16518213463</v>
          </cell>
        </row>
        <row r="1449">
          <cell r="E1449">
            <v>203.93033648903335</v>
          </cell>
          <cell r="F1449">
            <v>205.504717</v>
          </cell>
          <cell r="G1449">
            <v>181.93485224662371</v>
          </cell>
          <cell r="H1449">
            <v>222.0864039352237</v>
          </cell>
          <cell r="I1449">
            <v>244.36913845519132</v>
          </cell>
          <cell r="J1449">
            <v>227.40872716235998</v>
          </cell>
          <cell r="K1449">
            <v>233.37501152951901</v>
          </cell>
          <cell r="L1449">
            <v>261.95727419934707</v>
          </cell>
          <cell r="M1449">
            <v>236.79648176984119</v>
          </cell>
          <cell r="N1449">
            <v>224.41115423535845</v>
          </cell>
          <cell r="O1449">
            <v>222.23034328070801</v>
          </cell>
          <cell r="P1449">
            <v>222.04363808259922</v>
          </cell>
        </row>
        <row r="1451">
          <cell r="E1451">
            <v>1565069.7784120508</v>
          </cell>
          <cell r="F1451">
            <v>1514594</v>
          </cell>
          <cell r="G1451">
            <v>1488424.1061987728</v>
          </cell>
          <cell r="H1451">
            <v>1604984.6099695649</v>
          </cell>
          <cell r="I1451">
            <v>1640555.9958863398</v>
          </cell>
          <cell r="J1451">
            <v>1384034.9045380019</v>
          </cell>
          <cell r="K1451">
            <v>1624740.9499393941</v>
          </cell>
          <cell r="L1451">
            <v>1527874.017988791</v>
          </cell>
          <cell r="M1451">
            <v>1521289.6098822106</v>
          </cell>
          <cell r="N1451">
            <v>1427470.4898858834</v>
          </cell>
          <cell r="O1451">
            <v>1411090.2179772712</v>
          </cell>
          <cell r="P1451">
            <v>1704791.4760600664</v>
          </cell>
        </row>
        <row r="1452">
          <cell r="E1452">
            <v>3285.4996982693506</v>
          </cell>
          <cell r="F1452">
            <v>3117.3272999999999</v>
          </cell>
          <cell r="G1452">
            <v>3164.8266169061103</v>
          </cell>
          <cell r="H1452">
            <v>3504.2938328231367</v>
          </cell>
          <cell r="I1452">
            <v>3567.7256675567805</v>
          </cell>
          <cell r="J1452">
            <v>3253.2465566317064</v>
          </cell>
          <cell r="K1452">
            <v>3630.6207354900216</v>
          </cell>
          <cell r="L1452">
            <v>3572.1558851859318</v>
          </cell>
          <cell r="M1452">
            <v>3394.8546473400429</v>
          </cell>
          <cell r="N1452">
            <v>3240.2647358843415</v>
          </cell>
          <cell r="O1452">
            <v>3090.0312952820755</v>
          </cell>
          <cell r="P1452">
            <v>3600.2892157553711</v>
          </cell>
        </row>
        <row r="1454">
          <cell r="E1454">
            <v>917771.49200430664</v>
          </cell>
          <cell r="F1454">
            <v>870719</v>
          </cell>
          <cell r="G1454">
            <v>921685.42846368731</v>
          </cell>
          <cell r="H1454">
            <v>933491.27782085468</v>
          </cell>
          <cell r="I1454">
            <v>936141.73199148057</v>
          </cell>
          <cell r="J1454">
            <v>899166.61087548337</v>
          </cell>
          <cell r="K1454">
            <v>965335.0960643969</v>
          </cell>
          <cell r="L1454">
            <v>1012459.8361985647</v>
          </cell>
          <cell r="M1454">
            <v>1042858.0049467158</v>
          </cell>
          <cell r="N1454">
            <v>1044426.4212116204</v>
          </cell>
          <cell r="O1454">
            <v>1028189.7080536229</v>
          </cell>
          <cell r="P1454">
            <v>1470777.7840433498</v>
          </cell>
        </row>
        <row r="1455">
          <cell r="E1455">
            <v>2024.389387309086</v>
          </cell>
          <cell r="F1455">
            <v>1797.3480999999999</v>
          </cell>
          <cell r="G1455">
            <v>2065.5228728798807</v>
          </cell>
          <cell r="H1455">
            <v>2093.3006063906191</v>
          </cell>
          <cell r="I1455">
            <v>1987.3583329036312</v>
          </cell>
          <cell r="J1455">
            <v>2045.7118184935257</v>
          </cell>
          <cell r="K1455">
            <v>2171.8254780332582</v>
          </cell>
          <cell r="L1455">
            <v>2377.6763372931064</v>
          </cell>
          <cell r="M1455">
            <v>2386.8937581452947</v>
          </cell>
          <cell r="N1455">
            <v>2390.1612657195114</v>
          </cell>
          <cell r="O1455">
            <v>2317.1384625555775</v>
          </cell>
          <cell r="P1455">
            <v>3215.3924345303717</v>
          </cell>
        </row>
        <row r="1457">
          <cell r="E1457">
            <v>413220.9043665909</v>
          </cell>
          <cell r="F1457">
            <v>284662</v>
          </cell>
          <cell r="G1457">
            <v>518278.49280463037</v>
          </cell>
          <cell r="H1457">
            <v>658933.73481144616</v>
          </cell>
          <cell r="I1457">
            <v>611600.97414862574</v>
          </cell>
          <cell r="J1457">
            <v>623539.5698902678</v>
          </cell>
          <cell r="K1457">
            <v>593643.06117035309</v>
          </cell>
          <cell r="L1457">
            <v>761797.82945510093</v>
          </cell>
          <cell r="M1457">
            <v>591637.85942633078</v>
          </cell>
          <cell r="N1457">
            <v>867013.08704941126</v>
          </cell>
          <cell r="O1457">
            <v>561456.80482924252</v>
          </cell>
          <cell r="P1457">
            <v>842313.41948683793</v>
          </cell>
        </row>
        <row r="1458">
          <cell r="E1458">
            <v>856.07183566566925</v>
          </cell>
          <cell r="F1458">
            <v>589.84185549959216</v>
          </cell>
          <cell r="G1458">
            <v>1048.1337904179197</v>
          </cell>
          <cell r="H1458">
            <v>1331.8428193102541</v>
          </cell>
          <cell r="I1458">
            <v>1243.3620562512569</v>
          </cell>
          <cell r="J1458">
            <v>1344.9298159487635</v>
          </cell>
          <cell r="K1458">
            <v>1324.3961289363069</v>
          </cell>
          <cell r="L1458">
            <v>1708.9670176541842</v>
          </cell>
          <cell r="M1458">
            <v>1287.8603567137479</v>
          </cell>
          <cell r="N1458">
            <v>1945.3863067123043</v>
          </cell>
          <cell r="O1458">
            <v>1266.6403236673552</v>
          </cell>
          <cell r="P1458">
            <v>1802.5587569925533</v>
          </cell>
        </row>
        <row r="1460">
          <cell r="E1460">
            <v>371441.63468969532</v>
          </cell>
          <cell r="F1460">
            <v>289612</v>
          </cell>
          <cell r="G1460">
            <v>321646.20585256966</v>
          </cell>
          <cell r="H1460">
            <v>335612.12406327162</v>
          </cell>
          <cell r="I1460">
            <v>351124.54953738546</v>
          </cell>
          <cell r="J1460">
            <v>320482.25421080296</v>
          </cell>
          <cell r="K1460">
            <v>357345.5955839582</v>
          </cell>
          <cell r="L1460">
            <v>400289.52679246676</v>
          </cell>
          <cell r="M1460">
            <v>336140.7181126849</v>
          </cell>
          <cell r="N1460">
            <v>370670.81160272105</v>
          </cell>
          <cell r="O1460">
            <v>346769.88332740148</v>
          </cell>
          <cell r="P1460">
            <v>527310.89476435969</v>
          </cell>
        </row>
        <row r="1461">
          <cell r="E1461">
            <v>791.65869349615332</v>
          </cell>
          <cell r="F1461">
            <v>625.85040000000004</v>
          </cell>
          <cell r="G1461">
            <v>726.34835549582522</v>
          </cell>
          <cell r="H1461">
            <v>759.92959118839133</v>
          </cell>
          <cell r="I1461">
            <v>795.71491897541034</v>
          </cell>
          <cell r="J1461">
            <v>715.96919985390184</v>
          </cell>
          <cell r="K1461">
            <v>851.38185712561892</v>
          </cell>
          <cell r="L1461">
            <v>930.60257971505371</v>
          </cell>
          <cell r="M1461">
            <v>739.79247932487465</v>
          </cell>
          <cell r="N1461">
            <v>857.14906847719408</v>
          </cell>
          <cell r="O1461">
            <v>769.48576166744442</v>
          </cell>
          <cell r="P1461">
            <v>1155.1147578140678</v>
          </cell>
        </row>
      </sheetData>
      <sheetData sheetId="1">
        <row r="1376">
          <cell r="E1376">
            <v>187</v>
          </cell>
          <cell r="F1376">
            <v>228</v>
          </cell>
          <cell r="G1376">
            <v>251</v>
          </cell>
          <cell r="H1376">
            <v>248</v>
          </cell>
          <cell r="I1376">
            <v>210</v>
          </cell>
          <cell r="J1376">
            <v>225</v>
          </cell>
          <cell r="K1376">
            <v>240</v>
          </cell>
          <cell r="L1376">
            <v>326</v>
          </cell>
          <cell r="M1376">
            <v>322</v>
          </cell>
          <cell r="N1376">
            <v>259</v>
          </cell>
          <cell r="O1376">
            <v>215</v>
          </cell>
          <cell r="P1376">
            <v>230</v>
          </cell>
        </row>
        <row r="1377">
          <cell r="E1377">
            <v>2.38</v>
          </cell>
          <cell r="F1377">
            <v>2.3919999999999999</v>
          </cell>
          <cell r="G1377">
            <v>2.72</v>
          </cell>
          <cell r="H1377">
            <v>2.7759999999999998</v>
          </cell>
          <cell r="I1377">
            <v>2.5357400000000001</v>
          </cell>
          <cell r="J1377">
            <v>2.7143999999999999</v>
          </cell>
          <cell r="K1377">
            <v>2.8056000000000001</v>
          </cell>
          <cell r="L1377">
            <v>3.68</v>
          </cell>
          <cell r="M1377">
            <v>3.0552000000000001</v>
          </cell>
          <cell r="N1377">
            <v>2.4460000000000002</v>
          </cell>
          <cell r="O1377">
            <v>2.4256000000000002</v>
          </cell>
          <cell r="P1377">
            <v>2.8623599999999998</v>
          </cell>
        </row>
        <row r="1379">
          <cell r="E1379">
            <v>8233</v>
          </cell>
          <cell r="F1379">
            <v>8840</v>
          </cell>
          <cell r="G1379">
            <v>9580</v>
          </cell>
          <cell r="H1379">
            <v>10487</v>
          </cell>
          <cell r="I1379">
            <v>9901.0274988464007</v>
          </cell>
          <cell r="J1379">
            <v>11962</v>
          </cell>
          <cell r="K1379">
            <v>11608.243748764</v>
          </cell>
          <cell r="L1379">
            <v>11254.635623805199</v>
          </cell>
          <cell r="M1379">
            <v>10779.378749093599</v>
          </cell>
          <cell r="N1379">
            <v>9365</v>
          </cell>
          <cell r="O1379">
            <v>9119</v>
          </cell>
          <cell r="P1379">
            <v>9426</v>
          </cell>
        </row>
        <row r="1380">
          <cell r="E1380">
            <v>110.659737481048</v>
          </cell>
          <cell r="F1380">
            <v>116.8040624794</v>
          </cell>
          <cell r="G1380">
            <v>120.44</v>
          </cell>
          <cell r="H1380">
            <v>131.85354872997701</v>
          </cell>
          <cell r="I1380">
            <v>128.218494979235</v>
          </cell>
          <cell r="J1380">
            <v>135.389629979565</v>
          </cell>
          <cell r="K1380">
            <v>139.19168497725801</v>
          </cell>
          <cell r="L1380">
            <v>128.583441228494</v>
          </cell>
          <cell r="M1380">
            <v>136.91706598404735</v>
          </cell>
          <cell r="N1380">
            <v>121.83913998813399</v>
          </cell>
          <cell r="O1380">
            <v>107.49686998747521</v>
          </cell>
          <cell r="P1380">
            <v>115.75279999999999</v>
          </cell>
        </row>
        <row r="1382">
          <cell r="E1382">
            <v>2498</v>
          </cell>
          <cell r="F1382">
            <v>2660</v>
          </cell>
          <cell r="G1382">
            <v>2610</v>
          </cell>
          <cell r="H1382">
            <v>2602</v>
          </cell>
          <cell r="I1382">
            <v>2685</v>
          </cell>
          <cell r="J1382">
            <v>2697</v>
          </cell>
          <cell r="K1382">
            <v>2568</v>
          </cell>
          <cell r="L1382">
            <v>2415</v>
          </cell>
          <cell r="M1382">
            <v>2398</v>
          </cell>
          <cell r="N1382">
            <v>2790</v>
          </cell>
          <cell r="O1382">
            <v>2698</v>
          </cell>
          <cell r="P1382">
            <v>3210</v>
          </cell>
        </row>
        <row r="1383">
          <cell r="E1383">
            <v>42.157800000000002</v>
          </cell>
          <cell r="F1383">
            <v>45.71</v>
          </cell>
          <cell r="G1383">
            <v>44.52</v>
          </cell>
          <cell r="H1383">
            <v>44.39</v>
          </cell>
          <cell r="I1383">
            <v>44.52</v>
          </cell>
          <cell r="J1383">
            <v>44.540999999999997</v>
          </cell>
          <cell r="K1383">
            <v>42.84375</v>
          </cell>
          <cell r="L1383">
            <v>40.1175</v>
          </cell>
          <cell r="M1383">
            <v>39.451999999999998</v>
          </cell>
          <cell r="N1383">
            <v>45.457000000000001</v>
          </cell>
          <cell r="O1383">
            <v>43.253</v>
          </cell>
          <cell r="P1383">
            <v>52.478000000000002</v>
          </cell>
        </row>
        <row r="1385">
          <cell r="E1385">
            <v>14763</v>
          </cell>
          <cell r="F1385">
            <v>15328</v>
          </cell>
          <cell r="G1385">
            <v>15163</v>
          </cell>
          <cell r="H1385">
            <v>16033.000000000002</v>
          </cell>
          <cell r="I1385">
            <v>16210.999999999998</v>
          </cell>
          <cell r="J1385">
            <v>16602</v>
          </cell>
          <cell r="K1385">
            <v>16224</v>
          </cell>
          <cell r="L1385">
            <v>16073</v>
          </cell>
          <cell r="M1385">
            <v>15718</v>
          </cell>
          <cell r="N1385">
            <v>15679</v>
          </cell>
          <cell r="O1385">
            <v>15522</v>
          </cell>
          <cell r="P1385">
            <v>15625</v>
          </cell>
        </row>
        <row r="1386">
          <cell r="E1386">
            <v>197.25348399999999</v>
          </cell>
          <cell r="F1386">
            <v>203.050096</v>
          </cell>
          <cell r="G1386">
            <v>201.73158000000001</v>
          </cell>
          <cell r="H1386">
            <v>211.05026800000002</v>
          </cell>
          <cell r="I1386">
            <v>216.61677200000005</v>
          </cell>
          <cell r="J1386">
            <v>223.27973199999997</v>
          </cell>
          <cell r="K1386">
            <v>211.76616400000003</v>
          </cell>
          <cell r="L1386">
            <v>210.096924</v>
          </cell>
          <cell r="M1386">
            <v>206.29524800000002</v>
          </cell>
          <cell r="N1386">
            <v>208.5942</v>
          </cell>
          <cell r="O1386">
            <v>202.093144</v>
          </cell>
          <cell r="P1386">
            <v>211.89967199999998</v>
          </cell>
        </row>
        <row r="1388">
          <cell r="E1388">
            <v>7403</v>
          </cell>
          <cell r="F1388">
            <v>7867</v>
          </cell>
          <cell r="G1388">
            <v>8340</v>
          </cell>
          <cell r="H1388">
            <v>8083</v>
          </cell>
          <cell r="I1388">
            <v>8431</v>
          </cell>
          <cell r="J1388">
            <v>8570</v>
          </cell>
          <cell r="K1388">
            <v>8763</v>
          </cell>
          <cell r="L1388">
            <v>8728</v>
          </cell>
          <cell r="M1388">
            <v>8744</v>
          </cell>
          <cell r="N1388">
            <v>8476</v>
          </cell>
          <cell r="O1388">
            <v>8554</v>
          </cell>
          <cell r="P1388">
            <v>7881</v>
          </cell>
        </row>
        <row r="1389">
          <cell r="E1389">
            <v>93.092619999999997</v>
          </cell>
          <cell r="F1389">
            <v>96.855000000000018</v>
          </cell>
          <cell r="G1389">
            <v>110.54161000000002</v>
          </cell>
          <cell r="H1389">
            <v>96.191780000000008</v>
          </cell>
          <cell r="I1389">
            <v>100.21394000000001</v>
          </cell>
          <cell r="J1389">
            <v>101.09478000000003</v>
          </cell>
          <cell r="K1389">
            <v>103.05268000000001</v>
          </cell>
          <cell r="L1389">
            <v>103.12006000000001</v>
          </cell>
          <cell r="M1389">
            <v>112.00122000000003</v>
          </cell>
          <cell r="N1389">
            <v>102.68871200000002</v>
          </cell>
          <cell r="O1389">
            <v>99.958393999999998</v>
          </cell>
          <cell r="P1389">
            <v>91.733671999999999</v>
          </cell>
        </row>
        <row r="1391">
          <cell r="E1391">
            <v>5297</v>
          </cell>
          <cell r="F1391">
            <v>5706</v>
          </cell>
          <cell r="G1391">
            <v>5898</v>
          </cell>
          <cell r="H1391">
            <v>5797</v>
          </cell>
          <cell r="I1391">
            <v>5858</v>
          </cell>
          <cell r="J1391">
            <v>5903</v>
          </cell>
          <cell r="K1391">
            <v>6221</v>
          </cell>
          <cell r="L1391">
            <v>6255</v>
          </cell>
          <cell r="M1391">
            <v>6300</v>
          </cell>
          <cell r="N1391">
            <v>6064</v>
          </cell>
          <cell r="O1391">
            <v>6180</v>
          </cell>
          <cell r="P1391">
            <v>5826</v>
          </cell>
        </row>
        <row r="1392">
          <cell r="E1392">
            <v>66.393500000000003</v>
          </cell>
          <cell r="F1392">
            <v>70.051600000000008</v>
          </cell>
          <cell r="G1392">
            <v>79.477650000000025</v>
          </cell>
          <cell r="H1392">
            <v>68.785900000000012</v>
          </cell>
          <cell r="I1392">
            <v>69.481499999999997</v>
          </cell>
          <cell r="J1392">
            <v>68.999100000000027</v>
          </cell>
          <cell r="K1392">
            <v>72.289400000000001</v>
          </cell>
          <cell r="L1392">
            <v>73.176300000000012</v>
          </cell>
          <cell r="M1392">
            <v>82.210100000000025</v>
          </cell>
          <cell r="N1392">
            <v>73.974200000000025</v>
          </cell>
          <cell r="O1392">
            <v>71.022999999999996</v>
          </cell>
          <cell r="P1392">
            <v>66.495800000000003</v>
          </cell>
        </row>
        <row r="1394">
          <cell r="E1394">
            <v>1669</v>
          </cell>
          <cell r="F1394">
            <v>1649</v>
          </cell>
          <cell r="G1394">
            <v>1798</v>
          </cell>
          <cell r="H1394">
            <v>1642</v>
          </cell>
          <cell r="I1394">
            <v>1890</v>
          </cell>
          <cell r="J1394">
            <v>2023</v>
          </cell>
          <cell r="K1394">
            <v>2050</v>
          </cell>
          <cell r="L1394">
            <v>2063</v>
          </cell>
          <cell r="M1394">
            <v>2005</v>
          </cell>
          <cell r="N1394">
            <v>1990</v>
          </cell>
          <cell r="O1394">
            <v>1999</v>
          </cell>
          <cell r="P1394">
            <v>1685</v>
          </cell>
        </row>
        <row r="1395">
          <cell r="E1395">
            <v>22.36</v>
          </cell>
          <cell r="F1395">
            <v>21.197200000000009</v>
          </cell>
          <cell r="G1395">
            <v>24.671599999999998</v>
          </cell>
          <cell r="H1395">
            <v>21.043200000000002</v>
          </cell>
          <cell r="I1395">
            <v>23.978400000000004</v>
          </cell>
          <cell r="J1395">
            <v>25.713200000000001</v>
          </cell>
          <cell r="K1395">
            <v>25.89</v>
          </cell>
          <cell r="L1395">
            <v>25.899000000000001</v>
          </cell>
          <cell r="M1395">
            <v>25.45</v>
          </cell>
          <cell r="N1395">
            <v>24.56</v>
          </cell>
          <cell r="O1395">
            <v>25.215</v>
          </cell>
          <cell r="P1395">
            <v>21.564</v>
          </cell>
        </row>
        <row r="1397">
          <cell r="E1397">
            <v>437</v>
          </cell>
          <cell r="F1397">
            <v>512</v>
          </cell>
          <cell r="G1397">
            <v>644</v>
          </cell>
          <cell r="H1397">
            <v>644</v>
          </cell>
          <cell r="I1397">
            <v>683</v>
          </cell>
          <cell r="J1397">
            <v>644</v>
          </cell>
          <cell r="K1397">
            <v>492</v>
          </cell>
          <cell r="L1397">
            <v>410</v>
          </cell>
          <cell r="M1397">
            <v>439</v>
          </cell>
          <cell r="N1397">
            <v>422</v>
          </cell>
          <cell r="O1397">
            <v>375</v>
          </cell>
          <cell r="P1397">
            <v>370</v>
          </cell>
        </row>
        <row r="1398">
          <cell r="E1398">
            <v>4.3391200000000003</v>
          </cell>
          <cell r="F1398">
            <v>5.6062000000000003</v>
          </cell>
          <cell r="G1398">
            <v>6.3923600000000009</v>
          </cell>
          <cell r="H1398">
            <v>6.3626800000000001</v>
          </cell>
          <cell r="I1398">
            <v>6.7540399999999998</v>
          </cell>
          <cell r="J1398">
            <v>6.382480000000001</v>
          </cell>
          <cell r="K1398">
            <v>4.8732800000000012</v>
          </cell>
          <cell r="L1398">
            <v>4.0447600000000001</v>
          </cell>
          <cell r="M1398">
            <v>4.3411200000000019</v>
          </cell>
          <cell r="N1398">
            <v>4.1545120000000004</v>
          </cell>
          <cell r="O1398">
            <v>3.7203939999999998</v>
          </cell>
          <cell r="P1398">
            <v>3.6738720000000002</v>
          </cell>
        </row>
        <row r="1400">
          <cell r="E1400">
            <v>285.00000000000006</v>
          </cell>
          <cell r="F1400">
            <v>260</v>
          </cell>
          <cell r="G1400">
            <v>279</v>
          </cell>
          <cell r="H1400">
            <v>247</v>
          </cell>
          <cell r="I1400">
            <v>267</v>
          </cell>
          <cell r="J1400">
            <v>304.00000000000006</v>
          </cell>
          <cell r="K1400">
            <v>288.00000000000006</v>
          </cell>
          <cell r="L1400">
            <v>289.00000000000006</v>
          </cell>
          <cell r="M1400">
            <v>294.00000000000006</v>
          </cell>
          <cell r="N1400">
            <v>285.00000000000006</v>
          </cell>
          <cell r="O1400">
            <v>297.00000000000006</v>
          </cell>
          <cell r="P1400">
            <v>436.99999999999994</v>
          </cell>
        </row>
        <row r="1401">
          <cell r="E1401">
            <v>4.5404</v>
          </cell>
          <cell r="F1401">
            <v>4.0808</v>
          </cell>
          <cell r="G1401">
            <v>4.4447999999999999</v>
          </cell>
          <cell r="H1401">
            <v>3.9296000000000002</v>
          </cell>
          <cell r="I1401">
            <v>4.3304</v>
          </cell>
          <cell r="J1401">
            <v>4.8807999999999998</v>
          </cell>
          <cell r="K1401">
            <v>4.5927999999999995</v>
          </cell>
          <cell r="L1401">
            <v>4.5076000000000001</v>
          </cell>
          <cell r="M1401">
            <v>4.5107999999999997</v>
          </cell>
          <cell r="N1401">
            <v>4.4560000000000004</v>
          </cell>
          <cell r="O1401">
            <v>4.7488000000000001</v>
          </cell>
          <cell r="P1401">
            <v>7.0148000000000001</v>
          </cell>
        </row>
        <row r="1403">
          <cell r="E1403">
            <v>11142</v>
          </cell>
          <cell r="F1403">
            <v>10798</v>
          </cell>
          <cell r="G1403">
            <v>11779</v>
          </cell>
          <cell r="H1403">
            <v>10528</v>
          </cell>
          <cell r="I1403">
            <v>10791</v>
          </cell>
          <cell r="J1403">
            <v>10807</v>
          </cell>
          <cell r="K1403">
            <v>10952</v>
          </cell>
          <cell r="L1403">
            <v>11032</v>
          </cell>
          <cell r="M1403">
            <v>11022</v>
          </cell>
          <cell r="N1403">
            <v>11345</v>
          </cell>
          <cell r="O1403">
            <v>11135</v>
          </cell>
          <cell r="P1403">
            <v>11302</v>
          </cell>
        </row>
        <row r="1404">
          <cell r="E1404">
            <v>114.92</v>
          </cell>
          <cell r="F1404">
            <v>111.45</v>
          </cell>
          <cell r="G1404">
            <v>127.04300000000001</v>
          </cell>
          <cell r="H1404">
            <v>114.877145</v>
          </cell>
          <cell r="I1404">
            <v>111.13360985396</v>
          </cell>
          <cell r="J1404">
            <v>114.567145</v>
          </cell>
          <cell r="K1404">
            <v>116.36714499999999</v>
          </cell>
          <cell r="L1404">
            <v>117.37267145</v>
          </cell>
          <cell r="M1404">
            <v>117.37671450000001</v>
          </cell>
          <cell r="N1404">
            <v>119.97</v>
          </cell>
          <cell r="O1404">
            <v>118.72</v>
          </cell>
          <cell r="P1404">
            <v>118.77</v>
          </cell>
        </row>
        <row r="1406">
          <cell r="E1406">
            <v>4540</v>
          </cell>
          <cell r="F1406">
            <v>5419</v>
          </cell>
          <cell r="G1406">
            <v>4956</v>
          </cell>
          <cell r="H1406">
            <v>5166</v>
          </cell>
          <cell r="I1406">
            <v>5724</v>
          </cell>
          <cell r="J1406">
            <v>5104</v>
          </cell>
          <cell r="K1406">
            <v>6131</v>
          </cell>
          <cell r="L1406">
            <v>4521</v>
          </cell>
          <cell r="M1406">
            <v>5828</v>
          </cell>
          <cell r="N1406">
            <v>5375</v>
          </cell>
          <cell r="O1406">
            <v>5291</v>
          </cell>
          <cell r="P1406">
            <v>6038</v>
          </cell>
        </row>
        <row r="1407">
          <cell r="E1407">
            <v>55.15352</v>
          </cell>
          <cell r="F1407">
            <v>64.963859999999997</v>
          </cell>
          <cell r="G1407">
            <v>63.164560000000002</v>
          </cell>
          <cell r="H1407">
            <v>64.566680000000005</v>
          </cell>
          <cell r="I1407">
            <v>72.630359999999996</v>
          </cell>
          <cell r="J1407">
            <v>61.963676000000007</v>
          </cell>
          <cell r="K1407">
            <v>77.351980000000026</v>
          </cell>
          <cell r="L1407">
            <v>54.86862</v>
          </cell>
          <cell r="M1407">
            <v>70.89564</v>
          </cell>
          <cell r="N1407">
            <v>65.288539999999998</v>
          </cell>
          <cell r="O1407">
            <v>64.222139999999996</v>
          </cell>
          <cell r="P1407">
            <v>78.137799999999999</v>
          </cell>
        </row>
        <row r="1409">
          <cell r="E1409">
            <v>561</v>
          </cell>
          <cell r="F1409">
            <v>534</v>
          </cell>
          <cell r="G1409">
            <v>568</v>
          </cell>
          <cell r="H1409">
            <v>626</v>
          </cell>
          <cell r="I1409">
            <v>772</v>
          </cell>
          <cell r="J1409">
            <v>704</v>
          </cell>
          <cell r="K1409">
            <v>795</v>
          </cell>
          <cell r="L1409">
            <v>831</v>
          </cell>
          <cell r="M1409">
            <v>889</v>
          </cell>
          <cell r="N1409">
            <v>957</v>
          </cell>
          <cell r="O1409">
            <v>1006</v>
          </cell>
          <cell r="P1409">
            <v>801</v>
          </cell>
        </row>
        <row r="1410">
          <cell r="E1410">
            <v>7.5410399999999997</v>
          </cell>
          <cell r="F1410">
            <v>7.4371519999999975</v>
          </cell>
          <cell r="G1410">
            <v>8.3752000000000031</v>
          </cell>
          <cell r="H1410">
            <v>9.222900000000001</v>
          </cell>
          <cell r="I1410">
            <v>11.085079999999998</v>
          </cell>
          <cell r="J1410">
            <v>10.25488</v>
          </cell>
          <cell r="K1410">
            <v>11.655660000000001</v>
          </cell>
          <cell r="L1410">
            <v>12.153887999999997</v>
          </cell>
          <cell r="M1410">
            <v>13.140460000000003</v>
          </cell>
          <cell r="N1410">
            <v>13.854648000000005</v>
          </cell>
          <cell r="O1410">
            <v>13.641779999999997</v>
          </cell>
          <cell r="P1410">
            <v>9.8525919999999996</v>
          </cell>
        </row>
        <row r="1412">
          <cell r="E1412">
            <v>11440</v>
          </cell>
          <cell r="F1412">
            <v>11891</v>
          </cell>
          <cell r="G1412">
            <v>12915</v>
          </cell>
          <cell r="H1412">
            <v>13359</v>
          </cell>
          <cell r="I1412">
            <v>12987</v>
          </cell>
          <cell r="J1412">
            <v>13446</v>
          </cell>
          <cell r="K1412">
            <v>14198</v>
          </cell>
          <cell r="L1412">
            <v>14225</v>
          </cell>
          <cell r="M1412">
            <v>13065</v>
          </cell>
          <cell r="N1412">
            <v>13412</v>
          </cell>
          <cell r="O1412">
            <v>12852</v>
          </cell>
          <cell r="P1412">
            <v>13659</v>
          </cell>
        </row>
        <row r="1413">
          <cell r="E1413">
            <v>131.05691999999999</v>
          </cell>
          <cell r="F1413">
            <v>135.47400000000002</v>
          </cell>
          <cell r="G1413">
            <v>146.58612000000002</v>
          </cell>
          <cell r="H1413">
            <v>151.55100000000002</v>
          </cell>
          <cell r="I1413">
            <v>148.92211999999998</v>
          </cell>
          <cell r="J1413">
            <v>160.52252000000004</v>
          </cell>
          <cell r="K1413">
            <v>166.798</v>
          </cell>
          <cell r="L1413">
            <v>163.62200000000007</v>
          </cell>
          <cell r="M1413">
            <v>147.48519999999999</v>
          </cell>
          <cell r="N1413">
            <v>153.63720000000004</v>
          </cell>
          <cell r="O1413">
            <v>142.88199999999995</v>
          </cell>
          <cell r="P1413">
            <v>150.90439999999998</v>
          </cell>
        </row>
        <row r="1415">
          <cell r="E1415">
            <v>4741</v>
          </cell>
          <cell r="F1415">
            <v>5636</v>
          </cell>
          <cell r="G1415">
            <v>6884</v>
          </cell>
          <cell r="H1415">
            <v>9585</v>
          </cell>
          <cell r="I1415">
            <v>11933</v>
          </cell>
          <cell r="J1415">
            <v>13460</v>
          </cell>
          <cell r="K1415">
            <v>12587</v>
          </cell>
          <cell r="L1415">
            <v>10782</v>
          </cell>
          <cell r="M1415">
            <v>6976</v>
          </cell>
          <cell r="N1415">
            <v>6051</v>
          </cell>
          <cell r="O1415">
            <v>8434</v>
          </cell>
          <cell r="P1415">
            <v>10050</v>
          </cell>
        </row>
        <row r="1416">
          <cell r="E1416">
            <v>58.373272</v>
          </cell>
          <cell r="F1416">
            <v>70.316300000000027</v>
          </cell>
          <cell r="G1416">
            <v>84.891564000000002</v>
          </cell>
          <cell r="H1416">
            <v>118.75971999999997</v>
          </cell>
          <cell r="I1416">
            <v>149.333504</v>
          </cell>
          <cell r="J1416">
            <v>168.82910399999997</v>
          </cell>
          <cell r="K1416">
            <v>155.93695599999998</v>
          </cell>
          <cell r="L1416">
            <v>133.38065600000002</v>
          </cell>
          <cell r="M1416">
            <v>94.350496000000007</v>
          </cell>
          <cell r="N1416">
            <v>72.488280000000003</v>
          </cell>
          <cell r="O1416">
            <v>103.21674399999998</v>
          </cell>
          <cell r="P1416">
            <v>127.659132</v>
          </cell>
        </row>
        <row r="1418">
          <cell r="E1418">
            <v>25303.000000000004</v>
          </cell>
          <cell r="F1418">
            <v>25090</v>
          </cell>
          <cell r="G1418">
            <v>24774.999999999996</v>
          </cell>
          <cell r="H1418">
            <v>25082</v>
          </cell>
          <cell r="I1418">
            <v>25389.922331732087</v>
          </cell>
          <cell r="J1418">
            <v>25603</v>
          </cell>
          <cell r="K1418">
            <v>25735.000000000004</v>
          </cell>
          <cell r="L1418">
            <v>25346</v>
          </cell>
          <cell r="M1418">
            <v>25602</v>
          </cell>
          <cell r="N1418">
            <v>25338</v>
          </cell>
          <cell r="O1418">
            <v>25169</v>
          </cell>
          <cell r="P1418">
            <v>25434.268729194006</v>
          </cell>
        </row>
        <row r="1419">
          <cell r="E1419">
            <v>269.16840000000002</v>
          </cell>
          <cell r="F1419">
            <v>266.65160000000003</v>
          </cell>
          <cell r="G1419">
            <v>266.3612</v>
          </cell>
          <cell r="H1419">
            <v>270.59319999999997</v>
          </cell>
          <cell r="I1419">
            <v>265.41027754648786</v>
          </cell>
          <cell r="J1419">
            <v>277.43919999999997</v>
          </cell>
          <cell r="K1419">
            <v>278.32679999999999</v>
          </cell>
          <cell r="L1419">
            <v>271.07400000000001</v>
          </cell>
          <cell r="M1419">
            <v>275.49760000000003</v>
          </cell>
          <cell r="N1419">
            <v>275.07960000000003</v>
          </cell>
          <cell r="O1419">
            <v>275.65586153939154</v>
          </cell>
          <cell r="P1419">
            <v>293.64745000040097</v>
          </cell>
        </row>
        <row r="1421">
          <cell r="E1421">
            <v>8634</v>
          </cell>
          <cell r="F1421">
            <v>8716</v>
          </cell>
          <cell r="G1421">
            <v>8449</v>
          </cell>
          <cell r="H1421">
            <v>9054</v>
          </cell>
          <cell r="I1421">
            <v>9710</v>
          </cell>
          <cell r="J1421">
            <v>9863</v>
          </cell>
          <cell r="K1421">
            <v>9147</v>
          </cell>
          <cell r="L1421">
            <v>9180</v>
          </cell>
          <cell r="M1421">
            <v>9245</v>
          </cell>
          <cell r="N1421">
            <v>9898</v>
          </cell>
          <cell r="O1421">
            <v>9394</v>
          </cell>
          <cell r="P1421">
            <v>9573</v>
          </cell>
        </row>
        <row r="1422">
          <cell r="E1422">
            <v>107.47734800000001</v>
          </cell>
          <cell r="F1422">
            <v>108.28134800000001</v>
          </cell>
          <cell r="G1422">
            <v>105.68374399999999</v>
          </cell>
          <cell r="H1422">
            <v>113.448604</v>
          </cell>
          <cell r="I1422">
            <v>134.13313200000002</v>
          </cell>
          <cell r="J1422">
            <v>151.23259199999998</v>
          </cell>
          <cell r="K1422">
            <v>112.82406799999997</v>
          </cell>
          <cell r="L1422">
            <v>111.34555600000002</v>
          </cell>
          <cell r="M1422">
            <v>135.03344800000002</v>
          </cell>
          <cell r="N1422">
            <v>121.386212</v>
          </cell>
          <cell r="O1422">
            <v>121.96042320000002</v>
          </cell>
          <cell r="P1422">
            <v>117.88432399999995</v>
          </cell>
        </row>
        <row r="1424">
          <cell r="E1424">
            <v>11814</v>
          </cell>
          <cell r="F1424">
            <v>12308</v>
          </cell>
          <cell r="G1424">
            <v>12296</v>
          </cell>
          <cell r="H1424">
            <v>12334</v>
          </cell>
          <cell r="I1424">
            <v>12740</v>
          </cell>
          <cell r="J1424">
            <v>12680</v>
          </cell>
          <cell r="K1424">
            <v>12300</v>
          </cell>
          <cell r="L1424">
            <v>12147</v>
          </cell>
          <cell r="M1424">
            <v>12068</v>
          </cell>
          <cell r="N1424">
            <v>11931</v>
          </cell>
          <cell r="O1424">
            <v>11921</v>
          </cell>
          <cell r="P1424">
            <v>12268</v>
          </cell>
        </row>
        <row r="1425">
          <cell r="E1425">
            <v>171.48599999999999</v>
          </cell>
          <cell r="F1425">
            <v>174.47629999999998</v>
          </cell>
          <cell r="G1425">
            <v>179.78569999999999</v>
          </cell>
          <cell r="H1425">
            <v>184.81180000000001</v>
          </cell>
          <cell r="I1425">
            <v>191.86490000000003</v>
          </cell>
          <cell r="J1425">
            <v>190.09050000000002</v>
          </cell>
          <cell r="K1425">
            <v>182.898</v>
          </cell>
          <cell r="L1425">
            <v>178.64479999999998</v>
          </cell>
          <cell r="M1425">
            <v>176.02379999999999</v>
          </cell>
          <cell r="N1425">
            <v>172.73810000000003</v>
          </cell>
          <cell r="O1425">
            <v>170.63619999999997</v>
          </cell>
          <cell r="P1425">
            <v>174.58510000000001</v>
          </cell>
        </row>
        <row r="1427">
          <cell r="E1427">
            <v>320</v>
          </cell>
          <cell r="F1427">
            <v>288</v>
          </cell>
          <cell r="G1427">
            <v>334</v>
          </cell>
          <cell r="H1427">
            <v>390</v>
          </cell>
          <cell r="I1427">
            <v>423</v>
          </cell>
          <cell r="J1427">
            <v>379</v>
          </cell>
          <cell r="K1427">
            <v>388</v>
          </cell>
          <cell r="L1427">
            <v>350</v>
          </cell>
          <cell r="M1427">
            <v>294</v>
          </cell>
          <cell r="N1427">
            <v>294</v>
          </cell>
          <cell r="O1427">
            <v>271</v>
          </cell>
          <cell r="P1427">
            <v>302</v>
          </cell>
        </row>
        <row r="1428">
          <cell r="E1428">
            <v>6.4166799999999995</v>
          </cell>
          <cell r="F1428">
            <v>5.9268999999999998</v>
          </cell>
          <cell r="G1428">
            <v>6.7915999999999999</v>
          </cell>
          <cell r="H1428">
            <v>7.68</v>
          </cell>
          <cell r="I1428">
            <v>8.9168000000000003</v>
          </cell>
          <cell r="J1428">
            <v>7.5772000000000013</v>
          </cell>
          <cell r="K1428">
            <v>7.7735000000000003</v>
          </cell>
          <cell r="L1428">
            <v>7.1824000000000003</v>
          </cell>
          <cell r="M1428">
            <v>5.8790000000000004</v>
          </cell>
          <cell r="N1428">
            <v>6.1150000000000002</v>
          </cell>
          <cell r="O1428">
            <v>5.6328000000000005</v>
          </cell>
          <cell r="P1428">
            <v>5.9625000000000004</v>
          </cell>
        </row>
        <row r="1430">
          <cell r="E1430">
            <v>549</v>
          </cell>
          <cell r="F1430">
            <v>614</v>
          </cell>
          <cell r="G1430">
            <v>639</v>
          </cell>
          <cell r="H1430">
            <v>607</v>
          </cell>
          <cell r="I1430">
            <v>652</v>
          </cell>
          <cell r="J1430">
            <v>695</v>
          </cell>
          <cell r="K1430">
            <v>684</v>
          </cell>
          <cell r="L1430">
            <v>715</v>
          </cell>
          <cell r="M1430">
            <v>740</v>
          </cell>
          <cell r="N1430">
            <v>693</v>
          </cell>
          <cell r="O1430">
            <v>745</v>
          </cell>
          <cell r="P1430">
            <v>781</v>
          </cell>
        </row>
        <row r="1431">
          <cell r="E1431">
            <v>12.656000000000002</v>
          </cell>
          <cell r="F1431">
            <v>13.871999999999998</v>
          </cell>
          <cell r="G1431">
            <v>14.552000000000001</v>
          </cell>
          <cell r="H1431">
            <v>14.368000000000002</v>
          </cell>
          <cell r="I1431">
            <v>15.467999999999998</v>
          </cell>
          <cell r="J1431">
            <v>16.084</v>
          </cell>
          <cell r="K1431">
            <v>16.039999999999996</v>
          </cell>
          <cell r="L1431">
            <v>16.228000000000002</v>
          </cell>
          <cell r="M1431">
            <v>16.856000000000002</v>
          </cell>
          <cell r="N1431">
            <v>15.952000000000002</v>
          </cell>
          <cell r="O1431">
            <v>17.191999999999997</v>
          </cell>
          <cell r="P1431">
            <v>18.148</v>
          </cell>
        </row>
        <row r="1433">
          <cell r="E1433">
            <v>9866</v>
          </cell>
          <cell r="F1433">
            <v>12365</v>
          </cell>
          <cell r="G1433">
            <v>14339</v>
          </cell>
          <cell r="H1433">
            <v>16065</v>
          </cell>
          <cell r="I1433">
            <v>17625</v>
          </cell>
          <cell r="J1433">
            <v>16068</v>
          </cell>
          <cell r="K1433">
            <v>15540</v>
          </cell>
          <cell r="L1433">
            <v>14425</v>
          </cell>
          <cell r="M1433">
            <v>11958</v>
          </cell>
          <cell r="N1433">
            <v>11756</v>
          </cell>
          <cell r="O1433">
            <v>12438</v>
          </cell>
          <cell r="P1433">
            <v>13762</v>
          </cell>
        </row>
        <row r="1434">
          <cell r="E1434">
            <v>108.42880000000001</v>
          </cell>
          <cell r="F1434">
            <v>142.45680000000002</v>
          </cell>
          <cell r="G1434">
            <v>171.68120000000002</v>
          </cell>
          <cell r="H1434">
            <v>194.69040000000001</v>
          </cell>
          <cell r="I1434">
            <v>218.87480000000002</v>
          </cell>
          <cell r="J1434">
            <v>194.96280000000002</v>
          </cell>
          <cell r="K1434">
            <v>182.1772</v>
          </cell>
          <cell r="L1434">
            <v>168.35360000000003</v>
          </cell>
          <cell r="M1434">
            <v>140.65119999999999</v>
          </cell>
          <cell r="N1434">
            <v>133.15920000000003</v>
          </cell>
          <cell r="O1434">
            <v>144.93320000000003</v>
          </cell>
          <cell r="P1434">
            <v>158.12640000000002</v>
          </cell>
        </row>
        <row r="1436">
          <cell r="E1436">
            <v>6967</v>
          </cell>
          <cell r="F1436">
            <v>6754</v>
          </cell>
          <cell r="G1436">
            <v>6610</v>
          </cell>
          <cell r="H1436">
            <v>6634</v>
          </cell>
          <cell r="I1436">
            <v>6660</v>
          </cell>
          <cell r="J1436">
            <v>6693</v>
          </cell>
          <cell r="K1436">
            <v>6699</v>
          </cell>
          <cell r="L1436">
            <v>6740</v>
          </cell>
          <cell r="M1436">
            <v>6690</v>
          </cell>
          <cell r="N1436">
            <v>6520</v>
          </cell>
          <cell r="O1436">
            <v>6137</v>
          </cell>
          <cell r="P1436">
            <v>6177</v>
          </cell>
        </row>
        <row r="1437">
          <cell r="E1437">
            <v>77.478999999999999</v>
          </cell>
          <cell r="F1437">
            <v>76.91</v>
          </cell>
          <cell r="G1437">
            <v>77.44</v>
          </cell>
          <cell r="H1437">
            <v>78.072199999999995</v>
          </cell>
          <cell r="I1437">
            <v>78.498000000000005</v>
          </cell>
          <cell r="J1437">
            <v>78.69</v>
          </cell>
          <cell r="K1437">
            <v>79.5</v>
          </cell>
          <cell r="L1437">
            <v>79.87</v>
          </cell>
          <cell r="M1437">
            <v>78.168999999999997</v>
          </cell>
          <cell r="N1437">
            <v>77.052999999999997</v>
          </cell>
          <cell r="O1437">
            <v>68.995000000000005</v>
          </cell>
          <cell r="P1437">
            <v>69.241</v>
          </cell>
        </row>
        <row r="1439">
          <cell r="E1439">
            <v>3397</v>
          </cell>
          <cell r="F1439">
            <v>3380</v>
          </cell>
          <cell r="G1439">
            <v>3440</v>
          </cell>
          <cell r="H1439">
            <v>3452</v>
          </cell>
          <cell r="I1439">
            <v>3470</v>
          </cell>
          <cell r="J1439">
            <v>3492</v>
          </cell>
          <cell r="K1439">
            <v>3499</v>
          </cell>
          <cell r="L1439">
            <v>3510</v>
          </cell>
          <cell r="M1439">
            <v>3499</v>
          </cell>
          <cell r="N1439">
            <v>3425</v>
          </cell>
          <cell r="O1439">
            <v>2940</v>
          </cell>
          <cell r="P1439">
            <v>2971</v>
          </cell>
        </row>
        <row r="1440">
          <cell r="E1440">
            <v>39.421999999999997</v>
          </cell>
          <cell r="F1440">
            <v>40.020000000000003</v>
          </cell>
          <cell r="G1440">
            <v>42.89</v>
          </cell>
          <cell r="H1440">
            <v>43.05</v>
          </cell>
          <cell r="I1440">
            <v>43.258000000000003</v>
          </cell>
          <cell r="J1440">
            <v>43.35</v>
          </cell>
          <cell r="K1440">
            <v>44.06</v>
          </cell>
          <cell r="L1440">
            <v>44.25</v>
          </cell>
          <cell r="M1440">
            <v>43.58</v>
          </cell>
          <cell r="N1440">
            <v>43.012</v>
          </cell>
          <cell r="O1440">
            <v>35.543999999999997</v>
          </cell>
          <cell r="P1440">
            <v>35.619999999999997</v>
          </cell>
        </row>
        <row r="1442">
          <cell r="E1442">
            <v>3570</v>
          </cell>
          <cell r="F1442">
            <v>3374</v>
          </cell>
          <cell r="G1442">
            <v>3170</v>
          </cell>
          <cell r="H1442">
            <v>3182</v>
          </cell>
          <cell r="I1442">
            <v>3190</v>
          </cell>
          <cell r="J1442">
            <v>3201</v>
          </cell>
          <cell r="K1442">
            <v>3200</v>
          </cell>
          <cell r="L1442">
            <v>3230</v>
          </cell>
          <cell r="M1442">
            <v>3191</v>
          </cell>
          <cell r="N1442">
            <v>3095</v>
          </cell>
          <cell r="O1442">
            <v>3197</v>
          </cell>
          <cell r="P1442">
            <v>3206</v>
          </cell>
        </row>
        <row r="1443">
          <cell r="E1443">
            <v>38.057000000000002</v>
          </cell>
          <cell r="F1443">
            <v>36.89</v>
          </cell>
          <cell r="G1443">
            <v>34.549999999999997</v>
          </cell>
          <cell r="H1443">
            <v>35.022199999999998</v>
          </cell>
          <cell r="I1443">
            <v>35.24</v>
          </cell>
          <cell r="J1443">
            <v>35.340000000000003</v>
          </cell>
          <cell r="K1443">
            <v>35.44</v>
          </cell>
          <cell r="L1443">
            <v>35.619999999999997</v>
          </cell>
          <cell r="M1443">
            <v>34.588999999999999</v>
          </cell>
          <cell r="N1443">
            <v>34.040999999999997</v>
          </cell>
          <cell r="O1443">
            <v>33.451000000000001</v>
          </cell>
          <cell r="P1443">
            <v>33.621000000000002</v>
          </cell>
        </row>
        <row r="1445">
          <cell r="E1445">
            <v>22897</v>
          </cell>
          <cell r="F1445">
            <v>24226</v>
          </cell>
          <cell r="G1445">
            <v>25672</v>
          </cell>
          <cell r="H1445">
            <v>26943</v>
          </cell>
          <cell r="I1445">
            <v>27874</v>
          </cell>
          <cell r="J1445">
            <v>28830</v>
          </cell>
          <cell r="K1445">
            <v>28664</v>
          </cell>
          <cell r="L1445">
            <v>27579</v>
          </cell>
          <cell r="M1445">
            <v>24958</v>
          </cell>
          <cell r="N1445">
            <v>22681</v>
          </cell>
          <cell r="O1445">
            <v>21306</v>
          </cell>
          <cell r="P1445">
            <v>21269</v>
          </cell>
        </row>
        <row r="1446">
          <cell r="E1446">
            <v>266.74439999999998</v>
          </cell>
          <cell r="F1446">
            <v>286.47880000000004</v>
          </cell>
          <cell r="G1446">
            <v>304.27119999999991</v>
          </cell>
          <cell r="H1446">
            <v>325.1624000000001</v>
          </cell>
          <cell r="I1446">
            <v>340.06320000000005</v>
          </cell>
          <cell r="J1446">
            <v>355.44080000000002</v>
          </cell>
          <cell r="K1446">
            <v>353.27760000000006</v>
          </cell>
          <cell r="L1446">
            <v>335.96840000000003</v>
          </cell>
          <cell r="M1446">
            <v>297.66440000000006</v>
          </cell>
          <cell r="N1446">
            <v>264.41079999999988</v>
          </cell>
          <cell r="O1446">
            <v>248.76400000000004</v>
          </cell>
          <cell r="P1446">
            <v>252.28920000000005</v>
          </cell>
        </row>
        <row r="1448">
          <cell r="E1448">
            <v>35600</v>
          </cell>
          <cell r="F1448">
            <v>43085</v>
          </cell>
          <cell r="G1448">
            <v>48135</v>
          </cell>
          <cell r="H1448">
            <v>65455</v>
          </cell>
          <cell r="I1448">
            <v>67370</v>
          </cell>
          <cell r="J1448">
            <v>64250</v>
          </cell>
          <cell r="K1448">
            <v>62020</v>
          </cell>
          <cell r="L1448">
            <v>58825</v>
          </cell>
          <cell r="M1448">
            <v>53175</v>
          </cell>
          <cell r="N1448">
            <v>47260</v>
          </cell>
          <cell r="O1448">
            <v>44645</v>
          </cell>
          <cell r="P1448">
            <v>39395</v>
          </cell>
        </row>
        <row r="1449">
          <cell r="E1449">
            <v>481.23099999999999</v>
          </cell>
          <cell r="F1449">
            <v>602.09100000000012</v>
          </cell>
          <cell r="G1449">
            <v>673.04699999999991</v>
          </cell>
          <cell r="H1449">
            <v>931.48350000000016</v>
          </cell>
          <cell r="I1449">
            <v>954.88499999999999</v>
          </cell>
          <cell r="J1449">
            <v>896.04000000000008</v>
          </cell>
          <cell r="K1449">
            <v>862.35699999999986</v>
          </cell>
          <cell r="L1449">
            <v>808.1450000000001</v>
          </cell>
          <cell r="M1449">
            <v>721.47450000000003</v>
          </cell>
          <cell r="N1449">
            <v>621.31399999999996</v>
          </cell>
          <cell r="O1449">
            <v>600.59400000000005</v>
          </cell>
          <cell r="P1449">
            <v>525.90000000000009</v>
          </cell>
        </row>
        <row r="1451">
          <cell r="E1451">
            <v>527</v>
          </cell>
          <cell r="F1451">
            <v>685</v>
          </cell>
          <cell r="G1451">
            <v>538</v>
          </cell>
          <cell r="H1451">
            <v>546</v>
          </cell>
          <cell r="I1451">
            <v>526</v>
          </cell>
          <cell r="J1451">
            <v>569</v>
          </cell>
          <cell r="K1451">
            <v>571</v>
          </cell>
          <cell r="L1451">
            <v>542</v>
          </cell>
          <cell r="M1451">
            <v>526</v>
          </cell>
          <cell r="N1451">
            <v>649</v>
          </cell>
          <cell r="O1451">
            <v>498</v>
          </cell>
          <cell r="P1451">
            <v>677</v>
          </cell>
        </row>
        <row r="1452">
          <cell r="E1452">
            <v>5.7279999999999989</v>
          </cell>
          <cell r="F1452">
            <v>5.1472000000000007</v>
          </cell>
          <cell r="G1452">
            <v>5.7816000000000001</v>
          </cell>
          <cell r="H1452">
            <v>5.5627999999999993</v>
          </cell>
          <cell r="I1452">
            <v>5.9570000000000007</v>
          </cell>
          <cell r="J1452">
            <v>6.3648000000000007</v>
          </cell>
          <cell r="K1452">
            <v>6.0121999999999991</v>
          </cell>
          <cell r="L1452">
            <v>5.7379999999999995</v>
          </cell>
          <cell r="M1452">
            <v>5.516</v>
          </cell>
          <cell r="N1452">
            <v>6.7879999999999985</v>
          </cell>
          <cell r="O1452">
            <v>5.2468000000000004</v>
          </cell>
          <cell r="P1452">
            <v>7.2395999999999994</v>
          </cell>
        </row>
        <row r="1454">
          <cell r="E1454">
            <v>216.00000000000003</v>
          </cell>
          <cell r="F1454">
            <v>199</v>
          </cell>
          <cell r="G1454">
            <v>188</v>
          </cell>
          <cell r="H1454">
            <v>186</v>
          </cell>
          <cell r="I1454">
            <v>179.00000000000003</v>
          </cell>
          <cell r="J1454">
            <v>190</v>
          </cell>
          <cell r="K1454">
            <v>183.00000000000003</v>
          </cell>
          <cell r="L1454">
            <v>182.00000000000003</v>
          </cell>
          <cell r="M1454">
            <v>185.00000000000003</v>
          </cell>
          <cell r="N1454">
            <v>185</v>
          </cell>
          <cell r="O1454">
            <v>196.99999999999997</v>
          </cell>
          <cell r="P1454">
            <v>269</v>
          </cell>
        </row>
        <row r="1455">
          <cell r="E1455">
            <v>2.4160000000000004</v>
          </cell>
          <cell r="F1455">
            <v>2.3320000000000003</v>
          </cell>
          <cell r="G1455">
            <v>2.3675999999999999</v>
          </cell>
          <cell r="H1455">
            <v>2.3435999999999999</v>
          </cell>
          <cell r="I1455">
            <v>2.1635999999999997</v>
          </cell>
          <cell r="J1455">
            <v>2.3071999999999995</v>
          </cell>
          <cell r="K1455">
            <v>2.1835999999999998</v>
          </cell>
          <cell r="L1455">
            <v>2.2236000000000007</v>
          </cell>
          <cell r="M1455">
            <v>2.3248000000000002</v>
          </cell>
          <cell r="N1455">
            <v>2.3367999999999998</v>
          </cell>
          <cell r="O1455">
            <v>2.5232000000000006</v>
          </cell>
          <cell r="P1455">
            <v>3.4856400000000001</v>
          </cell>
        </row>
        <row r="1457">
          <cell r="E1457">
            <v>132</v>
          </cell>
          <cell r="F1457">
            <v>129</v>
          </cell>
          <cell r="G1457">
            <v>139.99999999999997</v>
          </cell>
          <cell r="H1457">
            <v>129</v>
          </cell>
          <cell r="I1457">
            <v>167.99999999999997</v>
          </cell>
          <cell r="J1457">
            <v>174</v>
          </cell>
          <cell r="K1457">
            <v>199</v>
          </cell>
          <cell r="L1457">
            <v>186</v>
          </cell>
          <cell r="M1457">
            <v>242</v>
          </cell>
          <cell r="N1457">
            <v>244</v>
          </cell>
          <cell r="O1457">
            <v>257</v>
          </cell>
          <cell r="P1457">
            <v>288</v>
          </cell>
        </row>
        <row r="1458">
          <cell r="E1458">
            <v>1.5840000000000001</v>
          </cell>
          <cell r="F1458">
            <v>1.548</v>
          </cell>
          <cell r="G1458">
            <v>1.6796</v>
          </cell>
          <cell r="H1458">
            <v>1.5508</v>
          </cell>
          <cell r="I1458">
            <v>2.0232000000000001</v>
          </cell>
          <cell r="J1458">
            <v>2.1493200000000008</v>
          </cell>
          <cell r="K1458">
            <v>2.4666199999999998</v>
          </cell>
          <cell r="L1458">
            <v>2.2815880000000002</v>
          </cell>
          <cell r="M1458">
            <v>2.9081200000000003</v>
          </cell>
          <cell r="N1458">
            <v>2.9597000000000007</v>
          </cell>
          <cell r="O1458">
            <v>3.0892800000000005</v>
          </cell>
          <cell r="P1458">
            <v>3.4967999999999999</v>
          </cell>
        </row>
        <row r="1460">
          <cell r="E1460">
            <v>203</v>
          </cell>
          <cell r="F1460">
            <v>170</v>
          </cell>
          <cell r="G1460">
            <v>170</v>
          </cell>
          <cell r="H1460">
            <v>155</v>
          </cell>
          <cell r="I1460">
            <v>166.99999999999997</v>
          </cell>
          <cell r="J1460">
            <v>147</v>
          </cell>
          <cell r="K1460">
            <v>164</v>
          </cell>
          <cell r="L1460">
            <v>172</v>
          </cell>
          <cell r="M1460">
            <v>160</v>
          </cell>
          <cell r="N1460">
            <v>153</v>
          </cell>
          <cell r="O1460">
            <v>218</v>
          </cell>
          <cell r="P1460">
            <v>193</v>
          </cell>
        </row>
        <row r="1461">
          <cell r="E1461">
            <v>3.5049999999999999</v>
          </cell>
          <cell r="F1461">
            <v>3.04</v>
          </cell>
          <cell r="G1461">
            <v>2.92</v>
          </cell>
          <cell r="H1461">
            <v>2.72</v>
          </cell>
          <cell r="I1461">
            <v>2.9750000000000001</v>
          </cell>
          <cell r="J1461">
            <v>2.6310000000000002</v>
          </cell>
          <cell r="K1461">
            <v>2.6710000000000003</v>
          </cell>
          <cell r="L1461">
            <v>2.9000000000000004</v>
          </cell>
          <cell r="M1461">
            <v>2.6870000000000003</v>
          </cell>
          <cell r="N1461">
            <v>2.6470000000000002</v>
          </cell>
          <cell r="O1461">
            <v>3.7810000000000006</v>
          </cell>
          <cell r="P1461">
            <v>3.5697000000000001</v>
          </cell>
        </row>
      </sheetData>
      <sheetData sheetId="2">
        <row r="1376">
          <cell r="E1376">
            <v>425</v>
          </cell>
          <cell r="F1376">
            <v>585</v>
          </cell>
          <cell r="G1376">
            <v>571</v>
          </cell>
          <cell r="H1376">
            <v>598</v>
          </cell>
          <cell r="I1376">
            <v>570</v>
          </cell>
          <cell r="J1376">
            <v>503</v>
          </cell>
          <cell r="K1376">
            <v>501</v>
          </cell>
          <cell r="L1376">
            <v>575</v>
          </cell>
          <cell r="M1376">
            <v>484</v>
          </cell>
          <cell r="N1376">
            <v>498</v>
          </cell>
          <cell r="O1376">
            <v>473</v>
          </cell>
          <cell r="P1376">
            <v>556</v>
          </cell>
        </row>
        <row r="1377">
          <cell r="E1377">
            <v>23.36</v>
          </cell>
          <cell r="F1377">
            <v>32.260000000000005</v>
          </cell>
          <cell r="G1377">
            <v>31.46</v>
          </cell>
          <cell r="H1377">
            <v>33.020000000000003</v>
          </cell>
          <cell r="I1377">
            <v>31.199999999999996</v>
          </cell>
          <cell r="J1377">
            <v>27.479999999999997</v>
          </cell>
          <cell r="K1377">
            <v>26.740000000000002</v>
          </cell>
          <cell r="L1377">
            <v>31.98</v>
          </cell>
          <cell r="M1377">
            <v>26.36</v>
          </cell>
          <cell r="N1377">
            <v>27.3</v>
          </cell>
          <cell r="O1377">
            <v>25.919999999999998</v>
          </cell>
          <cell r="P1377">
            <v>27.42</v>
          </cell>
        </row>
        <row r="1379">
          <cell r="E1379">
            <v>9540.5897197600007</v>
          </cell>
          <cell r="F1379">
            <v>7805.9370434400007</v>
          </cell>
          <cell r="G1379">
            <v>8673.2633815999998</v>
          </cell>
          <cell r="H1379">
            <v>9540.5897197600007</v>
          </cell>
          <cell r="I1379">
            <v>10407.91605792</v>
          </cell>
          <cell r="J1379">
            <v>11275.242396080001</v>
          </cell>
          <cell r="K1379">
            <v>11448.707663711999</v>
          </cell>
          <cell r="L1379">
            <v>9714.054987391999</v>
          </cell>
          <cell r="M1379">
            <v>7979.4023110720009</v>
          </cell>
          <cell r="N1379">
            <v>8500</v>
          </cell>
          <cell r="O1379">
            <v>8326.3328463359994</v>
          </cell>
          <cell r="P1379">
            <v>10408</v>
          </cell>
        </row>
        <row r="1380">
          <cell r="E1380">
            <v>500.8809602874</v>
          </cell>
          <cell r="F1380">
            <v>409.81169478060002</v>
          </cell>
          <cell r="G1380">
            <v>442.33643246159994</v>
          </cell>
          <cell r="H1380">
            <v>493.72551799757997</v>
          </cell>
          <cell r="I1380">
            <v>530.80371895392011</v>
          </cell>
          <cell r="J1380">
            <v>583.49379399713985</v>
          </cell>
          <cell r="K1380">
            <v>575.29756010152801</v>
          </cell>
          <cell r="L1380">
            <v>509.98788683807987</v>
          </cell>
          <cell r="M1380">
            <v>430.88772479788798</v>
          </cell>
          <cell r="N1380">
            <v>375.23940098332002</v>
          </cell>
          <cell r="O1380">
            <v>437.13247443263992</v>
          </cell>
          <cell r="P1380">
            <v>535.44500000000005</v>
          </cell>
        </row>
        <row r="1382">
          <cell r="E1382">
            <v>2410</v>
          </cell>
          <cell r="F1382">
            <v>2346</v>
          </cell>
          <cell r="G1382">
            <v>2410</v>
          </cell>
          <cell r="H1382">
            <v>2310</v>
          </cell>
          <cell r="I1382">
            <v>2590</v>
          </cell>
          <cell r="J1382">
            <v>2660</v>
          </cell>
          <cell r="K1382">
            <v>2929</v>
          </cell>
          <cell r="L1382">
            <v>2602</v>
          </cell>
          <cell r="M1382">
            <v>2587</v>
          </cell>
          <cell r="N1382">
            <v>2560</v>
          </cell>
          <cell r="O1382">
            <v>2610</v>
          </cell>
          <cell r="P1382">
            <v>3640</v>
          </cell>
        </row>
        <row r="1383">
          <cell r="E1383">
            <v>125</v>
          </cell>
          <cell r="F1383">
            <v>119.82</v>
          </cell>
          <cell r="G1383">
            <v>128.91</v>
          </cell>
          <cell r="H1383">
            <v>130.66</v>
          </cell>
          <cell r="I1383">
            <v>153.72999999999999</v>
          </cell>
          <cell r="J1383">
            <v>158.315</v>
          </cell>
          <cell r="K1383">
            <v>169.73000000000002</v>
          </cell>
          <cell r="L1383">
            <v>138.41000000000003</v>
          </cell>
          <cell r="M1383">
            <v>138.93</v>
          </cell>
          <cell r="N1383">
            <v>135.79</v>
          </cell>
          <cell r="O1383">
            <v>138.37</v>
          </cell>
          <cell r="P1383">
            <v>183.25</v>
          </cell>
        </row>
        <row r="1385">
          <cell r="E1385">
            <v>25622</v>
          </cell>
          <cell r="F1385">
            <v>24665</v>
          </cell>
          <cell r="G1385">
            <v>24778</v>
          </cell>
          <cell r="H1385">
            <v>25395</v>
          </cell>
          <cell r="I1385">
            <v>26082</v>
          </cell>
          <cell r="J1385">
            <v>26097</v>
          </cell>
          <cell r="K1385">
            <v>27272</v>
          </cell>
          <cell r="L1385">
            <v>27009</v>
          </cell>
          <cell r="M1385">
            <v>26247</v>
          </cell>
          <cell r="N1385">
            <v>26057</v>
          </cell>
          <cell r="O1385">
            <v>24349</v>
          </cell>
          <cell r="P1385">
            <v>26005</v>
          </cell>
        </row>
        <row r="1386">
          <cell r="E1386">
            <v>1519.2142425000002</v>
          </cell>
          <cell r="F1386">
            <v>1432.6857074999998</v>
          </cell>
          <cell r="G1386">
            <v>1421.48577</v>
          </cell>
          <cell r="H1386">
            <v>1391.5570049999999</v>
          </cell>
          <cell r="I1386">
            <v>1442.6926049999997</v>
          </cell>
          <cell r="J1386">
            <v>1478.1642374999999</v>
          </cell>
          <cell r="K1386">
            <v>1624.0392375000001</v>
          </cell>
          <cell r="L1386">
            <v>1615.5095474999998</v>
          </cell>
          <cell r="M1386">
            <v>1445.5496700000001</v>
          </cell>
          <cell r="N1386">
            <v>1438.2070275000001</v>
          </cell>
          <cell r="O1386">
            <v>1340.5994975000001</v>
          </cell>
          <cell r="P1386">
            <v>1504.2684925000001</v>
          </cell>
        </row>
        <row r="1388">
          <cell r="E1388">
            <v>11216</v>
          </cell>
          <cell r="F1388">
            <v>11982</v>
          </cell>
          <cell r="G1388">
            <v>12204</v>
          </cell>
          <cell r="H1388">
            <v>12239</v>
          </cell>
          <cell r="I1388">
            <v>13046</v>
          </cell>
          <cell r="J1388">
            <v>13129</v>
          </cell>
          <cell r="K1388">
            <v>13211</v>
          </cell>
          <cell r="L1388">
            <v>12597</v>
          </cell>
          <cell r="M1388">
            <v>12864</v>
          </cell>
          <cell r="N1388">
            <v>12195</v>
          </cell>
          <cell r="O1388">
            <v>12809</v>
          </cell>
          <cell r="P1388">
            <v>13374</v>
          </cell>
        </row>
        <row r="1389">
          <cell r="E1389">
            <v>469.48852425000007</v>
          </cell>
          <cell r="F1389">
            <v>506.96322442499991</v>
          </cell>
          <cell r="G1389">
            <v>524.08817399999998</v>
          </cell>
          <cell r="H1389">
            <v>528.74220000000003</v>
          </cell>
          <cell r="I1389">
            <v>568.53254850000008</v>
          </cell>
          <cell r="J1389">
            <v>575.17404944999998</v>
          </cell>
          <cell r="K1389">
            <v>575.794884475</v>
          </cell>
          <cell r="L1389">
            <v>549.06284994999999</v>
          </cell>
          <cell r="M1389">
            <v>556.91069975000005</v>
          </cell>
          <cell r="N1389">
            <v>524.22540449999997</v>
          </cell>
          <cell r="O1389">
            <v>540.6175874999999</v>
          </cell>
          <cell r="P1389">
            <v>564.45262950000006</v>
          </cell>
        </row>
        <row r="1391">
          <cell r="E1391">
            <v>5141</v>
          </cell>
          <cell r="F1391">
            <v>5294</v>
          </cell>
          <cell r="G1391">
            <v>5590</v>
          </cell>
          <cell r="H1391">
            <v>5150</v>
          </cell>
          <cell r="I1391">
            <v>5126</v>
          </cell>
          <cell r="J1391">
            <v>5168</v>
          </cell>
          <cell r="K1391">
            <v>5539</v>
          </cell>
          <cell r="L1391">
            <v>5193</v>
          </cell>
          <cell r="M1391">
            <v>5659</v>
          </cell>
          <cell r="N1391">
            <v>5415</v>
          </cell>
          <cell r="O1391">
            <v>5820</v>
          </cell>
          <cell r="P1391">
            <v>5859</v>
          </cell>
        </row>
        <row r="1392">
          <cell r="E1392">
            <v>180.17002425000004</v>
          </cell>
          <cell r="F1392">
            <v>187.19659942499999</v>
          </cell>
          <cell r="G1392">
            <v>202.94229900000002</v>
          </cell>
          <cell r="H1392">
            <v>184.46355</v>
          </cell>
          <cell r="I1392">
            <v>185.53949850000001</v>
          </cell>
          <cell r="J1392">
            <v>188.67797445000002</v>
          </cell>
          <cell r="K1392">
            <v>205.499699475</v>
          </cell>
          <cell r="L1392">
            <v>191.17002494999997</v>
          </cell>
          <cell r="M1392">
            <v>206.71194974999997</v>
          </cell>
          <cell r="N1392">
            <v>197.1717495</v>
          </cell>
          <cell r="O1392">
            <v>205.21</v>
          </cell>
          <cell r="P1392">
            <v>214.34254950000002</v>
          </cell>
        </row>
        <row r="1394">
          <cell r="E1394">
            <v>3145</v>
          </cell>
          <cell r="F1394">
            <v>3824</v>
          </cell>
          <cell r="G1394">
            <v>3283</v>
          </cell>
          <cell r="H1394">
            <v>3753</v>
          </cell>
          <cell r="I1394">
            <v>4256</v>
          </cell>
          <cell r="J1394">
            <v>4342</v>
          </cell>
          <cell r="K1394">
            <v>4411</v>
          </cell>
          <cell r="L1394">
            <v>4380</v>
          </cell>
          <cell r="M1394">
            <v>4298</v>
          </cell>
          <cell r="N1394">
            <v>4201</v>
          </cell>
          <cell r="O1394">
            <v>4261</v>
          </cell>
          <cell r="P1394">
            <v>4530</v>
          </cell>
        </row>
        <row r="1395">
          <cell r="E1395">
            <v>146.48100000000002</v>
          </cell>
          <cell r="F1395">
            <v>181.53974999999997</v>
          </cell>
          <cell r="G1395">
            <v>160.22024999999999</v>
          </cell>
          <cell r="H1395">
            <v>180.07875000000001</v>
          </cell>
          <cell r="I1395">
            <v>204.72975000000005</v>
          </cell>
          <cell r="J1395">
            <v>209.34300000000002</v>
          </cell>
          <cell r="K1395">
            <v>210.25</v>
          </cell>
          <cell r="L1395">
            <v>208.45599999999999</v>
          </cell>
          <cell r="M1395">
            <v>207.56</v>
          </cell>
          <cell r="N1395">
            <v>205.32</v>
          </cell>
          <cell r="O1395">
            <v>202.334</v>
          </cell>
          <cell r="P1395">
            <v>203.47800000000001</v>
          </cell>
        </row>
        <row r="1397">
          <cell r="E1397">
            <v>2930</v>
          </cell>
          <cell r="F1397">
            <v>2864</v>
          </cell>
          <cell r="G1397">
            <v>3331</v>
          </cell>
          <cell r="H1397">
            <v>3336</v>
          </cell>
          <cell r="I1397">
            <v>3664</v>
          </cell>
          <cell r="J1397">
            <v>3619</v>
          </cell>
          <cell r="K1397">
            <v>3261</v>
          </cell>
          <cell r="L1397">
            <v>3024</v>
          </cell>
          <cell r="M1397">
            <v>2907</v>
          </cell>
          <cell r="N1397">
            <v>2579</v>
          </cell>
          <cell r="O1397">
            <v>2728</v>
          </cell>
          <cell r="P1397">
            <v>2985</v>
          </cell>
        </row>
        <row r="1398">
          <cell r="E1398">
            <v>142.83750000000001</v>
          </cell>
          <cell r="F1398">
            <v>138.22687499999995</v>
          </cell>
          <cell r="G1398">
            <v>160.92562500000003</v>
          </cell>
          <cell r="H1398">
            <v>164.19990000000001</v>
          </cell>
          <cell r="I1398">
            <v>178.26330000000002</v>
          </cell>
          <cell r="J1398">
            <v>177.153075</v>
          </cell>
          <cell r="K1398">
            <v>160.045185</v>
          </cell>
          <cell r="L1398">
            <v>149.436825</v>
          </cell>
          <cell r="M1398">
            <v>142.63875000000002</v>
          </cell>
          <cell r="N1398">
            <v>121.733655</v>
          </cell>
          <cell r="O1398">
            <v>133.07358749999997</v>
          </cell>
          <cell r="P1398">
            <v>146.63207999999997</v>
          </cell>
        </row>
        <row r="1400">
          <cell r="E1400">
            <v>2675.9999999999995</v>
          </cell>
          <cell r="F1400">
            <v>2787</v>
          </cell>
          <cell r="G1400">
            <v>2757</v>
          </cell>
          <cell r="H1400">
            <v>2644</v>
          </cell>
          <cell r="I1400">
            <v>2756</v>
          </cell>
          <cell r="J1400">
            <v>2785</v>
          </cell>
          <cell r="K1400">
            <v>2832</v>
          </cell>
          <cell r="L1400">
            <v>2849</v>
          </cell>
          <cell r="M1400">
            <v>2818.0000000000005</v>
          </cell>
          <cell r="N1400">
            <v>2852.0000000000005</v>
          </cell>
          <cell r="O1400">
            <v>2923</v>
          </cell>
          <cell r="P1400">
            <v>3362.9999999999995</v>
          </cell>
        </row>
        <row r="1401">
          <cell r="E1401">
            <v>145.80525</v>
          </cell>
          <cell r="F1401">
            <v>152.24250000000001</v>
          </cell>
          <cell r="G1401">
            <v>145.88175000000001</v>
          </cell>
          <cell r="H1401">
            <v>138.64574999999999</v>
          </cell>
          <cell r="I1401">
            <v>144.93900000000002</v>
          </cell>
          <cell r="J1401">
            <v>147.41024999999999</v>
          </cell>
          <cell r="K1401">
            <v>148.86525</v>
          </cell>
          <cell r="L1401">
            <v>150.94725</v>
          </cell>
          <cell r="M1401">
            <v>151.65674999999999</v>
          </cell>
          <cell r="N1401">
            <v>150.61875000000003</v>
          </cell>
          <cell r="O1401">
            <v>153.24</v>
          </cell>
          <cell r="P1401">
            <v>176.16075000000001</v>
          </cell>
        </row>
        <row r="1403">
          <cell r="E1403">
            <v>4745</v>
          </cell>
          <cell r="F1403">
            <v>4590</v>
          </cell>
          <cell r="G1403">
            <v>4772</v>
          </cell>
          <cell r="H1403">
            <v>4719</v>
          </cell>
          <cell r="I1403">
            <v>4450</v>
          </cell>
          <cell r="J1403">
            <v>4610</v>
          </cell>
          <cell r="K1403">
            <v>3625</v>
          </cell>
          <cell r="L1403">
            <v>3490</v>
          </cell>
          <cell r="M1403">
            <v>3494</v>
          </cell>
          <cell r="N1403">
            <v>3695</v>
          </cell>
          <cell r="O1403">
            <v>3655</v>
          </cell>
          <cell r="P1403">
            <v>3710</v>
          </cell>
        </row>
        <row r="1404">
          <cell r="E1404">
            <v>148.87126599999999</v>
          </cell>
          <cell r="F1404">
            <v>144.19999999999999</v>
          </cell>
          <cell r="G1404">
            <v>152.771266</v>
          </cell>
          <cell r="H1404">
            <v>148.78</v>
          </cell>
          <cell r="I1404">
            <v>144.67332014660499</v>
          </cell>
          <cell r="J1404">
            <v>148.28</v>
          </cell>
          <cell r="K1404">
            <v>120.04600000000001</v>
          </cell>
          <cell r="L1404">
            <v>112.874</v>
          </cell>
          <cell r="M1404">
            <v>113.8974</v>
          </cell>
          <cell r="N1404">
            <v>119.18015200000001</v>
          </cell>
          <cell r="O1404">
            <v>114.12949999999999</v>
          </cell>
          <cell r="P1404">
            <v>125.46</v>
          </cell>
        </row>
        <row r="1406">
          <cell r="E1406">
            <v>92436</v>
          </cell>
          <cell r="F1406">
            <v>91816</v>
          </cell>
          <cell r="G1406">
            <v>91566</v>
          </cell>
          <cell r="H1406">
            <v>93007</v>
          </cell>
          <cell r="I1406">
            <v>92753</v>
          </cell>
          <cell r="J1406">
            <v>94869</v>
          </cell>
          <cell r="K1406">
            <v>107170</v>
          </cell>
          <cell r="L1406">
            <v>94557</v>
          </cell>
          <cell r="M1406">
            <v>98733</v>
          </cell>
          <cell r="N1406">
            <v>99153</v>
          </cell>
          <cell r="O1406">
            <v>99772</v>
          </cell>
          <cell r="P1406">
            <v>122607</v>
          </cell>
        </row>
        <row r="1407">
          <cell r="E1407">
            <v>5900.0145000000002</v>
          </cell>
          <cell r="F1407">
            <v>5828.8404499999997</v>
          </cell>
          <cell r="G1407">
            <v>5803.5079875000001</v>
          </cell>
          <cell r="H1407">
            <v>5897.7857999999997</v>
          </cell>
          <cell r="I1407">
            <v>5871.9690499999997</v>
          </cell>
          <cell r="J1407">
            <v>6027.3135000000002</v>
          </cell>
          <cell r="K1407">
            <v>6816.3063999999995</v>
          </cell>
          <cell r="L1407">
            <v>6013.4536000000007</v>
          </cell>
          <cell r="M1407">
            <v>6230.6348250000001</v>
          </cell>
          <cell r="N1407">
            <v>6250.1158624999998</v>
          </cell>
          <cell r="O1407">
            <v>6333.2513250000011</v>
          </cell>
          <cell r="P1407">
            <v>7839.3660499999996</v>
          </cell>
        </row>
        <row r="1409">
          <cell r="E1409">
            <v>15779</v>
          </cell>
          <cell r="F1409">
            <v>15325</v>
          </cell>
          <cell r="G1409">
            <v>16550</v>
          </cell>
          <cell r="H1409">
            <v>13907</v>
          </cell>
          <cell r="I1409">
            <v>17666</v>
          </cell>
          <cell r="J1409">
            <v>17915</v>
          </cell>
          <cell r="K1409">
            <v>20710</v>
          </cell>
          <cell r="L1409">
            <v>19777</v>
          </cell>
          <cell r="M1409">
            <v>17840</v>
          </cell>
          <cell r="N1409">
            <v>17473</v>
          </cell>
          <cell r="O1409">
            <v>20898</v>
          </cell>
          <cell r="P1409">
            <v>18240</v>
          </cell>
        </row>
        <row r="1410">
          <cell r="E1410">
            <v>862.45858500000008</v>
          </cell>
          <cell r="F1410">
            <v>838.47712499999989</v>
          </cell>
          <cell r="G1410">
            <v>889.78012500000011</v>
          </cell>
          <cell r="H1410">
            <v>741.86227499999995</v>
          </cell>
          <cell r="I1410">
            <v>766.67404499999998</v>
          </cell>
          <cell r="J1410">
            <v>1102.0670999999998</v>
          </cell>
          <cell r="K1410">
            <v>1298.24172</v>
          </cell>
          <cell r="L1410">
            <v>1201.3078499999997</v>
          </cell>
          <cell r="M1410">
            <v>984.32134500000006</v>
          </cell>
          <cell r="N1410">
            <v>918.55137500000001</v>
          </cell>
          <cell r="O1410">
            <v>971.75807499999996</v>
          </cell>
          <cell r="P1410">
            <v>908.34865000000002</v>
          </cell>
        </row>
        <row r="1412">
          <cell r="E1412">
            <v>12013</v>
          </cell>
          <cell r="F1412">
            <v>11146</v>
          </cell>
          <cell r="G1412">
            <v>17157</v>
          </cell>
          <cell r="H1412">
            <v>17715</v>
          </cell>
          <cell r="I1412">
            <v>18824</v>
          </cell>
          <cell r="J1412">
            <v>20535</v>
          </cell>
          <cell r="K1412">
            <v>18731</v>
          </cell>
          <cell r="L1412">
            <v>19562</v>
          </cell>
          <cell r="M1412">
            <v>18626</v>
          </cell>
          <cell r="N1412">
            <v>17747</v>
          </cell>
          <cell r="O1412">
            <v>16728</v>
          </cell>
          <cell r="P1412">
            <v>19640</v>
          </cell>
        </row>
        <row r="1413">
          <cell r="E1413">
            <v>435.48974999999967</v>
          </cell>
          <cell r="F1413">
            <v>391.40174999999999</v>
          </cell>
          <cell r="G1413">
            <v>565.6875</v>
          </cell>
          <cell r="H1413">
            <v>601.48869375000004</v>
          </cell>
          <cell r="I1413">
            <v>653.77499999999975</v>
          </cell>
          <cell r="J1413">
            <v>951.91274999999973</v>
          </cell>
          <cell r="K1413">
            <v>836.4067500000001</v>
          </cell>
          <cell r="L1413">
            <v>837.90112499999987</v>
          </cell>
          <cell r="M1413">
            <v>781.64925000000017</v>
          </cell>
          <cell r="N1413">
            <v>792.73998749999964</v>
          </cell>
          <cell r="O1413">
            <v>558.81225000000018</v>
          </cell>
          <cell r="P1413">
            <v>671.59359749999999</v>
          </cell>
        </row>
        <row r="1415">
          <cell r="E1415">
            <v>1681</v>
          </cell>
          <cell r="F1415">
            <v>2171</v>
          </cell>
          <cell r="G1415">
            <v>2688</v>
          </cell>
          <cell r="H1415">
            <v>3260</v>
          </cell>
          <cell r="I1415">
            <v>3697</v>
          </cell>
          <cell r="J1415">
            <v>4412</v>
          </cell>
          <cell r="K1415">
            <v>4491</v>
          </cell>
          <cell r="L1415">
            <v>3726</v>
          </cell>
          <cell r="M1415">
            <v>3012</v>
          </cell>
          <cell r="N1415">
            <v>2402</v>
          </cell>
          <cell r="O1415">
            <v>2125</v>
          </cell>
          <cell r="P1415">
            <v>2563</v>
          </cell>
        </row>
        <row r="1416">
          <cell r="E1416">
            <v>61.408177500000008</v>
          </cell>
          <cell r="F1416">
            <v>78.325387500000005</v>
          </cell>
          <cell r="G1416">
            <v>98.613989999999973</v>
          </cell>
          <cell r="H1416">
            <v>117.19967249999999</v>
          </cell>
          <cell r="I1416">
            <v>134.86891500000002</v>
          </cell>
          <cell r="J1416">
            <v>161.07583499999998</v>
          </cell>
          <cell r="K1416">
            <v>163.18451250000001</v>
          </cell>
          <cell r="L1416">
            <v>135.56894999999997</v>
          </cell>
          <cell r="M1416">
            <v>111.75279749999997</v>
          </cell>
          <cell r="N1416">
            <v>88.64009249999998</v>
          </cell>
          <cell r="O1416">
            <v>77.616502499999996</v>
          </cell>
          <cell r="P1416">
            <v>99.71249250000001</v>
          </cell>
        </row>
        <row r="1418">
          <cell r="E1418">
            <v>9259</v>
          </cell>
          <cell r="F1418">
            <v>9330</v>
          </cell>
          <cell r="G1418">
            <v>9450.0000000000018</v>
          </cell>
          <cell r="H1418">
            <v>9110</v>
          </cell>
          <cell r="I1418">
            <v>9549.9340239189423</v>
          </cell>
          <cell r="J1418">
            <v>10694</v>
          </cell>
          <cell r="K1418">
            <v>9743</v>
          </cell>
          <cell r="L1418">
            <v>9237</v>
          </cell>
          <cell r="M1418">
            <v>9307</v>
          </cell>
          <cell r="N1418">
            <v>9288</v>
          </cell>
          <cell r="O1418">
            <v>9171.9999999999982</v>
          </cell>
          <cell r="P1418">
            <v>10230.886017865798</v>
          </cell>
        </row>
        <row r="1419">
          <cell r="E1419">
            <v>394.70700000000005</v>
          </cell>
          <cell r="F1419">
            <v>402.4905</v>
          </cell>
          <cell r="G1419">
            <v>408.16500000000002</v>
          </cell>
          <cell r="H1419">
            <v>392.50799999999992</v>
          </cell>
          <cell r="I1419">
            <v>414.18073949266045</v>
          </cell>
          <cell r="J1419">
            <v>417.78224999999998</v>
          </cell>
          <cell r="K1419">
            <v>412.70325000000003</v>
          </cell>
          <cell r="L1419">
            <v>393.61725000000001</v>
          </cell>
          <cell r="M1419">
            <v>393.63975000000005</v>
          </cell>
          <cell r="N1419">
            <v>395.35500000000008</v>
          </cell>
          <cell r="O1419">
            <v>388.88849999999991</v>
          </cell>
          <cell r="P1419">
            <v>441.20635484639104</v>
          </cell>
        </row>
        <row r="1421">
          <cell r="E1421">
            <v>3468</v>
          </cell>
          <cell r="F1421">
            <v>3467</v>
          </cell>
          <cell r="G1421">
            <v>3495</v>
          </cell>
          <cell r="H1421">
            <v>3747</v>
          </cell>
          <cell r="I1421">
            <v>3832</v>
          </cell>
          <cell r="J1421">
            <v>3809</v>
          </cell>
          <cell r="K1421">
            <v>3560</v>
          </cell>
          <cell r="L1421">
            <v>3580</v>
          </cell>
          <cell r="M1421">
            <v>3735</v>
          </cell>
          <cell r="N1421">
            <v>3772</v>
          </cell>
          <cell r="O1421">
            <v>3616</v>
          </cell>
          <cell r="P1421">
            <v>4359</v>
          </cell>
        </row>
        <row r="1422">
          <cell r="E1422">
            <v>121.98779250000005</v>
          </cell>
          <cell r="F1422">
            <v>121.17335250000006</v>
          </cell>
          <cell r="G1422">
            <v>123.89944499999994</v>
          </cell>
          <cell r="H1422">
            <v>136.61054999999999</v>
          </cell>
          <cell r="I1422">
            <v>140.55660749999998</v>
          </cell>
          <cell r="J1422">
            <v>139.28341732499999</v>
          </cell>
          <cell r="K1422">
            <v>132.87647999999996</v>
          </cell>
          <cell r="L1422">
            <v>133.44403499999999</v>
          </cell>
          <cell r="M1422">
            <v>139.6877025</v>
          </cell>
          <cell r="N1422">
            <v>142.111986</v>
          </cell>
          <cell r="O1422">
            <v>139.11318000000003</v>
          </cell>
          <cell r="P1422">
            <v>161.96139000000002</v>
          </cell>
        </row>
        <row r="1424">
          <cell r="E1424">
            <v>16548</v>
          </cell>
          <cell r="F1424">
            <v>16522</v>
          </cell>
          <cell r="G1424">
            <v>16555</v>
          </cell>
          <cell r="H1424">
            <v>16093</v>
          </cell>
          <cell r="I1424">
            <v>16280</v>
          </cell>
          <cell r="J1424">
            <v>16350</v>
          </cell>
          <cell r="K1424">
            <v>16443</v>
          </cell>
          <cell r="L1424">
            <v>16421</v>
          </cell>
          <cell r="M1424">
            <v>16399</v>
          </cell>
          <cell r="N1424">
            <v>16519</v>
          </cell>
          <cell r="O1424">
            <v>16607</v>
          </cell>
          <cell r="P1424">
            <v>17803</v>
          </cell>
        </row>
        <row r="1425">
          <cell r="E1425">
            <v>926.08400000000029</v>
          </cell>
          <cell r="F1425">
            <v>925.44099999999992</v>
          </cell>
          <cell r="G1425">
            <v>927.39599999999996</v>
          </cell>
          <cell r="H1425">
            <v>901.90200000000016</v>
          </cell>
          <cell r="I1425">
            <v>912.02199999999993</v>
          </cell>
          <cell r="J1425">
            <v>915.62300000000016</v>
          </cell>
          <cell r="K1425">
            <v>920.72100000000012</v>
          </cell>
          <cell r="L1425">
            <v>919.11099999999976</v>
          </cell>
          <cell r="M1425">
            <v>917.91099999999994</v>
          </cell>
          <cell r="N1425">
            <v>924.67400000000009</v>
          </cell>
          <cell r="O1425">
            <v>929.69899999999996</v>
          </cell>
          <cell r="P1425">
            <v>940.90300000000013</v>
          </cell>
        </row>
        <row r="1427">
          <cell r="E1427">
            <v>2528</v>
          </cell>
          <cell r="F1427">
            <v>2829</v>
          </cell>
          <cell r="G1427">
            <v>1960</v>
          </cell>
          <cell r="H1427">
            <v>2010</v>
          </cell>
          <cell r="I1427">
            <v>2136</v>
          </cell>
          <cell r="J1427">
            <v>1976</v>
          </cell>
          <cell r="K1427">
            <v>2186</v>
          </cell>
          <cell r="L1427">
            <v>2044</v>
          </cell>
          <cell r="M1427">
            <v>1924</v>
          </cell>
          <cell r="N1427">
            <v>2052</v>
          </cell>
          <cell r="O1427">
            <v>1802</v>
          </cell>
          <cell r="P1427">
            <v>2564</v>
          </cell>
        </row>
        <row r="1428">
          <cell r="E1428">
            <v>112.7</v>
          </cell>
          <cell r="F1428">
            <v>110.33499999999999</v>
          </cell>
          <cell r="G1428">
            <v>79.572999999999993</v>
          </cell>
          <cell r="H1428">
            <v>95.68</v>
          </cell>
          <cell r="I1428">
            <v>98.483249999999998</v>
          </cell>
          <cell r="J1428">
            <v>90.795000000000002</v>
          </cell>
          <cell r="K1428">
            <v>99.932699999999983</v>
          </cell>
          <cell r="L1428">
            <v>97.812399999999997</v>
          </cell>
          <cell r="M1428">
            <v>93.0916</v>
          </cell>
          <cell r="N1428">
            <v>93.129099999999994</v>
          </cell>
          <cell r="O1428">
            <v>81.123750000000001</v>
          </cell>
          <cell r="P1428">
            <v>110.4575</v>
          </cell>
        </row>
        <row r="1430">
          <cell r="E1430">
            <v>5506</v>
          </cell>
          <cell r="F1430">
            <v>5687</v>
          </cell>
          <cell r="G1430">
            <v>5778</v>
          </cell>
          <cell r="H1430">
            <v>5651</v>
          </cell>
          <cell r="I1430">
            <v>5708</v>
          </cell>
          <cell r="J1430">
            <v>5739</v>
          </cell>
          <cell r="K1430">
            <v>5706</v>
          </cell>
          <cell r="L1430">
            <v>5795</v>
          </cell>
          <cell r="M1430">
            <v>5766</v>
          </cell>
          <cell r="N1430">
            <v>5779</v>
          </cell>
          <cell r="O1430">
            <v>5803</v>
          </cell>
          <cell r="P1430">
            <v>5963</v>
          </cell>
        </row>
        <row r="1431">
          <cell r="E1431">
            <v>204.56849999999997</v>
          </cell>
          <cell r="F1431">
            <v>226.19250000000002</v>
          </cell>
          <cell r="G1431">
            <v>224.65125</v>
          </cell>
          <cell r="H1431">
            <v>218.19</v>
          </cell>
          <cell r="I1431">
            <v>223.63500000000005</v>
          </cell>
          <cell r="J1431">
            <v>225.13574999999997</v>
          </cell>
          <cell r="K1431">
            <v>226.80749999999998</v>
          </cell>
          <cell r="L1431">
            <v>223.75875000000002</v>
          </cell>
          <cell r="M1431">
            <v>215.8125</v>
          </cell>
          <cell r="N1431">
            <v>228.99</v>
          </cell>
          <cell r="O1431">
            <v>238.04249999999999</v>
          </cell>
          <cell r="P1431">
            <v>251.64</v>
          </cell>
        </row>
        <row r="1433">
          <cell r="E1433">
            <v>4024</v>
          </cell>
          <cell r="F1433">
            <v>4704</v>
          </cell>
          <cell r="G1433">
            <v>5755</v>
          </cell>
          <cell r="H1433">
            <v>6163</v>
          </cell>
          <cell r="I1433">
            <v>5670</v>
          </cell>
          <cell r="J1433">
            <v>5272</v>
          </cell>
          <cell r="K1433">
            <v>5899</v>
          </cell>
          <cell r="L1433">
            <v>5630</v>
          </cell>
          <cell r="M1433">
            <v>4335</v>
          </cell>
          <cell r="N1433">
            <v>4280</v>
          </cell>
          <cell r="O1433">
            <v>4857</v>
          </cell>
          <cell r="P1433">
            <v>5730</v>
          </cell>
        </row>
        <row r="1434">
          <cell r="E1434">
            <v>171.62925000000001</v>
          </cell>
          <cell r="F1434">
            <v>201.79349999999999</v>
          </cell>
          <cell r="G1434">
            <v>254.91300000000001</v>
          </cell>
          <cell r="H1434">
            <v>271.36500000000001</v>
          </cell>
          <cell r="I1434">
            <v>256.59749999999997</v>
          </cell>
          <cell r="J1434">
            <v>241.09424999999999</v>
          </cell>
          <cell r="K1434">
            <v>265.6995</v>
          </cell>
          <cell r="L1434">
            <v>252.38925</v>
          </cell>
          <cell r="M1434">
            <v>192.82575</v>
          </cell>
          <cell r="N1434">
            <v>187.45574999999999</v>
          </cell>
          <cell r="O1434">
            <v>210.99224999999998</v>
          </cell>
          <cell r="P1434">
            <v>250.67625000000001</v>
          </cell>
        </row>
        <row r="1436">
          <cell r="E1436">
            <v>5950</v>
          </cell>
          <cell r="F1436">
            <v>5650</v>
          </cell>
          <cell r="G1436">
            <v>5965</v>
          </cell>
          <cell r="H1436">
            <v>6093</v>
          </cell>
          <cell r="I1436">
            <v>6140</v>
          </cell>
          <cell r="J1436">
            <v>6172</v>
          </cell>
          <cell r="K1436">
            <v>6130</v>
          </cell>
          <cell r="L1436">
            <v>5825</v>
          </cell>
          <cell r="M1436">
            <v>5940</v>
          </cell>
          <cell r="N1436">
            <v>5601</v>
          </cell>
          <cell r="O1436">
            <v>5724</v>
          </cell>
          <cell r="P1436">
            <v>6153</v>
          </cell>
        </row>
        <row r="1437">
          <cell r="E1437">
            <v>229.4</v>
          </cell>
          <cell r="F1437">
            <v>223.23000000000002</v>
          </cell>
          <cell r="G1437">
            <v>229.99</v>
          </cell>
          <cell r="H1437">
            <v>230.89</v>
          </cell>
          <cell r="I1437">
            <v>231.26</v>
          </cell>
          <cell r="J1437">
            <v>231.68099999999998</v>
          </cell>
          <cell r="K1437">
            <v>235.35000000000002</v>
          </cell>
          <cell r="L1437">
            <v>231.72</v>
          </cell>
          <cell r="M1437">
            <v>232.26</v>
          </cell>
          <cell r="N1437">
            <v>230.99700000000001</v>
          </cell>
          <cell r="O1437">
            <v>233.13</v>
          </cell>
          <cell r="P1437">
            <v>235.01</v>
          </cell>
        </row>
        <row r="1439">
          <cell r="E1439">
            <v>2130</v>
          </cell>
          <cell r="F1439">
            <v>2030</v>
          </cell>
          <cell r="G1439">
            <v>2105</v>
          </cell>
          <cell r="H1439">
            <v>2204</v>
          </cell>
          <cell r="I1439">
            <v>2245</v>
          </cell>
          <cell r="J1439">
            <v>2262</v>
          </cell>
          <cell r="K1439">
            <v>2210</v>
          </cell>
          <cell r="L1439">
            <v>2105</v>
          </cell>
          <cell r="M1439">
            <v>2150</v>
          </cell>
          <cell r="N1439">
            <v>2002</v>
          </cell>
          <cell r="O1439">
            <v>2120</v>
          </cell>
          <cell r="P1439">
            <v>2340</v>
          </cell>
        </row>
        <row r="1440">
          <cell r="E1440">
            <v>80.25</v>
          </cell>
          <cell r="F1440">
            <v>77.680000000000007</v>
          </cell>
          <cell r="G1440">
            <v>77.52</v>
          </cell>
          <cell r="H1440">
            <v>77.849999999999994</v>
          </cell>
          <cell r="I1440">
            <v>78.040000000000006</v>
          </cell>
          <cell r="J1440">
            <v>78.224000000000004</v>
          </cell>
          <cell r="K1440">
            <v>79.95</v>
          </cell>
          <cell r="L1440">
            <v>79.25</v>
          </cell>
          <cell r="M1440">
            <v>79.58</v>
          </cell>
          <cell r="N1440">
            <v>78.95</v>
          </cell>
          <cell r="O1440">
            <v>79.89</v>
          </cell>
          <cell r="P1440">
            <v>80.45</v>
          </cell>
        </row>
        <row r="1442">
          <cell r="E1442">
            <v>3820</v>
          </cell>
          <cell r="F1442">
            <v>3620</v>
          </cell>
          <cell r="G1442">
            <v>3860</v>
          </cell>
          <cell r="H1442">
            <v>3889</v>
          </cell>
          <cell r="I1442">
            <v>3895</v>
          </cell>
          <cell r="J1442">
            <v>3910</v>
          </cell>
          <cell r="K1442">
            <v>3920</v>
          </cell>
          <cell r="L1442">
            <v>3720</v>
          </cell>
          <cell r="M1442">
            <v>3790</v>
          </cell>
          <cell r="N1442">
            <v>3599</v>
          </cell>
          <cell r="O1442">
            <v>3604</v>
          </cell>
          <cell r="P1442">
            <v>3813</v>
          </cell>
        </row>
        <row r="1443">
          <cell r="E1443">
            <v>149.15</v>
          </cell>
          <cell r="F1443">
            <v>145.55000000000001</v>
          </cell>
          <cell r="G1443">
            <v>152.47</v>
          </cell>
          <cell r="H1443">
            <v>153.04</v>
          </cell>
          <cell r="I1443">
            <v>153.22</v>
          </cell>
          <cell r="J1443">
            <v>153.45699999999999</v>
          </cell>
          <cell r="K1443">
            <v>155.4</v>
          </cell>
          <cell r="L1443">
            <v>152.47</v>
          </cell>
          <cell r="M1443">
            <v>152.68</v>
          </cell>
          <cell r="N1443">
            <v>152.047</v>
          </cell>
          <cell r="O1443">
            <v>153.24</v>
          </cell>
          <cell r="P1443">
            <v>154.56</v>
          </cell>
        </row>
        <row r="1445">
          <cell r="E1445">
            <v>10008</v>
          </cell>
          <cell r="F1445">
            <v>10057</v>
          </cell>
          <cell r="G1445">
            <v>10198</v>
          </cell>
          <cell r="H1445">
            <v>10234</v>
          </cell>
          <cell r="I1445">
            <v>9915</v>
          </cell>
          <cell r="J1445">
            <v>9820</v>
          </cell>
          <cell r="K1445">
            <v>9822</v>
          </cell>
          <cell r="L1445">
            <v>10124</v>
          </cell>
          <cell r="M1445">
            <v>9768</v>
          </cell>
          <cell r="N1445">
            <v>10697</v>
          </cell>
          <cell r="O1445">
            <v>9762</v>
          </cell>
          <cell r="P1445">
            <v>10041</v>
          </cell>
        </row>
        <row r="1446">
          <cell r="E1446">
            <v>409.80150000000015</v>
          </cell>
          <cell r="F1446">
            <v>410.99400000000014</v>
          </cell>
          <cell r="G1446">
            <v>417.21150000000011</v>
          </cell>
          <cell r="H1446">
            <v>416.92800000000022</v>
          </cell>
          <cell r="I1446">
            <v>407.60850000000016</v>
          </cell>
          <cell r="J1446">
            <v>403.78425000000016</v>
          </cell>
          <cell r="K1446">
            <v>404.48100000000017</v>
          </cell>
          <cell r="L1446">
            <v>413.65050000000019</v>
          </cell>
          <cell r="M1446">
            <v>402.30675000000019</v>
          </cell>
          <cell r="N1446">
            <v>431.31449999999995</v>
          </cell>
          <cell r="O1446">
            <v>395.00549999999998</v>
          </cell>
          <cell r="P1446">
            <v>433.20825000000008</v>
          </cell>
        </row>
        <row r="1448">
          <cell r="E1448">
            <v>4650</v>
          </cell>
          <cell r="F1448">
            <v>5750</v>
          </cell>
          <cell r="G1448">
            <v>5865</v>
          </cell>
          <cell r="H1448">
            <v>7920</v>
          </cell>
          <cell r="I1448">
            <v>7860</v>
          </cell>
          <cell r="J1448">
            <v>7810</v>
          </cell>
          <cell r="K1448">
            <v>8150</v>
          </cell>
          <cell r="L1448">
            <v>7105</v>
          </cell>
          <cell r="M1448">
            <v>6175</v>
          </cell>
          <cell r="N1448">
            <v>5370</v>
          </cell>
          <cell r="O1448">
            <v>5485</v>
          </cell>
          <cell r="P1448">
            <v>5000</v>
          </cell>
        </row>
        <row r="1449">
          <cell r="E1449">
            <v>152.04499999999999</v>
          </cell>
          <cell r="F1449">
            <v>192.27</v>
          </cell>
          <cell r="G1449">
            <v>195.05500000000001</v>
          </cell>
          <cell r="H1449">
            <v>272.23499999999996</v>
          </cell>
          <cell r="I1449">
            <v>269.61500000000007</v>
          </cell>
          <cell r="J1449">
            <v>267.39499999999998</v>
          </cell>
          <cell r="K1449">
            <v>278.37000000000006</v>
          </cell>
          <cell r="L1449">
            <v>234.79000000000005</v>
          </cell>
          <cell r="M1449">
            <v>201.71</v>
          </cell>
          <cell r="N1449">
            <v>174.43</v>
          </cell>
          <cell r="O1449">
            <v>178.5</v>
          </cell>
          <cell r="P1449">
            <v>162.41499999999996</v>
          </cell>
        </row>
        <row r="1451">
          <cell r="E1451">
            <v>5891</v>
          </cell>
          <cell r="F1451">
            <v>5495</v>
          </cell>
          <cell r="G1451">
            <v>5356</v>
          </cell>
          <cell r="H1451">
            <v>5521</v>
          </cell>
          <cell r="I1451">
            <v>5314</v>
          </cell>
          <cell r="J1451">
            <v>6131</v>
          </cell>
          <cell r="K1451">
            <v>5973</v>
          </cell>
          <cell r="L1451">
            <v>5557</v>
          </cell>
          <cell r="M1451">
            <v>5668</v>
          </cell>
          <cell r="N1451">
            <v>5899</v>
          </cell>
          <cell r="O1451">
            <v>5614</v>
          </cell>
          <cell r="P1451">
            <v>8294</v>
          </cell>
        </row>
        <row r="1452">
          <cell r="E1452">
            <v>250.42724999999996</v>
          </cell>
          <cell r="F1452">
            <v>236.56125000000006</v>
          </cell>
          <cell r="G1452">
            <v>231.68775000000002</v>
          </cell>
          <cell r="H1452">
            <v>245.76300000000003</v>
          </cell>
          <cell r="I1452">
            <v>234.56249999999991</v>
          </cell>
          <cell r="J1452">
            <v>268.61624999999998</v>
          </cell>
          <cell r="K1452">
            <v>261.22949999999992</v>
          </cell>
          <cell r="L1452">
            <v>234.41774999999993</v>
          </cell>
          <cell r="M1452">
            <v>236.36700000000008</v>
          </cell>
          <cell r="N1452">
            <v>252.66749999999999</v>
          </cell>
          <cell r="O1452">
            <v>240.19425000000001</v>
          </cell>
          <cell r="P1452">
            <v>341.58149999999995</v>
          </cell>
        </row>
        <row r="1454">
          <cell r="E1454">
            <v>6116.9999999999991</v>
          </cell>
          <cell r="F1454">
            <v>5260</v>
          </cell>
          <cell r="G1454">
            <v>5160</v>
          </cell>
          <cell r="H1454">
            <v>5117</v>
          </cell>
          <cell r="I1454">
            <v>4622</v>
          </cell>
          <cell r="J1454">
            <v>5439</v>
          </cell>
          <cell r="K1454">
            <v>5648</v>
          </cell>
          <cell r="L1454">
            <v>4322</v>
          </cell>
          <cell r="M1454">
            <v>4354.9999999999991</v>
          </cell>
          <cell r="N1454">
            <v>4213</v>
          </cell>
          <cell r="O1454">
            <v>4282.9999999999991</v>
          </cell>
          <cell r="P1454">
            <v>5786</v>
          </cell>
        </row>
        <row r="1455">
          <cell r="E1455">
            <v>288.10800000000006</v>
          </cell>
          <cell r="F1455">
            <v>240.16725000000005</v>
          </cell>
          <cell r="G1455">
            <v>237.19200000000006</v>
          </cell>
          <cell r="H1455">
            <v>234.84375</v>
          </cell>
          <cell r="I1455">
            <v>216.59774999999993</v>
          </cell>
          <cell r="J1455">
            <v>242.85599999999999</v>
          </cell>
          <cell r="K1455">
            <v>258.04124999999999</v>
          </cell>
          <cell r="L1455">
            <v>182.77799999999999</v>
          </cell>
          <cell r="M1455">
            <v>187.34699999999998</v>
          </cell>
          <cell r="N1455">
            <v>183.45824999999996</v>
          </cell>
          <cell r="O1455">
            <v>188.37899999999999</v>
          </cell>
          <cell r="P1455">
            <v>258.04725000000002</v>
          </cell>
        </row>
        <row r="1457">
          <cell r="E1457">
            <v>1725</v>
          </cell>
          <cell r="F1457">
            <v>1631</v>
          </cell>
          <cell r="G1457">
            <v>1756</v>
          </cell>
          <cell r="H1457">
            <v>1703</v>
          </cell>
          <cell r="I1457">
            <v>1773</v>
          </cell>
          <cell r="J1457">
            <v>1922.5808219178</v>
          </cell>
          <cell r="K1457">
            <v>1873</v>
          </cell>
          <cell r="L1457">
            <v>1613</v>
          </cell>
          <cell r="M1457">
            <v>1670</v>
          </cell>
          <cell r="N1457">
            <v>1650</v>
          </cell>
          <cell r="O1457">
            <v>1672</v>
          </cell>
          <cell r="P1457">
            <v>2750</v>
          </cell>
        </row>
        <row r="1458">
          <cell r="E1458">
            <v>75.064999999999998</v>
          </cell>
          <cell r="F1458">
            <v>72.90625</v>
          </cell>
          <cell r="G1458">
            <v>72.667000000000002</v>
          </cell>
          <cell r="H1458">
            <v>70.136200000000002</v>
          </cell>
          <cell r="I1458">
            <v>69.566249999999997</v>
          </cell>
          <cell r="J1458">
            <v>73.733059607512402</v>
          </cell>
          <cell r="K1458">
            <v>68.7224875</v>
          </cell>
          <cell r="L1458">
            <v>56.515887499999998</v>
          </cell>
          <cell r="M1458">
            <v>57.55</v>
          </cell>
          <cell r="N1458">
            <v>55.813017500000001</v>
          </cell>
          <cell r="O1458">
            <v>68.95429</v>
          </cell>
          <cell r="P1458">
            <v>106.45</v>
          </cell>
        </row>
        <row r="1460">
          <cell r="E1460">
            <v>1597</v>
          </cell>
          <cell r="F1460">
            <v>1223</v>
          </cell>
          <cell r="G1460">
            <v>1353</v>
          </cell>
          <cell r="H1460">
            <v>1389</v>
          </cell>
          <cell r="I1460">
            <v>1480</v>
          </cell>
          <cell r="J1460">
            <v>1293.9999999999998</v>
          </cell>
          <cell r="K1460">
            <v>1516</v>
          </cell>
          <cell r="L1460">
            <v>1421</v>
          </cell>
          <cell r="M1460">
            <v>1500</v>
          </cell>
          <cell r="N1460">
            <v>1559</v>
          </cell>
          <cell r="O1460">
            <v>1514</v>
          </cell>
          <cell r="P1460">
            <v>1671</v>
          </cell>
        </row>
        <row r="1461">
          <cell r="E1461">
            <v>93.740009999999998</v>
          </cell>
          <cell r="F1461">
            <v>71.309992500000007</v>
          </cell>
          <cell r="G1461">
            <v>80.570009999999996</v>
          </cell>
          <cell r="H1461">
            <v>83.20000499999999</v>
          </cell>
          <cell r="I1461">
            <v>88.969995000000011</v>
          </cell>
          <cell r="J1461">
            <v>80.249999999999986</v>
          </cell>
          <cell r="K1461">
            <v>99.646244999999993</v>
          </cell>
          <cell r="L1461">
            <v>88.26624000000001</v>
          </cell>
          <cell r="M1461">
            <v>93.520004999999998</v>
          </cell>
          <cell r="N1461">
            <v>87.258997500000007</v>
          </cell>
          <cell r="O1461">
            <v>89.649985000000001</v>
          </cell>
          <cell r="P1461">
            <v>93.5712525</v>
          </cell>
        </row>
      </sheetData>
      <sheetData sheetId="3">
        <row r="1376">
          <cell r="E1376">
            <v>347.00000000000006</v>
          </cell>
          <cell r="F1376">
            <v>356</v>
          </cell>
          <cell r="G1376">
            <v>361.00000000000006</v>
          </cell>
          <cell r="H1376">
            <v>367</v>
          </cell>
          <cell r="I1376">
            <v>362</v>
          </cell>
          <cell r="J1376">
            <v>353.00000000000006</v>
          </cell>
          <cell r="K1376">
            <v>356.00000000000006</v>
          </cell>
          <cell r="L1376">
            <v>364.00000000000006</v>
          </cell>
          <cell r="M1376">
            <v>412</v>
          </cell>
          <cell r="N1376">
            <v>420</v>
          </cell>
          <cell r="O1376">
            <v>402</v>
          </cell>
          <cell r="P1376">
            <v>410</v>
          </cell>
        </row>
        <row r="1377">
          <cell r="E1377">
            <v>53.022660000000002</v>
          </cell>
          <cell r="F1377">
            <v>53.636699999999998</v>
          </cell>
          <cell r="G1377">
            <v>54.831119999999999</v>
          </cell>
          <cell r="H1377">
            <v>56.008199999999995</v>
          </cell>
          <cell r="I1377">
            <v>54.911700000000003</v>
          </cell>
          <cell r="J1377">
            <v>54.988199999999999</v>
          </cell>
          <cell r="K1377">
            <v>53.116499999999995</v>
          </cell>
          <cell r="L1377">
            <v>54.213000000000008</v>
          </cell>
          <cell r="M1377">
            <v>62.38</v>
          </cell>
          <cell r="N1377">
            <v>62.45</v>
          </cell>
          <cell r="O1377">
            <v>62.231000000000002</v>
          </cell>
          <cell r="P1377">
            <v>63.12</v>
          </cell>
        </row>
        <row r="1379">
          <cell r="E1379">
            <v>3416</v>
          </cell>
          <cell r="F1379">
            <v>3520</v>
          </cell>
          <cell r="G1379">
            <v>3840</v>
          </cell>
          <cell r="H1379">
            <v>3842</v>
          </cell>
          <cell r="I1379">
            <v>3964.3364380652001</v>
          </cell>
          <cell r="J1379">
            <v>3827</v>
          </cell>
          <cell r="K1379">
            <v>3927</v>
          </cell>
          <cell r="L1379">
            <v>4257</v>
          </cell>
          <cell r="M1379">
            <v>4243</v>
          </cell>
          <cell r="N1379">
            <v>4434.5</v>
          </cell>
          <cell r="O1379">
            <v>4326</v>
          </cell>
          <cell r="P1379">
            <v>4208</v>
          </cell>
        </row>
        <row r="1380">
          <cell r="E1380">
            <v>505.69654291363605</v>
          </cell>
          <cell r="F1380">
            <v>567.94003017554132</v>
          </cell>
          <cell r="G1380">
            <v>639.63836251441398</v>
          </cell>
          <cell r="H1380">
            <v>583.60303733856688</v>
          </cell>
          <cell r="I1380">
            <v>597.48268572170423</v>
          </cell>
          <cell r="J1380">
            <v>592.35205188219504</v>
          </cell>
          <cell r="K1380">
            <v>570.04614790213645</v>
          </cell>
          <cell r="L1380">
            <v>636.3342040962176</v>
          </cell>
          <cell r="M1380">
            <v>610.87514117116098</v>
          </cell>
          <cell r="N1380">
            <v>629.873410166035</v>
          </cell>
          <cell r="O1380">
            <v>648.87167916090903</v>
          </cell>
          <cell r="P1380">
            <v>634.41999999999996</v>
          </cell>
        </row>
        <row r="1382">
          <cell r="E1382">
            <v>1835</v>
          </cell>
          <cell r="F1382">
            <v>2104</v>
          </cell>
          <cell r="G1382">
            <v>1914</v>
          </cell>
          <cell r="H1382">
            <v>1798</v>
          </cell>
          <cell r="I1382">
            <v>1804</v>
          </cell>
          <cell r="J1382">
            <v>1846</v>
          </cell>
          <cell r="K1382">
            <v>1690</v>
          </cell>
          <cell r="L1382">
            <v>1650</v>
          </cell>
          <cell r="M1382">
            <v>1623</v>
          </cell>
          <cell r="N1382">
            <v>1640</v>
          </cell>
          <cell r="O1382">
            <v>1680</v>
          </cell>
          <cell r="P1382">
            <v>1870</v>
          </cell>
        </row>
        <row r="1383">
          <cell r="E1383">
            <v>258.142</v>
          </cell>
          <cell r="F1383">
            <v>291.5</v>
          </cell>
          <cell r="G1383">
            <v>270.77999999999997</v>
          </cell>
          <cell r="H1383">
            <v>260.334</v>
          </cell>
          <cell r="I1383">
            <v>264.238</v>
          </cell>
          <cell r="J1383">
            <v>264.89</v>
          </cell>
          <cell r="K1383">
            <v>241.16329999999999</v>
          </cell>
          <cell r="L1383">
            <v>239.7</v>
          </cell>
          <cell r="M1383">
            <v>250.45</v>
          </cell>
          <cell r="N1383">
            <v>251.25399999999999</v>
          </cell>
          <cell r="O1383">
            <v>250.41200000000001</v>
          </cell>
          <cell r="P1383">
            <v>258.45710000000003</v>
          </cell>
        </row>
        <row r="1385">
          <cell r="E1385">
            <v>4660</v>
          </cell>
          <cell r="F1385">
            <v>4675</v>
          </cell>
          <cell r="G1385">
            <v>4675</v>
          </cell>
          <cell r="H1385">
            <v>4722</v>
          </cell>
          <cell r="I1385">
            <v>4697</v>
          </cell>
          <cell r="J1385">
            <v>4779</v>
          </cell>
          <cell r="K1385">
            <v>5140</v>
          </cell>
          <cell r="L1385">
            <v>5317</v>
          </cell>
          <cell r="M1385">
            <v>4971</v>
          </cell>
          <cell r="N1385">
            <v>5004</v>
          </cell>
          <cell r="O1385">
            <v>4814</v>
          </cell>
          <cell r="P1385">
            <v>4741</v>
          </cell>
        </row>
        <row r="1386">
          <cell r="E1386">
            <v>663.69555329999991</v>
          </cell>
          <cell r="F1386">
            <v>660.49526249999997</v>
          </cell>
          <cell r="G1386">
            <v>657.69160380000005</v>
          </cell>
          <cell r="H1386">
            <v>662.97769259999995</v>
          </cell>
          <cell r="I1386">
            <v>648.66888780000011</v>
          </cell>
          <cell r="J1386">
            <v>662.96065350000003</v>
          </cell>
          <cell r="K1386">
            <v>721.04892419999999</v>
          </cell>
          <cell r="L1386">
            <v>748.47019109999997</v>
          </cell>
          <cell r="M1386">
            <v>699.61291019999987</v>
          </cell>
          <cell r="N1386">
            <v>722.10738330000004</v>
          </cell>
          <cell r="O1386">
            <v>688.83269849999999</v>
          </cell>
          <cell r="P1386">
            <v>689.97959670000012</v>
          </cell>
        </row>
        <row r="1388">
          <cell r="E1388">
            <v>14724</v>
          </cell>
          <cell r="F1388">
            <v>14889</v>
          </cell>
          <cell r="G1388">
            <v>15589</v>
          </cell>
          <cell r="H1388">
            <v>15779</v>
          </cell>
          <cell r="I1388">
            <v>17258</v>
          </cell>
          <cell r="J1388">
            <v>17530</v>
          </cell>
          <cell r="K1388">
            <v>16981</v>
          </cell>
          <cell r="L1388">
            <v>17149</v>
          </cell>
          <cell r="M1388">
            <v>17057</v>
          </cell>
          <cell r="N1388">
            <v>17162</v>
          </cell>
          <cell r="O1388">
            <v>16074</v>
          </cell>
          <cell r="P1388">
            <v>16476</v>
          </cell>
        </row>
        <row r="1389">
          <cell r="E1389">
            <v>1821.3955400910004</v>
          </cell>
          <cell r="F1389">
            <v>1996.1750845829997</v>
          </cell>
          <cell r="G1389">
            <v>1917.066934485</v>
          </cell>
          <cell r="H1389">
            <v>1939.8317933669998</v>
          </cell>
          <cell r="I1389">
            <v>2161.422985401</v>
          </cell>
          <cell r="J1389">
            <v>2251.14568328</v>
          </cell>
          <cell r="K1389">
            <v>2199.9598912500001</v>
          </cell>
          <cell r="L1389">
            <v>2242.0488951900002</v>
          </cell>
          <cell r="M1389">
            <v>2164.5264116670005</v>
          </cell>
          <cell r="N1389">
            <v>2141.034621586</v>
          </cell>
          <cell r="O1389">
            <v>1919.42515785</v>
          </cell>
          <cell r="P1389">
            <v>1905.1046740860002</v>
          </cell>
        </row>
        <row r="1391">
          <cell r="E1391">
            <v>8293</v>
          </cell>
          <cell r="F1391">
            <v>8661</v>
          </cell>
          <cell r="G1391">
            <v>8548</v>
          </cell>
          <cell r="H1391">
            <v>8550</v>
          </cell>
          <cell r="I1391">
            <v>8699</v>
          </cell>
          <cell r="J1391">
            <v>9089</v>
          </cell>
          <cell r="K1391">
            <v>9664</v>
          </cell>
          <cell r="L1391">
            <v>10074</v>
          </cell>
          <cell r="M1391">
            <v>10063</v>
          </cell>
          <cell r="N1391">
            <v>10332</v>
          </cell>
          <cell r="O1391">
            <v>9199</v>
          </cell>
          <cell r="P1391">
            <v>9888</v>
          </cell>
        </row>
        <row r="1392">
          <cell r="E1392">
            <v>880.28234009100015</v>
          </cell>
          <cell r="F1392">
            <v>1116.4424245829998</v>
          </cell>
          <cell r="G1392">
            <v>900.23938948499995</v>
          </cell>
          <cell r="H1392">
            <v>945.488465367</v>
          </cell>
          <cell r="I1392">
            <v>978.23236940099991</v>
          </cell>
          <cell r="J1392">
            <v>1067.7281092800001</v>
          </cell>
          <cell r="K1392">
            <v>1142.2883992500001</v>
          </cell>
          <cell r="L1392">
            <v>1235.7817491900003</v>
          </cell>
          <cell r="M1392">
            <v>1168.6634096670002</v>
          </cell>
          <cell r="N1392">
            <v>1185.779818986</v>
          </cell>
          <cell r="O1392">
            <v>952.33</v>
          </cell>
          <cell r="P1392">
            <v>1010.509108986</v>
          </cell>
        </row>
        <row r="1394">
          <cell r="E1394">
            <v>4295</v>
          </cell>
          <cell r="F1394">
            <v>4051</v>
          </cell>
          <cell r="G1394">
            <v>4225</v>
          </cell>
          <cell r="H1394">
            <v>4214</v>
          </cell>
          <cell r="I1394">
            <v>5055</v>
          </cell>
          <cell r="J1394">
            <v>4958</v>
          </cell>
          <cell r="K1394">
            <v>4670</v>
          </cell>
          <cell r="L1394">
            <v>4698</v>
          </cell>
          <cell r="M1394">
            <v>4687</v>
          </cell>
          <cell r="N1394">
            <v>4695</v>
          </cell>
          <cell r="O1394">
            <v>4670</v>
          </cell>
          <cell r="P1394">
            <v>4342</v>
          </cell>
        </row>
        <row r="1395">
          <cell r="E1395">
            <v>616.52166000000011</v>
          </cell>
          <cell r="F1395">
            <v>549.05222999999978</v>
          </cell>
          <cell r="G1395">
            <v>589.01684999999998</v>
          </cell>
          <cell r="H1395">
            <v>535.23479999999995</v>
          </cell>
          <cell r="I1395">
            <v>649.67472000000021</v>
          </cell>
          <cell r="J1395">
            <v>652.95515</v>
          </cell>
          <cell r="K1395">
            <v>654.36900000000003</v>
          </cell>
          <cell r="L1395">
            <v>645.45000000000005</v>
          </cell>
          <cell r="M1395">
            <v>644.58000000000004</v>
          </cell>
          <cell r="N1395">
            <v>630.22299999999996</v>
          </cell>
          <cell r="O1395">
            <v>632.12</v>
          </cell>
          <cell r="P1395">
            <v>572.71910000000003</v>
          </cell>
        </row>
        <row r="1397">
          <cell r="E1397">
            <v>2136</v>
          </cell>
          <cell r="F1397">
            <v>2177</v>
          </cell>
          <cell r="G1397">
            <v>2816</v>
          </cell>
          <cell r="H1397">
            <v>3015</v>
          </cell>
          <cell r="I1397">
            <v>3504</v>
          </cell>
          <cell r="J1397">
            <v>3483</v>
          </cell>
          <cell r="K1397">
            <v>2647</v>
          </cell>
          <cell r="L1397">
            <v>2377</v>
          </cell>
          <cell r="M1397">
            <v>2307</v>
          </cell>
          <cell r="N1397">
            <v>2135</v>
          </cell>
          <cell r="O1397">
            <v>2205</v>
          </cell>
          <cell r="P1397">
            <v>2246</v>
          </cell>
        </row>
        <row r="1398">
          <cell r="E1398">
            <v>324.59154000000007</v>
          </cell>
          <cell r="F1398">
            <v>330.68043</v>
          </cell>
          <cell r="G1398">
            <v>427.81069500000007</v>
          </cell>
          <cell r="H1398">
            <v>459.10852800000004</v>
          </cell>
          <cell r="I1398">
            <v>533.51589600000011</v>
          </cell>
          <cell r="J1398">
            <v>530.46242399999994</v>
          </cell>
          <cell r="K1398">
            <v>403.30249199999997</v>
          </cell>
          <cell r="L1398">
            <v>360.81714599999998</v>
          </cell>
          <cell r="M1398">
            <v>351.28300199999995</v>
          </cell>
          <cell r="N1398">
            <v>325.03180260000005</v>
          </cell>
          <cell r="O1398">
            <v>334.97515785000002</v>
          </cell>
          <cell r="P1398">
            <v>321.87646510000002</v>
          </cell>
        </row>
        <row r="1400">
          <cell r="E1400">
            <v>5048</v>
          </cell>
          <cell r="F1400">
            <v>5179</v>
          </cell>
          <cell r="G1400">
            <v>5109.9999999999991</v>
          </cell>
          <cell r="H1400">
            <v>4933</v>
          </cell>
          <cell r="I1400">
            <v>5148</v>
          </cell>
          <cell r="J1400">
            <v>5202</v>
          </cell>
          <cell r="K1400">
            <v>5090.9999999999991</v>
          </cell>
          <cell r="L1400">
            <v>5192</v>
          </cell>
          <cell r="M1400">
            <v>5218.9999999999991</v>
          </cell>
          <cell r="N1400">
            <v>5135</v>
          </cell>
          <cell r="O1400">
            <v>5129</v>
          </cell>
          <cell r="P1400">
            <v>5731.9999999999991</v>
          </cell>
        </row>
        <row r="1401">
          <cell r="E1401">
            <v>748.7029500000001</v>
          </cell>
          <cell r="F1401">
            <v>788.50029000000006</v>
          </cell>
          <cell r="G1401">
            <v>760.82820000000015</v>
          </cell>
          <cell r="H1401">
            <v>732.99801000000014</v>
          </cell>
          <cell r="I1401">
            <v>771.50096999999994</v>
          </cell>
          <cell r="J1401">
            <v>774.26414999999986</v>
          </cell>
          <cell r="K1401">
            <v>745.69038</v>
          </cell>
          <cell r="L1401">
            <v>756.02603999999997</v>
          </cell>
          <cell r="M1401">
            <v>762.35514000000001</v>
          </cell>
          <cell r="N1401">
            <v>745.79901000000007</v>
          </cell>
          <cell r="O1401">
            <v>745.76892000000009</v>
          </cell>
          <cell r="P1401">
            <v>839.93889000000001</v>
          </cell>
        </row>
        <row r="1403">
          <cell r="E1403">
            <v>5989</v>
          </cell>
          <cell r="F1403">
            <v>6055</v>
          </cell>
          <cell r="G1403">
            <v>6048</v>
          </cell>
          <cell r="H1403">
            <v>5989</v>
          </cell>
          <cell r="I1403">
            <v>6480</v>
          </cell>
          <cell r="J1403">
            <v>6397</v>
          </cell>
          <cell r="K1403">
            <v>5965</v>
          </cell>
          <cell r="L1403">
            <v>6201</v>
          </cell>
          <cell r="M1403">
            <v>6090</v>
          </cell>
          <cell r="N1403">
            <v>5875</v>
          </cell>
          <cell r="O1403">
            <v>5895</v>
          </cell>
          <cell r="P1403">
            <v>5779</v>
          </cell>
        </row>
        <row r="1404">
          <cell r="E1404">
            <v>834.23249999999996</v>
          </cell>
          <cell r="F1404">
            <v>810.2</v>
          </cell>
          <cell r="G1404">
            <v>818.154</v>
          </cell>
          <cell r="H1404">
            <v>831.52389751958003</v>
          </cell>
          <cell r="I1404">
            <v>877.80525314800002</v>
          </cell>
          <cell r="J1404">
            <v>856.19369435666795</v>
          </cell>
          <cell r="K1404">
            <v>778.67477479770503</v>
          </cell>
          <cell r="L1404">
            <v>850.51338975195802</v>
          </cell>
          <cell r="M1404">
            <v>841.243859036711</v>
          </cell>
          <cell r="N1404">
            <v>778.30160000000001</v>
          </cell>
          <cell r="O1404">
            <v>779.4</v>
          </cell>
          <cell r="P1404">
            <v>774.84159999999997</v>
          </cell>
        </row>
        <row r="1406">
          <cell r="E1406">
            <v>9182</v>
          </cell>
          <cell r="F1406">
            <v>9112</v>
          </cell>
          <cell r="G1406">
            <v>9063</v>
          </cell>
          <cell r="H1406">
            <v>9561</v>
          </cell>
          <cell r="I1406">
            <v>10051</v>
          </cell>
          <cell r="J1406">
            <v>9512</v>
          </cell>
          <cell r="K1406">
            <v>10180</v>
          </cell>
          <cell r="L1406">
            <v>9405</v>
          </cell>
          <cell r="M1406">
            <v>9552</v>
          </cell>
          <cell r="N1406">
            <v>9294</v>
          </cell>
          <cell r="O1406">
            <v>8895</v>
          </cell>
          <cell r="P1406">
            <v>9674</v>
          </cell>
        </row>
        <row r="1407">
          <cell r="E1407">
            <v>1758.5654250000002</v>
          </cell>
          <cell r="F1407">
            <v>1741.4054550000001</v>
          </cell>
          <cell r="G1407">
            <v>1747.8364019999999</v>
          </cell>
          <cell r="H1407">
            <v>1839.1602660000001</v>
          </cell>
          <cell r="I1407">
            <v>1883.4877932000002</v>
          </cell>
          <cell r="J1407">
            <v>1798.3436400000001</v>
          </cell>
          <cell r="K1407">
            <v>1912.7330699999998</v>
          </cell>
          <cell r="L1407">
            <v>1809.5258438999999</v>
          </cell>
          <cell r="M1407">
            <v>1845.7642129999999</v>
          </cell>
          <cell r="N1407">
            <v>1756.7750700000001</v>
          </cell>
          <cell r="O1407">
            <v>1709.0922426</v>
          </cell>
          <cell r="P1407">
            <v>1805.3363360000001</v>
          </cell>
        </row>
        <row r="1409">
          <cell r="E1409">
            <v>981</v>
          </cell>
          <cell r="F1409">
            <v>1013</v>
          </cell>
          <cell r="G1409">
            <v>992</v>
          </cell>
          <cell r="H1409">
            <v>1070</v>
          </cell>
          <cell r="I1409">
            <v>1108</v>
          </cell>
          <cell r="J1409">
            <v>1158</v>
          </cell>
          <cell r="K1409">
            <v>1161</v>
          </cell>
          <cell r="L1409">
            <v>1107</v>
          </cell>
          <cell r="M1409">
            <v>1127</v>
          </cell>
          <cell r="N1409">
            <v>1129</v>
          </cell>
          <cell r="O1409">
            <v>1115</v>
          </cell>
          <cell r="P1409">
            <v>1097</v>
          </cell>
        </row>
        <row r="1410">
          <cell r="E1410">
            <v>142.95657</v>
          </cell>
          <cell r="F1410">
            <v>150.72570599999995</v>
          </cell>
          <cell r="G1410">
            <v>151.36443</v>
          </cell>
          <cell r="H1410">
            <v>160.5038375</v>
          </cell>
          <cell r="I1410">
            <v>173.5098065</v>
          </cell>
          <cell r="J1410">
            <v>177.19244</v>
          </cell>
          <cell r="K1410">
            <v>174.14587019999999</v>
          </cell>
          <cell r="L1410">
            <v>171.83752699999999</v>
          </cell>
          <cell r="M1410">
            <v>174.29936330000001</v>
          </cell>
          <cell r="N1410">
            <v>179.17140000000001</v>
          </cell>
          <cell r="O1410">
            <v>172.144263</v>
          </cell>
          <cell r="P1410">
            <v>164.30944600000001</v>
          </cell>
        </row>
        <row r="1412">
          <cell r="E1412">
            <v>11127</v>
          </cell>
          <cell r="F1412">
            <v>10956</v>
          </cell>
          <cell r="G1412">
            <v>11133</v>
          </cell>
          <cell r="H1412">
            <v>13106</v>
          </cell>
          <cell r="I1412">
            <v>13523</v>
          </cell>
          <cell r="J1412">
            <v>12224</v>
          </cell>
          <cell r="K1412">
            <v>13413</v>
          </cell>
          <cell r="L1412">
            <v>12432</v>
          </cell>
          <cell r="M1412">
            <v>13065</v>
          </cell>
          <cell r="N1412">
            <v>12276</v>
          </cell>
          <cell r="O1412">
            <v>12649</v>
          </cell>
          <cell r="P1412">
            <v>13347</v>
          </cell>
        </row>
        <row r="1413">
          <cell r="E1413">
            <v>1813.4498399999993</v>
          </cell>
          <cell r="F1413">
            <v>1790.3560200000009</v>
          </cell>
          <cell r="G1413">
            <v>1835.0090700000007</v>
          </cell>
          <cell r="H1413">
            <v>1895.2338</v>
          </cell>
          <cell r="I1413">
            <v>1852.35788</v>
          </cell>
          <cell r="J1413">
            <v>1791.2026033</v>
          </cell>
          <cell r="K1413">
            <v>1836.4040600000001</v>
          </cell>
          <cell r="L1413">
            <v>1860.18733</v>
          </cell>
          <cell r="M1413">
            <v>1992.7501</v>
          </cell>
          <cell r="N1413">
            <v>2053.9219800000001</v>
          </cell>
          <cell r="O1413">
            <v>2073.8884799999983</v>
          </cell>
          <cell r="P1413">
            <v>2171.3499900000002</v>
          </cell>
        </row>
        <row r="1415">
          <cell r="E1415">
            <v>1162</v>
          </cell>
          <cell r="F1415">
            <v>1196</v>
          </cell>
          <cell r="G1415">
            <v>1661</v>
          </cell>
          <cell r="H1415">
            <v>1934</v>
          </cell>
          <cell r="I1415">
            <v>2253</v>
          </cell>
          <cell r="J1415">
            <v>2704</v>
          </cell>
          <cell r="K1415">
            <v>2802</v>
          </cell>
          <cell r="L1415">
            <v>2207</v>
          </cell>
          <cell r="M1415">
            <v>1436</v>
          </cell>
          <cell r="N1415">
            <v>1474</v>
          </cell>
          <cell r="O1415">
            <v>1824</v>
          </cell>
          <cell r="P1415">
            <v>2570</v>
          </cell>
        </row>
        <row r="1416">
          <cell r="E1416">
            <v>185.49218160000001</v>
          </cell>
          <cell r="F1416">
            <v>189.92194979999996</v>
          </cell>
          <cell r="G1416">
            <v>263.23149689999997</v>
          </cell>
          <cell r="H1416">
            <v>307.22492819999997</v>
          </cell>
          <cell r="I1416">
            <v>357.25245510000008</v>
          </cell>
          <cell r="J1416">
            <v>429.23513520000012</v>
          </cell>
          <cell r="K1416">
            <v>436.99032779999999</v>
          </cell>
          <cell r="L1416">
            <v>348.00671100000011</v>
          </cell>
          <cell r="M1416">
            <v>227.47768170000006</v>
          </cell>
          <cell r="N1416">
            <v>233.76439560000003</v>
          </cell>
          <cell r="O1416">
            <v>290.62070009999997</v>
          </cell>
          <cell r="P1416">
            <v>410.74772700000011</v>
          </cell>
        </row>
        <row r="1418">
          <cell r="E1418">
            <v>5090.9999999999991</v>
          </cell>
          <cell r="F1418">
            <v>5051</v>
          </cell>
          <cell r="G1418">
            <v>5202.0000000000009</v>
          </cell>
          <cell r="H1418">
            <v>5122</v>
          </cell>
          <cell r="I1418">
            <v>5237.0222912242307</v>
          </cell>
          <cell r="J1418">
            <v>4856.0000000000009</v>
          </cell>
          <cell r="K1418">
            <v>5034.0000000000009</v>
          </cell>
          <cell r="L1418">
            <v>4787.9999999999991</v>
          </cell>
          <cell r="M1418">
            <v>4935.9999999999991</v>
          </cell>
          <cell r="N1418">
            <v>4893</v>
          </cell>
          <cell r="O1418">
            <v>4898.9999999999991</v>
          </cell>
          <cell r="P1418">
            <v>5993.6899351742204</v>
          </cell>
        </row>
        <row r="1419">
          <cell r="E1419">
            <v>666.1466999999999</v>
          </cell>
          <cell r="F1419">
            <v>651.19146000000001</v>
          </cell>
          <cell r="G1419">
            <v>681.61550999999986</v>
          </cell>
          <cell r="H1419">
            <v>675.79436999999996</v>
          </cell>
          <cell r="I1419">
            <v>691.83051329232342</v>
          </cell>
          <cell r="J1419">
            <v>633.99885000000006</v>
          </cell>
          <cell r="K1419">
            <v>657.93162000000007</v>
          </cell>
          <cell r="L1419">
            <v>627.15464999999995</v>
          </cell>
          <cell r="M1419">
            <v>641.52185999999995</v>
          </cell>
          <cell r="N1419">
            <v>638.04468000000008</v>
          </cell>
          <cell r="O1419">
            <v>638.14667999999995</v>
          </cell>
          <cell r="P1419">
            <v>765.64709669766398</v>
          </cell>
        </row>
        <row r="1421">
          <cell r="E1421">
            <v>2270</v>
          </cell>
          <cell r="F1421">
            <v>2212</v>
          </cell>
          <cell r="G1421">
            <v>2282</v>
          </cell>
          <cell r="H1421">
            <v>2476</v>
          </cell>
          <cell r="I1421">
            <v>2683</v>
          </cell>
          <cell r="J1421">
            <v>2756</v>
          </cell>
          <cell r="K1421">
            <v>2398</v>
          </cell>
          <cell r="L1421">
            <v>2377</v>
          </cell>
          <cell r="M1421">
            <v>2462</v>
          </cell>
          <cell r="N1421">
            <v>2592</v>
          </cell>
          <cell r="O1421">
            <v>2535</v>
          </cell>
          <cell r="P1421">
            <v>2688</v>
          </cell>
        </row>
        <row r="1422">
          <cell r="E1422">
            <v>264.60642120000006</v>
          </cell>
          <cell r="F1422">
            <v>293.82147540000005</v>
          </cell>
          <cell r="G1422">
            <v>261.34850039999998</v>
          </cell>
          <cell r="H1422">
            <v>289.00117980000005</v>
          </cell>
          <cell r="I1422">
            <v>313.52715630000017</v>
          </cell>
          <cell r="J1422">
            <v>320.51399820000012</v>
          </cell>
          <cell r="K1422">
            <v>279.85466640000016</v>
          </cell>
          <cell r="L1422">
            <v>278.6167281000001</v>
          </cell>
          <cell r="M1422">
            <v>286.40127629999995</v>
          </cell>
          <cell r="N1422">
            <v>301.80541830000004</v>
          </cell>
          <cell r="O1422">
            <v>293.84826569999984</v>
          </cell>
          <cell r="P1422">
            <v>312.5411886</v>
          </cell>
        </row>
        <row r="1424">
          <cell r="E1424">
            <v>3160</v>
          </cell>
          <cell r="F1424">
            <v>2610</v>
          </cell>
          <cell r="G1424">
            <v>2871</v>
          </cell>
          <cell r="H1424">
            <v>3140</v>
          </cell>
          <cell r="I1424">
            <v>3008</v>
          </cell>
          <cell r="J1424">
            <v>3080</v>
          </cell>
          <cell r="K1424">
            <v>3205</v>
          </cell>
          <cell r="L1424">
            <v>2810</v>
          </cell>
          <cell r="M1424">
            <v>2870</v>
          </cell>
          <cell r="N1424">
            <v>2820</v>
          </cell>
          <cell r="O1424">
            <v>2792</v>
          </cell>
          <cell r="P1424">
            <v>2730</v>
          </cell>
        </row>
        <row r="1425">
          <cell r="E1425">
            <v>490.32400000000001</v>
          </cell>
          <cell r="F1425">
            <v>425.68</v>
          </cell>
          <cell r="G1425">
            <v>460.577</v>
          </cell>
          <cell r="H1425">
            <v>480.22</v>
          </cell>
          <cell r="I1425">
            <v>471.55</v>
          </cell>
          <cell r="J1425">
            <v>473.44</v>
          </cell>
          <cell r="K1425">
            <v>490.24</v>
          </cell>
          <cell r="L1425">
            <v>452.05500000000001</v>
          </cell>
          <cell r="M1425">
            <v>455.22</v>
          </cell>
          <cell r="N1425">
            <v>440.11099999999999</v>
          </cell>
          <cell r="O1425">
            <v>420.22300000000001</v>
          </cell>
          <cell r="P1425">
            <v>430.47</v>
          </cell>
        </row>
        <row r="1427">
          <cell r="E1427">
            <v>356</v>
          </cell>
          <cell r="F1427">
            <v>327</v>
          </cell>
          <cell r="G1427">
            <v>331</v>
          </cell>
          <cell r="H1427">
            <v>340</v>
          </cell>
          <cell r="I1427">
            <v>302</v>
          </cell>
          <cell r="J1427">
            <v>219</v>
          </cell>
          <cell r="K1427">
            <v>249</v>
          </cell>
          <cell r="L1427">
            <v>231</v>
          </cell>
          <cell r="M1427">
            <v>221</v>
          </cell>
          <cell r="N1427">
            <v>206</v>
          </cell>
          <cell r="O1427">
            <v>302</v>
          </cell>
          <cell r="P1427">
            <v>411</v>
          </cell>
        </row>
        <row r="1428">
          <cell r="E1428">
            <v>78.900999999999996</v>
          </cell>
          <cell r="F1428">
            <v>69.425899999999999</v>
          </cell>
          <cell r="G1428">
            <v>72.644000000000005</v>
          </cell>
          <cell r="H1428">
            <v>75.849999999999994</v>
          </cell>
          <cell r="I1428">
            <v>63.45</v>
          </cell>
          <cell r="J1428">
            <v>45.363039999999998</v>
          </cell>
          <cell r="K1428">
            <v>52.643700000000003</v>
          </cell>
          <cell r="L1428">
            <v>47.895119999999999</v>
          </cell>
          <cell r="M1428">
            <v>44.998880000000007</v>
          </cell>
          <cell r="N1428">
            <v>41.641999999999996</v>
          </cell>
          <cell r="O1428">
            <v>63.10783</v>
          </cell>
          <cell r="P1428">
            <v>92.690650000000005</v>
          </cell>
        </row>
        <row r="1430">
          <cell r="E1430">
            <v>353</v>
          </cell>
          <cell r="F1430">
            <v>420</v>
          </cell>
          <cell r="G1430">
            <v>393</v>
          </cell>
          <cell r="H1430">
            <v>396</v>
          </cell>
          <cell r="I1430">
            <v>411</v>
          </cell>
          <cell r="J1430">
            <v>425</v>
          </cell>
          <cell r="K1430">
            <v>435</v>
          </cell>
          <cell r="L1430">
            <v>426</v>
          </cell>
          <cell r="M1430">
            <v>435</v>
          </cell>
          <cell r="N1430">
            <v>422</v>
          </cell>
          <cell r="O1430">
            <v>440</v>
          </cell>
          <cell r="P1430">
            <v>484</v>
          </cell>
        </row>
        <row r="1431">
          <cell r="E1431">
            <v>67.549499999999995</v>
          </cell>
          <cell r="F1431">
            <v>81.487799999999993</v>
          </cell>
          <cell r="G1431">
            <v>75.597300000000004</v>
          </cell>
          <cell r="H1431">
            <v>75.735000000000014</v>
          </cell>
          <cell r="I1431">
            <v>79.503900000000016</v>
          </cell>
          <cell r="J1431">
            <v>82.793399999999991</v>
          </cell>
          <cell r="K1431">
            <v>84.246899999999997</v>
          </cell>
          <cell r="L1431">
            <v>81.125699999999981</v>
          </cell>
          <cell r="M1431">
            <v>84.297899999999998</v>
          </cell>
          <cell r="N1431">
            <v>81.640800000000013</v>
          </cell>
          <cell r="O1431">
            <v>84.129600000000011</v>
          </cell>
          <cell r="P1431">
            <v>93.013800000000018</v>
          </cell>
        </row>
        <row r="1433">
          <cell r="E1433">
            <v>5035</v>
          </cell>
          <cell r="F1433">
            <v>7190</v>
          </cell>
          <cell r="G1433">
            <v>8862</v>
          </cell>
          <cell r="H1433">
            <v>9714</v>
          </cell>
          <cell r="I1433">
            <v>9200</v>
          </cell>
          <cell r="J1433">
            <v>9606</v>
          </cell>
          <cell r="K1433">
            <v>9161</v>
          </cell>
          <cell r="L1433">
            <v>8242</v>
          </cell>
          <cell r="M1433">
            <v>6828</v>
          </cell>
          <cell r="N1433">
            <v>6886</v>
          </cell>
          <cell r="O1433">
            <v>7324</v>
          </cell>
          <cell r="P1433">
            <v>9117</v>
          </cell>
        </row>
        <row r="1434">
          <cell r="E1434">
            <v>614.53827000000001</v>
          </cell>
          <cell r="F1434">
            <v>886.21323000000007</v>
          </cell>
          <cell r="G1434">
            <v>1099.0250100000001</v>
          </cell>
          <cell r="H1434">
            <v>1212.88608</v>
          </cell>
          <cell r="I1434">
            <v>1191.9332400000001</v>
          </cell>
          <cell r="J1434">
            <v>1234.57536</v>
          </cell>
          <cell r="K1434">
            <v>1160.8048800000001</v>
          </cell>
          <cell r="L1434">
            <v>999.87948000000006</v>
          </cell>
          <cell r="M1434">
            <v>827.94470999999999</v>
          </cell>
          <cell r="N1434">
            <v>844.44881999999996</v>
          </cell>
          <cell r="O1434">
            <v>1087.6356900000001</v>
          </cell>
          <cell r="P1434">
            <v>1101.2210700000001</v>
          </cell>
        </row>
        <row r="1436">
          <cell r="E1436">
            <v>3600</v>
          </cell>
          <cell r="F1436">
            <v>3417</v>
          </cell>
          <cell r="G1436">
            <v>3585</v>
          </cell>
          <cell r="H1436">
            <v>3570</v>
          </cell>
          <cell r="I1436">
            <v>3612</v>
          </cell>
          <cell r="J1436">
            <v>3574</v>
          </cell>
          <cell r="K1436">
            <v>3559</v>
          </cell>
          <cell r="L1436">
            <v>3630</v>
          </cell>
          <cell r="M1436">
            <v>3583</v>
          </cell>
          <cell r="N1436">
            <v>3450</v>
          </cell>
          <cell r="O1436">
            <v>3505</v>
          </cell>
          <cell r="P1436">
            <v>3411</v>
          </cell>
        </row>
        <row r="1437">
          <cell r="E1437">
            <v>388.8</v>
          </cell>
          <cell r="F1437">
            <v>386.82</v>
          </cell>
          <cell r="G1437">
            <v>392.495</v>
          </cell>
          <cell r="H1437">
            <v>390.41999999999996</v>
          </cell>
          <cell r="I1437">
            <v>391.57</v>
          </cell>
          <cell r="J1437">
            <v>388.14300000000003</v>
          </cell>
          <cell r="K1437">
            <v>387.89</v>
          </cell>
          <cell r="L1437">
            <v>388.78999999999996</v>
          </cell>
          <cell r="M1437">
            <v>386.69799999999998</v>
          </cell>
          <cell r="N1437">
            <v>390.07900000000001</v>
          </cell>
          <cell r="O1437">
            <v>390.34</v>
          </cell>
          <cell r="P1437">
            <v>387.72399999999999</v>
          </cell>
        </row>
        <row r="1439">
          <cell r="E1439">
            <v>1760</v>
          </cell>
          <cell r="F1439">
            <v>1720</v>
          </cell>
          <cell r="G1439">
            <v>1840</v>
          </cell>
          <cell r="H1439">
            <v>1830</v>
          </cell>
          <cell r="I1439">
            <v>1850</v>
          </cell>
          <cell r="J1439">
            <v>1790</v>
          </cell>
          <cell r="K1439">
            <v>1799</v>
          </cell>
          <cell r="L1439">
            <v>1832</v>
          </cell>
          <cell r="M1439">
            <v>1798</v>
          </cell>
          <cell r="N1439">
            <v>1720</v>
          </cell>
          <cell r="O1439">
            <v>1750</v>
          </cell>
          <cell r="P1439">
            <v>1690</v>
          </cell>
        </row>
        <row r="1440">
          <cell r="E1440">
            <v>196.65</v>
          </cell>
          <cell r="F1440">
            <v>198.87</v>
          </cell>
          <cell r="G1440">
            <v>202.44</v>
          </cell>
          <cell r="H1440">
            <v>201.45</v>
          </cell>
          <cell r="I1440">
            <v>201.59</v>
          </cell>
          <cell r="J1440">
            <v>200.68700000000001</v>
          </cell>
          <cell r="K1440">
            <v>201.44</v>
          </cell>
          <cell r="L1440">
            <v>202.01</v>
          </cell>
          <cell r="M1440">
            <v>201.22</v>
          </cell>
          <cell r="N1440">
            <v>204.53200000000001</v>
          </cell>
          <cell r="O1440">
            <v>204.67</v>
          </cell>
          <cell r="P1440">
            <v>203.47</v>
          </cell>
        </row>
        <row r="1442">
          <cell r="E1442">
            <v>1840</v>
          </cell>
          <cell r="F1442">
            <v>1697</v>
          </cell>
          <cell r="G1442">
            <v>1745</v>
          </cell>
          <cell r="H1442">
            <v>1740</v>
          </cell>
          <cell r="I1442">
            <v>1762</v>
          </cell>
          <cell r="J1442">
            <v>1784</v>
          </cell>
          <cell r="K1442">
            <v>1760</v>
          </cell>
          <cell r="L1442">
            <v>1798</v>
          </cell>
          <cell r="M1442">
            <v>1785</v>
          </cell>
          <cell r="N1442">
            <v>1730</v>
          </cell>
          <cell r="O1442">
            <v>1755</v>
          </cell>
          <cell r="P1442">
            <v>1721</v>
          </cell>
        </row>
        <row r="1443">
          <cell r="E1443">
            <v>192.15</v>
          </cell>
          <cell r="F1443">
            <v>187.95</v>
          </cell>
          <cell r="G1443">
            <v>190.05500000000001</v>
          </cell>
          <cell r="H1443">
            <v>188.97</v>
          </cell>
          <cell r="I1443">
            <v>189.98</v>
          </cell>
          <cell r="J1443">
            <v>187.45599999999999</v>
          </cell>
          <cell r="K1443">
            <v>186.45</v>
          </cell>
          <cell r="L1443">
            <v>186.78</v>
          </cell>
          <cell r="M1443">
            <v>185.47800000000001</v>
          </cell>
          <cell r="N1443">
            <v>185.547</v>
          </cell>
          <cell r="O1443">
            <v>185.67</v>
          </cell>
          <cell r="P1443">
            <v>184.25399999999999</v>
          </cell>
        </row>
        <row r="1445">
          <cell r="E1445">
            <v>5386</v>
          </cell>
          <cell r="F1445">
            <v>5702</v>
          </cell>
          <cell r="G1445">
            <v>6038</v>
          </cell>
          <cell r="H1445">
            <v>6424</v>
          </cell>
          <cell r="I1445">
            <v>6755</v>
          </cell>
          <cell r="J1445">
            <v>7142</v>
          </cell>
          <cell r="K1445">
            <v>7137</v>
          </cell>
          <cell r="L1445">
            <v>6661</v>
          </cell>
          <cell r="M1445">
            <v>6039</v>
          </cell>
          <cell r="N1445">
            <v>5509</v>
          </cell>
          <cell r="O1445">
            <v>5086</v>
          </cell>
          <cell r="P1445">
            <v>5122</v>
          </cell>
        </row>
        <row r="1446">
          <cell r="E1446">
            <v>772.61889000000008</v>
          </cell>
          <cell r="F1446">
            <v>830.69820000000027</v>
          </cell>
          <cell r="G1446">
            <v>897.00839999999982</v>
          </cell>
          <cell r="H1446">
            <v>975.14040000000011</v>
          </cell>
          <cell r="I1446">
            <v>1037.0748000000003</v>
          </cell>
          <cell r="J1446">
            <v>1101.2251499999995</v>
          </cell>
          <cell r="K1446">
            <v>1092.2465999999993</v>
          </cell>
          <cell r="L1446">
            <v>998.68709999999987</v>
          </cell>
          <cell r="M1446">
            <v>888.69795000000011</v>
          </cell>
          <cell r="N1446">
            <v>801.41655000000026</v>
          </cell>
          <cell r="O1446">
            <v>730.20678000000009</v>
          </cell>
          <cell r="P1446">
            <v>740.3262000000002</v>
          </cell>
        </row>
        <row r="1448">
          <cell r="E1448">
            <v>9200</v>
          </cell>
          <cell r="F1448">
            <v>10835</v>
          </cell>
          <cell r="G1448">
            <v>11700</v>
          </cell>
          <cell r="H1448">
            <v>15855</v>
          </cell>
          <cell r="I1448">
            <v>15895</v>
          </cell>
          <cell r="J1448">
            <v>15830</v>
          </cell>
          <cell r="K1448">
            <v>14200</v>
          </cell>
          <cell r="L1448">
            <v>12710</v>
          </cell>
          <cell r="M1448">
            <v>11050</v>
          </cell>
          <cell r="N1448">
            <v>9850</v>
          </cell>
          <cell r="O1448">
            <v>9900</v>
          </cell>
          <cell r="P1448">
            <v>9325</v>
          </cell>
        </row>
        <row r="1449">
          <cell r="E1449">
            <v>1305.1054999999999</v>
          </cell>
          <cell r="F1449">
            <v>1549.8779999999999</v>
          </cell>
          <cell r="G1449">
            <v>1678.06</v>
          </cell>
          <cell r="H1449">
            <v>2308.38</v>
          </cell>
          <cell r="I1449">
            <v>2323.7550000000001</v>
          </cell>
          <cell r="J1449">
            <v>2308.11</v>
          </cell>
          <cell r="K1449">
            <v>2052.1949999999997</v>
          </cell>
          <cell r="L1449">
            <v>1829.3399999999997</v>
          </cell>
          <cell r="M1449">
            <v>1564.54</v>
          </cell>
          <cell r="N1449">
            <v>1391.4300000000003</v>
          </cell>
          <cell r="O1449">
            <v>1396.0600000000002</v>
          </cell>
          <cell r="P1449">
            <v>1318.35</v>
          </cell>
        </row>
        <row r="1451">
          <cell r="E1451">
            <v>4905</v>
          </cell>
          <cell r="F1451">
            <v>4708</v>
          </cell>
          <cell r="G1451">
            <v>4647</v>
          </cell>
          <cell r="H1451">
            <v>4681</v>
          </cell>
          <cell r="I1451">
            <v>4726</v>
          </cell>
          <cell r="J1451">
            <v>5019</v>
          </cell>
          <cell r="K1451">
            <v>4852</v>
          </cell>
          <cell r="L1451">
            <v>4576</v>
          </cell>
          <cell r="M1451">
            <v>4519</v>
          </cell>
          <cell r="N1451">
            <v>4704</v>
          </cell>
          <cell r="O1451">
            <v>4611</v>
          </cell>
          <cell r="P1451">
            <v>4738</v>
          </cell>
        </row>
        <row r="1452">
          <cell r="E1452">
            <v>525.21330000000012</v>
          </cell>
          <cell r="F1452">
            <v>508.04363999999998</v>
          </cell>
          <cell r="G1452">
            <v>505.25496000000004</v>
          </cell>
          <cell r="H1452">
            <v>516.83858999999984</v>
          </cell>
          <cell r="I1452">
            <v>515.74566000000004</v>
          </cell>
          <cell r="J1452">
            <v>556.66193999999996</v>
          </cell>
          <cell r="K1452">
            <v>532.70825999999977</v>
          </cell>
          <cell r="L1452">
            <v>496.23408000000006</v>
          </cell>
          <cell r="M1452">
            <v>479.94518999999985</v>
          </cell>
          <cell r="N1452">
            <v>518.10543000000018</v>
          </cell>
          <cell r="O1452">
            <v>536.62964999999997</v>
          </cell>
          <cell r="P1452">
            <v>563.15373000000011</v>
          </cell>
        </row>
        <row r="1454">
          <cell r="E1454">
            <v>1193</v>
          </cell>
          <cell r="F1454">
            <v>1136.0000000000002</v>
          </cell>
          <cell r="G1454">
            <v>1087.9999999999998</v>
          </cell>
          <cell r="H1454">
            <v>1185</v>
          </cell>
          <cell r="I1454">
            <v>1069</v>
          </cell>
          <cell r="J1454">
            <v>1130.0000000000002</v>
          </cell>
          <cell r="K1454">
            <v>1108</v>
          </cell>
          <cell r="L1454">
            <v>1148</v>
          </cell>
          <cell r="M1454">
            <v>1124</v>
          </cell>
          <cell r="N1454">
            <v>1347</v>
          </cell>
          <cell r="O1454">
            <v>1201</v>
          </cell>
          <cell r="P1454">
            <v>1194</v>
          </cell>
        </row>
        <row r="1455">
          <cell r="E1455">
            <v>133.64743000000001</v>
          </cell>
          <cell r="F1455">
            <v>135.66381000000001</v>
          </cell>
          <cell r="G1455">
            <v>126.75861999999999</v>
          </cell>
          <cell r="H1455">
            <v>136.59506999999999</v>
          </cell>
          <cell r="I1455">
            <v>145.78962000000001</v>
          </cell>
          <cell r="J1455">
            <v>125.60253</v>
          </cell>
          <cell r="K1455">
            <v>131.19817</v>
          </cell>
          <cell r="L1455">
            <v>138.28564</v>
          </cell>
          <cell r="M1455">
            <v>135.85396</v>
          </cell>
          <cell r="N1455">
            <v>137.75633999999999</v>
          </cell>
          <cell r="O1455">
            <v>132.97764000000001</v>
          </cell>
          <cell r="P1455">
            <v>151.08229</v>
          </cell>
        </row>
        <row r="1457">
          <cell r="E1457">
            <v>992</v>
          </cell>
          <cell r="F1457">
            <v>974</v>
          </cell>
          <cell r="G1457">
            <v>1115</v>
          </cell>
          <cell r="H1457">
            <v>1170</v>
          </cell>
          <cell r="I1457">
            <v>1182</v>
          </cell>
          <cell r="J1457">
            <v>1314</v>
          </cell>
          <cell r="K1457">
            <v>1296</v>
          </cell>
          <cell r="L1457">
            <v>1325.0000000000002</v>
          </cell>
          <cell r="M1457">
            <v>1514</v>
          </cell>
          <cell r="N1457">
            <v>1525</v>
          </cell>
          <cell r="O1457">
            <v>1669.9999999999998</v>
          </cell>
          <cell r="P1457">
            <v>1725</v>
          </cell>
        </row>
        <row r="1458">
          <cell r="E1458">
            <v>131.38918000000001</v>
          </cell>
          <cell r="F1458">
            <v>126.8625</v>
          </cell>
          <cell r="G1458">
            <v>145.03125</v>
          </cell>
          <cell r="H1458">
            <v>150.79935</v>
          </cell>
          <cell r="I1458">
            <v>151.56129000000001</v>
          </cell>
          <cell r="J1458">
            <v>170.7174</v>
          </cell>
          <cell r="K1458">
            <v>167.06875800000003</v>
          </cell>
          <cell r="L1458">
            <v>169.90471500000001</v>
          </cell>
          <cell r="M1458">
            <v>193.94346300000001</v>
          </cell>
          <cell r="N1458">
            <v>201.56002799999999</v>
          </cell>
          <cell r="O1458">
            <v>201.360591</v>
          </cell>
          <cell r="P1458">
            <v>215.61623</v>
          </cell>
        </row>
        <row r="1460">
          <cell r="E1460">
            <v>1260</v>
          </cell>
          <cell r="F1460">
            <v>1102</v>
          </cell>
          <cell r="G1460">
            <v>1134</v>
          </cell>
          <cell r="H1460">
            <v>1197</v>
          </cell>
          <cell r="I1460">
            <v>1177</v>
          </cell>
          <cell r="J1460">
            <v>1355</v>
          </cell>
          <cell r="K1460">
            <v>1351</v>
          </cell>
          <cell r="L1460">
            <v>1183</v>
          </cell>
          <cell r="M1460">
            <v>1301</v>
          </cell>
          <cell r="N1460">
            <v>1255</v>
          </cell>
          <cell r="O1460">
            <v>1127</v>
          </cell>
          <cell r="P1460">
            <v>1210.9999999999998</v>
          </cell>
        </row>
        <row r="1461">
          <cell r="E1461">
            <v>211.31000850000001</v>
          </cell>
          <cell r="F1461">
            <v>178.3989996</v>
          </cell>
          <cell r="G1461">
            <v>186.33000449999997</v>
          </cell>
          <cell r="H1461">
            <v>185.18998999999999</v>
          </cell>
          <cell r="I1461">
            <v>191.3600022</v>
          </cell>
          <cell r="J1461">
            <v>216.55999439999999</v>
          </cell>
          <cell r="K1461">
            <v>219.7600047</v>
          </cell>
          <cell r="L1461">
            <v>191.74999890000001</v>
          </cell>
          <cell r="M1461">
            <v>212.98100310000001</v>
          </cell>
          <cell r="N1461">
            <v>201.36998990000001</v>
          </cell>
          <cell r="O1461">
            <v>177.47800269999999</v>
          </cell>
          <cell r="P1461">
            <v>200.5959948</v>
          </cell>
        </row>
      </sheetData>
      <sheetData sheetId="4">
        <row r="1376">
          <cell r="E1376">
            <v>1583</v>
          </cell>
          <cell r="F1376">
            <v>1930</v>
          </cell>
          <cell r="G1376">
            <v>1860</v>
          </cell>
          <cell r="H1376">
            <v>1981</v>
          </cell>
          <cell r="I1376">
            <v>1958</v>
          </cell>
          <cell r="J1376">
            <v>1810</v>
          </cell>
          <cell r="K1376">
            <v>1840</v>
          </cell>
          <cell r="L1376">
            <v>1860</v>
          </cell>
          <cell r="M1376">
            <v>1885</v>
          </cell>
          <cell r="N1376">
            <v>1792</v>
          </cell>
          <cell r="O1376">
            <v>1898</v>
          </cell>
          <cell r="P1376">
            <v>1940</v>
          </cell>
        </row>
        <row r="1377">
          <cell r="E1377">
            <v>17.448</v>
          </cell>
          <cell r="F1377">
            <v>18.583200000000001</v>
          </cell>
          <cell r="G1377">
            <v>17.616000000000003</v>
          </cell>
          <cell r="H1377">
            <v>19.007999999999999</v>
          </cell>
          <cell r="I1377">
            <v>18.526400000000002</v>
          </cell>
          <cell r="J1377">
            <v>17.872</v>
          </cell>
          <cell r="K1377">
            <v>17.717600000000001</v>
          </cell>
          <cell r="L1377">
            <v>17.769600000000001</v>
          </cell>
          <cell r="M1377">
            <v>17.7864</v>
          </cell>
          <cell r="N1377">
            <v>17.076000000000001</v>
          </cell>
          <cell r="O1377">
            <v>18.687200000000001</v>
          </cell>
          <cell r="P1377">
            <v>22.002400000000002</v>
          </cell>
        </row>
        <row r="1379">
          <cell r="E1379">
            <v>7086.9111745535993</v>
          </cell>
          <cell r="F1379">
            <v>7382.1991401599989</v>
          </cell>
          <cell r="G1379">
            <v>8677.4871057664004</v>
          </cell>
          <cell r="H1379">
            <v>8972.7750713728001</v>
          </cell>
          <cell r="I1379">
            <v>9268.0630369791998</v>
          </cell>
          <cell r="J1379">
            <v>9853.9269337984006</v>
          </cell>
          <cell r="K1379">
            <v>8858.6389681919991</v>
          </cell>
          <cell r="L1379">
            <v>8563.3510025855976</v>
          </cell>
          <cell r="M1379">
            <v>6496.3352433407999</v>
          </cell>
          <cell r="N1379">
            <v>5815</v>
          </cell>
          <cell r="O1379">
            <v>6110</v>
          </cell>
          <cell r="P1379">
            <v>6201</v>
          </cell>
        </row>
        <row r="1380">
          <cell r="E1380">
            <v>102.05152091357184</v>
          </cell>
          <cell r="F1380">
            <v>109.25654727436799</v>
          </cell>
          <cell r="G1380">
            <v>116.6978040076493</v>
          </cell>
          <cell r="H1380">
            <v>121.18618108486658</v>
          </cell>
          <cell r="I1380">
            <v>125.67455816208385</v>
          </cell>
          <cell r="J1380">
            <v>135.47811862021632</v>
          </cell>
          <cell r="K1380">
            <v>127.56440114196479</v>
          </cell>
          <cell r="L1380">
            <v>119.88691403619841</v>
          </cell>
          <cell r="M1380">
            <v>88.3501593094349</v>
          </cell>
          <cell r="N1380">
            <v>69.322305728002505</v>
          </cell>
          <cell r="O1380">
            <v>78.546598851302406</v>
          </cell>
          <cell r="P1380">
            <v>89.295000000000002</v>
          </cell>
        </row>
        <row r="1382">
          <cell r="E1382">
            <v>1570</v>
          </cell>
          <cell r="F1382">
            <v>1703</v>
          </cell>
          <cell r="G1382">
            <v>1690</v>
          </cell>
          <cell r="H1382">
            <v>2012</v>
          </cell>
          <cell r="I1382">
            <v>2450</v>
          </cell>
          <cell r="J1382">
            <v>2480</v>
          </cell>
          <cell r="K1382">
            <v>2432</v>
          </cell>
          <cell r="L1382">
            <v>2345</v>
          </cell>
          <cell r="M1382">
            <v>2430</v>
          </cell>
          <cell r="N1382">
            <v>2541</v>
          </cell>
          <cell r="O1382">
            <v>2523</v>
          </cell>
          <cell r="P1382">
            <v>2820</v>
          </cell>
        </row>
        <row r="1383">
          <cell r="E1383">
            <v>24.571199999999997</v>
          </cell>
          <cell r="F1383">
            <v>24.662399999999998</v>
          </cell>
          <cell r="G1383">
            <v>24.081599999999998</v>
          </cell>
          <cell r="H1383">
            <v>26.685600000000004</v>
          </cell>
          <cell r="I1383">
            <v>31.214399999999998</v>
          </cell>
          <cell r="J1383">
            <v>34.908000000000001</v>
          </cell>
          <cell r="K1383">
            <v>35.001599999999996</v>
          </cell>
          <cell r="L1383">
            <v>30.945599999999999</v>
          </cell>
          <cell r="M1383">
            <v>32.5792</v>
          </cell>
          <cell r="N1383">
            <v>33.908799999999999</v>
          </cell>
          <cell r="O1383">
            <v>36.508800000000001</v>
          </cell>
          <cell r="P1383">
            <v>39.456000000000003</v>
          </cell>
        </row>
        <row r="1385">
          <cell r="E1385">
            <v>2582</v>
          </cell>
          <cell r="F1385">
            <v>2914</v>
          </cell>
          <cell r="G1385">
            <v>3003</v>
          </cell>
          <cell r="H1385">
            <v>2893</v>
          </cell>
          <cell r="I1385">
            <v>2923</v>
          </cell>
          <cell r="J1385">
            <v>3078</v>
          </cell>
          <cell r="K1385">
            <v>3010</v>
          </cell>
          <cell r="L1385">
            <v>3127</v>
          </cell>
          <cell r="M1385">
            <v>3058</v>
          </cell>
          <cell r="N1385">
            <v>2901</v>
          </cell>
          <cell r="O1385">
            <v>3144</v>
          </cell>
          <cell r="P1385">
            <v>3021</v>
          </cell>
        </row>
        <row r="1386">
          <cell r="E1386">
            <v>32.886748000000004</v>
          </cell>
          <cell r="F1386">
            <v>37.006267999999999</v>
          </cell>
          <cell r="G1386">
            <v>38.430360000000007</v>
          </cell>
          <cell r="H1386">
            <v>35.987364000000007</v>
          </cell>
          <cell r="I1386">
            <v>35.758856000000002</v>
          </cell>
          <cell r="J1386">
            <v>37.662500000000001</v>
          </cell>
          <cell r="K1386">
            <v>36.203495999999994</v>
          </cell>
          <cell r="L1386">
            <v>37.669412000000008</v>
          </cell>
          <cell r="M1386">
            <v>36.755456000000002</v>
          </cell>
          <cell r="N1386">
            <v>34.742167999999999</v>
          </cell>
          <cell r="O1386">
            <v>37.766136000000003</v>
          </cell>
          <cell r="P1386">
            <v>36.362624000000004</v>
          </cell>
        </row>
        <row r="1388">
          <cell r="E1388">
            <v>2202</v>
          </cell>
          <cell r="F1388">
            <v>2191</v>
          </cell>
          <cell r="G1388">
            <v>2699</v>
          </cell>
          <cell r="H1388">
            <v>2435</v>
          </cell>
          <cell r="I1388">
            <v>2458</v>
          </cell>
          <cell r="J1388">
            <v>2899</v>
          </cell>
          <cell r="K1388">
            <v>2598</v>
          </cell>
          <cell r="L1388">
            <v>2308</v>
          </cell>
          <cell r="M1388">
            <v>2276</v>
          </cell>
          <cell r="N1388">
            <v>2250</v>
          </cell>
          <cell r="O1388">
            <v>2419</v>
          </cell>
          <cell r="P1388">
            <v>2367</v>
          </cell>
        </row>
        <row r="1389">
          <cell r="E1389">
            <v>22.361480000000004</v>
          </cell>
          <cell r="F1389">
            <v>22.142379999999999</v>
          </cell>
          <cell r="G1389">
            <v>27.480780000000003</v>
          </cell>
          <cell r="H1389">
            <v>24.959350000000001</v>
          </cell>
          <cell r="I1389">
            <v>25.339348000000001</v>
          </cell>
          <cell r="J1389">
            <v>32.180779999999999</v>
          </cell>
          <cell r="K1389">
            <v>26.378339999999998</v>
          </cell>
          <cell r="L1389">
            <v>23.557900000000004</v>
          </cell>
          <cell r="M1389">
            <v>23.322119999999998</v>
          </cell>
          <cell r="N1389">
            <v>22.454887999999997</v>
          </cell>
          <cell r="O1389">
            <v>22.738</v>
          </cell>
          <cell r="P1389">
            <v>22.857499999999998</v>
          </cell>
        </row>
        <row r="1391">
          <cell r="E1391">
            <v>1440</v>
          </cell>
          <cell r="F1391">
            <v>1440</v>
          </cell>
          <cell r="G1391">
            <v>1545</v>
          </cell>
          <cell r="H1391">
            <v>1382</v>
          </cell>
          <cell r="I1391">
            <v>1301</v>
          </cell>
          <cell r="J1391">
            <v>1321</v>
          </cell>
          <cell r="K1391">
            <v>1372</v>
          </cell>
          <cell r="L1391">
            <v>1364</v>
          </cell>
          <cell r="M1391">
            <v>1383</v>
          </cell>
          <cell r="N1391">
            <v>1311</v>
          </cell>
          <cell r="O1391">
            <v>1452</v>
          </cell>
          <cell r="P1391">
            <v>1462</v>
          </cell>
        </row>
        <row r="1392">
          <cell r="E1392">
            <v>14.450400000000002</v>
          </cell>
          <cell r="F1392">
            <v>14.427099999999999</v>
          </cell>
          <cell r="G1392">
            <v>15.783420000000005</v>
          </cell>
          <cell r="H1392">
            <v>14.205349999999999</v>
          </cell>
          <cell r="I1392">
            <v>13.600348</v>
          </cell>
          <cell r="J1392">
            <v>13.714699999999997</v>
          </cell>
          <cell r="K1392">
            <v>14.005499999999998</v>
          </cell>
          <cell r="L1392">
            <v>14.055900000000001</v>
          </cell>
          <cell r="M1392">
            <v>14.5304</v>
          </cell>
          <cell r="N1392">
            <v>13.222899999999999</v>
          </cell>
          <cell r="O1392">
            <v>13.52</v>
          </cell>
          <cell r="P1392">
            <v>14.168499999999998</v>
          </cell>
        </row>
        <row r="1394">
          <cell r="E1394">
            <v>94</v>
          </cell>
          <cell r="F1394">
            <v>90</v>
          </cell>
          <cell r="G1394">
            <v>105</v>
          </cell>
          <cell r="H1394">
            <v>125</v>
          </cell>
          <cell r="I1394">
            <v>125</v>
          </cell>
          <cell r="J1394">
            <v>128</v>
          </cell>
          <cell r="K1394">
            <v>132</v>
          </cell>
          <cell r="L1394">
            <v>140</v>
          </cell>
          <cell r="M1394">
            <v>155</v>
          </cell>
          <cell r="N1394">
            <v>160</v>
          </cell>
          <cell r="O1394">
            <v>172</v>
          </cell>
          <cell r="P1394">
            <v>125</v>
          </cell>
        </row>
        <row r="1395">
          <cell r="E1395">
            <v>1.3884000000000001</v>
          </cell>
          <cell r="F1395">
            <v>1.258</v>
          </cell>
          <cell r="G1395">
            <v>1.4339999999999999</v>
          </cell>
          <cell r="H1395">
            <v>1.6232</v>
          </cell>
          <cell r="I1395">
            <v>1.6096000000000001</v>
          </cell>
          <cell r="J1395">
            <v>1.6459999999999999</v>
          </cell>
          <cell r="K1395">
            <v>1.6319999999999999</v>
          </cell>
          <cell r="L1395">
            <v>1.512</v>
          </cell>
          <cell r="M1395">
            <v>1.56</v>
          </cell>
          <cell r="N1395">
            <v>1.54</v>
          </cell>
          <cell r="O1395">
            <v>1.5640000000000001</v>
          </cell>
          <cell r="P1395">
            <v>1.125</v>
          </cell>
        </row>
        <row r="1397">
          <cell r="E1397">
            <v>668</v>
          </cell>
          <cell r="F1397">
            <v>661</v>
          </cell>
          <cell r="G1397">
            <v>1049</v>
          </cell>
          <cell r="H1397">
            <v>928</v>
          </cell>
          <cell r="I1397">
            <v>1032</v>
          </cell>
          <cell r="J1397">
            <v>1272</v>
          </cell>
          <cell r="K1397">
            <v>1094</v>
          </cell>
          <cell r="L1397">
            <v>804</v>
          </cell>
          <cell r="M1397">
            <v>738</v>
          </cell>
          <cell r="N1397">
            <v>779</v>
          </cell>
          <cell r="O1397">
            <v>795</v>
          </cell>
          <cell r="P1397">
            <v>780</v>
          </cell>
        </row>
        <row r="1398">
          <cell r="E1398">
            <v>6.5226800000000003</v>
          </cell>
          <cell r="F1398">
            <v>6.4572800000000008</v>
          </cell>
          <cell r="G1398">
            <v>10.263359999999999</v>
          </cell>
          <cell r="H1398">
            <v>9.1308000000000007</v>
          </cell>
          <cell r="I1398">
            <v>10.129400000000002</v>
          </cell>
          <cell r="J1398">
            <v>16.820080000000001</v>
          </cell>
          <cell r="K1398">
            <v>10.74084</v>
          </cell>
          <cell r="L1398">
            <v>7.99</v>
          </cell>
          <cell r="M1398">
            <v>7.2317200000000001</v>
          </cell>
          <cell r="N1398">
            <v>7.6919879999999985</v>
          </cell>
          <cell r="O1398">
            <v>7.6539999999999999</v>
          </cell>
          <cell r="P1398">
            <v>7.5640000000000001</v>
          </cell>
        </row>
        <row r="1400">
          <cell r="E1400">
            <v>380</v>
          </cell>
          <cell r="F1400">
            <v>369</v>
          </cell>
          <cell r="G1400">
            <v>366</v>
          </cell>
          <cell r="H1400">
            <v>347</v>
          </cell>
          <cell r="I1400">
            <v>363</v>
          </cell>
          <cell r="J1400">
            <v>380</v>
          </cell>
          <cell r="K1400">
            <v>445</v>
          </cell>
          <cell r="L1400">
            <v>425</v>
          </cell>
          <cell r="M1400">
            <v>423</v>
          </cell>
          <cell r="N1400">
            <v>388</v>
          </cell>
          <cell r="O1400">
            <v>399</v>
          </cell>
          <cell r="P1400">
            <v>531</v>
          </cell>
        </row>
        <row r="1401">
          <cell r="E1401">
            <v>4.7432000000000007</v>
          </cell>
          <cell r="F1401">
            <v>4.6551999999999998</v>
          </cell>
          <cell r="G1401">
            <v>4.6124000000000001</v>
          </cell>
          <cell r="H1401">
            <v>4.3763999999999994</v>
          </cell>
          <cell r="I1401">
            <v>4.6012000000000004</v>
          </cell>
          <cell r="J1401">
            <v>4.8228</v>
          </cell>
          <cell r="K1401">
            <v>5.6308000000000007</v>
          </cell>
          <cell r="L1401">
            <v>5.3783999999999992</v>
          </cell>
          <cell r="M1401">
            <v>5.3391999999999999</v>
          </cell>
          <cell r="N1401">
            <v>4.9123999999999999</v>
          </cell>
          <cell r="O1401">
            <v>5.0224000000000002</v>
          </cell>
          <cell r="P1401">
            <v>5.6816000000000004</v>
          </cell>
        </row>
        <row r="1403">
          <cell r="E1403">
            <v>1498</v>
          </cell>
          <cell r="F1403">
            <v>1577</v>
          </cell>
          <cell r="G1403">
            <v>1657</v>
          </cell>
          <cell r="H1403">
            <v>1709</v>
          </cell>
          <cell r="I1403">
            <v>1594</v>
          </cell>
          <cell r="J1403">
            <v>1698</v>
          </cell>
          <cell r="K1403">
            <v>1771</v>
          </cell>
          <cell r="L1403">
            <v>1802</v>
          </cell>
          <cell r="M1403">
            <v>1797</v>
          </cell>
          <cell r="N1403">
            <v>1810</v>
          </cell>
          <cell r="O1403">
            <v>1795</v>
          </cell>
          <cell r="P1403">
            <v>1801</v>
          </cell>
        </row>
        <row r="1404">
          <cell r="E1404">
            <v>15.74066</v>
          </cell>
          <cell r="F1404">
            <v>16.02</v>
          </cell>
          <cell r="G1404">
            <v>16.5047423</v>
          </cell>
          <cell r="H1404">
            <v>17.151</v>
          </cell>
          <cell r="I1404">
            <v>15.98</v>
          </cell>
          <cell r="J1404">
            <v>17.329999999999998</v>
          </cell>
          <cell r="K1404">
            <v>19.0914</v>
          </cell>
          <cell r="L1404">
            <v>20.179819999999999</v>
          </cell>
          <cell r="M1404">
            <v>20.1982</v>
          </cell>
          <cell r="N1404">
            <v>19.978753999999999</v>
          </cell>
          <cell r="O1404">
            <v>20.02</v>
          </cell>
          <cell r="P1404">
            <v>20.402000000000001</v>
          </cell>
        </row>
        <row r="1406">
          <cell r="E1406">
            <v>3091</v>
          </cell>
          <cell r="F1406">
            <v>3852</v>
          </cell>
          <cell r="G1406">
            <v>3190</v>
          </cell>
          <cell r="H1406">
            <v>3213</v>
          </cell>
          <cell r="I1406">
            <v>3394</v>
          </cell>
          <cell r="J1406">
            <v>3108</v>
          </cell>
          <cell r="K1406">
            <v>3615</v>
          </cell>
          <cell r="L1406">
            <v>3085</v>
          </cell>
          <cell r="M1406">
            <v>3390</v>
          </cell>
          <cell r="N1406">
            <v>3241</v>
          </cell>
          <cell r="O1406">
            <v>3430</v>
          </cell>
          <cell r="P1406">
            <v>4130</v>
          </cell>
        </row>
        <row r="1407">
          <cell r="E1407">
            <v>39.537219999999998</v>
          </cell>
          <cell r="F1407">
            <v>47.502380000000002</v>
          </cell>
          <cell r="G1407">
            <v>41.664400000000001</v>
          </cell>
          <cell r="H1407">
            <v>42.454303999999993</v>
          </cell>
          <cell r="I1407">
            <v>44.942500000000003</v>
          </cell>
          <cell r="J1407">
            <v>41.70928</v>
          </cell>
          <cell r="K1407">
            <v>46.404132000000004</v>
          </cell>
          <cell r="L1407">
            <v>40.186212000000005</v>
          </cell>
          <cell r="M1407">
            <v>45.057091999999997</v>
          </cell>
          <cell r="N1407">
            <v>44.308860000000003</v>
          </cell>
          <cell r="O1407">
            <v>44.144660000000002</v>
          </cell>
          <cell r="P1407">
            <v>55.103020000000001</v>
          </cell>
        </row>
        <row r="1409">
          <cell r="E1409">
            <v>1127</v>
          </cell>
          <cell r="F1409">
            <v>1099</v>
          </cell>
          <cell r="G1409">
            <v>1228</v>
          </cell>
          <cell r="H1409">
            <v>1261</v>
          </cell>
          <cell r="I1409">
            <v>1416</v>
          </cell>
          <cell r="J1409">
            <v>1357</v>
          </cell>
          <cell r="K1409">
            <v>1480</v>
          </cell>
          <cell r="L1409">
            <v>1592</v>
          </cell>
          <cell r="M1409">
            <v>1613</v>
          </cell>
          <cell r="N1409">
            <v>1771</v>
          </cell>
          <cell r="O1409">
            <v>1634</v>
          </cell>
          <cell r="P1409">
            <v>1785</v>
          </cell>
        </row>
        <row r="1410">
          <cell r="E1410">
            <v>16.199960000000008</v>
          </cell>
          <cell r="F1410">
            <v>15.399840000000001</v>
          </cell>
          <cell r="G1410">
            <v>17.666000000000004</v>
          </cell>
          <cell r="H1410">
            <v>18.263760000000005</v>
          </cell>
          <cell r="I1410">
            <v>19.284680000000005</v>
          </cell>
          <cell r="J1410">
            <v>19.617680000000004</v>
          </cell>
          <cell r="K1410">
            <v>21.461239999999997</v>
          </cell>
          <cell r="L1410">
            <v>23.059840000000008</v>
          </cell>
          <cell r="M1410">
            <v>23.165960000000013</v>
          </cell>
          <cell r="N1410">
            <v>25.442320000000006</v>
          </cell>
          <cell r="O1410">
            <v>23.574960000000004</v>
          </cell>
          <cell r="P1410">
            <v>24.35924</v>
          </cell>
        </row>
        <row r="1412">
          <cell r="E1412">
            <v>1667</v>
          </cell>
          <cell r="F1412">
            <v>1750</v>
          </cell>
          <cell r="G1412">
            <v>1813</v>
          </cell>
          <cell r="H1412">
            <v>1868</v>
          </cell>
          <cell r="I1412">
            <v>2004</v>
          </cell>
          <cell r="J1412">
            <v>2107</v>
          </cell>
          <cell r="K1412">
            <v>2141</v>
          </cell>
          <cell r="L1412">
            <v>2209</v>
          </cell>
          <cell r="M1412">
            <v>1988</v>
          </cell>
          <cell r="N1412">
            <v>1965</v>
          </cell>
          <cell r="O1412">
            <v>1839</v>
          </cell>
          <cell r="P1412">
            <v>1976</v>
          </cell>
        </row>
        <row r="1413">
          <cell r="E1413">
            <v>16.772480000000005</v>
          </cell>
          <cell r="F1413">
            <v>17.452080000000006</v>
          </cell>
          <cell r="G1413">
            <v>17.493600000000004</v>
          </cell>
          <cell r="H1413">
            <v>18.443999999999999</v>
          </cell>
          <cell r="I1413">
            <v>19.960080000000001</v>
          </cell>
          <cell r="J1413">
            <v>24.255279999999999</v>
          </cell>
          <cell r="K1413">
            <v>22.688880000000001</v>
          </cell>
          <cell r="L1413">
            <v>23.062479999999997</v>
          </cell>
          <cell r="M1413">
            <v>20.62088</v>
          </cell>
          <cell r="N1413">
            <v>20.449679999999997</v>
          </cell>
          <cell r="O1413">
            <v>17.488400000000009</v>
          </cell>
          <cell r="P1413">
            <v>18.717599999999997</v>
          </cell>
        </row>
        <row r="1415">
          <cell r="E1415">
            <v>72</v>
          </cell>
          <cell r="F1415">
            <v>54</v>
          </cell>
          <cell r="G1415">
            <v>70</v>
          </cell>
          <cell r="H1415">
            <v>89</v>
          </cell>
          <cell r="I1415">
            <v>112</v>
          </cell>
          <cell r="J1415">
            <v>116</v>
          </cell>
          <cell r="K1415">
            <v>133</v>
          </cell>
          <cell r="L1415">
            <v>52</v>
          </cell>
          <cell r="M1415">
            <v>64</v>
          </cell>
          <cell r="N1415">
            <v>70</v>
          </cell>
          <cell r="O1415">
            <v>96</v>
          </cell>
          <cell r="P1415">
            <v>131</v>
          </cell>
        </row>
        <row r="1416">
          <cell r="E1416">
            <v>0.82627200000000001</v>
          </cell>
          <cell r="F1416">
            <v>0.62625600000000015</v>
          </cell>
          <cell r="G1416">
            <v>0.8286960000000001</v>
          </cell>
          <cell r="H1416">
            <v>1.0481400000000003</v>
          </cell>
          <cell r="I1416">
            <v>1.2793520000000003</v>
          </cell>
          <cell r="J1416">
            <v>1.3353800000000002</v>
          </cell>
          <cell r="K1416">
            <v>1.5376000000000003</v>
          </cell>
          <cell r="L1416">
            <v>0.60473599999999994</v>
          </cell>
          <cell r="M1416">
            <v>0.75871600000000017</v>
          </cell>
          <cell r="N1416">
            <v>0.82845199999999997</v>
          </cell>
          <cell r="O1416">
            <v>1.1535920000000002</v>
          </cell>
          <cell r="P1416">
            <v>1.5280495999999999</v>
          </cell>
        </row>
        <row r="1418">
          <cell r="E1418">
            <v>292.00000000000006</v>
          </cell>
          <cell r="F1418">
            <v>280</v>
          </cell>
          <cell r="G1418">
            <v>306.00000000000006</v>
          </cell>
          <cell r="H1418">
            <v>285</v>
          </cell>
          <cell r="I1418">
            <v>270</v>
          </cell>
          <cell r="J1418">
            <v>327</v>
          </cell>
          <cell r="K1418">
            <v>297</v>
          </cell>
          <cell r="L1418">
            <v>283.00000000000006</v>
          </cell>
          <cell r="M1418">
            <v>280</v>
          </cell>
          <cell r="N1418">
            <v>284.00000000000006</v>
          </cell>
          <cell r="O1418">
            <v>289</v>
          </cell>
          <cell r="P1418">
            <v>392.006493506494</v>
          </cell>
        </row>
        <row r="1419">
          <cell r="E1419">
            <v>3.1132</v>
          </cell>
          <cell r="F1419">
            <v>3.4771999999999998</v>
          </cell>
          <cell r="G1419">
            <v>3.5352000000000001</v>
          </cell>
          <cell r="H1419">
            <v>3.5156000000000001</v>
          </cell>
          <cell r="I1419">
            <v>3.5597467778558798</v>
          </cell>
          <cell r="J1419">
            <v>3.8875999999999999</v>
          </cell>
          <cell r="K1419">
            <v>3.7547999999999999</v>
          </cell>
          <cell r="L1419">
            <v>3.8224</v>
          </cell>
          <cell r="M1419">
            <v>3.2866</v>
          </cell>
          <cell r="N1419">
            <v>3.38836</v>
          </cell>
          <cell r="O1419">
            <v>3.6720000000000002</v>
          </cell>
          <cell r="P1419">
            <v>4.7942475088972296</v>
          </cell>
        </row>
        <row r="1421">
          <cell r="E1421">
            <v>1873</v>
          </cell>
          <cell r="F1421">
            <v>2079</v>
          </cell>
          <cell r="G1421">
            <v>2191</v>
          </cell>
          <cell r="H1421">
            <v>2190</v>
          </cell>
          <cell r="I1421">
            <v>2256</v>
          </cell>
          <cell r="J1421">
            <v>2284</v>
          </cell>
          <cell r="K1421">
            <v>2060</v>
          </cell>
          <cell r="L1421">
            <v>1987</v>
          </cell>
          <cell r="M1421">
            <v>2085</v>
          </cell>
          <cell r="N1421">
            <v>2350</v>
          </cell>
          <cell r="O1421">
            <v>2176</v>
          </cell>
          <cell r="P1421">
            <v>2196</v>
          </cell>
        </row>
        <row r="1422">
          <cell r="E1422">
            <v>23.909035999999997</v>
          </cell>
          <cell r="F1422">
            <v>31.265248000000003</v>
          </cell>
          <cell r="G1422">
            <v>28.511555999999985</v>
          </cell>
          <cell r="H1422">
            <v>28.261220000000016</v>
          </cell>
          <cell r="I1422">
            <v>29.604084000000025</v>
          </cell>
          <cell r="J1422">
            <v>29.746032000000003</v>
          </cell>
          <cell r="K1422">
            <v>26.394807999999998</v>
          </cell>
          <cell r="L1422">
            <v>25.796692000000004</v>
          </cell>
          <cell r="M1422">
            <v>26.884452</v>
          </cell>
          <cell r="N1422">
            <v>30.490372000000004</v>
          </cell>
          <cell r="O1422">
            <v>28.311763999999989</v>
          </cell>
          <cell r="P1422">
            <v>26.275435999999999</v>
          </cell>
        </row>
        <row r="1424">
          <cell r="E1424">
            <v>859</v>
          </cell>
          <cell r="F1424">
            <v>865</v>
          </cell>
          <cell r="G1424">
            <v>868</v>
          </cell>
          <cell r="H1424">
            <v>700</v>
          </cell>
          <cell r="I1424">
            <v>836</v>
          </cell>
          <cell r="J1424">
            <v>841</v>
          </cell>
          <cell r="K1424">
            <v>817</v>
          </cell>
          <cell r="L1424">
            <v>794</v>
          </cell>
          <cell r="M1424">
            <v>783</v>
          </cell>
          <cell r="N1424">
            <v>785</v>
          </cell>
          <cell r="O1424">
            <v>767</v>
          </cell>
          <cell r="P1424">
            <v>1420</v>
          </cell>
        </row>
        <row r="1425">
          <cell r="E1425">
            <v>10.4503</v>
          </cell>
          <cell r="F1425">
            <v>10.166699999999999</v>
          </cell>
          <cell r="G1425">
            <v>10.330400000000001</v>
          </cell>
          <cell r="H1425">
            <v>10.545299999999999</v>
          </cell>
          <cell r="I1425">
            <v>10.152999999999999</v>
          </cell>
          <cell r="J1425">
            <v>10.129800000000001</v>
          </cell>
          <cell r="K1425">
            <v>10.8263</v>
          </cell>
          <cell r="L1425">
            <v>10.4666</v>
          </cell>
          <cell r="M1425">
            <v>10.2403</v>
          </cell>
          <cell r="N1425">
            <v>10.2075</v>
          </cell>
          <cell r="O1425">
            <v>10.9383</v>
          </cell>
          <cell r="P1425">
            <v>15.988</v>
          </cell>
        </row>
        <row r="1427">
          <cell r="E1427">
            <v>55</v>
          </cell>
          <cell r="F1427">
            <v>67</v>
          </cell>
          <cell r="G1427">
            <v>58</v>
          </cell>
          <cell r="H1427">
            <v>60</v>
          </cell>
          <cell r="I1427">
            <v>54</v>
          </cell>
          <cell r="J1427">
            <v>77</v>
          </cell>
          <cell r="K1427">
            <v>38</v>
          </cell>
          <cell r="L1427">
            <v>53</v>
          </cell>
          <cell r="M1427">
            <v>48</v>
          </cell>
          <cell r="N1427">
            <v>45</v>
          </cell>
          <cell r="O1427">
            <v>49</v>
          </cell>
          <cell r="P1427">
            <v>85</v>
          </cell>
        </row>
        <row r="1428">
          <cell r="E1428">
            <v>0.82920000000000005</v>
          </cell>
          <cell r="F1428">
            <v>0.98241000000000001</v>
          </cell>
          <cell r="G1428">
            <v>0.93</v>
          </cell>
          <cell r="H1428">
            <v>0.92300000000000004</v>
          </cell>
          <cell r="I1428">
            <v>0.85960000000000003</v>
          </cell>
          <cell r="J1428">
            <v>0.93120000000000003</v>
          </cell>
          <cell r="K1428">
            <v>0.65800000000000003</v>
          </cell>
          <cell r="L1428">
            <v>0.81340000000000001</v>
          </cell>
          <cell r="M1428">
            <v>0.63</v>
          </cell>
          <cell r="N1428">
            <v>0.59599999999999997</v>
          </cell>
          <cell r="O1428">
            <v>0.76200000000000012</v>
          </cell>
          <cell r="P1428">
            <v>1.1987000000000001</v>
          </cell>
        </row>
        <row r="1430">
          <cell r="E1430">
            <v>327</v>
          </cell>
          <cell r="F1430">
            <v>351</v>
          </cell>
          <cell r="G1430">
            <v>358</v>
          </cell>
          <cell r="H1430">
            <v>396</v>
          </cell>
          <cell r="I1430">
            <v>435</v>
          </cell>
          <cell r="J1430">
            <v>470</v>
          </cell>
          <cell r="K1430">
            <v>511</v>
          </cell>
          <cell r="L1430">
            <v>494</v>
          </cell>
          <cell r="M1430">
            <v>508</v>
          </cell>
          <cell r="N1430">
            <v>480</v>
          </cell>
          <cell r="O1430">
            <v>488</v>
          </cell>
          <cell r="P1430">
            <v>525</v>
          </cell>
        </row>
        <row r="1431">
          <cell r="E1431">
            <v>4.6339999999999995</v>
          </cell>
          <cell r="F1431">
            <v>4.9880000000000022</v>
          </cell>
          <cell r="G1431">
            <v>5.1168000000000013</v>
          </cell>
          <cell r="H1431">
            <v>5.6599999999999993</v>
          </cell>
          <cell r="I1431">
            <v>6.1920000000000011</v>
          </cell>
          <cell r="J1431">
            <v>6.6320000000000023</v>
          </cell>
          <cell r="K1431">
            <v>7.3199999999999994</v>
          </cell>
          <cell r="L1431">
            <v>7.1239999999999997</v>
          </cell>
          <cell r="M1431">
            <v>7.3044000000000002</v>
          </cell>
          <cell r="N1431">
            <v>6.8840000000000003</v>
          </cell>
          <cell r="O1431">
            <v>7.0791999999999993</v>
          </cell>
          <cell r="P1431">
            <v>7.5440000000000005</v>
          </cell>
        </row>
        <row r="1433">
          <cell r="E1433">
            <v>1410</v>
          </cell>
          <cell r="F1433">
            <v>1616</v>
          </cell>
          <cell r="G1433">
            <v>2276</v>
          </cell>
          <cell r="H1433">
            <v>2593</v>
          </cell>
          <cell r="I1433">
            <v>2678</v>
          </cell>
          <cell r="J1433">
            <v>2609</v>
          </cell>
          <cell r="K1433">
            <v>2846</v>
          </cell>
          <cell r="L1433">
            <v>2716</v>
          </cell>
          <cell r="M1433">
            <v>1977</v>
          </cell>
          <cell r="N1433">
            <v>2013</v>
          </cell>
          <cell r="O1433">
            <v>2493</v>
          </cell>
          <cell r="P1433">
            <v>3021</v>
          </cell>
        </row>
        <row r="1434">
          <cell r="E1434">
            <v>15.7316</v>
          </cell>
          <cell r="F1434">
            <v>17.878</v>
          </cell>
          <cell r="G1434">
            <v>26.007200000000001</v>
          </cell>
          <cell r="H1434">
            <v>30.504800000000003</v>
          </cell>
          <cell r="I1434">
            <v>34.504000000000005</v>
          </cell>
          <cell r="J1434">
            <v>33.019600000000004</v>
          </cell>
          <cell r="K1434">
            <v>35.697200000000002</v>
          </cell>
          <cell r="L1434">
            <v>34.198799999999999</v>
          </cell>
          <cell r="M1434">
            <v>23.893200000000004</v>
          </cell>
          <cell r="N1434">
            <v>21.407492000000001</v>
          </cell>
          <cell r="O1434">
            <v>32.040800000000004</v>
          </cell>
          <cell r="P1434">
            <v>35.808800000000005</v>
          </cell>
        </row>
        <row r="1436">
          <cell r="E1436">
            <v>1520</v>
          </cell>
          <cell r="F1436">
            <v>1748</v>
          </cell>
          <cell r="G1436">
            <v>1732</v>
          </cell>
          <cell r="H1436">
            <v>1761</v>
          </cell>
          <cell r="I1436">
            <v>1712</v>
          </cell>
          <cell r="J1436">
            <v>1628</v>
          </cell>
          <cell r="K1436">
            <v>1521</v>
          </cell>
          <cell r="L1436">
            <v>1419</v>
          </cell>
          <cell r="M1436">
            <v>1372</v>
          </cell>
          <cell r="N1436">
            <v>1345</v>
          </cell>
          <cell r="O1436">
            <v>1331</v>
          </cell>
          <cell r="P1436">
            <v>1301</v>
          </cell>
        </row>
        <row r="1437">
          <cell r="E1437">
            <v>17.12</v>
          </cell>
          <cell r="F1437">
            <v>18.079999999999998</v>
          </cell>
          <cell r="G1437">
            <v>19.03</v>
          </cell>
          <cell r="H1437">
            <v>19.14</v>
          </cell>
          <cell r="I1437">
            <v>16.111000000000001</v>
          </cell>
          <cell r="J1437">
            <v>16.241</v>
          </cell>
          <cell r="K1437">
            <v>16.27</v>
          </cell>
          <cell r="L1437">
            <v>15.148999999999999</v>
          </cell>
          <cell r="M1437">
            <v>14.913</v>
          </cell>
          <cell r="N1437">
            <v>14.820599999999999</v>
          </cell>
          <cell r="O1437">
            <v>14.718999999999999</v>
          </cell>
          <cell r="P1437">
            <v>13.565300000000001</v>
          </cell>
        </row>
        <row r="1439">
          <cell r="E1439">
            <v>415</v>
          </cell>
          <cell r="F1439">
            <v>480</v>
          </cell>
          <cell r="G1439">
            <v>512</v>
          </cell>
          <cell r="H1439">
            <v>521</v>
          </cell>
          <cell r="I1439">
            <v>510</v>
          </cell>
          <cell r="J1439">
            <v>523</v>
          </cell>
          <cell r="K1439">
            <v>501</v>
          </cell>
          <cell r="L1439">
            <v>479</v>
          </cell>
          <cell r="M1439">
            <v>460</v>
          </cell>
          <cell r="N1439">
            <v>450</v>
          </cell>
          <cell r="O1439">
            <v>456</v>
          </cell>
          <cell r="P1439">
            <v>402</v>
          </cell>
        </row>
        <row r="1440">
          <cell r="E1440">
            <v>5.0750000000000002</v>
          </cell>
          <cell r="F1440">
            <v>5.23</v>
          </cell>
          <cell r="G1440">
            <v>5.41</v>
          </cell>
          <cell r="H1440">
            <v>5.4320000000000004</v>
          </cell>
          <cell r="I1440">
            <v>5.141</v>
          </cell>
          <cell r="J1440">
            <v>5.2439999999999998</v>
          </cell>
          <cell r="K1440">
            <v>5.32</v>
          </cell>
          <cell r="L1440">
            <v>5.1289999999999996</v>
          </cell>
          <cell r="M1440">
            <v>5.0199999999999996</v>
          </cell>
          <cell r="N1440">
            <v>4.9455999999999998</v>
          </cell>
          <cell r="O1440">
            <v>4.93</v>
          </cell>
          <cell r="P1440">
            <v>4.3512000000000004</v>
          </cell>
        </row>
        <row r="1442">
          <cell r="E1442">
            <v>1105</v>
          </cell>
          <cell r="F1442">
            <v>1268</v>
          </cell>
          <cell r="G1442">
            <v>1220</v>
          </cell>
          <cell r="H1442">
            <v>1240</v>
          </cell>
          <cell r="I1442">
            <v>1202</v>
          </cell>
          <cell r="J1442">
            <v>1105</v>
          </cell>
          <cell r="K1442">
            <v>1020</v>
          </cell>
          <cell r="L1442">
            <v>940</v>
          </cell>
          <cell r="M1442">
            <v>912</v>
          </cell>
          <cell r="N1442">
            <v>895</v>
          </cell>
          <cell r="O1442">
            <v>875</v>
          </cell>
          <cell r="P1442">
            <v>899</v>
          </cell>
        </row>
        <row r="1443">
          <cell r="E1443">
            <v>12.045</v>
          </cell>
          <cell r="F1443">
            <v>12.85</v>
          </cell>
          <cell r="G1443">
            <v>13.62</v>
          </cell>
          <cell r="H1443">
            <v>13.708</v>
          </cell>
          <cell r="I1443">
            <v>10.97</v>
          </cell>
          <cell r="J1443">
            <v>10.997</v>
          </cell>
          <cell r="K1443">
            <v>10.95</v>
          </cell>
          <cell r="L1443">
            <v>10.02</v>
          </cell>
          <cell r="M1443">
            <v>9.8930000000000007</v>
          </cell>
          <cell r="N1443">
            <v>9.875</v>
          </cell>
          <cell r="O1443">
            <v>9.7889999999999997</v>
          </cell>
          <cell r="P1443">
            <v>9.2141000000000002</v>
          </cell>
        </row>
        <row r="1445">
          <cell r="E1445">
            <v>297</v>
          </cell>
          <cell r="F1445">
            <v>311</v>
          </cell>
          <cell r="G1445">
            <v>311</v>
          </cell>
          <cell r="H1445">
            <v>324</v>
          </cell>
          <cell r="I1445">
            <v>334</v>
          </cell>
          <cell r="J1445">
            <v>332</v>
          </cell>
          <cell r="K1445">
            <v>332</v>
          </cell>
          <cell r="L1445">
            <v>331</v>
          </cell>
          <cell r="M1445">
            <v>334</v>
          </cell>
          <cell r="N1445">
            <v>336</v>
          </cell>
          <cell r="O1445">
            <v>326</v>
          </cell>
          <cell r="P1445">
            <v>333</v>
          </cell>
        </row>
        <row r="1446">
          <cell r="E1446">
            <v>3.8003999999999998</v>
          </cell>
          <cell r="F1446">
            <v>3.9844000000000004</v>
          </cell>
          <cell r="G1446">
            <v>3.9860000000000007</v>
          </cell>
          <cell r="H1446">
            <v>4.1804000000000006</v>
          </cell>
          <cell r="I1446">
            <v>4.3084000000000007</v>
          </cell>
          <cell r="J1446">
            <v>4.2651999999999992</v>
          </cell>
          <cell r="K1446">
            <v>4.2683999999999997</v>
          </cell>
          <cell r="L1446">
            <v>4.2667999999999999</v>
          </cell>
          <cell r="M1446">
            <v>4.3132000000000001</v>
          </cell>
          <cell r="N1446">
            <v>4.3316000000000008</v>
          </cell>
          <cell r="O1446">
            <v>4.1924000000000001</v>
          </cell>
          <cell r="P1446">
            <v>4.2839999999999998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4">
          <cell r="E1454">
            <v>4</v>
          </cell>
          <cell r="F1454">
            <v>3</v>
          </cell>
          <cell r="G1454">
            <v>2</v>
          </cell>
          <cell r="H1454">
            <v>3</v>
          </cell>
          <cell r="I1454">
            <v>2</v>
          </cell>
          <cell r="J1454">
            <v>3</v>
          </cell>
          <cell r="K1454">
            <v>2</v>
          </cell>
          <cell r="L1454">
            <v>3</v>
          </cell>
          <cell r="M1454">
            <v>2</v>
          </cell>
          <cell r="N1454">
            <v>3</v>
          </cell>
          <cell r="O1454">
            <v>2</v>
          </cell>
          <cell r="P1454">
            <v>6</v>
          </cell>
        </row>
        <row r="1455">
          <cell r="E1455">
            <v>4.0000000000000008E-2</v>
          </cell>
          <cell r="F1455">
            <v>0.03</v>
          </cell>
          <cell r="G1455">
            <v>2.0000000000000004E-2</v>
          </cell>
          <cell r="H1455">
            <v>0.03</v>
          </cell>
          <cell r="I1455">
            <v>2.0000000000000004E-2</v>
          </cell>
          <cell r="J1455">
            <v>0.03</v>
          </cell>
          <cell r="K1455">
            <v>2.0000000000000004E-2</v>
          </cell>
          <cell r="L1455">
            <v>0.03</v>
          </cell>
          <cell r="M1455">
            <v>2.0000000000000004E-2</v>
          </cell>
          <cell r="N1455">
            <v>0.03</v>
          </cell>
          <cell r="O1455">
            <v>2.0000000000000004E-2</v>
          </cell>
          <cell r="P1455">
            <v>6.5000000000000002E-2</v>
          </cell>
        </row>
        <row r="1457"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60"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</sheetData>
      <sheetData sheetId="5">
        <row r="1376"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7"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</row>
        <row r="1379"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</row>
        <row r="1380"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</row>
        <row r="1382"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</row>
        <row r="1385">
          <cell r="E1385">
            <v>24</v>
          </cell>
          <cell r="F1385">
            <v>0</v>
          </cell>
          <cell r="G1385">
            <v>0</v>
          </cell>
          <cell r="H1385">
            <v>89</v>
          </cell>
          <cell r="I1385">
            <v>293</v>
          </cell>
          <cell r="J1385">
            <v>187</v>
          </cell>
          <cell r="K1385">
            <v>301</v>
          </cell>
          <cell r="L1385">
            <v>216</v>
          </cell>
          <cell r="M1385">
            <v>100</v>
          </cell>
          <cell r="N1385">
            <v>32</v>
          </cell>
          <cell r="O1385">
            <v>34</v>
          </cell>
          <cell r="P1385">
            <v>101</v>
          </cell>
        </row>
        <row r="1386">
          <cell r="E1386">
            <v>0.71046450000000005</v>
          </cell>
          <cell r="F1386">
            <v>0</v>
          </cell>
          <cell r="G1386">
            <v>0</v>
          </cell>
          <cell r="H1386">
            <v>2.6311815000000003</v>
          </cell>
          <cell r="I1386">
            <v>8.467330500000001</v>
          </cell>
          <cell r="J1386">
            <v>5.7259260000000003</v>
          </cell>
          <cell r="K1386">
            <v>9.5551560000000002</v>
          </cell>
          <cell r="L1386">
            <v>7.0659809999999998</v>
          </cell>
          <cell r="M1386">
            <v>3.2725980000000003</v>
          </cell>
          <cell r="N1386">
            <v>1.0869120000000001</v>
          </cell>
          <cell r="O1386">
            <v>1.1194155000000001</v>
          </cell>
          <cell r="P1386">
            <v>3.2552505000000003</v>
          </cell>
        </row>
        <row r="1388"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</row>
        <row r="1389"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</row>
        <row r="1391"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</row>
        <row r="1392"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</row>
        <row r="1394"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</row>
        <row r="1395"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</row>
        <row r="1397"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398"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</row>
        <row r="1401"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</row>
        <row r="1403">
          <cell r="E1403">
            <v>38</v>
          </cell>
          <cell r="F1403">
            <v>35</v>
          </cell>
          <cell r="G1403">
            <v>33</v>
          </cell>
          <cell r="H1403">
            <v>35</v>
          </cell>
          <cell r="I1403">
            <v>35</v>
          </cell>
          <cell r="J1403">
            <v>30</v>
          </cell>
          <cell r="K1403">
            <v>34</v>
          </cell>
          <cell r="L1403">
            <v>31</v>
          </cell>
          <cell r="M1403">
            <v>29</v>
          </cell>
          <cell r="N1403">
            <v>24</v>
          </cell>
          <cell r="O1403">
            <v>32</v>
          </cell>
          <cell r="P1403">
            <v>34</v>
          </cell>
        </row>
        <row r="1404">
          <cell r="E1404">
            <v>0.92400000000000004</v>
          </cell>
          <cell r="F1404">
            <v>1.01</v>
          </cell>
          <cell r="G1404">
            <v>0.94821</v>
          </cell>
          <cell r="H1404">
            <v>0.97319999999999995</v>
          </cell>
          <cell r="I1404">
            <v>0.99701444444444398</v>
          </cell>
          <cell r="J1404">
            <v>0.83379199999999998</v>
          </cell>
          <cell r="K1404">
            <v>0.86499999999999999</v>
          </cell>
          <cell r="L1404">
            <v>0.86904999999999999</v>
          </cell>
          <cell r="M1404">
            <v>0.89049999999999996</v>
          </cell>
          <cell r="N1404">
            <v>0.78</v>
          </cell>
          <cell r="O1404">
            <v>0.998</v>
          </cell>
          <cell r="P1404">
            <v>0.91601999999999995</v>
          </cell>
        </row>
        <row r="1406">
          <cell r="E1406">
            <v>215</v>
          </cell>
          <cell r="F1406">
            <v>179</v>
          </cell>
          <cell r="G1406">
            <v>214</v>
          </cell>
          <cell r="H1406">
            <v>220</v>
          </cell>
          <cell r="I1406">
            <v>205</v>
          </cell>
          <cell r="J1406">
            <v>248</v>
          </cell>
          <cell r="K1406">
            <v>334</v>
          </cell>
          <cell r="L1406">
            <v>215</v>
          </cell>
          <cell r="M1406">
            <v>275</v>
          </cell>
          <cell r="N1406">
            <v>278</v>
          </cell>
          <cell r="O1406">
            <v>216</v>
          </cell>
          <cell r="P1406">
            <v>232</v>
          </cell>
        </row>
        <row r="1407">
          <cell r="E1407">
            <v>5.5179</v>
          </cell>
          <cell r="F1407">
            <v>4.3929</v>
          </cell>
          <cell r="G1407">
            <v>5.2505999999999995</v>
          </cell>
          <cell r="H1407">
            <v>6.3567</v>
          </cell>
          <cell r="I1407">
            <v>5.4558</v>
          </cell>
          <cell r="J1407">
            <v>7.4818350000000002</v>
          </cell>
          <cell r="K1407">
            <v>8.8746200000000002</v>
          </cell>
          <cell r="L1407">
            <v>6.5179</v>
          </cell>
          <cell r="M1407">
            <v>7.7754600000000007</v>
          </cell>
          <cell r="N1407">
            <v>7.1435599999999999</v>
          </cell>
          <cell r="O1407">
            <v>5.3969950000000004</v>
          </cell>
          <cell r="P1407">
            <v>5.8594500000000007</v>
          </cell>
        </row>
        <row r="1409"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</row>
        <row r="1412">
          <cell r="E1412">
            <v>80</v>
          </cell>
          <cell r="F1412">
            <v>67</v>
          </cell>
          <cell r="G1412">
            <v>97</v>
          </cell>
          <cell r="H1412">
            <v>113</v>
          </cell>
          <cell r="I1412">
            <v>128</v>
          </cell>
          <cell r="J1412">
            <v>116</v>
          </cell>
          <cell r="K1412">
            <v>115</v>
          </cell>
          <cell r="L1412">
            <v>124</v>
          </cell>
          <cell r="M1412">
            <v>117</v>
          </cell>
          <cell r="N1412">
            <v>90</v>
          </cell>
          <cell r="O1412">
            <v>88</v>
          </cell>
          <cell r="P1412">
            <v>121</v>
          </cell>
        </row>
        <row r="1413">
          <cell r="E1413">
            <v>2.0587500000000003</v>
          </cell>
          <cell r="F1413">
            <v>1.6263000000000001</v>
          </cell>
          <cell r="G1413">
            <v>2.3854499999999996</v>
          </cell>
          <cell r="H1413">
            <v>3.0307500000000003</v>
          </cell>
          <cell r="I1413">
            <v>3.4290000000000007</v>
          </cell>
          <cell r="J1413">
            <v>3.1589999999999998</v>
          </cell>
          <cell r="K1413">
            <v>3.07925</v>
          </cell>
          <cell r="L1413">
            <v>3.2284250000000001</v>
          </cell>
          <cell r="M1413">
            <v>3.2219000000000002</v>
          </cell>
          <cell r="N1413">
            <v>2.6981000000000002</v>
          </cell>
          <cell r="O1413">
            <v>3.1819500000000009</v>
          </cell>
          <cell r="P1413">
            <v>3.1670999999999996</v>
          </cell>
        </row>
        <row r="1415">
          <cell r="E1415">
            <v>758</v>
          </cell>
          <cell r="F1415">
            <v>865</v>
          </cell>
          <cell r="G1415">
            <v>1201</v>
          </cell>
          <cell r="H1415">
            <v>1440</v>
          </cell>
          <cell r="I1415">
            <v>1583</v>
          </cell>
          <cell r="J1415">
            <v>1896</v>
          </cell>
          <cell r="K1415">
            <v>1849</v>
          </cell>
          <cell r="L1415">
            <v>1372</v>
          </cell>
          <cell r="M1415">
            <v>802</v>
          </cell>
          <cell r="N1415">
            <v>935</v>
          </cell>
          <cell r="O1415">
            <v>1271</v>
          </cell>
          <cell r="P1415">
            <v>1729</v>
          </cell>
        </row>
        <row r="1416">
          <cell r="E1416">
            <v>17.971172999999997</v>
          </cell>
          <cell r="F1416">
            <v>20.474081999999996</v>
          </cell>
          <cell r="G1416">
            <v>28.182325499999997</v>
          </cell>
          <cell r="H1416">
            <v>33.524468999999996</v>
          </cell>
          <cell r="I1416">
            <v>36.64162799999999</v>
          </cell>
          <cell r="J1416">
            <v>43.507858499999998</v>
          </cell>
          <cell r="K1416">
            <v>42.553097999999999</v>
          </cell>
          <cell r="L1416">
            <v>31.686648649999999</v>
          </cell>
          <cell r="M1416">
            <v>17.929449000000002</v>
          </cell>
          <cell r="N1416">
            <v>20.987361000000003</v>
          </cell>
          <cell r="O1416">
            <v>28.420479000000004</v>
          </cell>
          <cell r="P1416">
            <v>39.324460499999994</v>
          </cell>
        </row>
        <row r="1418">
          <cell r="E1418">
            <v>1099.0000000000002</v>
          </cell>
          <cell r="F1418">
            <v>1105</v>
          </cell>
          <cell r="G1418">
            <v>1119</v>
          </cell>
          <cell r="H1418">
            <v>1016.9999999999999</v>
          </cell>
          <cell r="I1418">
            <v>1007.0000000000001</v>
          </cell>
          <cell r="J1418">
            <v>1054</v>
          </cell>
          <cell r="K1418">
            <v>1087.0000000000002</v>
          </cell>
          <cell r="L1418">
            <v>1092</v>
          </cell>
          <cell r="M1418">
            <v>1029</v>
          </cell>
          <cell r="N1418">
            <v>1006</v>
          </cell>
          <cell r="O1418">
            <v>995</v>
          </cell>
          <cell r="P1418">
            <v>1141</v>
          </cell>
        </row>
        <row r="1419">
          <cell r="E1419">
            <v>23.931450000000002</v>
          </cell>
          <cell r="F1419">
            <v>23.832900000000002</v>
          </cell>
          <cell r="G1419">
            <v>24.235199999999999</v>
          </cell>
          <cell r="H1419">
            <v>22.226850000000002</v>
          </cell>
          <cell r="I1419">
            <v>22.0032</v>
          </cell>
          <cell r="J1419">
            <v>22.963950000000004</v>
          </cell>
          <cell r="K1419">
            <v>23.711849999999998</v>
          </cell>
          <cell r="L1419">
            <v>23.86665</v>
          </cell>
          <cell r="M1419">
            <v>22.334399999999999</v>
          </cell>
          <cell r="N1419">
            <v>22.037849999999999</v>
          </cell>
          <cell r="O1419">
            <v>21.8034</v>
          </cell>
          <cell r="P1419">
            <v>28.007166894502401</v>
          </cell>
        </row>
        <row r="1421">
          <cell r="E1421">
            <v>1738</v>
          </cell>
          <cell r="F1421">
            <v>1625</v>
          </cell>
          <cell r="G1421">
            <v>1714</v>
          </cell>
          <cell r="H1421">
            <v>1892</v>
          </cell>
          <cell r="I1421">
            <v>2059</v>
          </cell>
          <cell r="J1421">
            <v>2065</v>
          </cell>
          <cell r="K1421">
            <v>1797</v>
          </cell>
          <cell r="L1421">
            <v>1762</v>
          </cell>
          <cell r="M1421">
            <v>1827</v>
          </cell>
          <cell r="N1421">
            <v>1984</v>
          </cell>
          <cell r="O1421">
            <v>1999</v>
          </cell>
          <cell r="P1421">
            <v>1887</v>
          </cell>
        </row>
        <row r="1422">
          <cell r="E1422">
            <v>43.817985</v>
          </cell>
          <cell r="F1422">
            <v>41.526288000000008</v>
          </cell>
          <cell r="G1422">
            <v>43.53953400000001</v>
          </cell>
          <cell r="H1422">
            <v>47.747781000000003</v>
          </cell>
          <cell r="I1422">
            <v>52.721559000000006</v>
          </cell>
          <cell r="J1422">
            <v>53.265001500000004</v>
          </cell>
          <cell r="K1422">
            <v>45.035603999999999</v>
          </cell>
          <cell r="L1422">
            <v>43.263985500000004</v>
          </cell>
          <cell r="M1422">
            <v>48.510656999999988</v>
          </cell>
          <cell r="N1422">
            <v>49.124065499999993</v>
          </cell>
          <cell r="O1422">
            <v>49.085235000000004</v>
          </cell>
          <cell r="P1422">
            <v>46.535557499999989</v>
          </cell>
        </row>
        <row r="1424">
          <cell r="E1424">
            <v>3217</v>
          </cell>
          <cell r="F1424">
            <v>3553</v>
          </cell>
          <cell r="G1424">
            <v>3549</v>
          </cell>
          <cell r="H1424">
            <v>3039</v>
          </cell>
          <cell r="I1424">
            <v>3195</v>
          </cell>
          <cell r="J1424">
            <v>3321</v>
          </cell>
          <cell r="K1424">
            <v>3081</v>
          </cell>
          <cell r="L1424">
            <v>3038</v>
          </cell>
          <cell r="M1424">
            <v>2887</v>
          </cell>
          <cell r="N1424">
            <v>2844</v>
          </cell>
          <cell r="O1424">
            <v>2937</v>
          </cell>
          <cell r="P1424">
            <v>2927</v>
          </cell>
        </row>
        <row r="1425">
          <cell r="E1425">
            <v>77.286200000000008</v>
          </cell>
          <cell r="F1425">
            <v>85.330200000000005</v>
          </cell>
          <cell r="G1425">
            <v>86.988500000000002</v>
          </cell>
          <cell r="H1425">
            <v>75.893100000000004</v>
          </cell>
          <cell r="I1425">
            <v>79.875</v>
          </cell>
          <cell r="J1425">
            <v>83.025000000000006</v>
          </cell>
          <cell r="K1425">
            <v>77.025000000000006</v>
          </cell>
          <cell r="L1425">
            <v>75.363899999999987</v>
          </cell>
          <cell r="M1425">
            <v>70.935500000000005</v>
          </cell>
          <cell r="N1425">
            <v>69.190300000000008</v>
          </cell>
          <cell r="O1425">
            <v>70.558399999999992</v>
          </cell>
          <cell r="P1425">
            <v>74.667999999999992</v>
          </cell>
        </row>
        <row r="1427">
          <cell r="E1427">
            <v>367</v>
          </cell>
          <cell r="F1427">
            <v>305</v>
          </cell>
          <cell r="G1427">
            <v>299</v>
          </cell>
          <cell r="H1427">
            <v>292</v>
          </cell>
          <cell r="I1427">
            <v>272</v>
          </cell>
          <cell r="J1427">
            <v>347</v>
          </cell>
          <cell r="K1427">
            <v>463</v>
          </cell>
          <cell r="L1427">
            <v>355</v>
          </cell>
          <cell r="M1427">
            <v>315</v>
          </cell>
          <cell r="N1427">
            <v>397</v>
          </cell>
          <cell r="O1427">
            <v>358</v>
          </cell>
          <cell r="P1427">
            <v>347</v>
          </cell>
        </row>
        <row r="1428">
          <cell r="E1428">
            <v>11.4345</v>
          </cell>
          <cell r="F1428">
            <v>9.1687500000000011</v>
          </cell>
          <cell r="G1428">
            <v>9.2493000000000016</v>
          </cell>
          <cell r="H1428">
            <v>9.1521000000000008</v>
          </cell>
          <cell r="I1428">
            <v>8.4784500000000005</v>
          </cell>
          <cell r="J1428">
            <v>10.787850000000002</v>
          </cell>
          <cell r="K1428">
            <v>14.23395</v>
          </cell>
          <cell r="L1428">
            <v>11.301299999999999</v>
          </cell>
          <cell r="M1428">
            <v>9.7546499999999998</v>
          </cell>
          <cell r="N1428">
            <v>11.877300000000002</v>
          </cell>
          <cell r="O1428">
            <v>10.925549999999999</v>
          </cell>
          <cell r="P1428">
            <v>10.7226</v>
          </cell>
        </row>
        <row r="1430">
          <cell r="E1430">
            <v>497</v>
          </cell>
          <cell r="F1430">
            <v>507</v>
          </cell>
          <cell r="G1430">
            <v>519</v>
          </cell>
          <cell r="H1430">
            <v>548</v>
          </cell>
          <cell r="I1430">
            <v>651</v>
          </cell>
          <cell r="J1430">
            <v>807</v>
          </cell>
          <cell r="K1430">
            <v>798</v>
          </cell>
          <cell r="L1430">
            <v>833</v>
          </cell>
          <cell r="M1430">
            <v>727</v>
          </cell>
          <cell r="N1430">
            <v>624</v>
          </cell>
          <cell r="O1430">
            <v>700</v>
          </cell>
          <cell r="P1430">
            <v>745</v>
          </cell>
        </row>
        <row r="1431">
          <cell r="E1431">
            <v>14.319000000000003</v>
          </cell>
          <cell r="F1431">
            <v>14.4945</v>
          </cell>
          <cell r="G1431">
            <v>14.935499999999999</v>
          </cell>
          <cell r="H1431">
            <v>15.794999999999998</v>
          </cell>
          <cell r="I1431">
            <v>18.715500000000002</v>
          </cell>
          <cell r="J1431">
            <v>20.997</v>
          </cell>
          <cell r="K1431">
            <v>22.837500000000002</v>
          </cell>
          <cell r="L1431">
            <v>23.926499999999997</v>
          </cell>
          <cell r="M1431">
            <v>20.835000000000001</v>
          </cell>
          <cell r="N1431">
            <v>17.941500000000001</v>
          </cell>
          <cell r="O1431">
            <v>19.926449999999999</v>
          </cell>
          <cell r="P1431">
            <v>21.303000000000001</v>
          </cell>
        </row>
        <row r="1433">
          <cell r="E1433">
            <v>2258</v>
          </cell>
          <cell r="F1433">
            <v>3285</v>
          </cell>
          <cell r="G1433">
            <v>4100</v>
          </cell>
          <cell r="H1433">
            <v>4500</v>
          </cell>
          <cell r="I1433">
            <v>4014</v>
          </cell>
          <cell r="J1433">
            <v>4121</v>
          </cell>
          <cell r="K1433">
            <v>3822</v>
          </cell>
          <cell r="L1433">
            <v>3927</v>
          </cell>
          <cell r="M1433">
            <v>3151</v>
          </cell>
          <cell r="N1433">
            <v>2827</v>
          </cell>
          <cell r="O1433">
            <v>3914</v>
          </cell>
          <cell r="P1433">
            <v>4862</v>
          </cell>
        </row>
        <row r="1434">
          <cell r="E1434">
            <v>61.252649999999996</v>
          </cell>
          <cell r="F1434">
            <v>87.415649999999999</v>
          </cell>
          <cell r="G1434">
            <v>110.38275000000002</v>
          </cell>
          <cell r="H1434">
            <v>123.14205</v>
          </cell>
          <cell r="I1434">
            <v>106.73460000000001</v>
          </cell>
          <cell r="J1434">
            <v>106.23375000000001</v>
          </cell>
          <cell r="K1434">
            <v>102.28905</v>
          </cell>
          <cell r="L1434">
            <v>104.44455000000001</v>
          </cell>
          <cell r="M1434">
            <v>84.278700000000001</v>
          </cell>
          <cell r="N1434">
            <v>74.075850000000003</v>
          </cell>
          <cell r="O1434">
            <v>105.5484</v>
          </cell>
          <cell r="P1434">
            <v>127.13175</v>
          </cell>
        </row>
        <row r="1436">
          <cell r="E1436">
            <v>2018</v>
          </cell>
          <cell r="F1436">
            <v>2070</v>
          </cell>
          <cell r="G1436">
            <v>2130</v>
          </cell>
          <cell r="H1436">
            <v>1939</v>
          </cell>
          <cell r="I1436">
            <v>1969</v>
          </cell>
          <cell r="J1436">
            <v>1957</v>
          </cell>
          <cell r="K1436">
            <v>1897</v>
          </cell>
          <cell r="L1436">
            <v>1870</v>
          </cell>
          <cell r="M1436">
            <v>1847</v>
          </cell>
          <cell r="N1436">
            <v>1780</v>
          </cell>
          <cell r="O1436">
            <v>1641</v>
          </cell>
          <cell r="P1436">
            <v>1742</v>
          </cell>
        </row>
        <row r="1437">
          <cell r="E1437">
            <v>47.064999999999998</v>
          </cell>
          <cell r="F1437">
            <v>51.17</v>
          </cell>
          <cell r="G1437">
            <v>51.959999999999994</v>
          </cell>
          <cell r="H1437">
            <v>47.009</v>
          </cell>
          <cell r="I1437">
            <v>47.091000000000001</v>
          </cell>
          <cell r="J1437">
            <v>45.92</v>
          </cell>
          <cell r="K1437">
            <v>46.16</v>
          </cell>
          <cell r="L1437">
            <v>45.54</v>
          </cell>
          <cell r="M1437">
            <v>44.024999999999999</v>
          </cell>
          <cell r="N1437">
            <v>43.104999999999997</v>
          </cell>
          <cell r="O1437">
            <v>41.765999999999998</v>
          </cell>
          <cell r="P1437">
            <v>44.876000000000005</v>
          </cell>
        </row>
        <row r="1439">
          <cell r="E1439">
            <v>1320</v>
          </cell>
          <cell r="F1439">
            <v>1380</v>
          </cell>
          <cell r="G1439">
            <v>1420</v>
          </cell>
          <cell r="H1439">
            <v>1250</v>
          </cell>
          <cell r="I1439">
            <v>1265</v>
          </cell>
          <cell r="J1439">
            <v>1280</v>
          </cell>
          <cell r="K1439">
            <v>1235</v>
          </cell>
          <cell r="L1439">
            <v>1210</v>
          </cell>
          <cell r="M1439">
            <v>1198</v>
          </cell>
          <cell r="N1439">
            <v>1170</v>
          </cell>
          <cell r="O1439">
            <v>1290</v>
          </cell>
          <cell r="P1439">
            <v>1450</v>
          </cell>
        </row>
        <row r="1440">
          <cell r="E1440">
            <v>30.285</v>
          </cell>
          <cell r="F1440">
            <v>34.549999999999997</v>
          </cell>
          <cell r="G1440">
            <v>35.22</v>
          </cell>
          <cell r="H1440">
            <v>31.331</v>
          </cell>
          <cell r="I1440">
            <v>31.35</v>
          </cell>
          <cell r="J1440">
            <v>30.5</v>
          </cell>
          <cell r="K1440">
            <v>30.62</v>
          </cell>
          <cell r="L1440">
            <v>30.52</v>
          </cell>
          <cell r="M1440">
            <v>29.456</v>
          </cell>
          <cell r="N1440">
            <v>29.04</v>
          </cell>
          <cell r="O1440">
            <v>33.896000000000001</v>
          </cell>
          <cell r="P1440">
            <v>38.42</v>
          </cell>
        </row>
        <row r="1442">
          <cell r="E1442">
            <v>698</v>
          </cell>
          <cell r="F1442">
            <v>690</v>
          </cell>
          <cell r="G1442">
            <v>710</v>
          </cell>
          <cell r="H1442">
            <v>689</v>
          </cell>
          <cell r="I1442">
            <v>704</v>
          </cell>
          <cell r="J1442">
            <v>677</v>
          </cell>
          <cell r="K1442">
            <v>662</v>
          </cell>
          <cell r="L1442">
            <v>660</v>
          </cell>
          <cell r="M1442">
            <v>649</v>
          </cell>
          <cell r="N1442">
            <v>610</v>
          </cell>
          <cell r="O1442">
            <v>351</v>
          </cell>
          <cell r="P1442">
            <v>292</v>
          </cell>
        </row>
        <row r="1443">
          <cell r="E1443">
            <v>16.78</v>
          </cell>
          <cell r="F1443">
            <v>16.62</v>
          </cell>
          <cell r="G1443">
            <v>16.739999999999998</v>
          </cell>
          <cell r="H1443">
            <v>15.678000000000001</v>
          </cell>
          <cell r="I1443">
            <v>15.741</v>
          </cell>
          <cell r="J1443">
            <v>15.42</v>
          </cell>
          <cell r="K1443">
            <v>15.54</v>
          </cell>
          <cell r="L1443">
            <v>15.02</v>
          </cell>
          <cell r="M1443">
            <v>14.569000000000001</v>
          </cell>
          <cell r="N1443">
            <v>14.065</v>
          </cell>
          <cell r="O1443">
            <v>7.87</v>
          </cell>
          <cell r="P1443">
            <v>6.4560000000000004</v>
          </cell>
        </row>
        <row r="1445">
          <cell r="E1445">
            <v>6701</v>
          </cell>
          <cell r="F1445">
            <v>7123</v>
          </cell>
          <cell r="G1445">
            <v>7523</v>
          </cell>
          <cell r="H1445">
            <v>7970</v>
          </cell>
          <cell r="I1445">
            <v>8337</v>
          </cell>
          <cell r="J1445">
            <v>8751</v>
          </cell>
          <cell r="K1445">
            <v>8743</v>
          </cell>
          <cell r="L1445">
            <v>8351</v>
          </cell>
          <cell r="M1445">
            <v>7562</v>
          </cell>
          <cell r="N1445">
            <v>6810</v>
          </cell>
          <cell r="O1445">
            <v>6255</v>
          </cell>
          <cell r="P1445">
            <v>6001</v>
          </cell>
        </row>
        <row r="1446">
          <cell r="E1446">
            <v>176.33430000000001</v>
          </cell>
          <cell r="F1446">
            <v>186.0111</v>
          </cell>
          <cell r="G1446">
            <v>196.37460000000007</v>
          </cell>
          <cell r="H1446">
            <v>215.09009999999995</v>
          </cell>
          <cell r="I1446">
            <v>225.18</v>
          </cell>
          <cell r="J1446">
            <v>236.27699999999999</v>
          </cell>
          <cell r="K1446">
            <v>236.06099999999998</v>
          </cell>
          <cell r="L1446">
            <v>223.04700000000003</v>
          </cell>
          <cell r="M1446">
            <v>204.14879999999997</v>
          </cell>
          <cell r="N1446">
            <v>177.74100000000004</v>
          </cell>
          <cell r="O1446">
            <v>163.25550000000004</v>
          </cell>
          <cell r="P1446">
            <v>157.40820000000002</v>
          </cell>
        </row>
        <row r="1448">
          <cell r="E1448">
            <v>12335</v>
          </cell>
          <cell r="F1448">
            <v>16625</v>
          </cell>
          <cell r="G1448">
            <v>18447</v>
          </cell>
          <cell r="H1448">
            <v>24877</v>
          </cell>
          <cell r="I1448">
            <v>22930</v>
          </cell>
          <cell r="J1448">
            <v>22220</v>
          </cell>
          <cell r="K1448">
            <v>21585</v>
          </cell>
          <cell r="L1448">
            <v>18770</v>
          </cell>
          <cell r="M1448">
            <v>15480</v>
          </cell>
          <cell r="N1448">
            <v>13900</v>
          </cell>
          <cell r="O1448">
            <v>12900</v>
          </cell>
          <cell r="P1448">
            <v>9130</v>
          </cell>
        </row>
        <row r="1449">
          <cell r="E1449">
            <v>338.05999999999995</v>
          </cell>
          <cell r="F1449">
            <v>463.15849999999989</v>
          </cell>
          <cell r="G1449">
            <v>513.38199999999995</v>
          </cell>
          <cell r="H1449">
            <v>703.20150000000024</v>
          </cell>
          <cell r="I1449">
            <v>649.15</v>
          </cell>
          <cell r="J1449">
            <v>624.94499999999994</v>
          </cell>
          <cell r="K1449">
            <v>603.27300000000002</v>
          </cell>
          <cell r="L1449">
            <v>514.71</v>
          </cell>
          <cell r="M1449">
            <v>414.47500000000002</v>
          </cell>
          <cell r="N1449">
            <v>370.81499999999994</v>
          </cell>
          <cell r="O1449">
            <v>343.93499999999995</v>
          </cell>
          <cell r="P1449">
            <v>245.22000000000006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4"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</row>
        <row r="1455"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</row>
        <row r="1457"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60"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</sheetData>
      <sheetData sheetId="6">
        <row r="1376"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7"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</row>
        <row r="1379"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</row>
        <row r="1380"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</row>
        <row r="1382"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</row>
        <row r="1385"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</row>
        <row r="1386"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</row>
        <row r="1388"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</row>
        <row r="1389"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</row>
        <row r="1391"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</row>
        <row r="1392"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</row>
        <row r="1394"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</row>
        <row r="1395"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</row>
        <row r="1397"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398"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</row>
        <row r="1401"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</row>
        <row r="1403"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</row>
        <row r="1404"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</row>
        <row r="1406">
          <cell r="E1406">
            <v>123</v>
          </cell>
          <cell r="F1406">
            <v>169</v>
          </cell>
          <cell r="G1406">
            <v>191</v>
          </cell>
          <cell r="H1406">
            <v>223</v>
          </cell>
          <cell r="I1406">
            <v>215</v>
          </cell>
          <cell r="J1406">
            <v>167</v>
          </cell>
          <cell r="K1406">
            <v>177</v>
          </cell>
          <cell r="L1406">
            <v>161</v>
          </cell>
          <cell r="M1406">
            <v>157</v>
          </cell>
          <cell r="N1406">
            <v>139</v>
          </cell>
          <cell r="O1406">
            <v>135</v>
          </cell>
          <cell r="P1406">
            <v>173</v>
          </cell>
        </row>
        <row r="1407">
          <cell r="E1407">
            <v>4.1476500000000005</v>
          </cell>
          <cell r="F1407">
            <v>4.4323499999999996</v>
          </cell>
          <cell r="G1407">
            <v>5.8797899999999998</v>
          </cell>
          <cell r="H1407">
            <v>6.3083150000000003</v>
          </cell>
          <cell r="I1407">
            <v>6.5520899999999997</v>
          </cell>
          <cell r="J1407">
            <v>5.0153849999999993</v>
          </cell>
          <cell r="K1407">
            <v>5.781555</v>
          </cell>
          <cell r="L1407">
            <v>5.3797500000000005</v>
          </cell>
          <cell r="M1407">
            <v>5.0370400000000002</v>
          </cell>
          <cell r="N1407">
            <v>4.7976000000000001</v>
          </cell>
          <cell r="O1407">
            <v>4.4404849999999998</v>
          </cell>
          <cell r="P1407">
            <v>5.3964000000000008</v>
          </cell>
        </row>
        <row r="1409"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</row>
        <row r="1412"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</row>
        <row r="1413"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</row>
        <row r="1415">
          <cell r="E1415">
            <v>184</v>
          </cell>
          <cell r="F1415">
            <v>215</v>
          </cell>
          <cell r="G1415">
            <v>250</v>
          </cell>
          <cell r="H1415">
            <v>352</v>
          </cell>
          <cell r="I1415">
            <v>401</v>
          </cell>
          <cell r="J1415">
            <v>476</v>
          </cell>
          <cell r="K1415">
            <v>464</v>
          </cell>
          <cell r="L1415">
            <v>361</v>
          </cell>
          <cell r="M1415">
            <v>219</v>
          </cell>
          <cell r="N1415">
            <v>239</v>
          </cell>
          <cell r="O1415">
            <v>299</v>
          </cell>
          <cell r="P1415">
            <v>372</v>
          </cell>
        </row>
        <row r="1416">
          <cell r="E1416">
            <v>5.2773840000000005</v>
          </cell>
          <cell r="F1416">
            <v>6.1633845000000003</v>
          </cell>
          <cell r="G1416">
            <v>7.1385479999999992</v>
          </cell>
          <cell r="H1416">
            <v>10.165536000000001</v>
          </cell>
          <cell r="I1416">
            <v>11.5314525</v>
          </cell>
          <cell r="J1416">
            <v>13.6926495</v>
          </cell>
          <cell r="K1416">
            <v>13.490387999999998</v>
          </cell>
          <cell r="L1416">
            <v>10.471365</v>
          </cell>
          <cell r="M1416">
            <v>6.3030105000000001</v>
          </cell>
          <cell r="N1416">
            <v>6.9556455000000001</v>
          </cell>
          <cell r="O1416">
            <v>8.8731765000000014</v>
          </cell>
          <cell r="P1416">
            <v>10.7713395</v>
          </cell>
        </row>
        <row r="1418">
          <cell r="E1418">
            <v>690.00000000000011</v>
          </cell>
          <cell r="F1418">
            <v>701.00000000000011</v>
          </cell>
          <cell r="G1418">
            <v>726</v>
          </cell>
          <cell r="H1418">
            <v>680</v>
          </cell>
          <cell r="I1418">
            <v>719.03443416678715</v>
          </cell>
          <cell r="J1418">
            <v>705.00000000000011</v>
          </cell>
          <cell r="K1418">
            <v>744</v>
          </cell>
          <cell r="L1418">
            <v>726</v>
          </cell>
          <cell r="M1418">
            <v>686</v>
          </cell>
          <cell r="N1418">
            <v>677</v>
          </cell>
          <cell r="O1418">
            <v>697.00000000000011</v>
          </cell>
          <cell r="P1418">
            <v>885</v>
          </cell>
        </row>
        <row r="1419">
          <cell r="E1419">
            <v>19.177199999999999</v>
          </cell>
          <cell r="F1419">
            <v>18.980100000000004</v>
          </cell>
          <cell r="G1419">
            <v>19.844100000000001</v>
          </cell>
          <cell r="H1419">
            <v>19.354050000000001</v>
          </cell>
          <cell r="I1419">
            <v>20.059332232406131</v>
          </cell>
          <cell r="J1419">
            <v>18.917099999999998</v>
          </cell>
          <cell r="K1419">
            <v>20.151899999999998</v>
          </cell>
          <cell r="L1419">
            <v>19.545300000000001</v>
          </cell>
          <cell r="M1419">
            <v>18.51615</v>
          </cell>
          <cell r="N1419">
            <v>18.14265</v>
          </cell>
          <cell r="O1419">
            <v>18.670499999999997</v>
          </cell>
          <cell r="P1419">
            <v>28.2346882099427</v>
          </cell>
        </row>
        <row r="1421">
          <cell r="E1421">
            <v>506</v>
          </cell>
          <cell r="F1421">
            <v>621</v>
          </cell>
          <cell r="G1421">
            <v>610</v>
          </cell>
          <cell r="H1421">
            <v>620</v>
          </cell>
          <cell r="I1421">
            <v>652</v>
          </cell>
          <cell r="J1421">
            <v>702</v>
          </cell>
          <cell r="K1421">
            <v>630</v>
          </cell>
          <cell r="L1421">
            <v>582</v>
          </cell>
          <cell r="M1421">
            <v>642</v>
          </cell>
          <cell r="N1421">
            <v>755</v>
          </cell>
          <cell r="O1421">
            <v>776</v>
          </cell>
          <cell r="P1421">
            <v>803</v>
          </cell>
        </row>
        <row r="1422">
          <cell r="E1422">
            <v>17.484988500000007</v>
          </cell>
          <cell r="F1422">
            <v>19.577830499999997</v>
          </cell>
          <cell r="G1422">
            <v>20.782678500000014</v>
          </cell>
          <cell r="H1422">
            <v>21.498201000000005</v>
          </cell>
          <cell r="I1422">
            <v>22.45100399999999</v>
          </cell>
          <cell r="J1422">
            <v>24.252614999999992</v>
          </cell>
          <cell r="K1422">
            <v>21.687061499999999</v>
          </cell>
          <cell r="L1422">
            <v>19.937875500000001</v>
          </cell>
          <cell r="M1422">
            <v>21.761334000000002</v>
          </cell>
          <cell r="N1422">
            <v>25.670422800000001</v>
          </cell>
          <cell r="O1422">
            <v>26.556187499999997</v>
          </cell>
          <cell r="P1422">
            <v>27.401197500000006</v>
          </cell>
        </row>
        <row r="1424">
          <cell r="E1424">
            <v>728</v>
          </cell>
          <cell r="F1424">
            <v>892</v>
          </cell>
          <cell r="G1424">
            <v>860</v>
          </cell>
          <cell r="H1424">
            <v>616</v>
          </cell>
          <cell r="I1424">
            <v>783</v>
          </cell>
          <cell r="J1424">
            <v>820</v>
          </cell>
          <cell r="K1424">
            <v>780</v>
          </cell>
          <cell r="L1424">
            <v>793</v>
          </cell>
          <cell r="M1424">
            <v>746</v>
          </cell>
          <cell r="N1424">
            <v>763</v>
          </cell>
          <cell r="O1424">
            <v>765</v>
          </cell>
          <cell r="P1424">
            <v>833</v>
          </cell>
        </row>
        <row r="1425">
          <cell r="E1425">
            <v>24.462700000000002</v>
          </cell>
          <cell r="F1425">
            <v>30.351300000000002</v>
          </cell>
          <cell r="G1425">
            <v>29.67</v>
          </cell>
          <cell r="H1425">
            <v>21.558</v>
          </cell>
          <cell r="I1425">
            <v>27.405000000000001</v>
          </cell>
          <cell r="J1425">
            <v>28.315000000000005</v>
          </cell>
          <cell r="K1425">
            <v>27.300000000000004</v>
          </cell>
          <cell r="L1425">
            <v>27.618999999999996</v>
          </cell>
          <cell r="M1425">
            <v>25.768099999999997</v>
          </cell>
          <cell r="N1425">
            <v>26.212800000000001</v>
          </cell>
          <cell r="O1425">
            <v>26.0749</v>
          </cell>
          <cell r="P1425">
            <v>29.004500000000004</v>
          </cell>
        </row>
        <row r="1427">
          <cell r="E1427">
            <v>110</v>
          </cell>
          <cell r="F1427">
            <v>90</v>
          </cell>
          <cell r="G1427">
            <v>90</v>
          </cell>
          <cell r="H1427">
            <v>111</v>
          </cell>
          <cell r="I1427">
            <v>100</v>
          </cell>
          <cell r="J1427">
            <v>131</v>
          </cell>
          <cell r="K1427">
            <v>136</v>
          </cell>
          <cell r="L1427">
            <v>126</v>
          </cell>
          <cell r="M1427">
            <v>120</v>
          </cell>
          <cell r="N1427">
            <v>92</v>
          </cell>
          <cell r="O1427">
            <v>106</v>
          </cell>
          <cell r="P1427">
            <v>141</v>
          </cell>
        </row>
        <row r="1428">
          <cell r="E1428">
            <v>4.4910000000000005</v>
          </cell>
          <cell r="F1428">
            <v>3.7561499999999999</v>
          </cell>
          <cell r="G1428">
            <v>3.8596500000000002</v>
          </cell>
          <cell r="H1428">
            <v>4.7519999999999998</v>
          </cell>
          <cell r="I1428">
            <v>4.347900000000001</v>
          </cell>
          <cell r="J1428">
            <v>5.8072500000000007</v>
          </cell>
          <cell r="K1428">
            <v>5.9553000000000011</v>
          </cell>
          <cell r="L1428">
            <v>5.6137499999999996</v>
          </cell>
          <cell r="M1428">
            <v>5.2829999999999995</v>
          </cell>
          <cell r="N1428">
            <v>4.0571999999999999</v>
          </cell>
          <cell r="O1428">
            <v>4.7317499999999999</v>
          </cell>
          <cell r="P1428">
            <v>6.2946000000000009</v>
          </cell>
        </row>
        <row r="1430">
          <cell r="E1430">
            <v>307</v>
          </cell>
          <cell r="F1430">
            <v>312</v>
          </cell>
          <cell r="G1430">
            <v>330</v>
          </cell>
          <cell r="H1430">
            <v>338</v>
          </cell>
          <cell r="I1430">
            <v>368</v>
          </cell>
          <cell r="J1430">
            <v>419</v>
          </cell>
          <cell r="K1430">
            <v>418</v>
          </cell>
          <cell r="L1430">
            <v>417</v>
          </cell>
          <cell r="M1430">
            <v>425</v>
          </cell>
          <cell r="N1430">
            <v>426</v>
          </cell>
          <cell r="O1430">
            <v>419</v>
          </cell>
          <cell r="P1430">
            <v>471</v>
          </cell>
        </row>
        <row r="1431">
          <cell r="E1431">
            <v>9.1349999999999998</v>
          </cell>
          <cell r="F1431">
            <v>9.2385000000000002</v>
          </cell>
          <cell r="G1431">
            <v>9.8685000000000009</v>
          </cell>
          <cell r="H1431">
            <v>9.9225000000000012</v>
          </cell>
          <cell r="I1431">
            <v>10.804500000000001</v>
          </cell>
          <cell r="J1431">
            <v>12.307499999999999</v>
          </cell>
          <cell r="K1431">
            <v>12.29895</v>
          </cell>
          <cell r="L1431">
            <v>12.284999999999998</v>
          </cell>
          <cell r="M1431">
            <v>12.388949999999999</v>
          </cell>
          <cell r="N1431">
            <v>12.455999999999998</v>
          </cell>
          <cell r="O1431">
            <v>12.307500000000001</v>
          </cell>
          <cell r="P1431">
            <v>13.8825</v>
          </cell>
        </row>
        <row r="1433">
          <cell r="E1433">
            <v>367</v>
          </cell>
          <cell r="F1433">
            <v>598</v>
          </cell>
          <cell r="G1433">
            <v>759</v>
          </cell>
          <cell r="H1433">
            <v>702</v>
          </cell>
          <cell r="I1433">
            <v>586</v>
          </cell>
          <cell r="J1433">
            <v>729</v>
          </cell>
          <cell r="K1433">
            <v>797</v>
          </cell>
          <cell r="L1433">
            <v>762</v>
          </cell>
          <cell r="M1433">
            <v>505</v>
          </cell>
          <cell r="N1433">
            <v>411</v>
          </cell>
          <cell r="O1433">
            <v>811</v>
          </cell>
          <cell r="P1433">
            <v>1424</v>
          </cell>
        </row>
        <row r="1434">
          <cell r="E1434">
            <v>10.016550000000001</v>
          </cell>
          <cell r="F1434">
            <v>17.3124</v>
          </cell>
          <cell r="G1434">
            <v>22.723649999999999</v>
          </cell>
          <cell r="H1434">
            <v>21.406500000000001</v>
          </cell>
          <cell r="I1434">
            <v>17.833950000000002</v>
          </cell>
          <cell r="J1434">
            <v>21.83625</v>
          </cell>
          <cell r="K1434">
            <v>24.1173</v>
          </cell>
          <cell r="L1434">
            <v>22.375800000000002</v>
          </cell>
          <cell r="M1434">
            <v>15.479100000000003</v>
          </cell>
          <cell r="N1434">
            <v>12.7098</v>
          </cell>
          <cell r="O1434">
            <v>24.282900000000001</v>
          </cell>
          <cell r="P1434">
            <v>42.137549999999997</v>
          </cell>
        </row>
        <row r="1436">
          <cell r="E1436">
            <v>835</v>
          </cell>
          <cell r="F1436">
            <v>810</v>
          </cell>
          <cell r="G1436">
            <v>833</v>
          </cell>
          <cell r="H1436">
            <v>851</v>
          </cell>
          <cell r="I1436">
            <v>853</v>
          </cell>
          <cell r="J1436">
            <v>870</v>
          </cell>
          <cell r="K1436">
            <v>888</v>
          </cell>
          <cell r="L1436">
            <v>861</v>
          </cell>
          <cell r="M1436">
            <v>833</v>
          </cell>
          <cell r="N1436">
            <v>770</v>
          </cell>
          <cell r="O1436">
            <v>749</v>
          </cell>
          <cell r="P1436">
            <v>770</v>
          </cell>
        </row>
        <row r="1437">
          <cell r="E1437">
            <v>25.46</v>
          </cell>
          <cell r="F1437">
            <v>24.43</v>
          </cell>
          <cell r="G1437">
            <v>24.62</v>
          </cell>
          <cell r="H1437">
            <v>24.856999999999999</v>
          </cell>
          <cell r="I1437">
            <v>24.46</v>
          </cell>
          <cell r="J1437">
            <v>24.588999999999999</v>
          </cell>
          <cell r="K1437">
            <v>24.853999999999999</v>
          </cell>
          <cell r="L1437">
            <v>23.515000000000001</v>
          </cell>
          <cell r="M1437">
            <v>22.125</v>
          </cell>
          <cell r="N1437">
            <v>22.443999999999999</v>
          </cell>
          <cell r="O1437">
            <v>21.020499999999998</v>
          </cell>
          <cell r="P1437">
            <v>21.271999999999998</v>
          </cell>
        </row>
        <row r="1439">
          <cell r="E1439">
            <v>395</v>
          </cell>
          <cell r="F1439">
            <v>390</v>
          </cell>
          <cell r="G1439">
            <v>381</v>
          </cell>
          <cell r="H1439">
            <v>390</v>
          </cell>
          <cell r="I1439">
            <v>398</v>
          </cell>
          <cell r="J1439">
            <v>410</v>
          </cell>
          <cell r="K1439">
            <v>416</v>
          </cell>
          <cell r="L1439">
            <v>401</v>
          </cell>
          <cell r="M1439">
            <v>395</v>
          </cell>
          <cell r="N1439">
            <v>360</v>
          </cell>
          <cell r="O1439">
            <v>399</v>
          </cell>
          <cell r="P1439">
            <v>410</v>
          </cell>
        </row>
        <row r="1440">
          <cell r="E1440">
            <v>11.68</v>
          </cell>
          <cell r="F1440">
            <v>11.95</v>
          </cell>
          <cell r="G1440">
            <v>12.24</v>
          </cell>
          <cell r="H1440">
            <v>12.287000000000001</v>
          </cell>
          <cell r="I1440">
            <v>12.401999999999999</v>
          </cell>
          <cell r="J1440">
            <v>12.500999999999999</v>
          </cell>
          <cell r="K1440">
            <v>12.62</v>
          </cell>
          <cell r="L1440">
            <v>11.705</v>
          </cell>
          <cell r="M1440">
            <v>10.58</v>
          </cell>
          <cell r="N1440">
            <v>11.023999999999999</v>
          </cell>
          <cell r="O1440">
            <v>12.456</v>
          </cell>
          <cell r="P1440">
            <v>12.624000000000001</v>
          </cell>
        </row>
        <row r="1442">
          <cell r="E1442">
            <v>440</v>
          </cell>
          <cell r="F1442">
            <v>420</v>
          </cell>
          <cell r="G1442">
            <v>452</v>
          </cell>
          <cell r="H1442">
            <v>461</v>
          </cell>
          <cell r="I1442">
            <v>455</v>
          </cell>
          <cell r="J1442">
            <v>460</v>
          </cell>
          <cell r="K1442">
            <v>472</v>
          </cell>
          <cell r="L1442">
            <v>460</v>
          </cell>
          <cell r="M1442">
            <v>438</v>
          </cell>
          <cell r="N1442">
            <v>410</v>
          </cell>
          <cell r="O1442">
            <v>350</v>
          </cell>
          <cell r="P1442">
            <v>360</v>
          </cell>
        </row>
        <row r="1443">
          <cell r="E1443">
            <v>13.78</v>
          </cell>
          <cell r="F1443">
            <v>12.48</v>
          </cell>
          <cell r="G1443">
            <v>12.38</v>
          </cell>
          <cell r="H1443">
            <v>12.57</v>
          </cell>
          <cell r="I1443">
            <v>12.058</v>
          </cell>
          <cell r="J1443">
            <v>12.087999999999999</v>
          </cell>
          <cell r="K1443">
            <v>12.234</v>
          </cell>
          <cell r="L1443">
            <v>11.81</v>
          </cell>
          <cell r="M1443">
            <v>11.545</v>
          </cell>
          <cell r="N1443">
            <v>11.42</v>
          </cell>
          <cell r="O1443">
            <v>8.5645000000000007</v>
          </cell>
          <cell r="P1443">
            <v>8.6479999999999997</v>
          </cell>
        </row>
        <row r="1445">
          <cell r="E1445">
            <v>1396</v>
          </cell>
          <cell r="F1445">
            <v>1509</v>
          </cell>
          <cell r="G1445">
            <v>1605</v>
          </cell>
          <cell r="H1445">
            <v>1735</v>
          </cell>
          <cell r="I1445">
            <v>1851</v>
          </cell>
          <cell r="J1445">
            <v>1988</v>
          </cell>
          <cell r="K1445">
            <v>1988</v>
          </cell>
          <cell r="L1445">
            <v>1850</v>
          </cell>
          <cell r="M1445">
            <v>1688</v>
          </cell>
          <cell r="N1445">
            <v>1514</v>
          </cell>
          <cell r="O1445">
            <v>1358</v>
          </cell>
          <cell r="P1445">
            <v>1228</v>
          </cell>
        </row>
        <row r="1446">
          <cell r="E1446">
            <v>40.297949999999986</v>
          </cell>
          <cell r="F1446">
            <v>43.472249999999981</v>
          </cell>
          <cell r="G1446">
            <v>46.22399999999999</v>
          </cell>
          <cell r="H1446">
            <v>50.727599999999988</v>
          </cell>
          <cell r="I1446">
            <v>54.141750000000002</v>
          </cell>
          <cell r="J1446">
            <v>58.141349999999989</v>
          </cell>
          <cell r="K1446">
            <v>58.141349999999989</v>
          </cell>
          <cell r="L1446">
            <v>54.112500000000004</v>
          </cell>
          <cell r="M1446">
            <v>49.069349999999993</v>
          </cell>
          <cell r="N1446">
            <v>43.603199999999973</v>
          </cell>
          <cell r="O1446">
            <v>39.495599999999975</v>
          </cell>
          <cell r="P1446">
            <v>35.366399999999977</v>
          </cell>
        </row>
        <row r="1448">
          <cell r="E1448">
            <v>2592</v>
          </cell>
          <cell r="F1448">
            <v>3215</v>
          </cell>
          <cell r="G1448">
            <v>3400</v>
          </cell>
          <cell r="H1448">
            <v>4620</v>
          </cell>
          <cell r="I1448">
            <v>4300</v>
          </cell>
          <cell r="J1448">
            <v>4275</v>
          </cell>
          <cell r="K1448">
            <v>3655</v>
          </cell>
          <cell r="L1448">
            <v>3295</v>
          </cell>
          <cell r="M1448">
            <v>3105</v>
          </cell>
          <cell r="N1448">
            <v>2535</v>
          </cell>
          <cell r="O1448">
            <v>2300</v>
          </cell>
          <cell r="P1448">
            <v>2635</v>
          </cell>
        </row>
        <row r="1449">
          <cell r="E1449">
            <v>98.816000000000003</v>
          </cell>
          <cell r="F1449">
            <v>124.15249999999999</v>
          </cell>
          <cell r="G1449">
            <v>131.35400000000001</v>
          </cell>
          <cell r="H1449">
            <v>182.69000000000003</v>
          </cell>
          <cell r="I1449">
            <v>170.07</v>
          </cell>
          <cell r="J1449">
            <v>168.23499999999999</v>
          </cell>
          <cell r="K1449">
            <v>140.74499999999998</v>
          </cell>
          <cell r="L1449">
            <v>126.07000000000002</v>
          </cell>
          <cell r="M1449">
            <v>115.93499999999999</v>
          </cell>
          <cell r="N1449">
            <v>94.24</v>
          </cell>
          <cell r="O1449">
            <v>85.409999999999982</v>
          </cell>
          <cell r="P1449">
            <v>98.96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4"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</row>
        <row r="1455"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</row>
        <row r="1457"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60"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</sheetData>
      <sheetData sheetId="7">
        <row r="1376">
          <cell r="E1376">
            <v>14850</v>
          </cell>
          <cell r="F1376">
            <v>13053.4423840362</v>
          </cell>
          <cell r="G1376">
            <v>14252.277576318527</v>
          </cell>
          <cell r="H1376">
            <v>13888.425313487809</v>
          </cell>
          <cell r="I1376">
            <v>14550.389168340322</v>
          </cell>
          <cell r="J1376">
            <v>20840.98407910017</v>
          </cell>
          <cell r="K1376">
            <v>15986.707499203199</v>
          </cell>
          <cell r="L1376">
            <v>15382.913811173001</v>
          </cell>
          <cell r="M1376">
            <v>16098.105821385758</v>
          </cell>
          <cell r="N1376">
            <v>15734.845819307568</v>
          </cell>
          <cell r="O1376">
            <v>15371.61926982208</v>
          </cell>
          <cell r="P1376">
            <v>16026.445717134755</v>
          </cell>
        </row>
        <row r="1377">
          <cell r="E1377">
            <v>9.7669371280099995</v>
          </cell>
          <cell r="F1377">
            <v>7.177949146719814</v>
          </cell>
          <cell r="G1377">
            <v>7.4927714777162988</v>
          </cell>
          <cell r="H1377">
            <v>7.3014854294028364</v>
          </cell>
          <cell r="I1377">
            <v>7.7882489464514988</v>
          </cell>
          <cell r="J1377">
            <v>11.459923456663514</v>
          </cell>
          <cell r="K1377">
            <v>8.8461970517681117</v>
          </cell>
          <cell r="L1377">
            <v>8.1827270861761701</v>
          </cell>
          <cell r="M1377">
            <v>8.9903683959606617</v>
          </cell>
          <cell r="N1377">
            <v>8.7754278419299396</v>
          </cell>
          <cell r="O1377">
            <v>8.5700847142353638</v>
          </cell>
          <cell r="P1377">
            <v>8.8983372563868457</v>
          </cell>
        </row>
        <row r="1379">
          <cell r="E1379">
            <v>350390.53764455201</v>
          </cell>
          <cell r="F1379">
            <v>412055.92552500369</v>
          </cell>
          <cell r="G1379">
            <v>405713.60074059002</v>
          </cell>
          <cell r="H1379">
            <v>375070.63873911701</v>
          </cell>
          <cell r="I1379">
            <v>380668.52368464298</v>
          </cell>
          <cell r="J1379">
            <v>370317.09205558797</v>
          </cell>
          <cell r="K1379">
            <v>380835.519646973</v>
          </cell>
          <cell r="L1379">
            <v>401969.94964976702</v>
          </cell>
          <cell r="M1379">
            <v>408666.04772403202</v>
          </cell>
          <cell r="N1379">
            <v>430431.00106710102</v>
          </cell>
          <cell r="O1379">
            <v>417174.19822161447</v>
          </cell>
          <cell r="P1379">
            <v>403451.28061752499</v>
          </cell>
        </row>
        <row r="1380">
          <cell r="E1380">
            <v>441.76675733325072</v>
          </cell>
          <cell r="F1380">
            <v>427.75006740854985</v>
          </cell>
          <cell r="G1380">
            <v>378.63465459495802</v>
          </cell>
          <cell r="H1380">
            <v>353.56066285650002</v>
          </cell>
          <cell r="I1380">
            <v>358.26210558548098</v>
          </cell>
          <cell r="J1380">
            <v>354.63221069500503</v>
          </cell>
          <cell r="K1380">
            <v>367.02292824503002</v>
          </cell>
          <cell r="L1380">
            <v>382.34040810336398</v>
          </cell>
          <cell r="M1380">
            <v>385.42103485141001</v>
          </cell>
          <cell r="N1380">
            <v>417.49436351849101</v>
          </cell>
          <cell r="O1380">
            <v>462.0252041110175</v>
          </cell>
          <cell r="P1380">
            <v>410.10408721857198</v>
          </cell>
        </row>
        <row r="1382">
          <cell r="E1382">
            <v>485793.20946611598</v>
          </cell>
          <cell r="F1382">
            <v>463083.166524072</v>
          </cell>
          <cell r="G1382">
            <v>475578.63114715501</v>
          </cell>
          <cell r="H1382">
            <v>449246.56193638901</v>
          </cell>
          <cell r="I1382">
            <v>498985.566852107</v>
          </cell>
          <cell r="J1382">
            <v>520775.39765579603</v>
          </cell>
          <cell r="K1382">
            <v>443271.33343194902</v>
          </cell>
          <cell r="L1382">
            <v>507322.36574898334</v>
          </cell>
          <cell r="M1382">
            <v>507783.77380759502</v>
          </cell>
          <cell r="N1382">
            <v>498838.47834702599</v>
          </cell>
          <cell r="O1382">
            <v>516580.35940502997</v>
          </cell>
          <cell r="P1382">
            <v>614399.83555088704</v>
          </cell>
        </row>
        <row r="1383">
          <cell r="E1383">
            <v>638.10773956071796</v>
          </cell>
          <cell r="F1383">
            <v>608.70484299015004</v>
          </cell>
          <cell r="G1383">
            <v>575.72445517671099</v>
          </cell>
          <cell r="H1383">
            <v>554.69370737381303</v>
          </cell>
          <cell r="I1383">
            <v>610.14989738756299</v>
          </cell>
          <cell r="J1383">
            <v>646.10235499677697</v>
          </cell>
          <cell r="K1383">
            <v>587.83293911659598</v>
          </cell>
          <cell r="L1383">
            <v>673.1300209659089</v>
          </cell>
          <cell r="M1383">
            <v>678.71877862357303</v>
          </cell>
          <cell r="N1383">
            <v>655.033478762507</v>
          </cell>
          <cell r="O1383">
            <v>668.034718873305</v>
          </cell>
          <cell r="P1383">
            <v>766.41291385601301</v>
          </cell>
        </row>
        <row r="1385">
          <cell r="E1385">
            <v>4646693.4990694597</v>
          </cell>
          <cell r="F1385">
            <v>4668181.4891145099</v>
          </cell>
          <cell r="G1385">
            <v>4466520.3234140202</v>
          </cell>
          <cell r="H1385">
            <v>4174730.3566973899</v>
          </cell>
          <cell r="I1385">
            <v>4682659.0569536705</v>
          </cell>
          <cell r="J1385">
            <v>4733035.1020422801</v>
          </cell>
          <cell r="K1385">
            <v>4885792.05647601</v>
          </cell>
          <cell r="L1385">
            <v>5061226.8614201397</v>
          </cell>
          <cell r="M1385">
            <v>4742693.1185588669</v>
          </cell>
          <cell r="N1385">
            <v>5160852.3687899699</v>
          </cell>
          <cell r="O1385">
            <v>5411737.5255199596</v>
          </cell>
          <cell r="P1385">
            <v>5431362.8981063999</v>
          </cell>
        </row>
        <row r="1386">
          <cell r="E1386">
            <v>6666.9851302203097</v>
          </cell>
          <cell r="F1386">
            <v>6672.1810266860402</v>
          </cell>
          <cell r="G1386">
            <v>6291.69505440592</v>
          </cell>
          <cell r="H1386">
            <v>6087.2091209007804</v>
          </cell>
          <cell r="I1386">
            <v>6816.8496735784802</v>
          </cell>
          <cell r="J1386">
            <v>6973.1058344616404</v>
          </cell>
          <cell r="K1386">
            <v>7063.3461532841602</v>
          </cell>
          <cell r="L1386">
            <v>7447.783068769636</v>
          </cell>
          <cell r="M1386">
            <v>7080.685991570349</v>
          </cell>
          <cell r="N1386">
            <v>7568.1650119327696</v>
          </cell>
          <cell r="O1386">
            <v>7911</v>
          </cell>
          <cell r="P1386">
            <v>7858.7632603636503</v>
          </cell>
        </row>
        <row r="1388">
          <cell r="E1388">
            <v>393649.45250585373</v>
          </cell>
          <cell r="F1388">
            <v>416216.42080451892</v>
          </cell>
          <cell r="G1388">
            <v>455398.18545210996</v>
          </cell>
          <cell r="H1388">
            <v>450544.87763746106</v>
          </cell>
          <cell r="I1388">
            <v>458592.94628128712</v>
          </cell>
          <cell r="J1388">
            <v>469239.97180675546</v>
          </cell>
          <cell r="K1388">
            <v>437665.48774037004</v>
          </cell>
          <cell r="L1388">
            <v>428132.37372376287</v>
          </cell>
          <cell r="M1388">
            <v>440381.09585120948</v>
          </cell>
          <cell r="N1388">
            <v>398137.28942782246</v>
          </cell>
          <cell r="O1388">
            <v>412032.85552438651</v>
          </cell>
          <cell r="P1388">
            <v>388123.89887839905</v>
          </cell>
        </row>
        <row r="1389">
          <cell r="E1389">
            <v>184.71370896365508</v>
          </cell>
          <cell r="F1389">
            <v>189.70703903202542</v>
          </cell>
          <cell r="G1389">
            <v>209.03361029349497</v>
          </cell>
          <cell r="H1389">
            <v>208.38793614510766</v>
          </cell>
          <cell r="I1389">
            <v>213.73261795297017</v>
          </cell>
          <cell r="J1389">
            <v>217.84563256602993</v>
          </cell>
          <cell r="K1389">
            <v>196.38186856837331</v>
          </cell>
          <cell r="L1389">
            <v>191.58324659219454</v>
          </cell>
          <cell r="M1389">
            <v>201.65092440521184</v>
          </cell>
          <cell r="N1389">
            <v>191.38746988957459</v>
          </cell>
          <cell r="O1389">
            <v>195.00485368827924</v>
          </cell>
          <cell r="P1389">
            <v>192.53257251014492</v>
          </cell>
        </row>
        <row r="1391">
          <cell r="E1391">
            <v>192860.43809975401</v>
          </cell>
          <cell r="F1391">
            <v>202434.22379726701</v>
          </cell>
          <cell r="G1391">
            <v>231678.48908854928</v>
          </cell>
          <cell r="H1391">
            <v>225479.21514998644</v>
          </cell>
          <cell r="I1391">
            <v>224284.0147739767</v>
          </cell>
          <cell r="J1391">
            <v>226813.11873233231</v>
          </cell>
          <cell r="K1391">
            <v>192604.50519608101</v>
          </cell>
          <cell r="L1391">
            <v>192828.422971917</v>
          </cell>
          <cell r="M1391">
            <v>225861.52657213685</v>
          </cell>
          <cell r="N1391">
            <v>194518.50821358099</v>
          </cell>
          <cell r="O1391">
            <v>212291.42564767424</v>
          </cell>
          <cell r="P1391">
            <v>193096.40041711426</v>
          </cell>
        </row>
        <row r="1392">
          <cell r="E1392">
            <v>100.844296523</v>
          </cell>
          <cell r="F1392">
            <v>106.694650661022</v>
          </cell>
          <cell r="G1392">
            <v>122.162711444696</v>
          </cell>
          <cell r="H1392">
            <v>120.99441246897899</v>
          </cell>
          <cell r="I1392">
            <v>122.750138796716</v>
          </cell>
          <cell r="J1392">
            <v>123.711149664377</v>
          </cell>
          <cell r="K1392">
            <v>101.22461589858899</v>
          </cell>
          <cell r="L1392">
            <v>100.21442097036299</v>
          </cell>
          <cell r="M1392">
            <v>118.352198482489</v>
          </cell>
          <cell r="N1392">
            <v>112.3251532915352</v>
          </cell>
          <cell r="O1392">
            <v>117.44413900862423</v>
          </cell>
          <cell r="P1392">
            <v>116.84976003945501</v>
          </cell>
        </row>
        <row r="1394">
          <cell r="E1394">
            <v>125319.859589849</v>
          </cell>
          <cell r="F1394">
            <v>140001.48320992442</v>
          </cell>
          <cell r="G1394">
            <v>149849.11567975648</v>
          </cell>
          <cell r="H1394">
            <v>150973.45247455224</v>
          </cell>
          <cell r="I1394">
            <v>160143.098482792</v>
          </cell>
          <cell r="J1394">
            <v>168253.57823243499</v>
          </cell>
          <cell r="K1394">
            <v>170919.36821494027</v>
          </cell>
          <cell r="L1394">
            <v>161095.53622000519</v>
          </cell>
          <cell r="M1394">
            <v>140311.15474723198</v>
          </cell>
          <cell r="N1394">
            <v>129400.36668240077</v>
          </cell>
          <cell r="O1394">
            <v>125505.52984488795</v>
          </cell>
          <cell r="P1394">
            <v>120635.03545487</v>
          </cell>
        </row>
        <row r="1395">
          <cell r="E1395">
            <v>51.436978152499996</v>
          </cell>
          <cell r="F1395">
            <v>54.359372156790855</v>
          </cell>
          <cell r="G1395">
            <v>58.182982493034409</v>
          </cell>
          <cell r="H1395">
            <v>58.619536741293579</v>
          </cell>
          <cell r="I1395">
            <v>62.179900449444659</v>
          </cell>
          <cell r="J1395">
            <v>65.329014137189532</v>
          </cell>
          <cell r="K1395">
            <v>66.364079383845265</v>
          </cell>
          <cell r="L1395">
            <v>62.549710227357586</v>
          </cell>
          <cell r="M1395">
            <v>54.479610528248877</v>
          </cell>
          <cell r="N1395">
            <v>50.243201203565441</v>
          </cell>
          <cell r="O1395">
            <v>48.730925188440125</v>
          </cell>
          <cell r="P1395">
            <v>46.792221162596299</v>
          </cell>
        </row>
        <row r="1397">
          <cell r="E1397">
            <v>75469.154816250695</v>
          </cell>
          <cell r="F1397">
            <v>73780.713797327495</v>
          </cell>
          <cell r="G1397">
            <v>73870.580683804161</v>
          </cell>
          <cell r="H1397">
            <v>74092.210012922398</v>
          </cell>
          <cell r="I1397">
            <v>74165.833024518477</v>
          </cell>
          <cell r="J1397">
            <v>74173.274841988168</v>
          </cell>
          <cell r="K1397">
            <v>74141.61432934874</v>
          </cell>
          <cell r="L1397">
            <v>74208.414531840666</v>
          </cell>
          <cell r="M1397">
            <v>74208.414531840666</v>
          </cell>
          <cell r="N1397">
            <v>74218.414531840695</v>
          </cell>
          <cell r="O1397">
            <v>74235.900031824334</v>
          </cell>
          <cell r="P1397">
            <v>74392.463006414851</v>
          </cell>
        </row>
        <row r="1398">
          <cell r="E1398">
            <v>32.4324342881551</v>
          </cell>
          <cell r="F1398">
            <v>28.65301621421257</v>
          </cell>
          <cell r="G1398">
            <v>28.687916355764585</v>
          </cell>
          <cell r="H1398">
            <v>28.773986934835087</v>
          </cell>
          <cell r="I1398">
            <v>28.802578706809488</v>
          </cell>
          <cell r="J1398">
            <v>28.805468764463406</v>
          </cell>
          <cell r="K1398">
            <v>28.793173285939037</v>
          </cell>
          <cell r="L1398">
            <v>28.819115394473965</v>
          </cell>
          <cell r="M1398">
            <v>28.819115394473965</v>
          </cell>
          <cell r="N1398">
            <v>28.819115394473965</v>
          </cell>
          <cell r="O1398">
            <v>28.829789491214889</v>
          </cell>
          <cell r="P1398">
            <v>28.890591308093619</v>
          </cell>
        </row>
        <row r="1400">
          <cell r="E1400">
            <v>164310.605887363</v>
          </cell>
          <cell r="F1400">
            <v>148711.49732875801</v>
          </cell>
          <cell r="G1400">
            <v>172704.216268747</v>
          </cell>
          <cell r="H1400">
            <v>151257.702680455</v>
          </cell>
          <cell r="I1400">
            <v>147010.46202742399</v>
          </cell>
          <cell r="J1400">
            <v>144696.371211052</v>
          </cell>
          <cell r="K1400">
            <v>147644.332492015</v>
          </cell>
          <cell r="L1400">
            <v>108902.896721115</v>
          </cell>
          <cell r="M1400">
            <v>116361.08671648811</v>
          </cell>
          <cell r="N1400">
            <v>115982.42496379078</v>
          </cell>
          <cell r="O1400">
            <v>116268.49748394862</v>
          </cell>
          <cell r="P1400">
            <v>119186.469104138</v>
          </cell>
        </row>
        <row r="1401">
          <cell r="E1401">
            <v>166.94659691939</v>
          </cell>
          <cell r="F1401">
            <v>148.579902916767</v>
          </cell>
          <cell r="G1401">
            <v>168.64268828736201</v>
          </cell>
          <cell r="H1401">
            <v>149.212305709731</v>
          </cell>
          <cell r="I1401">
            <v>145.81923892149601</v>
          </cell>
          <cell r="J1401">
            <v>138.62950709153901</v>
          </cell>
          <cell r="K1401">
            <v>138.42839277432199</v>
          </cell>
          <cell r="L1401">
            <v>101.795422186324</v>
          </cell>
          <cell r="M1401">
            <v>79.567773540004936</v>
          </cell>
          <cell r="N1401">
            <v>78.186094658493488</v>
          </cell>
          <cell r="O1401">
            <v>76.800208498586954</v>
          </cell>
          <cell r="P1401">
            <v>65.387079888183905</v>
          </cell>
        </row>
        <row r="1403">
          <cell r="E1403">
            <v>205290.62863576427</v>
          </cell>
          <cell r="F1403">
            <v>206739.61523962652</v>
          </cell>
          <cell r="G1403">
            <v>209554.40353692992</v>
          </cell>
          <cell r="H1403">
            <v>209671.57705855498</v>
          </cell>
          <cell r="I1403">
            <v>213911.32890254332</v>
          </cell>
          <cell r="J1403">
            <v>211961.51802897497</v>
          </cell>
          <cell r="K1403">
            <v>200082.77364968692</v>
          </cell>
          <cell r="L1403">
            <v>200422.07918870778</v>
          </cell>
          <cell r="M1403">
            <v>201439.01702170499</v>
          </cell>
          <cell r="N1403">
            <v>201198.350259467</v>
          </cell>
          <cell r="O1403">
            <v>199565.18901626414</v>
          </cell>
          <cell r="P1403">
            <v>212179.04550283501</v>
          </cell>
        </row>
        <row r="1404">
          <cell r="E1404">
            <v>111.87684648901281</v>
          </cell>
          <cell r="F1404">
            <v>112.32582655017451</v>
          </cell>
          <cell r="G1404">
            <v>102.30547060006199</v>
          </cell>
          <cell r="H1404">
            <v>100.851713629485</v>
          </cell>
          <cell r="I1404">
            <v>111.20787930447359</v>
          </cell>
          <cell r="J1404">
            <v>113.6841576211408</v>
          </cell>
          <cell r="K1404">
            <v>102.76893177041704</v>
          </cell>
          <cell r="L1404">
            <v>102.48837889590166</v>
          </cell>
          <cell r="M1404">
            <v>109.864010838459</v>
          </cell>
          <cell r="N1404">
            <v>110.753014830095</v>
          </cell>
          <cell r="O1404">
            <v>118.722737448461</v>
          </cell>
          <cell r="P1404">
            <v>126.894682815957</v>
          </cell>
        </row>
        <row r="1406">
          <cell r="E1406">
            <v>7663554.1529653883</v>
          </cell>
          <cell r="F1406">
            <v>7660120.6233323403</v>
          </cell>
          <cell r="G1406">
            <v>7506166.8975362601</v>
          </cell>
          <cell r="H1406">
            <v>7502206.6181131024</v>
          </cell>
          <cell r="I1406">
            <v>7391763.8103102185</v>
          </cell>
          <cell r="J1406">
            <v>7100542.1455342816</v>
          </cell>
          <cell r="K1406">
            <v>7286628.2043265523</v>
          </cell>
          <cell r="L1406">
            <v>7140103.6068110596</v>
          </cell>
          <cell r="M1406">
            <v>7096017.3479552902</v>
          </cell>
          <cell r="N1406">
            <v>7372510.9594255099</v>
          </cell>
          <cell r="O1406">
            <v>7460800.5145007102</v>
          </cell>
          <cell r="P1406">
            <v>7416193.4909579102</v>
          </cell>
        </row>
        <row r="1407">
          <cell r="E1407">
            <v>11113.163509522312</v>
          </cell>
          <cell r="F1407">
            <v>11046.204579032999</v>
          </cell>
          <cell r="G1407">
            <v>10941.480182311399</v>
          </cell>
          <cell r="H1407">
            <v>11099.618974012004</v>
          </cell>
          <cell r="I1407">
            <v>10939.9612734322</v>
          </cell>
          <cell r="J1407">
            <v>10619.567347684158</v>
          </cell>
          <cell r="K1407">
            <v>10594.108010759255</v>
          </cell>
          <cell r="L1407">
            <v>10590.7033847395</v>
          </cell>
          <cell r="M1407">
            <v>10633.778387070601</v>
          </cell>
          <cell r="N1407">
            <v>11052.084688802501</v>
          </cell>
          <cell r="O1407">
            <v>11216.326352607601</v>
          </cell>
          <cell r="P1407">
            <v>11446.0127326034</v>
          </cell>
        </row>
        <row r="1409">
          <cell r="E1409">
            <v>10785119.812862601</v>
          </cell>
          <cell r="F1409">
            <v>11045237.241371041</v>
          </cell>
          <cell r="G1409">
            <v>10511432.027528301</v>
          </cell>
          <cell r="H1409">
            <v>11299587.9272826</v>
          </cell>
          <cell r="I1409">
            <v>11271983.918746723</v>
          </cell>
          <cell r="J1409">
            <v>11256792.429573551</v>
          </cell>
          <cell r="K1409">
            <v>11135222.551190848</v>
          </cell>
          <cell r="L1409">
            <v>10721179.619047601</v>
          </cell>
          <cell r="M1409">
            <v>10904207.5031194</v>
          </cell>
          <cell r="N1409">
            <v>10836304.2832438</v>
          </cell>
          <cell r="O1409">
            <v>10665464.0936739</v>
          </cell>
          <cell r="P1409">
            <v>10854348.0111068</v>
          </cell>
        </row>
        <row r="1410">
          <cell r="E1410">
            <v>16041.8119838938</v>
          </cell>
          <cell r="F1410">
            <v>16319.669985014094</v>
          </cell>
          <cell r="G1410">
            <v>16706.501220176324</v>
          </cell>
          <cell r="H1410">
            <v>16766.422485234398</v>
          </cell>
          <cell r="I1410">
            <v>16774.744211834637</v>
          </cell>
          <cell r="J1410">
            <v>16628.564902079601</v>
          </cell>
          <cell r="K1410">
            <v>16648.393476750254</v>
          </cell>
          <cell r="L1410">
            <v>15988.679627019001</v>
          </cell>
          <cell r="M1410">
            <v>16472.805026423201</v>
          </cell>
          <cell r="N1410">
            <v>16353.9637317584</v>
          </cell>
          <cell r="O1410">
            <v>16446.113144519401</v>
          </cell>
          <cell r="P1410">
            <v>16259.5024340817</v>
          </cell>
        </row>
        <row r="1412">
          <cell r="E1412">
            <v>200380.04325518999</v>
          </cell>
          <cell r="F1412">
            <v>200525.29984100501</v>
          </cell>
          <cell r="G1412">
            <v>201832.03810916399</v>
          </cell>
          <cell r="H1412">
            <v>189296.884478402</v>
          </cell>
          <cell r="I1412">
            <v>194049.04767579399</v>
          </cell>
          <cell r="J1412">
            <v>195376.971491631</v>
          </cell>
          <cell r="K1412">
            <v>193333.10726893399</v>
          </cell>
          <cell r="L1412">
            <v>214648.92900658201</v>
          </cell>
          <cell r="M1412">
            <v>213668.86998257996</v>
          </cell>
          <cell r="N1412">
            <v>212836.51354743561</v>
          </cell>
          <cell r="O1412">
            <v>201115.80966274801</v>
          </cell>
          <cell r="P1412">
            <v>215048.23566435109</v>
          </cell>
        </row>
        <row r="1413">
          <cell r="E1413">
            <v>104.22256201296</v>
          </cell>
          <cell r="F1413">
            <v>105.359379476954</v>
          </cell>
          <cell r="G1413">
            <v>106.601331354149</v>
          </cell>
          <cell r="H1413">
            <v>100.9468630747</v>
          </cell>
          <cell r="I1413">
            <v>102.31126508681901</v>
          </cell>
          <cell r="J1413">
            <v>105.904002694638</v>
          </cell>
          <cell r="K1413">
            <v>104.277304535027</v>
          </cell>
          <cell r="L1413">
            <v>114.67712484850099</v>
          </cell>
          <cell r="M1413">
            <v>136.34425832927752</v>
          </cell>
          <cell r="N1413">
            <v>134.55265205810298</v>
          </cell>
          <cell r="O1413">
            <v>123.278555072722</v>
          </cell>
          <cell r="P1413">
            <v>137.297509218199</v>
          </cell>
        </row>
        <row r="1415">
          <cell r="E1415">
            <v>33020</v>
          </cell>
          <cell r="F1415">
            <v>31791.401391682335</v>
          </cell>
          <cell r="G1415">
            <v>34266.545363949532</v>
          </cell>
          <cell r="H1415">
            <v>33346.489263879484</v>
          </cell>
          <cell r="I1415">
            <v>37051.835974327332</v>
          </cell>
          <cell r="J1415">
            <v>39799.854185469572</v>
          </cell>
          <cell r="K1415">
            <v>42278.166733553619</v>
          </cell>
          <cell r="L1415">
            <v>43124.903616833974</v>
          </cell>
          <cell r="M1415">
            <v>43430.28494179601</v>
          </cell>
          <cell r="N1415">
            <v>40807.157290555093</v>
          </cell>
          <cell r="O1415">
            <v>39235.07021270509</v>
          </cell>
          <cell r="P1415">
            <v>47556.603424447276</v>
          </cell>
        </row>
        <row r="1416">
          <cell r="E1416">
            <v>13.610093390235701</v>
          </cell>
          <cell r="F1416">
            <v>12.562315720940711</v>
          </cell>
          <cell r="G1416">
            <v>13.516551428572907</v>
          </cell>
          <cell r="H1416">
            <v>13.153227117601688</v>
          </cell>
          <cell r="I1416">
            <v>14.578031308919636</v>
          </cell>
          <cell r="J1416">
            <v>15.637826906251709</v>
          </cell>
          <cell r="K1416">
            <v>16.591437458399135</v>
          </cell>
          <cell r="L1416">
            <v>16.912324614231949</v>
          </cell>
          <cell r="M1416">
            <v>16.859658281164428</v>
          </cell>
          <cell r="N1416">
            <v>15.841358818311154</v>
          </cell>
          <cell r="O1416">
            <v>15.231073830397621</v>
          </cell>
          <cell r="P1416">
            <v>18.461497174691988</v>
          </cell>
        </row>
        <row r="1418">
          <cell r="E1418">
            <v>175500.98626599999</v>
          </cell>
          <cell r="F1418">
            <v>156155.891634042</v>
          </cell>
          <cell r="G1418">
            <v>182111.91800772201</v>
          </cell>
          <cell r="H1418">
            <v>171303.1798593679</v>
          </cell>
          <cell r="I1418">
            <v>177250.85801111683</v>
          </cell>
          <cell r="J1418">
            <v>179847.72399356426</v>
          </cell>
          <cell r="K1418">
            <v>174246.20948790002</v>
          </cell>
          <cell r="L1418">
            <v>171680.50909400874</v>
          </cell>
          <cell r="M1418">
            <v>166803.28647054685</v>
          </cell>
          <cell r="N1418">
            <v>161252.64875357959</v>
          </cell>
          <cell r="O1418">
            <v>163066.50791220256</v>
          </cell>
          <cell r="P1418">
            <v>162019.94386086881</v>
          </cell>
        </row>
        <row r="1419">
          <cell r="E1419">
            <v>100.43566130000001</v>
          </cell>
          <cell r="F1419">
            <v>86.669127948189256</v>
          </cell>
          <cell r="G1419">
            <v>103.703764960475</v>
          </cell>
          <cell r="H1419">
            <v>91.290327154067995</v>
          </cell>
          <cell r="I1419">
            <v>95.041265772973105</v>
          </cell>
          <cell r="J1419">
            <v>96.937326480704158</v>
          </cell>
          <cell r="K1419">
            <v>96.320705925179624</v>
          </cell>
          <cell r="L1419">
            <v>93.486106687383995</v>
          </cell>
          <cell r="M1419">
            <v>87.813318468934938</v>
          </cell>
          <cell r="N1419">
            <v>84.039283391558556</v>
          </cell>
          <cell r="O1419">
            <v>86.979367053352703</v>
          </cell>
          <cell r="P1419">
            <v>89.043203156570101</v>
          </cell>
        </row>
        <row r="1421">
          <cell r="E1421">
            <v>140306.133218167</v>
          </cell>
          <cell r="F1421">
            <v>148455.04458355968</v>
          </cell>
          <cell r="G1421">
            <v>144496.08342079187</v>
          </cell>
          <cell r="H1421">
            <v>144653.9409523831</v>
          </cell>
          <cell r="I1421">
            <v>144989.24307843813</v>
          </cell>
          <cell r="J1421">
            <v>145643.99519748596</v>
          </cell>
          <cell r="K1421">
            <v>146196.44322030016</v>
          </cell>
          <cell r="L1421">
            <v>142649.48041540277</v>
          </cell>
          <cell r="M1421">
            <v>142044.82865619194</v>
          </cell>
          <cell r="N1421">
            <v>142859.7926720666</v>
          </cell>
          <cell r="O1421">
            <v>136575.55256433453</v>
          </cell>
          <cell r="P1421">
            <v>134941.05360618568</v>
          </cell>
        </row>
        <row r="1422">
          <cell r="E1422">
            <v>58.649537191999997</v>
          </cell>
          <cell r="F1422">
            <v>57.64169658810183</v>
          </cell>
          <cell r="G1422">
            <v>56.104522564891752</v>
          </cell>
          <cell r="H1422">
            <v>56.165815032019772</v>
          </cell>
          <cell r="I1422">
            <v>56.296005174561806</v>
          </cell>
          <cell r="J1422">
            <v>56.550230439135596</v>
          </cell>
          <cell r="K1422">
            <v>56.764733364253985</v>
          </cell>
          <cell r="L1422">
            <v>55.387528875294379</v>
          </cell>
          <cell r="M1422">
            <v>55.152756433955894</v>
          </cell>
          <cell r="N1422">
            <v>55.469188311801759</v>
          </cell>
          <cell r="O1422">
            <v>53.029161685607974</v>
          </cell>
          <cell r="P1422">
            <v>52.394523143795695</v>
          </cell>
        </row>
        <row r="1424">
          <cell r="E1424">
            <v>953613.92693777999</v>
          </cell>
          <cell r="F1424">
            <v>1029757.3122339266</v>
          </cell>
          <cell r="G1424">
            <v>1065425.3889028099</v>
          </cell>
          <cell r="H1424">
            <v>1060836.2186960804</v>
          </cell>
          <cell r="I1424">
            <v>1009006.17053607</v>
          </cell>
          <cell r="J1424">
            <v>1127759.4343543313</v>
          </cell>
          <cell r="K1424">
            <v>998249.47816639999</v>
          </cell>
          <cell r="L1424">
            <v>1080557.5809328735</v>
          </cell>
          <cell r="M1424">
            <v>1059583.3695678399</v>
          </cell>
          <cell r="N1424">
            <v>1016704.99346492</v>
          </cell>
          <cell r="O1424">
            <v>1094256.4786747999</v>
          </cell>
          <cell r="P1424">
            <v>1108259.09989623</v>
          </cell>
        </row>
        <row r="1425">
          <cell r="E1425">
            <v>1342.2172462434901</v>
          </cell>
          <cell r="F1425">
            <v>1462.2417149618877</v>
          </cell>
          <cell r="G1425">
            <v>1404.7241581403264</v>
          </cell>
          <cell r="H1425">
            <v>1493.5603622650658</v>
          </cell>
          <cell r="I1425">
            <v>1427.3158132697099</v>
          </cell>
          <cell r="J1425">
            <v>1555.6063658230532</v>
          </cell>
          <cell r="K1425">
            <v>1440.63815843934</v>
          </cell>
          <cell r="L1425">
            <v>1578.6935955834042</v>
          </cell>
          <cell r="M1425">
            <v>1547.18700974325</v>
          </cell>
          <cell r="N1425">
            <v>1463.2604305960799</v>
          </cell>
          <cell r="O1425">
            <v>1574.34862839126</v>
          </cell>
          <cell r="P1425">
            <v>1600.46874481037</v>
          </cell>
        </row>
        <row r="1427">
          <cell r="E1427">
            <v>31700</v>
          </cell>
          <cell r="F1427">
            <v>27570.5757411632</v>
          </cell>
          <cell r="G1427">
            <v>34426.639033831801</v>
          </cell>
          <cell r="H1427">
            <v>31994.281863625329</v>
          </cell>
          <cell r="I1427">
            <v>31540.335277320901</v>
          </cell>
          <cell r="J1427">
            <v>28783.246894496304</v>
          </cell>
          <cell r="K1427">
            <v>28518.221967691999</v>
          </cell>
          <cell r="L1427">
            <v>29137.260225453701</v>
          </cell>
          <cell r="M1427">
            <v>32362.024968599471</v>
          </cell>
          <cell r="N1427">
            <v>47351.699395926902</v>
          </cell>
          <cell r="O1427">
            <v>38124.633107266134</v>
          </cell>
          <cell r="P1427">
            <v>36165.392589497802</v>
          </cell>
        </row>
        <row r="1428">
          <cell r="E1428">
            <v>27.055563781</v>
          </cell>
          <cell r="F1428">
            <v>27.919553870406901</v>
          </cell>
          <cell r="G1428">
            <v>33.871573173365</v>
          </cell>
          <cell r="H1428">
            <v>28.437093634897117</v>
          </cell>
          <cell r="I1428">
            <v>30.872685797539202</v>
          </cell>
          <cell r="J1428">
            <v>26.023875565013199</v>
          </cell>
          <cell r="K1428">
            <v>26.718767468731201</v>
          </cell>
          <cell r="L1428">
            <v>27.365516514766998</v>
          </cell>
          <cell r="M1428">
            <v>31.923205628695001</v>
          </cell>
          <cell r="N1428">
            <v>36.7161529569699</v>
          </cell>
          <cell r="O1428">
            <v>29.799745494370001</v>
          </cell>
          <cell r="P1428">
            <v>27.976136574671401</v>
          </cell>
        </row>
        <row r="1430">
          <cell r="E1430">
            <v>319706.92559936462</v>
          </cell>
          <cell r="F1430">
            <v>330579.23622312472</v>
          </cell>
          <cell r="G1430">
            <v>329420.40707119944</v>
          </cell>
          <cell r="H1430">
            <v>374268.42799134919</v>
          </cell>
          <cell r="I1430">
            <v>334449.325273233</v>
          </cell>
          <cell r="J1430">
            <v>351036.86130517238</v>
          </cell>
          <cell r="K1430">
            <v>340063.02126788115</v>
          </cell>
          <cell r="L1430">
            <v>323269.0566466616</v>
          </cell>
          <cell r="M1430">
            <v>321459.78679734003</v>
          </cell>
          <cell r="N1430">
            <v>334679.35215690703</v>
          </cell>
          <cell r="O1430">
            <v>314428.01794495498</v>
          </cell>
          <cell r="P1430">
            <v>325858.619211932</v>
          </cell>
        </row>
        <row r="1431">
          <cell r="E1431">
            <v>457.87507147712307</v>
          </cell>
          <cell r="F1431">
            <v>458.18317296162252</v>
          </cell>
          <cell r="G1431">
            <v>474.85477432066909</v>
          </cell>
          <cell r="H1431">
            <v>518.9928774580012</v>
          </cell>
          <cell r="I1431">
            <v>450.714889864854</v>
          </cell>
          <cell r="J1431">
            <v>509.35355964574069</v>
          </cell>
          <cell r="K1431">
            <v>487.94485033956636</v>
          </cell>
          <cell r="L1431">
            <v>469.37243421964268</v>
          </cell>
          <cell r="M1431">
            <v>462.23418954766601</v>
          </cell>
          <cell r="N1431">
            <v>474.895313347269</v>
          </cell>
          <cell r="O1431">
            <v>445.14377625537901</v>
          </cell>
          <cell r="P1431">
            <v>463.98190906132999</v>
          </cell>
        </row>
        <row r="1433">
          <cell r="E1433">
            <v>92648.565956855993</v>
          </cell>
          <cell r="F1433">
            <v>106738.54512002479</v>
          </cell>
          <cell r="G1433">
            <v>186739.79305545578</v>
          </cell>
          <cell r="H1433">
            <v>184961.26945960344</v>
          </cell>
          <cell r="I1433">
            <v>216560.94118274024</v>
          </cell>
          <cell r="J1433">
            <v>219196.21822593076</v>
          </cell>
          <cell r="K1433">
            <v>193168.50814978278</v>
          </cell>
          <cell r="L1433">
            <v>182562.03302980986</v>
          </cell>
          <cell r="M1433">
            <v>142082.31793853123</v>
          </cell>
          <cell r="N1433">
            <v>139778.720047927</v>
          </cell>
          <cell r="O1433">
            <v>143416.504770567</v>
          </cell>
          <cell r="P1433">
            <v>146839.25230816199</v>
          </cell>
        </row>
        <row r="1434">
          <cell r="E1434">
            <v>47.551302106712498</v>
          </cell>
          <cell r="F1434">
            <v>53.961009275588722</v>
          </cell>
          <cell r="G1434">
            <v>83.815127463848142</v>
          </cell>
          <cell r="H1434">
            <v>82.878881372092081</v>
          </cell>
          <cell r="I1434">
            <v>94.276978968500998</v>
          </cell>
          <cell r="J1434">
            <v>94.418211694017998</v>
          </cell>
          <cell r="K1434">
            <v>89.920461549978597</v>
          </cell>
          <cell r="L1434">
            <v>85.611074770761405</v>
          </cell>
          <cell r="M1434">
            <v>62.58319218306687</v>
          </cell>
          <cell r="N1434">
            <v>63.916802228709997</v>
          </cell>
          <cell r="O1434">
            <v>65.702028993936494</v>
          </cell>
          <cell r="P1434">
            <v>69.976227618501994</v>
          </cell>
        </row>
        <row r="1436">
          <cell r="E1436">
            <v>107820.742719</v>
          </cell>
          <cell r="F1436">
            <v>122880.62060173856</v>
          </cell>
          <cell r="G1436">
            <v>123664.31183041543</v>
          </cell>
          <cell r="H1436">
            <v>123646.1544757032</v>
          </cell>
          <cell r="I1436">
            <v>126432.77168139424</v>
          </cell>
          <cell r="J1436">
            <v>120119.26044103247</v>
          </cell>
          <cell r="K1436">
            <v>112331.9335574609</v>
          </cell>
          <cell r="L1436">
            <v>107433.31541074798</v>
          </cell>
          <cell r="M1436">
            <v>107414.97073901401</v>
          </cell>
          <cell r="N1436">
            <v>108674.03124177089</v>
          </cell>
          <cell r="O1436">
            <v>109355.60023048756</v>
          </cell>
          <cell r="P1436">
            <v>107946.06559836495</v>
          </cell>
        </row>
        <row r="1437">
          <cell r="E1437">
            <v>47.227621107391101</v>
          </cell>
          <cell r="F1437">
            <v>50.103306477565496</v>
          </cell>
          <cell r="G1437">
            <v>53.012812730644825</v>
          </cell>
          <cell r="H1437">
            <v>52.90835169779163</v>
          </cell>
          <cell r="I1437">
            <v>54.232472844768012</v>
          </cell>
          <cell r="J1437">
            <v>52.132760594754004</v>
          </cell>
          <cell r="K1437">
            <v>47.379184533994099</v>
          </cell>
          <cell r="L1437">
            <v>42.997805151871304</v>
          </cell>
          <cell r="M1437">
            <v>47.19571052568844</v>
          </cell>
          <cell r="N1437">
            <v>44.609481786334598</v>
          </cell>
          <cell r="O1437">
            <v>50.250411047694413</v>
          </cell>
          <cell r="P1437">
            <v>44.550844677295252</v>
          </cell>
        </row>
        <row r="1439">
          <cell r="E1439">
            <v>49940</v>
          </cell>
          <cell r="F1439">
            <v>63593.274882164173</v>
          </cell>
          <cell r="G1439">
            <v>64376.966110841051</v>
          </cell>
          <cell r="H1439">
            <v>64358.808756128819</v>
          </cell>
          <cell r="I1439">
            <v>67145.425961819856</v>
          </cell>
          <cell r="J1439">
            <v>62831.914721458066</v>
          </cell>
          <cell r="K1439">
            <v>57044.587837886502</v>
          </cell>
          <cell r="L1439">
            <v>53145.969691173574</v>
          </cell>
          <cell r="M1439">
            <v>52127.625019439613</v>
          </cell>
          <cell r="N1439">
            <v>52386.685522196502</v>
          </cell>
          <cell r="O1439">
            <v>50068.254510913175</v>
          </cell>
          <cell r="P1439">
            <v>48658.719878790558</v>
          </cell>
        </row>
        <row r="1440">
          <cell r="E1440">
            <v>24.361071698050001</v>
          </cell>
          <cell r="F1440">
            <v>27.446702114762857</v>
          </cell>
          <cell r="G1440">
            <v>27.67822323677921</v>
          </cell>
          <cell r="H1440">
            <v>27.573762203926016</v>
          </cell>
          <cell r="I1440">
            <v>29.816727946500318</v>
          </cell>
          <cell r="J1440">
            <v>28.2515865728144</v>
          </cell>
          <cell r="K1440">
            <v>25.098010512054501</v>
          </cell>
          <cell r="L1440">
            <v>22.460570235386001</v>
          </cell>
          <cell r="M1440">
            <v>25.911782387477743</v>
          </cell>
          <cell r="N1440">
            <v>23.382230582114701</v>
          </cell>
          <cell r="O1440">
            <v>24.037329076972156</v>
          </cell>
          <cell r="P1440">
            <v>22.106778816957927</v>
          </cell>
        </row>
        <row r="1442">
          <cell r="E1442">
            <v>57880.742719000002</v>
          </cell>
          <cell r="F1442">
            <v>59287.345719574383</v>
          </cell>
          <cell r="G1442">
            <v>59287.345719574383</v>
          </cell>
          <cell r="H1442">
            <v>59287.345719574383</v>
          </cell>
          <cell r="I1442">
            <v>59287.345719574383</v>
          </cell>
          <cell r="J1442">
            <v>57287.345719574398</v>
          </cell>
          <cell r="K1442">
            <v>55287.345719574398</v>
          </cell>
          <cell r="L1442">
            <v>54287.345719574398</v>
          </cell>
          <cell r="M1442">
            <v>55287.345719574398</v>
          </cell>
          <cell r="N1442">
            <v>56287.345719574398</v>
          </cell>
          <cell r="O1442">
            <v>59287.345719574383</v>
          </cell>
          <cell r="P1442">
            <v>59287.345719574383</v>
          </cell>
        </row>
        <row r="1443">
          <cell r="E1443">
            <v>22.866549409341101</v>
          </cell>
          <cell r="F1443">
            <v>22.656604362802643</v>
          </cell>
          <cell r="G1443">
            <v>25.334589493865614</v>
          </cell>
          <cell r="H1443">
            <v>25.334589493865614</v>
          </cell>
          <cell r="I1443">
            <v>24.415744898267693</v>
          </cell>
          <cell r="J1443">
            <v>23.8811740219396</v>
          </cell>
          <cell r="K1443">
            <v>22.281174021939599</v>
          </cell>
          <cell r="L1443">
            <v>20.5372349164853</v>
          </cell>
          <cell r="M1443">
            <v>21.283928138210701</v>
          </cell>
          <cell r="N1443">
            <v>21.2272512042199</v>
          </cell>
          <cell r="O1443">
            <v>26.213081970722254</v>
          </cell>
          <cell r="P1443">
            <v>22.444065860337325</v>
          </cell>
        </row>
        <row r="1445">
          <cell r="E1445">
            <v>236820</v>
          </cell>
          <cell r="F1445">
            <v>230664.51199319301</v>
          </cell>
          <cell r="G1445">
            <v>272045.23496301839</v>
          </cell>
          <cell r="H1445">
            <v>276284.00246933318</v>
          </cell>
          <cell r="I1445">
            <v>266601.80763961258</v>
          </cell>
          <cell r="J1445">
            <v>260898.15138593968</v>
          </cell>
          <cell r="K1445">
            <v>264677.01352427067</v>
          </cell>
          <cell r="L1445">
            <v>250828.99903131914</v>
          </cell>
          <cell r="M1445">
            <v>240506.10313068717</v>
          </cell>
          <cell r="N1445">
            <v>221056.1756837666</v>
          </cell>
          <cell r="O1445">
            <v>226604.48973228017</v>
          </cell>
          <cell r="P1445">
            <v>221654.9940106576</v>
          </cell>
        </row>
        <row r="1446">
          <cell r="E1446">
            <v>58.024422888245397</v>
          </cell>
          <cell r="F1446">
            <v>55.881094006349798</v>
          </cell>
          <cell r="G1446">
            <v>85.994583901217297</v>
          </cell>
          <cell r="H1446">
            <v>83.718115358948495</v>
          </cell>
          <cell r="I1446">
            <v>98.416739655594597</v>
          </cell>
          <cell r="J1446">
            <v>98.961688482925808</v>
          </cell>
          <cell r="K1446">
            <v>87.610451791006298</v>
          </cell>
          <cell r="L1446">
            <v>81.432827737088758</v>
          </cell>
          <cell r="M1446">
            <v>65.335037259221323</v>
          </cell>
          <cell r="N1446">
            <v>62.955585641074947</v>
          </cell>
          <cell r="O1446">
            <v>61.826460521954715</v>
          </cell>
          <cell r="P1446">
            <v>64.511321043579841</v>
          </cell>
        </row>
        <row r="1448">
          <cell r="E1448">
            <v>338509.96931025397</v>
          </cell>
          <cell r="F1448">
            <v>361010.20957505994</v>
          </cell>
          <cell r="G1448">
            <v>401145.89519650402</v>
          </cell>
          <cell r="H1448">
            <v>392591.25204595429</v>
          </cell>
          <cell r="I1448">
            <v>416850.812144458</v>
          </cell>
          <cell r="J1448">
            <v>447021.30661472358</v>
          </cell>
          <cell r="K1448">
            <v>412035.78855890891</v>
          </cell>
          <cell r="L1448">
            <v>411703.13276275457</v>
          </cell>
          <cell r="M1448">
            <v>390134.97531926684</v>
          </cell>
          <cell r="N1448">
            <v>327932.23429872136</v>
          </cell>
          <cell r="O1448">
            <v>341337.32988609502</v>
          </cell>
          <cell r="P1448">
            <v>347926.32252101757</v>
          </cell>
        </row>
        <row r="1449">
          <cell r="E1449">
            <v>139.22702328</v>
          </cell>
          <cell r="F1449">
            <v>143.98690379548606</v>
          </cell>
          <cell r="G1449">
            <v>159.40058687932409</v>
          </cell>
          <cell r="H1449">
            <v>156.31796991602141</v>
          </cell>
          <cell r="I1449">
            <v>166.09404589211553</v>
          </cell>
          <cell r="J1449">
            <v>178.16952582671163</v>
          </cell>
          <cell r="K1449">
            <v>164.08680521355586</v>
          </cell>
          <cell r="L1449">
            <v>163.92325706857096</v>
          </cell>
          <cell r="M1449">
            <v>155.43915184948477</v>
          </cell>
          <cell r="N1449">
            <v>131.15570808044347</v>
          </cell>
          <cell r="O1449">
            <v>135.15816619117564</v>
          </cell>
          <cell r="P1449">
            <v>137.53775598285145</v>
          </cell>
        </row>
        <row r="1451">
          <cell r="E1451">
            <v>897354.01282611501</v>
          </cell>
          <cell r="F1451">
            <v>878628.63444900303</v>
          </cell>
          <cell r="G1451">
            <v>935174.602206846</v>
          </cell>
          <cell r="H1451">
            <v>918403.40766977798</v>
          </cell>
          <cell r="I1451">
            <v>812342.1945653396</v>
          </cell>
          <cell r="J1451">
            <v>756222.85152158479</v>
          </cell>
          <cell r="K1451">
            <v>806151.19051039498</v>
          </cell>
          <cell r="L1451">
            <v>862350.59220652306</v>
          </cell>
          <cell r="M1451">
            <v>961602.908290972</v>
          </cell>
          <cell r="N1451">
            <v>901771.67485418404</v>
          </cell>
          <cell r="O1451">
            <v>922364.11811943306</v>
          </cell>
          <cell r="P1451">
            <v>913961.21949252696</v>
          </cell>
        </row>
        <row r="1452">
          <cell r="E1452">
            <v>1198.3611439290701</v>
          </cell>
          <cell r="F1452">
            <v>1152.78378377338</v>
          </cell>
          <cell r="G1452">
            <v>1219.4423692764601</v>
          </cell>
          <cell r="H1452">
            <v>1244.56388171914</v>
          </cell>
          <cell r="I1452">
            <v>1063.9746238958312</v>
          </cell>
          <cell r="J1452">
            <v>981.79021182757424</v>
          </cell>
          <cell r="K1452">
            <v>1064.7163131802099</v>
          </cell>
          <cell r="L1452">
            <v>1150.32563280724</v>
          </cell>
          <cell r="M1452">
            <v>1213.6039907126899</v>
          </cell>
          <cell r="N1452">
            <v>1150.60233978424</v>
          </cell>
          <cell r="O1452">
            <v>1164.6824831418201</v>
          </cell>
          <cell r="P1452">
            <v>1256.3932610551001</v>
          </cell>
        </row>
        <row r="1454">
          <cell r="E1454">
            <v>442653.3131976804</v>
          </cell>
          <cell r="F1454">
            <v>412796.93225294497</v>
          </cell>
          <cell r="G1454">
            <v>426813.5724507398</v>
          </cell>
          <cell r="H1454">
            <v>412217.00177498901</v>
          </cell>
          <cell r="I1454">
            <v>406642.09719419474</v>
          </cell>
          <cell r="J1454">
            <v>391924.842560836</v>
          </cell>
          <cell r="K1454">
            <v>371497.82494207402</v>
          </cell>
          <cell r="L1454">
            <v>393265.88054970058</v>
          </cell>
          <cell r="M1454">
            <v>384883.01328873198</v>
          </cell>
          <cell r="N1454">
            <v>391771.83793639502</v>
          </cell>
          <cell r="O1454">
            <v>375506.63497205498</v>
          </cell>
          <cell r="P1454">
            <v>386952.42447394697</v>
          </cell>
        </row>
        <row r="1455">
          <cell r="E1455">
            <v>468.25108254161779</v>
          </cell>
          <cell r="F1455">
            <v>426.88951765756002</v>
          </cell>
          <cell r="G1455">
            <v>457.69314066314973</v>
          </cell>
          <cell r="H1455">
            <v>421.71250098334099</v>
          </cell>
          <cell r="I1455">
            <v>437.45267312277201</v>
          </cell>
          <cell r="J1455">
            <v>402.44456180361499</v>
          </cell>
          <cell r="K1455">
            <v>394.82610948904301</v>
          </cell>
          <cell r="L1455">
            <v>418.29557083200137</v>
          </cell>
          <cell r="M1455">
            <v>417.84365594203302</v>
          </cell>
          <cell r="N1455">
            <v>435.83312776951601</v>
          </cell>
          <cell r="O1455">
            <v>415.92784605596501</v>
          </cell>
          <cell r="P1455">
            <v>452.78903120548301</v>
          </cell>
        </row>
        <row r="1457">
          <cell r="E1457">
            <v>277791.48326148617</v>
          </cell>
          <cell r="F1457">
            <v>274603.91426469747</v>
          </cell>
          <cell r="G1457">
            <v>246302.07012640199</v>
          </cell>
          <cell r="H1457">
            <v>259346.02788761933</v>
          </cell>
          <cell r="I1457">
            <v>245226.36773644795</v>
          </cell>
          <cell r="J1457">
            <v>260699.68423007993</v>
          </cell>
          <cell r="K1457">
            <v>252957.94919277399</v>
          </cell>
          <cell r="L1457">
            <v>280966.83857823198</v>
          </cell>
          <cell r="M1457">
            <v>271244.347393459</v>
          </cell>
          <cell r="N1457">
            <v>248612.97753081401</v>
          </cell>
          <cell r="O1457">
            <v>229951.29318104999</v>
          </cell>
          <cell r="P1457">
            <v>228397.453968471</v>
          </cell>
        </row>
        <row r="1458">
          <cell r="E1458">
            <v>314.10563045397362</v>
          </cell>
          <cell r="F1458">
            <v>331.89625616771661</v>
          </cell>
          <cell r="G1458">
            <v>302.30468019614102</v>
          </cell>
          <cell r="H1458">
            <v>319.75858307285637</v>
          </cell>
          <cell r="I1458">
            <v>299.09890402161039</v>
          </cell>
          <cell r="J1458">
            <v>297.09843586288105</v>
          </cell>
          <cell r="K1458">
            <v>306.153342681065</v>
          </cell>
          <cell r="L1458">
            <v>340.83790941944602</v>
          </cell>
          <cell r="M1458">
            <v>328.35942889661101</v>
          </cell>
          <cell r="N1458">
            <v>300.69651728809498</v>
          </cell>
          <cell r="O1458">
            <v>285.71693303361201</v>
          </cell>
          <cell r="P1458">
            <v>285.05876816493901</v>
          </cell>
        </row>
        <row r="1460">
          <cell r="E1460">
            <v>225050.35114916199</v>
          </cell>
          <cell r="F1460">
            <v>199256.14234013099</v>
          </cell>
          <cell r="G1460">
            <v>209894.1234783</v>
          </cell>
          <cell r="H1460">
            <v>212565.939142252</v>
          </cell>
          <cell r="I1460">
            <v>220908.43577460601</v>
          </cell>
          <cell r="J1460">
            <v>254858.82381963701</v>
          </cell>
          <cell r="K1460">
            <v>238226.53389783399</v>
          </cell>
          <cell r="L1460">
            <v>239703.525146178</v>
          </cell>
          <cell r="M1460">
            <v>208819.16650471801</v>
          </cell>
          <cell r="N1460">
            <v>174427.96040141</v>
          </cell>
          <cell r="O1460">
            <v>169371.20566845799</v>
          </cell>
          <cell r="P1460">
            <v>165791.48304871601</v>
          </cell>
        </row>
        <row r="1461">
          <cell r="E1461">
            <v>306.50746009</v>
          </cell>
          <cell r="F1461">
            <v>290.10747225637198</v>
          </cell>
          <cell r="G1461">
            <v>302.97237192212702</v>
          </cell>
          <cell r="H1461">
            <v>307.60743472422701</v>
          </cell>
          <cell r="I1461">
            <v>318.64992480731399</v>
          </cell>
          <cell r="J1461">
            <v>348.81264262423099</v>
          </cell>
          <cell r="K1461">
            <v>317.41029188510203</v>
          </cell>
          <cell r="L1461">
            <v>307.30914262415001</v>
          </cell>
          <cell r="M1461">
            <v>269.88774218674598</v>
          </cell>
          <cell r="N1461">
            <v>243.63582369445899</v>
          </cell>
          <cell r="O1461">
            <v>235.47157158234401</v>
          </cell>
          <cell r="P1461">
            <v>222.25955944548201</v>
          </cell>
        </row>
      </sheetData>
      <sheetData sheetId="8">
        <row r="1388">
          <cell r="E1388">
            <v>350</v>
          </cell>
          <cell r="F1388">
            <v>334</v>
          </cell>
          <cell r="G1388">
            <v>350</v>
          </cell>
          <cell r="H1388">
            <v>354</v>
          </cell>
          <cell r="I1388">
            <v>358</v>
          </cell>
          <cell r="J1388">
            <v>360</v>
          </cell>
          <cell r="K1388">
            <v>370</v>
          </cell>
          <cell r="L1388">
            <v>365</v>
          </cell>
          <cell r="M1388">
            <v>370</v>
          </cell>
          <cell r="N1388">
            <v>375</v>
          </cell>
          <cell r="O1388">
            <v>370</v>
          </cell>
          <cell r="P1388">
            <v>382</v>
          </cell>
        </row>
        <row r="1389">
          <cell r="E1389">
            <v>29.897991099999999</v>
          </cell>
          <cell r="F1389">
            <v>29.9725055</v>
          </cell>
          <cell r="G1389">
            <v>30.516852600000004</v>
          </cell>
          <cell r="H1389">
            <v>30.566403000000001</v>
          </cell>
          <cell r="I1389">
            <v>31.117651200000005</v>
          </cell>
          <cell r="J1389">
            <v>30.779192999999999</v>
          </cell>
          <cell r="K1389">
            <v>32.451000000000001</v>
          </cell>
          <cell r="L1389">
            <v>31.58</v>
          </cell>
          <cell r="M1389">
            <v>32.045000000000002</v>
          </cell>
          <cell r="N1389">
            <v>32.409999999999997</v>
          </cell>
          <cell r="O1389">
            <v>31.524000000000001</v>
          </cell>
          <cell r="P1389">
            <v>31.456</v>
          </cell>
        </row>
        <row r="1391">
          <cell r="E1391">
            <v>24055</v>
          </cell>
          <cell r="F1391">
            <v>24105</v>
          </cell>
          <cell r="G1391">
            <v>24210</v>
          </cell>
          <cell r="H1391">
            <v>24055</v>
          </cell>
          <cell r="I1391">
            <v>24055.096731403002</v>
          </cell>
          <cell r="J1391">
            <v>24055.096731403002</v>
          </cell>
          <cell r="K1391">
            <v>24055</v>
          </cell>
          <cell r="L1391">
            <v>24055.096731403002</v>
          </cell>
          <cell r="M1391">
            <v>24055.096731403002</v>
          </cell>
          <cell r="N1391">
            <v>24055</v>
          </cell>
          <cell r="O1391">
            <v>24055</v>
          </cell>
          <cell r="P1391">
            <v>24055</v>
          </cell>
        </row>
        <row r="1392">
          <cell r="E1392">
            <v>2817.3593078934532</v>
          </cell>
          <cell r="F1392">
            <v>3035.4237133065217</v>
          </cell>
          <cell r="G1392">
            <v>3490.45</v>
          </cell>
          <cell r="H1392">
            <v>4599.8458720955623</v>
          </cell>
          <cell r="I1392">
            <v>5000.5064886017853</v>
          </cell>
          <cell r="J1392">
            <v>4560.8756653035216</v>
          </cell>
          <cell r="K1392">
            <v>4155.8706512076378</v>
          </cell>
          <cell r="L1392">
            <v>3350.107050134884</v>
          </cell>
          <cell r="M1392">
            <v>2716.3820070109591</v>
          </cell>
          <cell r="N1392">
            <v>2611.3509435233223</v>
          </cell>
          <cell r="O1392">
            <v>2800.1668092319965</v>
          </cell>
          <cell r="P1392">
            <v>2983.3760000000002</v>
          </cell>
        </row>
        <row r="1394">
          <cell r="E1394">
            <v>18980</v>
          </cell>
          <cell r="F1394">
            <v>18147</v>
          </cell>
          <cell r="G1394">
            <v>17420</v>
          </cell>
          <cell r="H1394">
            <v>17310</v>
          </cell>
          <cell r="I1394">
            <v>17560</v>
          </cell>
          <cell r="J1394">
            <v>17610</v>
          </cell>
          <cell r="K1394">
            <v>17280</v>
          </cell>
          <cell r="L1394">
            <v>17410</v>
          </cell>
          <cell r="M1394">
            <v>17520</v>
          </cell>
          <cell r="N1394">
            <v>18211</v>
          </cell>
          <cell r="O1394">
            <v>18358</v>
          </cell>
          <cell r="P1394">
            <v>18240</v>
          </cell>
        </row>
        <row r="1395">
          <cell r="E1395">
            <v>4495.3289999999997</v>
          </cell>
          <cell r="F1395">
            <v>4387.1000000000004</v>
          </cell>
          <cell r="G1395">
            <v>4390.55</v>
          </cell>
          <cell r="H1395">
            <v>4320.55</v>
          </cell>
          <cell r="I1395">
            <v>4580.4470000000001</v>
          </cell>
          <cell r="J1395">
            <v>4593.4520000000002</v>
          </cell>
          <cell r="K1395">
            <v>5019.32</v>
          </cell>
          <cell r="L1395">
            <v>4981.5</v>
          </cell>
          <cell r="M1395">
            <v>5006.45</v>
          </cell>
          <cell r="N1395">
            <v>5102.45</v>
          </cell>
          <cell r="O1395">
            <v>5082.2299999999996</v>
          </cell>
          <cell r="P1395">
            <v>4705.5680000000002</v>
          </cell>
        </row>
        <row r="1397">
          <cell r="E1397">
            <v>46958</v>
          </cell>
          <cell r="F1397">
            <v>46958</v>
          </cell>
          <cell r="G1397">
            <v>46958</v>
          </cell>
          <cell r="H1397">
            <v>50376</v>
          </cell>
          <cell r="I1397">
            <v>50376</v>
          </cell>
          <cell r="J1397">
            <v>50376</v>
          </cell>
          <cell r="K1397">
            <v>50038</v>
          </cell>
          <cell r="L1397">
            <v>50038</v>
          </cell>
          <cell r="M1397">
            <v>50038</v>
          </cell>
          <cell r="N1397">
            <v>47921</v>
          </cell>
          <cell r="O1397">
            <v>47921</v>
          </cell>
          <cell r="P1397">
            <v>47921</v>
          </cell>
        </row>
        <row r="1398">
          <cell r="E1398">
            <v>11615.461510000001</v>
          </cell>
          <cell r="F1398">
            <v>11539.03</v>
          </cell>
          <cell r="G1398">
            <v>11575.693719999999</v>
          </cell>
          <cell r="H1398">
            <v>12406.094319999998</v>
          </cell>
          <cell r="I1398">
            <v>12113.803809999999</v>
          </cell>
          <cell r="J1398">
            <v>12696.084709999997</v>
          </cell>
          <cell r="K1398">
            <v>13124.374760000001</v>
          </cell>
          <cell r="L1398">
            <v>13286.124670000001</v>
          </cell>
          <cell r="M1398">
            <v>13352.268680000001</v>
          </cell>
          <cell r="N1398">
            <v>13120.122549999998</v>
          </cell>
          <cell r="O1398">
            <v>13253.69557</v>
          </cell>
          <cell r="P1398">
            <v>13088.600780000001</v>
          </cell>
        </row>
        <row r="1400">
          <cell r="E1400">
            <v>161263</v>
          </cell>
          <cell r="F1400">
            <v>176894</v>
          </cell>
          <cell r="G1400">
            <v>160964</v>
          </cell>
          <cell r="H1400">
            <v>168236</v>
          </cell>
          <cell r="I1400">
            <v>169122</v>
          </cell>
          <cell r="J1400">
            <v>167391</v>
          </cell>
          <cell r="K1400">
            <v>162828</v>
          </cell>
          <cell r="L1400">
            <v>157978</v>
          </cell>
          <cell r="M1400">
            <v>159405</v>
          </cell>
          <cell r="N1400">
            <v>161042</v>
          </cell>
          <cell r="O1400">
            <v>163597</v>
          </cell>
          <cell r="P1400">
            <v>161945</v>
          </cell>
        </row>
        <row r="1401">
          <cell r="E1401">
            <v>42105.423629799006</v>
          </cell>
          <cell r="F1401">
            <v>33187.188277980007</v>
          </cell>
          <cell r="G1401">
            <v>31313.915895509996</v>
          </cell>
          <cell r="H1401">
            <v>32824.130535809993</v>
          </cell>
          <cell r="I1401">
            <v>33000.498268200005</v>
          </cell>
          <cell r="J1401">
            <v>32773.595115150005</v>
          </cell>
          <cell r="K1401">
            <v>32268.815168699002</v>
          </cell>
          <cell r="L1401">
            <v>30206.361654430006</v>
          </cell>
          <cell r="M1401">
            <v>30413.312073629997</v>
          </cell>
          <cell r="N1401">
            <v>31096.753292546004</v>
          </cell>
          <cell r="O1401">
            <v>30888.856137149996</v>
          </cell>
          <cell r="P1401">
            <v>31056.850213721998</v>
          </cell>
        </row>
        <row r="1403">
          <cell r="E1403">
            <v>99345</v>
          </cell>
          <cell r="F1403">
            <v>99060</v>
          </cell>
          <cell r="G1403">
            <v>98167</v>
          </cell>
          <cell r="H1403">
            <v>100582</v>
          </cell>
          <cell r="I1403">
            <v>99561</v>
          </cell>
          <cell r="J1403">
            <v>99269</v>
          </cell>
          <cell r="K1403">
            <v>95948</v>
          </cell>
          <cell r="L1403">
            <v>92446</v>
          </cell>
          <cell r="M1403">
            <v>93106</v>
          </cell>
          <cell r="N1403">
            <v>95490</v>
          </cell>
          <cell r="O1403">
            <v>97021</v>
          </cell>
          <cell r="P1403">
            <v>96337</v>
          </cell>
        </row>
        <row r="1404">
          <cell r="E1404">
            <v>30174.481530450004</v>
          </cell>
          <cell r="F1404">
            <v>18592.77883644</v>
          </cell>
          <cell r="G1404">
            <v>19246.614636149996</v>
          </cell>
          <cell r="H1404">
            <v>20337.770394809995</v>
          </cell>
          <cell r="I1404">
            <v>20206.433859479999</v>
          </cell>
          <cell r="J1404">
            <v>19961.530904250005</v>
          </cell>
          <cell r="K1404">
            <v>19849.708906182001</v>
          </cell>
          <cell r="L1404">
            <v>17998.774525350003</v>
          </cell>
          <cell r="M1404">
            <v>18096.840571799999</v>
          </cell>
          <cell r="N1404">
            <v>18524.912385160002</v>
          </cell>
          <cell r="O1404">
            <v>18656.214</v>
          </cell>
          <cell r="P1404">
            <v>18695.03750721</v>
          </cell>
        </row>
        <row r="1406">
          <cell r="E1406">
            <v>57324</v>
          </cell>
          <cell r="F1406">
            <v>73199</v>
          </cell>
          <cell r="G1406">
            <v>57532</v>
          </cell>
          <cell r="H1406">
            <v>61673</v>
          </cell>
          <cell r="I1406">
            <v>62190</v>
          </cell>
          <cell r="J1406">
            <v>60912</v>
          </cell>
          <cell r="K1406">
            <v>60841</v>
          </cell>
          <cell r="L1406">
            <v>60720</v>
          </cell>
          <cell r="M1406">
            <v>60810</v>
          </cell>
          <cell r="N1406">
            <v>60840</v>
          </cell>
          <cell r="O1406">
            <v>61792</v>
          </cell>
          <cell r="P1406">
            <v>61050</v>
          </cell>
        </row>
        <row r="1407">
          <cell r="E1407">
            <v>11276.313565500002</v>
          </cell>
          <cell r="F1407">
            <v>14004.597816900005</v>
          </cell>
          <cell r="G1407">
            <v>11321.8885782</v>
          </cell>
          <cell r="H1407">
            <v>11702.598753599999</v>
          </cell>
          <cell r="I1407">
            <v>11806.798083300004</v>
          </cell>
          <cell r="J1407">
            <v>11827.696996799999</v>
          </cell>
          <cell r="K1407">
            <v>11562.41</v>
          </cell>
          <cell r="L1407">
            <v>11549.455</v>
          </cell>
          <cell r="M1407">
            <v>11570.55</v>
          </cell>
          <cell r="N1407">
            <v>11590.45</v>
          </cell>
          <cell r="O1407">
            <v>11589.24</v>
          </cell>
          <cell r="P1407">
            <v>11812.2147</v>
          </cell>
        </row>
        <row r="1409">
          <cell r="E1409">
            <v>4594</v>
          </cell>
          <cell r="F1409">
            <v>4635</v>
          </cell>
          <cell r="G1409">
            <v>5265</v>
          </cell>
          <cell r="H1409">
            <v>5981</v>
          </cell>
          <cell r="I1409">
            <v>7371</v>
          </cell>
          <cell r="J1409">
            <v>7210</v>
          </cell>
          <cell r="K1409">
            <v>6039</v>
          </cell>
          <cell r="L1409">
            <v>4812</v>
          </cell>
          <cell r="M1409">
            <v>5489</v>
          </cell>
          <cell r="N1409">
            <v>4712</v>
          </cell>
          <cell r="O1409">
            <v>4784</v>
          </cell>
          <cell r="P1409">
            <v>4558</v>
          </cell>
        </row>
        <row r="1410">
          <cell r="E1410">
            <v>654.62853384900018</v>
          </cell>
          <cell r="F1410">
            <v>589.8116246400001</v>
          </cell>
          <cell r="G1410">
            <v>745.41268116000015</v>
          </cell>
          <cell r="H1410">
            <v>783.76138739999999</v>
          </cell>
          <cell r="I1410">
            <v>987.26632542000004</v>
          </cell>
          <cell r="J1410">
            <v>984.36721410000007</v>
          </cell>
          <cell r="K1410">
            <v>856.69626251700004</v>
          </cell>
          <cell r="L1410">
            <v>658.13212908000025</v>
          </cell>
          <cell r="M1410">
            <v>745.92150183000012</v>
          </cell>
          <cell r="N1410">
            <v>981.39090738600021</v>
          </cell>
          <cell r="O1410">
            <v>643.40213715000004</v>
          </cell>
          <cell r="P1410">
            <v>549.59800651199998</v>
          </cell>
        </row>
        <row r="1412">
          <cell r="E1412">
            <v>79314</v>
          </cell>
          <cell r="F1412">
            <v>79873</v>
          </cell>
          <cell r="G1412">
            <v>80371.000000000015</v>
          </cell>
          <cell r="H1412">
            <v>80110</v>
          </cell>
          <cell r="I1412">
            <v>80113</v>
          </cell>
          <cell r="J1412">
            <v>79797</v>
          </cell>
          <cell r="K1412">
            <v>79510</v>
          </cell>
          <cell r="L1412">
            <v>79130.000000000015</v>
          </cell>
          <cell r="M1412">
            <v>79301</v>
          </cell>
          <cell r="N1412">
            <v>79140</v>
          </cell>
          <cell r="O1412">
            <v>79455</v>
          </cell>
          <cell r="P1412">
            <v>79358</v>
          </cell>
        </row>
        <row r="1413">
          <cell r="E1413">
            <v>8446.8907539000011</v>
          </cell>
          <cell r="F1413">
            <v>7943.2398422999995</v>
          </cell>
          <cell r="G1413">
            <v>8692.6586733000004</v>
          </cell>
          <cell r="H1413">
            <v>8417.2678731000015</v>
          </cell>
          <cell r="I1413">
            <v>8614.5765336000004</v>
          </cell>
          <cell r="J1413">
            <v>8055.4033665000006</v>
          </cell>
          <cell r="K1413">
            <v>8098.8126137999998</v>
          </cell>
          <cell r="L1413">
            <v>7934.0513400000009</v>
          </cell>
          <cell r="M1413">
            <v>7631.6978961000004</v>
          </cell>
          <cell r="N1413">
            <v>8073.1403451000015</v>
          </cell>
          <cell r="O1413">
            <v>8058.8275056000011</v>
          </cell>
          <cell r="P1413">
            <v>8607.5816687999995</v>
          </cell>
        </row>
        <row r="1415">
          <cell r="E1415">
            <v>15285</v>
          </cell>
          <cell r="F1415">
            <v>15295</v>
          </cell>
          <cell r="G1415">
            <v>15194</v>
          </cell>
          <cell r="H1415">
            <v>15095</v>
          </cell>
          <cell r="I1415">
            <v>15050</v>
          </cell>
          <cell r="J1415">
            <v>15100</v>
          </cell>
          <cell r="K1415">
            <v>14960</v>
          </cell>
          <cell r="L1415">
            <v>14945</v>
          </cell>
          <cell r="M1415">
            <v>14030</v>
          </cell>
          <cell r="N1415">
            <v>14097</v>
          </cell>
          <cell r="O1415">
            <v>14102</v>
          </cell>
          <cell r="P1415">
            <v>15007</v>
          </cell>
        </row>
        <row r="1416">
          <cell r="E1416">
            <v>1597.13</v>
          </cell>
          <cell r="F1416">
            <v>1600</v>
          </cell>
          <cell r="G1416">
            <v>1599.48</v>
          </cell>
          <cell r="H1416">
            <v>1583.5</v>
          </cell>
          <cell r="I1416">
            <v>1582.2792999999999</v>
          </cell>
          <cell r="J1416">
            <v>1583.5</v>
          </cell>
          <cell r="K1416">
            <v>1556.09</v>
          </cell>
          <cell r="L1416">
            <v>1510.24</v>
          </cell>
          <cell r="M1416">
            <v>1416.19</v>
          </cell>
          <cell r="N1416">
            <v>1420.71</v>
          </cell>
          <cell r="O1416">
            <v>1361.452</v>
          </cell>
          <cell r="P1416">
            <v>1370</v>
          </cell>
        </row>
        <row r="1418">
          <cell r="E1418">
            <v>70267.85500000001</v>
          </cell>
          <cell r="F1418">
            <v>70395.645000000004</v>
          </cell>
          <cell r="G1418">
            <v>72629.595000000001</v>
          </cell>
          <cell r="H1418">
            <v>73909.85500000001</v>
          </cell>
          <cell r="I1418">
            <v>72945.845000000001</v>
          </cell>
          <cell r="J1418">
            <v>71615.244999999995</v>
          </cell>
          <cell r="K1418">
            <v>71532.85500000001</v>
          </cell>
          <cell r="L1418">
            <v>70491.85500000001</v>
          </cell>
          <cell r="M1418">
            <v>71116.89499999999</v>
          </cell>
          <cell r="N1418">
            <v>68814.244999999995</v>
          </cell>
          <cell r="O1418">
            <v>71071.104999999996</v>
          </cell>
          <cell r="P1418">
            <v>68307.73</v>
          </cell>
        </row>
        <row r="1419">
          <cell r="E1419">
            <v>29184.66822924</v>
          </cell>
          <cell r="F1419">
            <v>27011.219732865</v>
          </cell>
          <cell r="G1419">
            <v>28268.668037390999</v>
          </cell>
          <cell r="H1419">
            <v>29807.448775555</v>
          </cell>
          <cell r="I1419">
            <v>30094.454890385001</v>
          </cell>
          <cell r="J1419">
            <v>29845.797367539999</v>
          </cell>
          <cell r="K1419">
            <v>29667.640757235</v>
          </cell>
          <cell r="L1419">
            <v>29949.73270162</v>
          </cell>
          <cell r="M1419">
            <v>30112.176573623998</v>
          </cell>
          <cell r="N1419">
            <v>29870.561028419997</v>
          </cell>
          <cell r="O1419">
            <v>29528.686498250001</v>
          </cell>
          <cell r="P1419">
            <v>29526.876048699996</v>
          </cell>
        </row>
        <row r="1421">
          <cell r="E1421">
            <v>12292</v>
          </cell>
          <cell r="F1421">
            <v>12263</v>
          </cell>
          <cell r="G1421">
            <v>12036</v>
          </cell>
          <cell r="H1421">
            <v>12192</v>
          </cell>
          <cell r="I1421">
            <v>12480</v>
          </cell>
          <cell r="J1421">
            <v>12655</v>
          </cell>
          <cell r="K1421">
            <v>12643</v>
          </cell>
          <cell r="L1421">
            <v>11816</v>
          </cell>
          <cell r="M1421">
            <v>13057</v>
          </cell>
          <cell r="N1421">
            <v>13248</v>
          </cell>
          <cell r="O1421">
            <v>12404</v>
          </cell>
          <cell r="P1421">
            <v>13360</v>
          </cell>
        </row>
        <row r="1422">
          <cell r="E1422">
            <v>5668.7051204999998</v>
          </cell>
          <cell r="F1422">
            <v>5240.4771438000016</v>
          </cell>
          <cell r="G1422">
            <v>5185.3946480999984</v>
          </cell>
          <cell r="H1422">
            <v>5343.3014499000019</v>
          </cell>
          <cell r="I1422">
            <v>5552.0273484000027</v>
          </cell>
          <cell r="J1422">
            <v>5772.2768117999976</v>
          </cell>
          <cell r="K1422">
            <v>5850.2453985000002</v>
          </cell>
          <cell r="L1422">
            <v>5107.3672203000006</v>
          </cell>
          <cell r="M1422">
            <v>6000.611248799999</v>
          </cell>
          <cell r="N1422">
            <v>6239.3564313000006</v>
          </cell>
          <cell r="O1422">
            <v>6094.7662995000019</v>
          </cell>
          <cell r="P1422">
            <v>6216.4961477999996</v>
          </cell>
        </row>
        <row r="1424">
          <cell r="E1424">
            <v>35919</v>
          </cell>
          <cell r="F1424">
            <v>34944</v>
          </cell>
          <cell r="G1424">
            <v>35310</v>
          </cell>
          <cell r="H1424">
            <v>36052</v>
          </cell>
          <cell r="I1424">
            <v>35471</v>
          </cell>
          <cell r="J1424">
            <v>35186</v>
          </cell>
          <cell r="K1424">
            <v>35193</v>
          </cell>
          <cell r="L1424">
            <v>34392</v>
          </cell>
          <cell r="M1424">
            <v>34435</v>
          </cell>
          <cell r="N1424">
            <v>33334</v>
          </cell>
          <cell r="O1424">
            <v>33863</v>
          </cell>
          <cell r="P1424">
            <v>34888</v>
          </cell>
        </row>
        <row r="1425">
          <cell r="E1425">
            <v>4953.9179931300005</v>
          </cell>
          <cell r="F1425">
            <v>4379.6623655879985</v>
          </cell>
          <cell r="G1425">
            <v>4804.6920084900012</v>
          </cell>
          <cell r="H1425">
            <v>4707.3473572499997</v>
          </cell>
          <cell r="I1425">
            <v>4671.2046761100009</v>
          </cell>
          <cell r="J1425">
            <v>4417.1798019300022</v>
          </cell>
          <cell r="K1425">
            <v>4687.2805291649975</v>
          </cell>
          <cell r="L1425">
            <v>4562.6357237399998</v>
          </cell>
          <cell r="M1425">
            <v>4340.2604449500004</v>
          </cell>
          <cell r="N1425">
            <v>4340.0411741069993</v>
          </cell>
          <cell r="O1425">
            <v>4234.9711096800002</v>
          </cell>
          <cell r="P1425">
            <v>4582.3192278659981</v>
          </cell>
        </row>
        <row r="1427">
          <cell r="E1427">
            <v>29440</v>
          </cell>
          <cell r="F1427">
            <v>29440</v>
          </cell>
          <cell r="G1427">
            <v>29440</v>
          </cell>
          <cell r="H1427">
            <v>29440</v>
          </cell>
          <cell r="I1427">
            <v>29488</v>
          </cell>
          <cell r="J1427">
            <v>29440</v>
          </cell>
          <cell r="K1427">
            <v>29440</v>
          </cell>
          <cell r="L1427">
            <v>29440</v>
          </cell>
          <cell r="M1427">
            <v>29440</v>
          </cell>
          <cell r="N1427">
            <v>29488</v>
          </cell>
          <cell r="O1427">
            <v>29440</v>
          </cell>
          <cell r="P1427">
            <v>31434</v>
          </cell>
        </row>
        <row r="1428">
          <cell r="E1428">
            <v>2312.5445445959999</v>
          </cell>
          <cell r="F1428">
            <v>2777.6404654470016</v>
          </cell>
          <cell r="G1428">
            <v>3073.2652334250001</v>
          </cell>
          <cell r="H1428">
            <v>2752.2064206179998</v>
          </cell>
          <cell r="I1428">
            <v>3115.4052162600005</v>
          </cell>
          <cell r="J1428">
            <v>3070.8410833349994</v>
          </cell>
          <cell r="K1428">
            <v>2989.115554338</v>
          </cell>
          <cell r="L1428">
            <v>2925.402256413</v>
          </cell>
          <cell r="M1428">
            <v>2934.13189104</v>
          </cell>
          <cell r="N1428">
            <v>3065.5071066510013</v>
          </cell>
          <cell r="O1428">
            <v>3018.1069462589994</v>
          </cell>
          <cell r="P1428">
            <v>2964.90231305</v>
          </cell>
        </row>
        <row r="1430">
          <cell r="E1430">
            <v>39097.000000000007</v>
          </cell>
          <cell r="F1430">
            <v>39263</v>
          </cell>
          <cell r="G1430">
            <v>41790.000000000007</v>
          </cell>
          <cell r="H1430">
            <v>41140.999999999993</v>
          </cell>
          <cell r="I1430">
            <v>41292.429284806858</v>
          </cell>
          <cell r="J1430">
            <v>41720.000000000007</v>
          </cell>
          <cell r="K1430">
            <v>40741.000000000007</v>
          </cell>
          <cell r="L1430">
            <v>39381.000000000007</v>
          </cell>
          <cell r="M1430">
            <v>41098</v>
          </cell>
          <cell r="N1430">
            <v>40632.999999999993</v>
          </cell>
          <cell r="O1430">
            <v>40713.000000000007</v>
          </cell>
          <cell r="P1430">
            <v>41164.493460212099</v>
          </cell>
        </row>
        <row r="1431">
          <cell r="E1431">
            <v>4726.9357659000007</v>
          </cell>
          <cell r="F1431">
            <v>4423.0256136000007</v>
          </cell>
          <cell r="G1431">
            <v>5075.8273583999999</v>
          </cell>
          <cell r="H1431">
            <v>4831.2145826999995</v>
          </cell>
          <cell r="I1431">
            <v>5025.5855320904166</v>
          </cell>
          <cell r="J1431">
            <v>4860.8787555000008</v>
          </cell>
          <cell r="K1431">
            <v>4774.3069805999994</v>
          </cell>
          <cell r="L1431">
            <v>4560.6879801000005</v>
          </cell>
          <cell r="M1431">
            <v>4570.9015563000003</v>
          </cell>
          <cell r="N1431">
            <v>4588.0883190000004</v>
          </cell>
          <cell r="O1431">
            <v>4535.8436160000001</v>
          </cell>
          <cell r="P1431">
            <v>5216.3198785155928</v>
          </cell>
        </row>
        <row r="1433">
          <cell r="E1433">
            <v>11757</v>
          </cell>
          <cell r="F1433">
            <v>12609</v>
          </cell>
          <cell r="G1433">
            <v>12425</v>
          </cell>
          <cell r="H1433">
            <v>12837</v>
          </cell>
          <cell r="I1433">
            <v>12993</v>
          </cell>
          <cell r="J1433">
            <v>12428</v>
          </cell>
          <cell r="K1433">
            <v>11584</v>
          </cell>
          <cell r="L1433">
            <v>11889</v>
          </cell>
          <cell r="M1433">
            <v>11844</v>
          </cell>
          <cell r="N1433">
            <v>12358</v>
          </cell>
          <cell r="O1433">
            <v>11593</v>
          </cell>
          <cell r="P1433">
            <v>11121</v>
          </cell>
        </row>
        <row r="1434">
          <cell r="E1434">
            <v>1684.6277745780001</v>
          </cell>
          <cell r="F1434">
            <v>1775.0555512829994</v>
          </cell>
          <cell r="G1434">
            <v>1707.2353923300004</v>
          </cell>
          <cell r="H1434">
            <v>2040.4766148660003</v>
          </cell>
          <cell r="I1434">
            <v>2178.4613067180007</v>
          </cell>
          <cell r="J1434">
            <v>2018.2239328230007</v>
          </cell>
          <cell r="K1434">
            <v>1852.3991629170011</v>
          </cell>
          <cell r="L1434">
            <v>2395.2461855040001</v>
          </cell>
          <cell r="M1434">
            <v>2092.7054617380008</v>
          </cell>
          <cell r="N1434">
            <v>1984.241442663001</v>
          </cell>
          <cell r="O1434">
            <v>1747.4066138970002</v>
          </cell>
          <cell r="P1434">
            <v>1777.7217137850002</v>
          </cell>
        </row>
        <row r="1436">
          <cell r="E1436">
            <v>75125</v>
          </cell>
          <cell r="F1436">
            <v>75642</v>
          </cell>
          <cell r="G1436">
            <v>75571</v>
          </cell>
          <cell r="H1436">
            <v>76177</v>
          </cell>
          <cell r="I1436">
            <v>76044</v>
          </cell>
          <cell r="J1436">
            <v>75899</v>
          </cell>
          <cell r="K1436">
            <v>75817</v>
          </cell>
          <cell r="L1436">
            <v>75708</v>
          </cell>
          <cell r="M1436">
            <v>75683</v>
          </cell>
          <cell r="N1436">
            <v>75693</v>
          </cell>
          <cell r="O1436">
            <v>75724</v>
          </cell>
          <cell r="P1436">
            <v>75766</v>
          </cell>
        </row>
        <row r="1437">
          <cell r="E1437">
            <v>30869.915570000001</v>
          </cell>
          <cell r="F1437">
            <v>26929.103999999999</v>
          </cell>
          <cell r="G1437">
            <v>30278.225849999999</v>
          </cell>
          <cell r="H1437">
            <v>29705.799989999996</v>
          </cell>
          <cell r="I1437">
            <v>30855.016349999998</v>
          </cell>
          <cell r="J1437">
            <v>29145.200999999997</v>
          </cell>
          <cell r="K1437">
            <v>30232.772320000004</v>
          </cell>
          <cell r="L1437">
            <v>30246.389070000005</v>
          </cell>
          <cell r="M1437">
            <v>29437.425599999999</v>
          </cell>
          <cell r="N1437">
            <v>30220.780200000001</v>
          </cell>
          <cell r="O1437">
            <v>29298.657359999997</v>
          </cell>
          <cell r="P1437">
            <v>30240.490979999999</v>
          </cell>
        </row>
        <row r="1439">
          <cell r="E1439">
            <v>5761</v>
          </cell>
          <cell r="F1439">
            <v>5678</v>
          </cell>
          <cell r="G1439">
            <v>5605</v>
          </cell>
          <cell r="H1439">
            <v>5708</v>
          </cell>
          <cell r="I1439">
            <v>5672</v>
          </cell>
          <cell r="J1439">
            <v>5664</v>
          </cell>
          <cell r="K1439">
            <v>5636</v>
          </cell>
          <cell r="L1439">
            <v>5634</v>
          </cell>
          <cell r="M1439">
            <v>5613</v>
          </cell>
          <cell r="N1439">
            <v>5615</v>
          </cell>
          <cell r="O1439">
            <v>5698</v>
          </cell>
          <cell r="P1439">
            <v>5765</v>
          </cell>
        </row>
        <row r="1440">
          <cell r="E1440">
            <v>1526.4031689000003</v>
          </cell>
          <cell r="F1440">
            <v>1319.6840616000002</v>
          </cell>
          <cell r="G1440">
            <v>1448.7287877000001</v>
          </cell>
          <cell r="H1440">
            <v>1456.3203219000002</v>
          </cell>
          <cell r="I1440">
            <v>1518.6547251000002</v>
          </cell>
          <cell r="J1440">
            <v>1443.4661223000003</v>
          </cell>
          <cell r="K1440">
            <v>1449.6465024000001</v>
          </cell>
          <cell r="L1440">
            <v>1482.5004822000001</v>
          </cell>
          <cell r="M1440">
            <v>1435.9447845</v>
          </cell>
          <cell r="N1440">
            <v>1494.0612099</v>
          </cell>
          <cell r="O1440">
            <v>1472.3147781000002</v>
          </cell>
          <cell r="P1440">
            <v>1528.4708658</v>
          </cell>
        </row>
        <row r="1442">
          <cell r="E1442">
            <v>5745</v>
          </cell>
          <cell r="F1442">
            <v>5740</v>
          </cell>
          <cell r="G1442">
            <v>5700</v>
          </cell>
          <cell r="H1442">
            <v>5700</v>
          </cell>
          <cell r="I1442">
            <v>5700</v>
          </cell>
          <cell r="J1442">
            <v>5679</v>
          </cell>
          <cell r="K1442">
            <v>5677</v>
          </cell>
          <cell r="L1442">
            <v>5676</v>
          </cell>
          <cell r="M1442">
            <v>5675</v>
          </cell>
          <cell r="N1442">
            <v>5685</v>
          </cell>
          <cell r="O1442">
            <v>5665</v>
          </cell>
          <cell r="P1442">
            <v>5665</v>
          </cell>
        </row>
        <row r="1443">
          <cell r="E1443">
            <v>2113.1284230000006</v>
          </cell>
          <cell r="F1443">
            <v>1886.6211570000005</v>
          </cell>
          <cell r="G1443">
            <v>2091.9765960000004</v>
          </cell>
          <cell r="H1443">
            <v>2014.0585920000001</v>
          </cell>
          <cell r="I1443">
            <v>2064.2180490000005</v>
          </cell>
          <cell r="J1443">
            <v>1972.6117470000002</v>
          </cell>
          <cell r="K1443">
            <v>2036.1498119999999</v>
          </cell>
          <cell r="L1443">
            <v>2040.691932</v>
          </cell>
          <cell r="M1443">
            <v>2018.0329470000001</v>
          </cell>
          <cell r="N1443">
            <v>2084.3375760000004</v>
          </cell>
          <cell r="O1443">
            <v>2024.701605</v>
          </cell>
          <cell r="P1443">
            <v>2104.7255010000003</v>
          </cell>
        </row>
        <row r="1445">
          <cell r="E1445">
            <v>16119</v>
          </cell>
          <cell r="F1445">
            <v>29873</v>
          </cell>
          <cell r="G1445">
            <v>50886</v>
          </cell>
          <cell r="H1445">
            <v>65406</v>
          </cell>
          <cell r="I1445">
            <v>73352</v>
          </cell>
          <cell r="J1445">
            <v>59217</v>
          </cell>
          <cell r="K1445">
            <v>39033</v>
          </cell>
          <cell r="L1445">
            <v>25203</v>
          </cell>
          <cell r="M1445">
            <v>15837</v>
          </cell>
          <cell r="N1445">
            <v>11136</v>
          </cell>
          <cell r="O1445">
            <v>9323</v>
          </cell>
          <cell r="P1445">
            <v>8960</v>
          </cell>
        </row>
        <row r="1446">
          <cell r="E1446">
            <v>2496.9313692000001</v>
          </cell>
          <cell r="F1446">
            <v>4174.1731818000007</v>
          </cell>
          <cell r="G1446">
            <v>8626.8144501000006</v>
          </cell>
          <cell r="H1446">
            <v>11720.350184400002</v>
          </cell>
          <cell r="I1446">
            <v>13719.600432900001</v>
          </cell>
          <cell r="J1446">
            <v>9547.7344416000014</v>
          </cell>
          <cell r="K1446">
            <v>5853.3598476000006</v>
          </cell>
          <cell r="L1446">
            <v>3448.3816332000001</v>
          </cell>
          <cell r="M1446">
            <v>2292.0858864000002</v>
          </cell>
          <cell r="N1446">
            <v>1771.9728867000001</v>
          </cell>
          <cell r="O1446">
            <v>1465.2868797000001</v>
          </cell>
          <cell r="P1446">
            <v>1270.7831079</v>
          </cell>
        </row>
        <row r="1448">
          <cell r="E1448">
            <v>31822</v>
          </cell>
          <cell r="F1448">
            <v>32410</v>
          </cell>
          <cell r="G1448">
            <v>32510</v>
          </cell>
          <cell r="H1448">
            <v>33150</v>
          </cell>
          <cell r="I1448">
            <v>33060</v>
          </cell>
          <cell r="J1448">
            <v>32880</v>
          </cell>
          <cell r="K1448">
            <v>32771</v>
          </cell>
          <cell r="L1448">
            <v>31526</v>
          </cell>
          <cell r="M1448">
            <v>30340</v>
          </cell>
          <cell r="N1448">
            <v>30400</v>
          </cell>
          <cell r="O1448">
            <v>30385</v>
          </cell>
          <cell r="P1448">
            <v>30640</v>
          </cell>
        </row>
        <row r="1449">
          <cell r="E1449">
            <v>3490.7449999999999</v>
          </cell>
          <cell r="F1449">
            <v>3448.29</v>
          </cell>
          <cell r="G1449">
            <v>3458.877</v>
          </cell>
          <cell r="H1449">
            <v>3608.4799400000002</v>
          </cell>
          <cell r="I1449">
            <v>3217.8885</v>
          </cell>
          <cell r="J1449">
            <v>3157.7870000000003</v>
          </cell>
          <cell r="K1449">
            <v>2835.9</v>
          </cell>
          <cell r="L1449">
            <v>2425.8760000000002</v>
          </cell>
          <cell r="M1449">
            <v>2105.25</v>
          </cell>
          <cell r="N1449">
            <v>1941.6869999999999</v>
          </cell>
          <cell r="O1449">
            <v>1880.9090000000001</v>
          </cell>
          <cell r="P1449">
            <v>1827.8310000000001</v>
          </cell>
        </row>
        <row r="1451">
          <cell r="E1451">
            <v>19890</v>
          </cell>
          <cell r="F1451">
            <v>20560</v>
          </cell>
          <cell r="G1451">
            <v>20620</v>
          </cell>
          <cell r="H1451">
            <v>21140</v>
          </cell>
          <cell r="I1451">
            <v>20970</v>
          </cell>
          <cell r="J1451">
            <v>20870</v>
          </cell>
          <cell r="K1451">
            <v>20801</v>
          </cell>
          <cell r="L1451">
            <v>19984</v>
          </cell>
          <cell r="M1451">
            <v>18950</v>
          </cell>
          <cell r="N1451">
            <v>18980</v>
          </cell>
          <cell r="O1451">
            <v>18745</v>
          </cell>
          <cell r="P1451">
            <v>18810</v>
          </cell>
        </row>
        <row r="1452">
          <cell r="E1452">
            <v>2065.4</v>
          </cell>
          <cell r="F1452">
            <v>2030.74</v>
          </cell>
          <cell r="G1452">
            <v>2033.5409999999999</v>
          </cell>
          <cell r="H1452">
            <v>2108.58</v>
          </cell>
          <cell r="I1452">
            <v>1720.441</v>
          </cell>
          <cell r="J1452">
            <v>1687.2</v>
          </cell>
          <cell r="K1452">
            <v>1565.45</v>
          </cell>
          <cell r="L1452">
            <v>1410.4549999999999</v>
          </cell>
          <cell r="M1452">
            <v>1101.25</v>
          </cell>
          <cell r="N1452">
            <v>1015.23</v>
          </cell>
          <cell r="O1452">
            <v>790.45699999999999</v>
          </cell>
          <cell r="P1452">
            <v>705.42</v>
          </cell>
        </row>
        <row r="1454">
          <cell r="E1454">
            <v>11932</v>
          </cell>
          <cell r="F1454">
            <v>11850</v>
          </cell>
          <cell r="G1454">
            <v>11890</v>
          </cell>
          <cell r="H1454">
            <v>12010</v>
          </cell>
          <cell r="I1454">
            <v>12090</v>
          </cell>
          <cell r="J1454">
            <v>12010</v>
          </cell>
          <cell r="K1454">
            <v>11970</v>
          </cell>
          <cell r="L1454">
            <v>11542</v>
          </cell>
          <cell r="M1454">
            <v>11390</v>
          </cell>
          <cell r="N1454">
            <v>11420</v>
          </cell>
          <cell r="O1454">
            <v>11640</v>
          </cell>
          <cell r="P1454">
            <v>11830</v>
          </cell>
        </row>
        <row r="1455">
          <cell r="E1455">
            <v>1425.345</v>
          </cell>
          <cell r="F1455">
            <v>1417.55</v>
          </cell>
          <cell r="G1455">
            <v>1425.336</v>
          </cell>
          <cell r="H1455">
            <v>1499.89994</v>
          </cell>
          <cell r="I1455">
            <v>1497.4475</v>
          </cell>
          <cell r="J1455">
            <v>1470.587</v>
          </cell>
          <cell r="K1455">
            <v>1270.45</v>
          </cell>
          <cell r="L1455">
            <v>1015.421</v>
          </cell>
          <cell r="M1455">
            <v>1004</v>
          </cell>
          <cell r="N1455">
            <v>926.45699999999999</v>
          </cell>
          <cell r="O1455">
            <v>1090.452</v>
          </cell>
          <cell r="P1455">
            <v>1122.4110000000001</v>
          </cell>
        </row>
        <row r="1457">
          <cell r="E1457">
            <v>80575</v>
          </cell>
          <cell r="F1457">
            <v>80575</v>
          </cell>
          <cell r="G1457">
            <v>80568</v>
          </cell>
          <cell r="H1457">
            <v>80568</v>
          </cell>
          <cell r="I1457">
            <v>80568</v>
          </cell>
          <cell r="J1457">
            <v>80568</v>
          </cell>
          <cell r="K1457">
            <v>80568</v>
          </cell>
          <cell r="L1457">
            <v>80568</v>
          </cell>
          <cell r="M1457">
            <v>80568</v>
          </cell>
          <cell r="N1457">
            <v>80573</v>
          </cell>
          <cell r="O1457">
            <v>80573</v>
          </cell>
          <cell r="P1457">
            <v>80563</v>
          </cell>
        </row>
        <row r="1458">
          <cell r="E1458">
            <v>9420.8616747000033</v>
          </cell>
          <cell r="F1458">
            <v>8741.2779387000046</v>
          </cell>
          <cell r="G1458">
            <v>9978.6174938999993</v>
          </cell>
          <cell r="H1458">
            <v>9864.2118141000064</v>
          </cell>
          <cell r="I1458">
            <v>10189.973692800002</v>
          </cell>
          <cell r="J1458">
            <v>9256.9788882000012</v>
          </cell>
          <cell r="K1458">
            <v>9246.1624488000016</v>
          </cell>
          <cell r="L1458">
            <v>8943.4332476999971</v>
          </cell>
          <cell r="M1458">
            <v>8482.4090999999989</v>
          </cell>
          <cell r="N1458">
            <v>8767.7461106999999</v>
          </cell>
          <cell r="O1458">
            <v>8650.7782622999985</v>
          </cell>
          <cell r="P1458">
            <v>9238.641110999999</v>
          </cell>
        </row>
        <row r="1460">
          <cell r="E1460">
            <v>98485</v>
          </cell>
          <cell r="F1460">
            <v>118445</v>
          </cell>
          <cell r="G1460">
            <v>115590</v>
          </cell>
          <cell r="H1460">
            <v>114990</v>
          </cell>
          <cell r="I1460">
            <v>107790</v>
          </cell>
          <cell r="J1460">
            <v>100660</v>
          </cell>
          <cell r="K1460">
            <v>88470</v>
          </cell>
          <cell r="L1460">
            <v>88020</v>
          </cell>
          <cell r="M1460">
            <v>77165</v>
          </cell>
          <cell r="N1460">
            <v>79380</v>
          </cell>
          <cell r="O1460">
            <v>80595</v>
          </cell>
          <cell r="P1460">
            <v>81800</v>
          </cell>
        </row>
        <row r="1461">
          <cell r="E1461">
            <v>10665.9365</v>
          </cell>
          <cell r="F1461">
            <v>13698.3</v>
          </cell>
          <cell r="G1461">
            <v>14790.875</v>
          </cell>
          <cell r="H1461">
            <v>14255.5458</v>
          </cell>
          <cell r="I1461">
            <v>13638.434500000001</v>
          </cell>
          <cell r="J1461">
            <v>12015.36</v>
          </cell>
          <cell r="K1461">
            <v>9564.3741999999984</v>
          </cell>
          <cell r="L1461">
            <v>8549.8309999999983</v>
          </cell>
          <cell r="M1461">
            <v>6576.2400000000007</v>
          </cell>
          <cell r="N1461">
            <v>7119.3049999999994</v>
          </cell>
          <cell r="O1461">
            <v>7778.9549999999999</v>
          </cell>
          <cell r="P1461">
            <v>8356.2000000000007</v>
          </cell>
        </row>
        <row r="1463">
          <cell r="E1463">
            <v>18921</v>
          </cell>
          <cell r="F1463">
            <v>19217</v>
          </cell>
          <cell r="G1463">
            <v>19342</v>
          </cell>
          <cell r="H1463">
            <v>19439</v>
          </cell>
          <cell r="I1463">
            <v>19682</v>
          </cell>
          <cell r="J1463">
            <v>19965</v>
          </cell>
          <cell r="K1463">
            <v>20167</v>
          </cell>
          <cell r="L1463">
            <v>19482</v>
          </cell>
          <cell r="M1463">
            <v>19959</v>
          </cell>
          <cell r="N1463">
            <v>20595</v>
          </cell>
          <cell r="O1463">
            <v>20458</v>
          </cell>
          <cell r="P1463">
            <v>19551</v>
          </cell>
        </row>
        <row r="1464">
          <cell r="E1464">
            <v>2624.4420975000012</v>
          </cell>
          <cell r="F1464">
            <v>2809.2754125000001</v>
          </cell>
          <cell r="G1464">
            <v>3155.3777304000005</v>
          </cell>
          <cell r="H1464">
            <v>2979.6317523000007</v>
          </cell>
          <cell r="I1464">
            <v>3056.306247720001</v>
          </cell>
          <cell r="J1464">
            <v>3084.5851771500002</v>
          </cell>
          <cell r="K1464">
            <v>2958.31496376</v>
          </cell>
          <cell r="L1464">
            <v>2761.8959394000012</v>
          </cell>
          <cell r="M1464">
            <v>2605.8132117000009</v>
          </cell>
          <cell r="N1464">
            <v>2669.3357922000009</v>
          </cell>
          <cell r="O1464">
            <v>2618.9636813999996</v>
          </cell>
          <cell r="P1464">
            <v>2442.2132754000004</v>
          </cell>
        </row>
        <row r="1466">
          <cell r="E1466">
            <v>1249</v>
          </cell>
          <cell r="F1466">
            <v>1224</v>
          </cell>
          <cell r="G1466">
            <v>1161</v>
          </cell>
          <cell r="H1466">
            <v>1186</v>
          </cell>
          <cell r="I1466">
            <v>1214.9999999999998</v>
          </cell>
          <cell r="J1466">
            <v>1208</v>
          </cell>
          <cell r="K1466">
            <v>1213</v>
          </cell>
          <cell r="L1466">
            <v>1258</v>
          </cell>
          <cell r="M1466">
            <v>1252.0000000000002</v>
          </cell>
          <cell r="N1466">
            <v>1273</v>
          </cell>
          <cell r="O1466">
            <v>1249</v>
          </cell>
          <cell r="P1466">
            <v>1251</v>
          </cell>
        </row>
        <row r="1467">
          <cell r="E1467">
            <v>140.77991250000002</v>
          </cell>
          <cell r="F1467">
            <v>142.86722310000002</v>
          </cell>
          <cell r="G1467">
            <v>141.2744941</v>
          </cell>
          <cell r="H1467">
            <v>151.6923558</v>
          </cell>
          <cell r="I1467">
            <v>141.6585097</v>
          </cell>
          <cell r="J1467">
            <v>148.03915599999999</v>
          </cell>
          <cell r="K1467">
            <v>147.72522690000002</v>
          </cell>
          <cell r="L1467">
            <v>153.96238349999999</v>
          </cell>
          <cell r="M1467">
            <v>152.99098920000003</v>
          </cell>
          <cell r="N1467">
            <v>147.7386468</v>
          </cell>
          <cell r="O1467">
            <v>145.33132320000001</v>
          </cell>
          <cell r="P1467">
            <v>151.49828340000002</v>
          </cell>
        </row>
        <row r="1469">
          <cell r="E1469">
            <v>3768</v>
          </cell>
          <cell r="F1469">
            <v>3726</v>
          </cell>
          <cell r="G1469">
            <v>3723</v>
          </cell>
          <cell r="H1469">
            <v>3794</v>
          </cell>
          <cell r="I1469">
            <v>3779</v>
          </cell>
          <cell r="J1469">
            <v>3700</v>
          </cell>
          <cell r="K1469">
            <v>3712</v>
          </cell>
          <cell r="L1469">
            <v>3711</v>
          </cell>
          <cell r="M1469">
            <v>3711</v>
          </cell>
          <cell r="N1469">
            <v>3718</v>
          </cell>
          <cell r="O1469">
            <v>3002</v>
          </cell>
          <cell r="P1469">
            <v>3230</v>
          </cell>
        </row>
        <row r="1470">
          <cell r="E1470">
            <v>521.24294892</v>
          </cell>
          <cell r="F1470">
            <v>528.52325499300002</v>
          </cell>
          <cell r="G1470">
            <v>550.54452634500001</v>
          </cell>
          <cell r="H1470">
            <v>495.52285141999999</v>
          </cell>
          <cell r="I1470">
            <v>546.39443259300003</v>
          </cell>
          <cell r="J1470">
            <v>501.50080228328898</v>
          </cell>
          <cell r="K1470">
            <v>510.09442655200002</v>
          </cell>
          <cell r="L1470">
            <v>475.44617245400002</v>
          </cell>
          <cell r="M1470">
            <v>376.4</v>
          </cell>
          <cell r="N1470">
            <v>340.60141941500001</v>
          </cell>
          <cell r="O1470">
            <v>374.59559822799997</v>
          </cell>
          <cell r="P1470">
            <v>375.423</v>
          </cell>
        </row>
        <row r="1472">
          <cell r="E1472">
            <v>1398</v>
          </cell>
          <cell r="F1472">
            <v>1368</v>
          </cell>
          <cell r="G1472">
            <v>1304</v>
          </cell>
          <cell r="H1472">
            <v>1364</v>
          </cell>
          <cell r="I1472">
            <v>1370</v>
          </cell>
          <cell r="J1472">
            <v>1351</v>
          </cell>
          <cell r="K1472">
            <v>1357</v>
          </cell>
          <cell r="L1472">
            <v>1328</v>
          </cell>
          <cell r="M1472">
            <v>1304</v>
          </cell>
          <cell r="N1472">
            <v>1323</v>
          </cell>
          <cell r="O1472">
            <v>1322</v>
          </cell>
          <cell r="P1472">
            <v>1459</v>
          </cell>
        </row>
        <row r="1473">
          <cell r="E1473">
            <v>237.00460082400002</v>
          </cell>
          <cell r="F1473">
            <v>130.249977642</v>
          </cell>
          <cell r="G1473">
            <v>129.33063190800002</v>
          </cell>
          <cell r="H1473">
            <v>132.03000350100001</v>
          </cell>
          <cell r="I1473">
            <v>132.097928841</v>
          </cell>
          <cell r="J1473">
            <v>129.16997505900002</v>
          </cell>
          <cell r="K1473">
            <v>121.38999449400001</v>
          </cell>
          <cell r="L1473">
            <v>112.52500469100001</v>
          </cell>
          <cell r="M1473">
            <v>137.52072461700001</v>
          </cell>
          <cell r="N1473">
            <v>147.139995384</v>
          </cell>
          <cell r="O1473">
            <v>142.70000082300001</v>
          </cell>
          <cell r="P1473">
            <v>136.31199787700001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 02-01"/>
      <sheetName val="C-95-97"/>
    </sheetNames>
    <sheetDataSet>
      <sheetData sheetId="0">
        <row r="118">
          <cell r="T118" t="str">
            <v>ene</v>
          </cell>
          <cell r="U118" t="str">
            <v>feb</v>
          </cell>
          <cell r="V118" t="str">
            <v>mar</v>
          </cell>
          <cell r="W118" t="str">
            <v>abr</v>
          </cell>
          <cell r="X118" t="str">
            <v>may</v>
          </cell>
          <cell r="Y118" t="str">
            <v>jun</v>
          </cell>
          <cell r="Z118" t="str">
            <v>jul</v>
          </cell>
          <cell r="AA118" t="str">
            <v>ago</v>
          </cell>
          <cell r="AB118" t="str">
            <v>set</v>
          </cell>
          <cell r="AC118" t="str">
            <v>oct</v>
          </cell>
          <cell r="AD118" t="str">
            <v>nov</v>
          </cell>
          <cell r="AE118" t="str">
            <v>dic</v>
          </cell>
        </row>
        <row r="120">
          <cell r="T120">
            <v>5.7350236468733575</v>
          </cell>
          <cell r="U120">
            <v>6.9653179190751455</v>
          </cell>
          <cell r="V120">
            <v>7.6228323699421967</v>
          </cell>
          <cell r="W120">
            <v>10.407251707829742</v>
          </cell>
          <cell r="X120">
            <v>11.617840252233316</v>
          </cell>
          <cell r="Y120">
            <v>11.584997372569628</v>
          </cell>
          <cell r="Z120">
            <v>10.949487651077247</v>
          </cell>
          <cell r="AA120">
            <v>8.920126116657908</v>
          </cell>
          <cell r="AB120">
            <v>8.2294403573305317</v>
          </cell>
          <cell r="AC120">
            <v>6.8181818181818175</v>
          </cell>
          <cell r="AD120">
            <v>5.5599710982658959</v>
          </cell>
          <cell r="AE120">
            <v>5.5895296899632161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SERIE"/>
      <sheetName val="2009"/>
      <sheetName val="2008"/>
      <sheetName val="2007"/>
      <sheetName val="2006"/>
      <sheetName val="2005"/>
      <sheetName val="2004"/>
      <sheetName val="2003"/>
      <sheetName val="2002"/>
      <sheetName val="2001"/>
      <sheetName val="2000"/>
      <sheetName val="1999"/>
      <sheetName val="1997"/>
      <sheetName val="1998"/>
      <sheetName val="1996"/>
      <sheetName val="1995"/>
      <sheetName val="1994"/>
      <sheetName val="Hoja1"/>
    </sheetNames>
    <sheetDataSet>
      <sheetData sheetId="0" refreshError="1"/>
      <sheetData sheetId="1" refreshError="1">
        <row r="164">
          <cell r="F164">
            <v>20000</v>
          </cell>
          <cell r="I164">
            <v>407082</v>
          </cell>
        </row>
        <row r="165">
          <cell r="F165">
            <v>5500</v>
          </cell>
          <cell r="I165">
            <v>351260</v>
          </cell>
        </row>
        <row r="166">
          <cell r="F166">
            <v>5000</v>
          </cell>
          <cell r="I166">
            <v>424860</v>
          </cell>
        </row>
        <row r="167">
          <cell r="F167">
            <v>11000</v>
          </cell>
          <cell r="I167">
            <v>364950</v>
          </cell>
        </row>
        <row r="168">
          <cell r="F168">
            <v>14000</v>
          </cell>
          <cell r="I168">
            <v>393275</v>
          </cell>
        </row>
        <row r="169">
          <cell r="F169">
            <v>8500</v>
          </cell>
          <cell r="I169">
            <v>389883</v>
          </cell>
        </row>
        <row r="170">
          <cell r="F170">
            <v>0</v>
          </cell>
          <cell r="I170">
            <v>379086</v>
          </cell>
        </row>
        <row r="171">
          <cell r="F171">
            <v>22500</v>
          </cell>
          <cell r="I171">
            <v>397686</v>
          </cell>
        </row>
        <row r="172">
          <cell r="F172">
            <v>3000</v>
          </cell>
          <cell r="I172">
            <v>503097</v>
          </cell>
        </row>
        <row r="173">
          <cell r="F173">
            <v>19000</v>
          </cell>
          <cell r="I173">
            <v>445949</v>
          </cell>
        </row>
        <row r="174">
          <cell r="F174">
            <v>0</v>
          </cell>
          <cell r="I174">
            <v>516895</v>
          </cell>
        </row>
        <row r="175">
          <cell r="F175">
            <v>19000</v>
          </cell>
          <cell r="I175">
            <v>508752</v>
          </cell>
        </row>
        <row r="176">
          <cell r="F176">
            <v>10160</v>
          </cell>
          <cell r="I176">
            <v>462953</v>
          </cell>
        </row>
        <row r="177">
          <cell r="F177">
            <v>20000</v>
          </cell>
          <cell r="I177">
            <v>446543</v>
          </cell>
        </row>
        <row r="178">
          <cell r="F178">
            <v>6000</v>
          </cell>
          <cell r="I178">
            <v>556210</v>
          </cell>
        </row>
        <row r="179">
          <cell r="F179">
            <v>19010</v>
          </cell>
          <cell r="I179">
            <v>429308</v>
          </cell>
        </row>
        <row r="180">
          <cell r="F180">
            <v>6000</v>
          </cell>
          <cell r="I180">
            <v>534149</v>
          </cell>
        </row>
        <row r="181">
          <cell r="F181">
            <v>4000</v>
          </cell>
          <cell r="I181">
            <v>407890</v>
          </cell>
        </row>
        <row r="182">
          <cell r="F182">
            <v>28000</v>
          </cell>
          <cell r="I182">
            <v>405155</v>
          </cell>
        </row>
        <row r="183">
          <cell r="F183">
            <v>0</v>
          </cell>
          <cell r="I183">
            <v>388381</v>
          </cell>
        </row>
        <row r="184">
          <cell r="F184">
            <v>20000</v>
          </cell>
          <cell r="I184">
            <v>447217</v>
          </cell>
        </row>
        <row r="185">
          <cell r="F185">
            <v>6000</v>
          </cell>
          <cell r="I185">
            <v>572688</v>
          </cell>
        </row>
        <row r="186">
          <cell r="F186">
            <v>19000</v>
          </cell>
          <cell r="I186">
            <v>469963</v>
          </cell>
        </row>
        <row r="187">
          <cell r="F187">
            <v>0</v>
          </cell>
          <cell r="I187">
            <v>446835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0000"/>
  </sheetPr>
  <dimension ref="A1"/>
  <sheetViews>
    <sheetView topLeftCell="A5" workbookViewId="0">
      <selection activeCell="I88" sqref="I88"/>
    </sheetView>
  </sheetViews>
  <sheetFormatPr baseColWidth="10" defaultRowHeight="12"/>
  <sheetData/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 codeName="Hoja2">
    <tabColor theme="4" tint="-0.249977111117893"/>
  </sheetPr>
  <dimension ref="A1:AO108"/>
  <sheetViews>
    <sheetView showGridLines="0" topLeftCell="B1" zoomScale="155" zoomScaleNormal="155" workbookViewId="0">
      <selection activeCell="M44" sqref="M44"/>
    </sheetView>
  </sheetViews>
  <sheetFormatPr baseColWidth="10" defaultRowHeight="13" customHeight="1"/>
  <cols>
    <col min="1" max="1" width="1" style="21" customWidth="1"/>
    <col min="2" max="2" width="15.19921875" style="21" customWidth="1"/>
    <col min="3" max="3" width="7.59765625" style="21" hidden="1" customWidth="1"/>
    <col min="4" max="6" width="6.59765625" style="21" hidden="1" customWidth="1"/>
    <col min="7" max="7" width="7.19921875" style="21" hidden="1" customWidth="1"/>
    <col min="8" max="8" width="7.59765625" style="21" hidden="1" customWidth="1"/>
    <col min="9" max="9" width="7.19921875" style="21" hidden="1" customWidth="1"/>
    <col min="10" max="22" width="7.19921875" style="21" customWidth="1"/>
    <col min="23" max="23" width="9.19921875" style="21" bestFit="1" customWidth="1"/>
    <col min="24" max="24" width="8.59765625" style="21" customWidth="1"/>
    <col min="25" max="28" width="7.59765625" style="21" customWidth="1"/>
    <col min="29" max="29" width="8.3984375" style="21" customWidth="1"/>
    <col min="30" max="43" width="7.59765625" style="21" customWidth="1"/>
    <col min="44" max="16384" width="11" style="21"/>
  </cols>
  <sheetData>
    <row r="1" spans="1:41" ht="1" customHeight="1">
      <c r="C1" s="73"/>
      <c r="D1" s="73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spans="1:41" ht="15" customHeight="1">
      <c r="A2" s="93" t="s">
        <v>307</v>
      </c>
      <c r="B2" s="91"/>
      <c r="AO2" s="76" t="s">
        <v>204</v>
      </c>
    </row>
    <row r="3" spans="1:41" ht="12">
      <c r="A3" s="93" t="s">
        <v>308</v>
      </c>
      <c r="B3" s="91"/>
      <c r="AO3" s="76"/>
    </row>
    <row r="4" spans="1:41" ht="12">
      <c r="A4" s="92" t="s">
        <v>266</v>
      </c>
      <c r="B4" s="91"/>
      <c r="AO4" s="76" t="s">
        <v>205</v>
      </c>
    </row>
    <row r="5" spans="1:41" ht="4" customHeight="1" thickBo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</row>
    <row r="6" spans="1:41" ht="17" customHeight="1">
      <c r="A6" s="1094" t="s">
        <v>201</v>
      </c>
      <c r="B6" s="1094"/>
      <c r="C6" s="71" t="s">
        <v>0</v>
      </c>
      <c r="D6" s="71" t="s">
        <v>1</v>
      </c>
      <c r="E6" s="71" t="s">
        <v>2</v>
      </c>
      <c r="F6" s="72">
        <v>2003</v>
      </c>
      <c r="G6" s="72">
        <v>2004</v>
      </c>
      <c r="H6" s="72">
        <v>2005</v>
      </c>
      <c r="I6" s="72">
        <v>2006</v>
      </c>
      <c r="J6" s="98">
        <v>2007</v>
      </c>
      <c r="K6" s="98">
        <v>2008</v>
      </c>
      <c r="L6" s="98">
        <v>2009</v>
      </c>
      <c r="M6" s="98">
        <v>2010</v>
      </c>
      <c r="N6" s="98">
        <v>2011</v>
      </c>
      <c r="O6" s="98">
        <v>2012</v>
      </c>
      <c r="P6" s="98">
        <v>2013</v>
      </c>
      <c r="Q6" s="98">
        <v>2014</v>
      </c>
      <c r="R6" s="98">
        <v>2015</v>
      </c>
      <c r="S6" s="98">
        <v>2016</v>
      </c>
      <c r="T6" s="99">
        <v>2017</v>
      </c>
      <c r="U6" s="100" t="s">
        <v>245</v>
      </c>
      <c r="V6" s="100" t="s">
        <v>270</v>
      </c>
      <c r="W6" s="112" t="s">
        <v>224</v>
      </c>
    </row>
    <row r="7" spans="1:41" ht="15" customHeight="1">
      <c r="A7" s="103" t="s">
        <v>199</v>
      </c>
      <c r="B7" s="103"/>
      <c r="C7" s="104">
        <v>17474.3</v>
      </c>
      <c r="D7" s="104">
        <v>17601.8</v>
      </c>
      <c r="E7" s="104">
        <v>18603.599999999999</v>
      </c>
      <c r="F7" s="104">
        <v>18969.3</v>
      </c>
      <c r="G7" s="105">
        <v>19096</v>
      </c>
      <c r="H7" s="105">
        <v>20511.900000000001</v>
      </c>
      <c r="I7" s="105">
        <v>22151.7</v>
      </c>
      <c r="J7" s="434">
        <v>22808.2</v>
      </c>
      <c r="K7" s="434">
        <v>24741.8</v>
      </c>
      <c r="L7" s="434">
        <v>25379.1</v>
      </c>
      <c r="M7" s="434">
        <v>26407.4</v>
      </c>
      <c r="N7" s="434">
        <v>27861.200000000001</v>
      </c>
      <c r="O7" s="434">
        <v>29538.1</v>
      </c>
      <c r="P7" s="434">
        <v>30131.9</v>
      </c>
      <c r="Q7" s="434">
        <v>30698.2</v>
      </c>
      <c r="R7" s="434">
        <v>31894</v>
      </c>
      <c r="S7" s="434">
        <v>32592.3</v>
      </c>
      <c r="T7" s="435">
        <v>33502.400000000001</v>
      </c>
      <c r="U7" s="435">
        <v>36117.599999999999</v>
      </c>
      <c r="V7" s="435">
        <v>37262.5</v>
      </c>
      <c r="W7" s="106">
        <f>((V7/U7)-1)*100</f>
        <v>3.1699226969676975</v>
      </c>
      <c r="AO7" s="21">
        <v>3.9</v>
      </c>
    </row>
    <row r="8" spans="1:41" ht="15" customHeight="1">
      <c r="A8" s="103" t="s">
        <v>200</v>
      </c>
      <c r="B8" s="103"/>
      <c r="C8" s="104">
        <v>11577.1</v>
      </c>
      <c r="D8" s="104">
        <v>11537.3</v>
      </c>
      <c r="E8" s="104">
        <v>12282.8</v>
      </c>
      <c r="F8" s="104">
        <v>12444.9</v>
      </c>
      <c r="G8" s="105">
        <v>12391.7</v>
      </c>
      <c r="H8" s="105">
        <v>13289.3</v>
      </c>
      <c r="I8" s="105">
        <v>14340.7</v>
      </c>
      <c r="J8" s="434">
        <v>14533.2</v>
      </c>
      <c r="K8" s="434">
        <v>15862.1</v>
      </c>
      <c r="L8" s="434">
        <v>15991.2</v>
      </c>
      <c r="M8" s="434">
        <v>16616</v>
      </c>
      <c r="N8" s="434">
        <v>17377.3</v>
      </c>
      <c r="O8" s="434">
        <v>18471.3</v>
      </c>
      <c r="P8" s="434">
        <v>18672.8</v>
      </c>
      <c r="Q8" s="434">
        <v>18833.5</v>
      </c>
      <c r="R8" s="434">
        <v>19407.900000000001</v>
      </c>
      <c r="S8" s="434">
        <v>19601</v>
      </c>
      <c r="T8" s="436">
        <v>20149</v>
      </c>
      <c r="U8" s="436">
        <v>22019.3</v>
      </c>
      <c r="V8" s="436">
        <v>22592.799999999999</v>
      </c>
      <c r="W8" s="106">
        <f>((V8/U8)-1)*100</f>
        <v>2.6045332957905121</v>
      </c>
      <c r="AO8" s="21">
        <v>3.3</v>
      </c>
    </row>
    <row r="9" spans="1:41" ht="15" customHeight="1">
      <c r="A9" s="103" t="s">
        <v>3</v>
      </c>
      <c r="B9" s="103"/>
      <c r="C9" s="107">
        <v>5897.2</v>
      </c>
      <c r="D9" s="107">
        <v>6064.5</v>
      </c>
      <c r="E9" s="107">
        <v>6320.8</v>
      </c>
      <c r="F9" s="107">
        <v>6524.4</v>
      </c>
      <c r="G9" s="108">
        <v>6704.3</v>
      </c>
      <c r="H9" s="108">
        <v>7222.6</v>
      </c>
      <c r="I9" s="108">
        <v>7811</v>
      </c>
      <c r="J9" s="437">
        <v>8275</v>
      </c>
      <c r="K9" s="437">
        <v>8879.7000000000007</v>
      </c>
      <c r="L9" s="437">
        <v>9387.9</v>
      </c>
      <c r="M9" s="437">
        <v>9791.4</v>
      </c>
      <c r="N9" s="437">
        <v>10483.9</v>
      </c>
      <c r="O9" s="437">
        <v>11066.7</v>
      </c>
      <c r="P9" s="437">
        <v>11459.1</v>
      </c>
      <c r="Q9" s="437">
        <v>11864.7</v>
      </c>
      <c r="R9" s="437">
        <v>12486.1</v>
      </c>
      <c r="S9" s="437">
        <v>12991.3</v>
      </c>
      <c r="T9" s="437">
        <v>13353.4</v>
      </c>
      <c r="U9" s="437">
        <v>14098.3</v>
      </c>
      <c r="V9" s="437">
        <v>14669.7</v>
      </c>
      <c r="W9" s="106">
        <f>((V9/U9)-1)*100</f>
        <v>4.0529709255725965</v>
      </c>
      <c r="AO9" s="21">
        <v>4.9000000000000004</v>
      </c>
    </row>
    <row r="10" spans="1:41" ht="3" customHeight="1">
      <c r="A10" s="1"/>
      <c r="B10" s="2"/>
      <c r="C10" s="3"/>
      <c r="D10" s="3"/>
      <c r="E10" s="3"/>
      <c r="F10" s="3"/>
      <c r="G10" s="3"/>
      <c r="H10" s="3"/>
      <c r="I10" s="3"/>
      <c r="J10" s="438"/>
      <c r="K10" s="438"/>
      <c r="L10" s="438"/>
      <c r="M10" s="438"/>
      <c r="N10" s="438"/>
      <c r="O10" s="438"/>
      <c r="P10" s="438"/>
      <c r="Q10" s="438"/>
      <c r="R10" s="438"/>
      <c r="S10" s="438"/>
      <c r="T10" s="438"/>
      <c r="U10" s="438"/>
      <c r="V10" s="438"/>
      <c r="W10" s="76"/>
    </row>
    <row r="11" spans="1:41" ht="14" customHeight="1">
      <c r="A11" s="1"/>
      <c r="B11" s="2" t="s">
        <v>228</v>
      </c>
      <c r="C11" s="4">
        <f t="shared" ref="C11:I11" si="0">SUM(C12:C14)</f>
        <v>2892.6</v>
      </c>
      <c r="D11" s="4">
        <f t="shared" si="0"/>
        <v>2958.5</v>
      </c>
      <c r="E11" s="4">
        <f t="shared" si="0"/>
        <v>3140.8999999999996</v>
      </c>
      <c r="F11" s="4">
        <f t="shared" si="0"/>
        <v>3262.9</v>
      </c>
      <c r="G11" s="4">
        <f t="shared" si="0"/>
        <v>3280.1</v>
      </c>
      <c r="H11" s="4">
        <f t="shared" si="0"/>
        <v>3623.2</v>
      </c>
      <c r="I11" s="4">
        <f t="shared" si="0"/>
        <v>4017.6000000000004</v>
      </c>
      <c r="J11" s="439">
        <f t="shared" ref="J11:U11" si="1">J12+J14</f>
        <v>4330.6000000000004</v>
      </c>
      <c r="K11" s="439">
        <f t="shared" si="1"/>
        <v>4847.7</v>
      </c>
      <c r="L11" s="439">
        <f t="shared" si="1"/>
        <v>5254.6</v>
      </c>
      <c r="M11" s="439">
        <f t="shared" si="1"/>
        <v>5560.0999999999995</v>
      </c>
      <c r="N11" s="439">
        <f t="shared" si="1"/>
        <v>6092.8</v>
      </c>
      <c r="O11" s="439">
        <f t="shared" si="1"/>
        <v>6526.6</v>
      </c>
      <c r="P11" s="439">
        <f t="shared" si="1"/>
        <v>6835.4</v>
      </c>
      <c r="Q11" s="439">
        <f t="shared" si="1"/>
        <v>7152.1</v>
      </c>
      <c r="R11" s="439">
        <f t="shared" si="1"/>
        <v>7724.4</v>
      </c>
      <c r="S11" s="439">
        <f t="shared" si="1"/>
        <v>8184.5</v>
      </c>
      <c r="T11" s="439">
        <f t="shared" si="1"/>
        <v>8482.7999999999993</v>
      </c>
      <c r="U11" s="439">
        <f t="shared" si="1"/>
        <v>9139.7999999999993</v>
      </c>
      <c r="V11" s="439">
        <f>V12+V14</f>
        <v>9596.7999999999993</v>
      </c>
      <c r="W11" s="77">
        <f t="shared" ref="W11:W24" si="2">((V11/U11)-1)*100</f>
        <v>5.0001094115845079</v>
      </c>
      <c r="AO11" s="21">
        <v>6.5</v>
      </c>
    </row>
    <row r="12" spans="1:41" ht="14" customHeight="1">
      <c r="A12" s="5">
        <v>1</v>
      </c>
      <c r="B12" s="6" t="s">
        <v>4</v>
      </c>
      <c r="C12" s="22">
        <v>2340.6</v>
      </c>
      <c r="D12" s="22">
        <v>2376.6</v>
      </c>
      <c r="E12" s="22">
        <v>2551.1999999999998</v>
      </c>
      <c r="F12" s="22">
        <v>2651.8</v>
      </c>
      <c r="G12" s="22">
        <v>2655</v>
      </c>
      <c r="H12" s="22">
        <v>2983.5</v>
      </c>
      <c r="I12" s="22">
        <v>3259.4</v>
      </c>
      <c r="J12" s="440">
        <v>3534.8</v>
      </c>
      <c r="K12" s="440">
        <v>4024.4</v>
      </c>
      <c r="L12" s="440">
        <v>4424.6000000000004</v>
      </c>
      <c r="M12" s="440">
        <v>4679.3999999999996</v>
      </c>
      <c r="N12" s="440">
        <v>5111.6000000000004</v>
      </c>
      <c r="O12" s="440">
        <v>5556.6</v>
      </c>
      <c r="P12" s="440">
        <v>5754.9</v>
      </c>
      <c r="Q12" s="440">
        <v>6044.3</v>
      </c>
      <c r="R12" s="440">
        <v>6531.3</v>
      </c>
      <c r="S12" s="440">
        <v>6945.9</v>
      </c>
      <c r="T12" s="440">
        <v>7199.8</v>
      </c>
      <c r="U12" s="440">
        <v>7742.8</v>
      </c>
      <c r="V12" s="440">
        <v>8087.9</v>
      </c>
      <c r="W12" s="77">
        <f t="shared" si="2"/>
        <v>4.4570439634240788</v>
      </c>
      <c r="AO12" s="21">
        <v>6.8</v>
      </c>
    </row>
    <row r="13" spans="1:41" ht="14" customHeight="1">
      <c r="A13" s="5"/>
      <c r="B13" s="6" t="s">
        <v>218</v>
      </c>
      <c r="C13" s="22"/>
      <c r="D13" s="22"/>
      <c r="E13" s="22"/>
      <c r="F13" s="22"/>
      <c r="G13" s="22"/>
      <c r="H13" s="22"/>
      <c r="I13" s="22"/>
      <c r="J13" s="440">
        <v>3273.1</v>
      </c>
      <c r="K13" s="440">
        <v>3727.9</v>
      </c>
      <c r="L13" s="440">
        <v>4121.7</v>
      </c>
      <c r="M13" s="440">
        <v>4362.7</v>
      </c>
      <c r="N13" s="440">
        <v>4582.8999999999996</v>
      </c>
      <c r="O13" s="440">
        <v>5195.8</v>
      </c>
      <c r="P13" s="440">
        <v>5394.3</v>
      </c>
      <c r="Q13" s="440">
        <v>5657.9</v>
      </c>
      <c r="R13" s="440">
        <v>6101.3</v>
      </c>
      <c r="S13" s="440">
        <v>6448.2</v>
      </c>
      <c r="T13" s="440">
        <v>6719.3</v>
      </c>
      <c r="U13" s="440">
        <v>7257.1</v>
      </c>
      <c r="V13" s="440">
        <v>7579</v>
      </c>
      <c r="W13" s="77">
        <f t="shared" si="2"/>
        <v>4.4356561160794117</v>
      </c>
    </row>
    <row r="14" spans="1:41" ht="14" customHeight="1">
      <c r="A14" s="5"/>
      <c r="B14" s="6" t="s">
        <v>321</v>
      </c>
      <c r="C14" s="22">
        <v>552</v>
      </c>
      <c r="D14" s="22">
        <v>581.9</v>
      </c>
      <c r="E14" s="22">
        <v>589.70000000000005</v>
      </c>
      <c r="F14" s="22">
        <v>611.1</v>
      </c>
      <c r="G14" s="22">
        <v>625.1</v>
      </c>
      <c r="H14" s="22">
        <v>639.70000000000005</v>
      </c>
      <c r="I14" s="22">
        <v>758.2</v>
      </c>
      <c r="J14" s="440">
        <v>795.8</v>
      </c>
      <c r="K14" s="440">
        <v>823.3</v>
      </c>
      <c r="L14" s="440">
        <v>830</v>
      </c>
      <c r="M14" s="440">
        <v>880.7</v>
      </c>
      <c r="N14" s="440">
        <v>981.2</v>
      </c>
      <c r="O14" s="440">
        <v>970</v>
      </c>
      <c r="P14" s="440">
        <v>1080.5</v>
      </c>
      <c r="Q14" s="440">
        <v>1107.8</v>
      </c>
      <c r="R14" s="440">
        <v>1193.0999999999999</v>
      </c>
      <c r="S14" s="440">
        <v>1238.5999999999999</v>
      </c>
      <c r="T14" s="440">
        <v>1283</v>
      </c>
      <c r="U14" s="440">
        <v>1397</v>
      </c>
      <c r="V14" s="440">
        <v>1508.9</v>
      </c>
      <c r="W14" s="77">
        <f t="shared" si="2"/>
        <v>8.0100214745884024</v>
      </c>
      <c r="AO14" s="21">
        <v>5.0999999999999996</v>
      </c>
    </row>
    <row r="15" spans="1:41" ht="14" customHeight="1">
      <c r="A15" s="7">
        <v>2</v>
      </c>
      <c r="B15" s="6" t="s">
        <v>5</v>
      </c>
      <c r="C15" s="22">
        <v>378.7</v>
      </c>
      <c r="D15" s="22">
        <v>388.4</v>
      </c>
      <c r="E15" s="22">
        <v>383.2</v>
      </c>
      <c r="F15" s="22">
        <v>389.2</v>
      </c>
      <c r="G15" s="22">
        <v>410.8</v>
      </c>
      <c r="H15" s="22">
        <v>410.6</v>
      </c>
      <c r="I15" s="22">
        <v>413.3</v>
      </c>
      <c r="J15" s="440">
        <v>412.5</v>
      </c>
      <c r="K15" s="440">
        <v>406.5</v>
      </c>
      <c r="L15" s="440">
        <v>407.8</v>
      </c>
      <c r="M15" s="440">
        <v>410.4</v>
      </c>
      <c r="N15" s="440">
        <v>417.6</v>
      </c>
      <c r="O15" s="440">
        <v>430.3</v>
      </c>
      <c r="P15" s="440">
        <v>425.5</v>
      </c>
      <c r="Q15" s="440">
        <v>419.6</v>
      </c>
      <c r="R15" s="440">
        <v>404.2</v>
      </c>
      <c r="S15" s="440">
        <v>413.9</v>
      </c>
      <c r="T15" s="440">
        <v>407.8</v>
      </c>
      <c r="U15" s="440">
        <v>410.4</v>
      </c>
      <c r="V15" s="440">
        <v>411.8</v>
      </c>
      <c r="W15" s="77">
        <f t="shared" si="2"/>
        <v>0.34113060428850872</v>
      </c>
      <c r="AO15" s="21">
        <v>0.4</v>
      </c>
    </row>
    <row r="16" spans="1:41" ht="14" customHeight="1">
      <c r="A16" s="5">
        <v>3</v>
      </c>
      <c r="B16" s="6" t="s">
        <v>6</v>
      </c>
      <c r="C16" s="22">
        <v>433.8</v>
      </c>
      <c r="D16" s="22">
        <v>442.2</v>
      </c>
      <c r="E16" s="22">
        <v>438.5</v>
      </c>
      <c r="F16" s="22">
        <v>439.5</v>
      </c>
      <c r="G16" s="22">
        <v>468.6</v>
      </c>
      <c r="H16" s="22">
        <v>494</v>
      </c>
      <c r="I16" s="22">
        <v>516.6</v>
      </c>
      <c r="J16" s="440">
        <v>542.70000000000005</v>
      </c>
      <c r="K16" s="440">
        <v>545.9</v>
      </c>
      <c r="L16" s="440">
        <v>543.6</v>
      </c>
      <c r="M16" s="440">
        <v>548.1</v>
      </c>
      <c r="N16" s="440">
        <v>557.20000000000005</v>
      </c>
      <c r="O16" s="440">
        <v>579.79999999999995</v>
      </c>
      <c r="P16" s="440">
        <v>605</v>
      </c>
      <c r="Q16" s="440">
        <v>641.6</v>
      </c>
      <c r="R16" s="440">
        <v>677.3</v>
      </c>
      <c r="S16" s="440">
        <v>708</v>
      </c>
      <c r="T16" s="440">
        <v>747.5</v>
      </c>
      <c r="U16" s="440">
        <v>781.6</v>
      </c>
      <c r="V16" s="440">
        <v>821</v>
      </c>
      <c r="W16" s="77">
        <f t="shared" si="2"/>
        <v>5.0409416581371547</v>
      </c>
      <c r="AO16" s="21">
        <v>3.3</v>
      </c>
    </row>
    <row r="17" spans="1:41" ht="14" customHeight="1">
      <c r="A17" s="7">
        <v>4</v>
      </c>
      <c r="B17" s="6" t="s">
        <v>7</v>
      </c>
      <c r="C17" s="22">
        <v>1114.0999999999999</v>
      </c>
      <c r="D17" s="22">
        <v>1114.3</v>
      </c>
      <c r="E17" s="22">
        <v>1147.4000000000001</v>
      </c>
      <c r="F17" s="22">
        <v>1174.2</v>
      </c>
      <c r="G17" s="22">
        <v>1227.9000000000001</v>
      </c>
      <c r="H17" s="22">
        <v>1304.4000000000001</v>
      </c>
      <c r="I17" s="22">
        <v>1382.1</v>
      </c>
      <c r="J17" s="440">
        <v>1396.3</v>
      </c>
      <c r="K17" s="440">
        <v>1397</v>
      </c>
      <c r="L17" s="440">
        <v>1408.9</v>
      </c>
      <c r="M17" s="440">
        <v>1470.2</v>
      </c>
      <c r="N17" s="440">
        <v>1531.9</v>
      </c>
      <c r="O17" s="440">
        <v>1596.3</v>
      </c>
      <c r="P17" s="440">
        <v>1651.6</v>
      </c>
      <c r="Q17" s="440">
        <v>1678.5</v>
      </c>
      <c r="R17" s="440">
        <v>1676.7</v>
      </c>
      <c r="S17" s="440">
        <v>1648.4</v>
      </c>
      <c r="T17" s="440">
        <v>1614.4</v>
      </c>
      <c r="U17" s="440">
        <v>1622.7</v>
      </c>
      <c r="V17" s="440">
        <v>1650.2</v>
      </c>
      <c r="W17" s="77">
        <f t="shared" si="2"/>
        <v>1.6947063536081775</v>
      </c>
      <c r="AO17" s="21">
        <v>2.2000000000000002</v>
      </c>
    </row>
    <row r="18" spans="1:41" ht="14" customHeight="1">
      <c r="A18" s="5">
        <v>5</v>
      </c>
      <c r="B18" s="6" t="s">
        <v>8</v>
      </c>
      <c r="C18" s="22">
        <v>57.6</v>
      </c>
      <c r="D18" s="22">
        <v>54.4</v>
      </c>
      <c r="E18" s="22">
        <v>53.3</v>
      </c>
      <c r="F18" s="22">
        <v>57.9</v>
      </c>
      <c r="G18" s="22">
        <v>59.5</v>
      </c>
      <c r="H18" s="22">
        <v>60.8</v>
      </c>
      <c r="I18" s="22">
        <v>62.3</v>
      </c>
      <c r="J18" s="440">
        <v>61.5</v>
      </c>
      <c r="K18" s="440">
        <v>59</v>
      </c>
      <c r="L18" s="440">
        <v>56.6</v>
      </c>
      <c r="M18" s="440">
        <v>56.4</v>
      </c>
      <c r="N18" s="440">
        <v>56.5</v>
      </c>
      <c r="O18" s="440">
        <v>57.4</v>
      </c>
      <c r="P18" s="440">
        <v>59.2</v>
      </c>
      <c r="Q18" s="440">
        <v>56.7</v>
      </c>
      <c r="R18" s="440">
        <v>54.3</v>
      </c>
      <c r="S18" s="440">
        <v>53.6</v>
      </c>
      <c r="T18" s="440">
        <v>50.5</v>
      </c>
      <c r="U18" s="440">
        <v>45.7</v>
      </c>
      <c r="V18" s="440">
        <v>46.9</v>
      </c>
      <c r="W18" s="77">
        <f t="shared" si="2"/>
        <v>2.6258205689277725</v>
      </c>
      <c r="AO18" s="21">
        <v>-0.7</v>
      </c>
    </row>
    <row r="19" spans="1:41" ht="14" customHeight="1">
      <c r="A19" s="7">
        <v>6</v>
      </c>
      <c r="B19" s="6" t="s">
        <v>9</v>
      </c>
      <c r="C19" s="22">
        <v>130.1</v>
      </c>
      <c r="D19" s="22">
        <v>137.30000000000001</v>
      </c>
      <c r="E19" s="22">
        <v>147.30000000000001</v>
      </c>
      <c r="F19" s="22">
        <v>146</v>
      </c>
      <c r="G19" s="22">
        <v>148.19999999999999</v>
      </c>
      <c r="H19" s="22">
        <v>154.4</v>
      </c>
      <c r="I19" s="22">
        <v>156.5</v>
      </c>
      <c r="J19" s="440">
        <v>166.7</v>
      </c>
      <c r="K19" s="440">
        <v>169.6</v>
      </c>
      <c r="L19" s="440">
        <v>181.4</v>
      </c>
      <c r="M19" s="440">
        <v>191.6</v>
      </c>
      <c r="N19" s="440">
        <v>201.5</v>
      </c>
      <c r="O19" s="440">
        <v>213.6</v>
      </c>
      <c r="P19" s="440">
        <v>216.6</v>
      </c>
      <c r="Q19" s="440">
        <v>224.2</v>
      </c>
      <c r="R19" s="440">
        <v>212.1</v>
      </c>
      <c r="S19" s="440">
        <v>221.5</v>
      </c>
      <c r="T19" s="440">
        <v>226.9</v>
      </c>
      <c r="U19" s="440">
        <v>225.9</v>
      </c>
      <c r="V19" s="440">
        <v>223.9</v>
      </c>
      <c r="W19" s="77">
        <f t="shared" si="2"/>
        <v>-0.88534749889331854</v>
      </c>
      <c r="AO19" s="21">
        <v>3.3</v>
      </c>
    </row>
    <row r="20" spans="1:41" ht="14" customHeight="1">
      <c r="A20" s="5">
        <v>7</v>
      </c>
      <c r="B20" s="6" t="s">
        <v>10</v>
      </c>
      <c r="C20" s="22">
        <v>25.2</v>
      </c>
      <c r="D20" s="22">
        <v>25.5</v>
      </c>
      <c r="E20" s="22">
        <v>25.5</v>
      </c>
      <c r="F20" s="22">
        <v>27.5</v>
      </c>
      <c r="G20" s="22">
        <v>29.1</v>
      </c>
      <c r="H20" s="22">
        <v>30.4</v>
      </c>
      <c r="I20" s="22">
        <v>30.3</v>
      </c>
      <c r="J20" s="440">
        <v>31.9</v>
      </c>
      <c r="K20" s="440">
        <v>31.3</v>
      </c>
      <c r="L20" s="440">
        <v>32.9</v>
      </c>
      <c r="M20" s="440">
        <v>32.1</v>
      </c>
      <c r="N20" s="440">
        <v>33.4</v>
      </c>
      <c r="O20" s="440">
        <v>34.299999999999997</v>
      </c>
      <c r="P20" s="440">
        <v>32.9</v>
      </c>
      <c r="Q20" s="440">
        <v>32.9</v>
      </c>
      <c r="R20" s="440">
        <v>31.4</v>
      </c>
      <c r="S20" s="440">
        <v>31.3</v>
      </c>
      <c r="T20" s="440">
        <v>31.6</v>
      </c>
      <c r="U20" s="440">
        <v>31.5</v>
      </c>
      <c r="V20" s="440">
        <v>30.3</v>
      </c>
      <c r="W20" s="77">
        <f t="shared" si="2"/>
        <v>-3.8095238095238071</v>
      </c>
      <c r="AO20" s="21">
        <v>1.3</v>
      </c>
    </row>
    <row r="21" spans="1:41" ht="14" customHeight="1">
      <c r="A21" s="5">
        <v>9</v>
      </c>
      <c r="B21" s="6" t="s">
        <v>318</v>
      </c>
      <c r="C21" s="22">
        <v>750.6</v>
      </c>
      <c r="D21" s="22">
        <v>822.4</v>
      </c>
      <c r="E21" s="22">
        <v>873.8</v>
      </c>
      <c r="F21" s="22">
        <v>918.1</v>
      </c>
      <c r="G21" s="22">
        <v>968.1</v>
      </c>
      <c r="H21" s="22">
        <v>1027.8</v>
      </c>
      <c r="I21" s="22">
        <v>1119.3</v>
      </c>
      <c r="J21" s="440">
        <v>1209.8</v>
      </c>
      <c r="K21" s="440">
        <v>1301</v>
      </c>
      <c r="L21" s="440">
        <v>1372.9</v>
      </c>
      <c r="M21" s="440">
        <v>1394.7</v>
      </c>
      <c r="N21" s="440">
        <v>1458.8</v>
      </c>
      <c r="O21" s="440">
        <v>1488</v>
      </c>
      <c r="P21" s="440">
        <v>1502.3</v>
      </c>
      <c r="Q21" s="440">
        <v>1529.2</v>
      </c>
      <c r="R21" s="440">
        <v>1581.5</v>
      </c>
      <c r="S21" s="440">
        <v>1624</v>
      </c>
      <c r="T21" s="440">
        <v>1673.4</v>
      </c>
      <c r="U21" s="440">
        <v>1717.8</v>
      </c>
      <c r="V21" s="440">
        <v>1769.5</v>
      </c>
      <c r="W21" s="77">
        <f t="shared" si="2"/>
        <v>3.0096635231109614</v>
      </c>
      <c r="AO21" s="21">
        <v>4.8</v>
      </c>
    </row>
    <row r="22" spans="1:41" ht="14" customHeight="1">
      <c r="A22" s="7">
        <v>10</v>
      </c>
      <c r="B22" s="6" t="s">
        <v>11</v>
      </c>
      <c r="C22" s="22">
        <v>57</v>
      </c>
      <c r="D22" s="22">
        <v>62.3</v>
      </c>
      <c r="E22" s="22">
        <v>58</v>
      </c>
      <c r="F22" s="22">
        <v>56.9</v>
      </c>
      <c r="G22" s="22">
        <v>59.6</v>
      </c>
      <c r="H22" s="22">
        <v>66</v>
      </c>
      <c r="I22" s="22">
        <v>64.3</v>
      </c>
      <c r="J22" s="440">
        <v>71.400000000000006</v>
      </c>
      <c r="K22" s="440">
        <v>73.7</v>
      </c>
      <c r="L22" s="440">
        <v>80.400000000000006</v>
      </c>
      <c r="M22" s="440">
        <v>79.8</v>
      </c>
      <c r="N22" s="440">
        <v>85.5</v>
      </c>
      <c r="O22" s="440">
        <v>88</v>
      </c>
      <c r="P22" s="440">
        <v>81</v>
      </c>
      <c r="Q22" s="440">
        <v>82.2</v>
      </c>
      <c r="R22" s="440">
        <v>81.400000000000006</v>
      </c>
      <c r="S22" s="440">
        <v>82.7</v>
      </c>
      <c r="T22" s="440">
        <v>79.099999999999994</v>
      </c>
      <c r="U22" s="440">
        <v>83.9</v>
      </c>
      <c r="V22" s="440">
        <v>81.599999999999994</v>
      </c>
      <c r="W22" s="77">
        <f t="shared" si="2"/>
        <v>-2.7413587604290912</v>
      </c>
      <c r="AO22" s="21">
        <v>1.9</v>
      </c>
    </row>
    <row r="23" spans="1:41" ht="14" customHeight="1">
      <c r="A23" s="5">
        <v>11</v>
      </c>
      <c r="B23" s="6" t="s">
        <v>12</v>
      </c>
      <c r="C23" s="22">
        <v>4.5999999999999996</v>
      </c>
      <c r="D23" s="22">
        <v>4.7</v>
      </c>
      <c r="E23" s="22">
        <v>3.8</v>
      </c>
      <c r="F23" s="22">
        <v>3.9</v>
      </c>
      <c r="G23" s="22">
        <v>3.8</v>
      </c>
      <c r="H23" s="22">
        <v>3.7</v>
      </c>
      <c r="I23" s="22">
        <v>3.8</v>
      </c>
      <c r="J23" s="440">
        <v>4.5</v>
      </c>
      <c r="K23" s="440">
        <v>4.3</v>
      </c>
      <c r="L23" s="440">
        <v>4.3</v>
      </c>
      <c r="M23" s="440">
        <v>3.9</v>
      </c>
      <c r="N23" s="440">
        <v>4.2</v>
      </c>
      <c r="O23" s="440">
        <v>4.5999999999999996</v>
      </c>
      <c r="P23" s="440">
        <v>4.4000000000000004</v>
      </c>
      <c r="Q23" s="440">
        <v>4.5999999999999996</v>
      </c>
      <c r="R23" s="440">
        <v>4</v>
      </c>
      <c r="S23" s="440">
        <v>4.0999999999999996</v>
      </c>
      <c r="T23" s="440">
        <v>4.2</v>
      </c>
      <c r="U23" s="440">
        <v>4</v>
      </c>
      <c r="V23" s="440">
        <v>4</v>
      </c>
      <c r="W23" s="77">
        <f t="shared" si="2"/>
        <v>0</v>
      </c>
      <c r="AO23" s="21">
        <v>-0.5</v>
      </c>
    </row>
    <row r="24" spans="1:41" ht="14" customHeight="1" thickBot="1">
      <c r="A24" s="8">
        <v>12</v>
      </c>
      <c r="B24" s="9" t="s">
        <v>283</v>
      </c>
      <c r="C24" s="25">
        <v>53.5</v>
      </c>
      <c r="D24" s="25">
        <v>54.4</v>
      </c>
      <c r="E24" s="25">
        <v>48.9</v>
      </c>
      <c r="F24" s="25">
        <v>49</v>
      </c>
      <c r="G24" s="25">
        <v>48.6</v>
      </c>
      <c r="H24" s="25">
        <v>47.2</v>
      </c>
      <c r="I24" s="25">
        <v>44.9</v>
      </c>
      <c r="J24" s="441">
        <v>47.2</v>
      </c>
      <c r="K24" s="441">
        <v>43.6</v>
      </c>
      <c r="L24" s="441">
        <v>44.5</v>
      </c>
      <c r="M24" s="441">
        <v>44.2</v>
      </c>
      <c r="N24" s="441">
        <v>44.5</v>
      </c>
      <c r="O24" s="441">
        <v>47.7</v>
      </c>
      <c r="P24" s="441">
        <v>45</v>
      </c>
      <c r="Q24" s="441">
        <v>43.2</v>
      </c>
      <c r="R24" s="441">
        <v>38.799999999999997</v>
      </c>
      <c r="S24" s="441">
        <v>40.5</v>
      </c>
      <c r="T24" s="441">
        <v>35.200000000000003</v>
      </c>
      <c r="U24" s="441">
        <v>34.9</v>
      </c>
      <c r="V24" s="441">
        <v>33.5</v>
      </c>
      <c r="W24" s="78">
        <f t="shared" si="2"/>
        <v>-4.0114613180515679</v>
      </c>
      <c r="AO24" s="21">
        <v>-2.4</v>
      </c>
    </row>
    <row r="25" spans="1:41" ht="10" customHeight="1">
      <c r="A25" s="28" t="s">
        <v>238</v>
      </c>
      <c r="B25" s="85"/>
      <c r="C25" s="86"/>
      <c r="D25" s="86"/>
      <c r="E25" s="87"/>
      <c r="F25" s="88"/>
      <c r="G25" s="88"/>
      <c r="H25" s="88"/>
      <c r="I25" s="88"/>
      <c r="J25" s="88"/>
      <c r="K25" s="88"/>
      <c r="L25" s="88"/>
    </row>
    <row r="26" spans="1:41" ht="10" customHeight="1">
      <c r="A26" s="28" t="s">
        <v>246</v>
      </c>
      <c r="B26" s="85"/>
      <c r="C26" s="86"/>
      <c r="D26" s="86"/>
      <c r="E26" s="87"/>
      <c r="F26" s="88"/>
      <c r="G26" s="88"/>
      <c r="H26" s="88"/>
      <c r="I26" s="88"/>
      <c r="J26" s="88"/>
      <c r="K26" s="88"/>
      <c r="L26" s="88"/>
      <c r="S26" s="79"/>
    </row>
    <row r="27" spans="1:41" ht="10" customHeight="1">
      <c r="A27" s="28" t="s">
        <v>192</v>
      </c>
      <c r="B27" s="85"/>
      <c r="C27" s="86"/>
      <c r="D27" s="86"/>
      <c r="E27" s="87"/>
      <c r="F27" s="88"/>
      <c r="G27" s="88"/>
      <c r="H27" s="88"/>
      <c r="I27" s="88"/>
      <c r="J27" s="88"/>
      <c r="K27" s="88"/>
      <c r="L27" s="88"/>
      <c r="S27" s="79"/>
    </row>
    <row r="28" spans="1:41" ht="10" customHeight="1">
      <c r="A28" s="40" t="s">
        <v>261</v>
      </c>
      <c r="B28" s="89"/>
      <c r="C28" s="89"/>
      <c r="D28" s="90"/>
      <c r="E28" s="90"/>
      <c r="F28" s="90"/>
      <c r="G28" s="90"/>
      <c r="H28" s="90"/>
      <c r="I28" s="90"/>
      <c r="J28" s="90"/>
      <c r="K28" s="90"/>
      <c r="L28" s="90"/>
      <c r="M28" s="14"/>
      <c r="N28" s="14"/>
      <c r="O28" s="14"/>
      <c r="P28" s="15"/>
      <c r="Q28" s="15"/>
      <c r="R28" s="15"/>
      <c r="S28" s="15"/>
      <c r="T28" s="15"/>
      <c r="U28" s="15"/>
      <c r="V28" s="15"/>
    </row>
    <row r="29" spans="1:41" ht="13" customHeight="1">
      <c r="B29" s="14"/>
      <c r="C29" s="14"/>
      <c r="D29" s="14"/>
      <c r="E29" s="14"/>
      <c r="F29" s="1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41" ht="12">
      <c r="A30" s="341" t="s">
        <v>253</v>
      </c>
      <c r="B30" s="94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</row>
    <row r="31" spans="1:41" ht="13" customHeight="1">
      <c r="A31" s="95" t="s">
        <v>262</v>
      </c>
      <c r="B31" s="91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</row>
    <row r="32" spans="1:41" ht="4" customHeight="1" thickBo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80"/>
      <c r="V32" s="80"/>
    </row>
    <row r="33" spans="1:22" ht="17" customHeight="1">
      <c r="A33" s="1094" t="s">
        <v>201</v>
      </c>
      <c r="B33" s="1094"/>
      <c r="C33" s="113" t="s">
        <v>0</v>
      </c>
      <c r="D33" s="113" t="s">
        <v>1</v>
      </c>
      <c r="E33" s="113" t="s">
        <v>2</v>
      </c>
      <c r="F33" s="114">
        <v>2003</v>
      </c>
      <c r="G33" s="114">
        <v>2004</v>
      </c>
      <c r="H33" s="114">
        <v>2005</v>
      </c>
      <c r="I33" s="114">
        <v>2006</v>
      </c>
      <c r="J33" s="115">
        <v>2007</v>
      </c>
      <c r="K33" s="115">
        <v>2008</v>
      </c>
      <c r="L33" s="115">
        <v>2009</v>
      </c>
      <c r="M33" s="115">
        <v>2010</v>
      </c>
      <c r="N33" s="115">
        <v>2011</v>
      </c>
      <c r="O33" s="115">
        <v>2012</v>
      </c>
      <c r="P33" s="115">
        <v>2013</v>
      </c>
      <c r="Q33" s="115">
        <v>2014</v>
      </c>
      <c r="R33" s="115">
        <v>2015</v>
      </c>
      <c r="S33" s="115">
        <v>2016</v>
      </c>
      <c r="T33" s="101">
        <v>2017</v>
      </c>
      <c r="U33" s="101">
        <v>2018</v>
      </c>
      <c r="V33" s="102" t="s">
        <v>270</v>
      </c>
    </row>
    <row r="34" spans="1:22" ht="15" customHeight="1">
      <c r="A34" s="103" t="s">
        <v>199</v>
      </c>
      <c r="B34" s="103"/>
      <c r="C34" s="109">
        <f>C7/$C$7*100</f>
        <v>100</v>
      </c>
      <c r="D34" s="109">
        <f>D7/$D$7*100</f>
        <v>100</v>
      </c>
      <c r="E34" s="109">
        <f>E7/$E$7*100</f>
        <v>100</v>
      </c>
      <c r="F34" s="109">
        <f>F7/$F$7*100</f>
        <v>100</v>
      </c>
      <c r="G34" s="109">
        <f>G7/$G$7*100</f>
        <v>100</v>
      </c>
      <c r="H34" s="109">
        <f>H7/$H$7*100</f>
        <v>100</v>
      </c>
      <c r="I34" s="109">
        <f>I7/$I$7*100</f>
        <v>100</v>
      </c>
      <c r="J34" s="443">
        <f>J7/$J$7*100</f>
        <v>100</v>
      </c>
      <c r="K34" s="443">
        <f>K7/$K$7*100</f>
        <v>100</v>
      </c>
      <c r="L34" s="443">
        <f>L7/$L$7*100</f>
        <v>100</v>
      </c>
      <c r="M34" s="443">
        <f>M7/$M$7*100</f>
        <v>100</v>
      </c>
      <c r="N34" s="443">
        <f>N7/$N$7*100</f>
        <v>100</v>
      </c>
      <c r="O34" s="443">
        <f>O7/$O$7*100</f>
        <v>100</v>
      </c>
      <c r="P34" s="443">
        <f>P7/$P$7*100</f>
        <v>100</v>
      </c>
      <c r="Q34" s="443">
        <f>Q7/$Q$7*100</f>
        <v>100</v>
      </c>
      <c r="R34" s="443">
        <f>R7/$R$7*100</f>
        <v>100</v>
      </c>
      <c r="S34" s="443">
        <f>S7/$S$7*100</f>
        <v>100</v>
      </c>
      <c r="T34" s="443">
        <f>T7/$T$7*100</f>
        <v>100</v>
      </c>
      <c r="U34" s="443">
        <f>U7/$U$7*100</f>
        <v>100</v>
      </c>
      <c r="V34" s="443">
        <f>V7/$V$7*100</f>
        <v>100</v>
      </c>
    </row>
    <row r="35" spans="1:22" ht="15" customHeight="1">
      <c r="A35" s="103" t="s">
        <v>200</v>
      </c>
      <c r="B35" s="103"/>
      <c r="C35" s="109">
        <f>C8/$C$7*100</f>
        <v>66.252153162072304</v>
      </c>
      <c r="D35" s="109">
        <f>D8/$D$7*100</f>
        <v>65.546137326864297</v>
      </c>
      <c r="E35" s="109">
        <f>E8/$E$7*100</f>
        <v>66.023780343589408</v>
      </c>
      <c r="F35" s="109">
        <f>F8/$F$7*100</f>
        <v>65.60547832550489</v>
      </c>
      <c r="G35" s="109">
        <f>G8/$G$7*100</f>
        <v>64.891600335148723</v>
      </c>
      <c r="H35" s="109">
        <f>H8/$H$7*100</f>
        <v>64.788244872488647</v>
      </c>
      <c r="I35" s="109">
        <f>I8/$I$7*100</f>
        <v>64.738597940564375</v>
      </c>
      <c r="J35" s="443">
        <f>J8/$J$7*100</f>
        <v>63.719188712831354</v>
      </c>
      <c r="K35" s="443">
        <f>K8/$K$7*100</f>
        <v>64.110533590927105</v>
      </c>
      <c r="L35" s="443">
        <f>L8/$L$7*100</f>
        <v>63.009326571864257</v>
      </c>
      <c r="M35" s="443">
        <f>M8/$M$7*100</f>
        <v>62.921756780296434</v>
      </c>
      <c r="N35" s="443">
        <f>N8/$N$7*100</f>
        <v>62.370967510372843</v>
      </c>
      <c r="O35" s="443">
        <f>O8/$O$7*100</f>
        <v>62.533812262806343</v>
      </c>
      <c r="P35" s="443">
        <f>P8/$P$7*100</f>
        <v>61.970204334940703</v>
      </c>
      <c r="Q35" s="443">
        <f>Q8/$Q$7*100</f>
        <v>61.350502635333669</v>
      </c>
      <c r="R35" s="443">
        <f>R8/$R$7*100</f>
        <v>60.851257289772377</v>
      </c>
      <c r="S35" s="443">
        <f>S8/$S$7*100</f>
        <v>60.139971711109688</v>
      </c>
      <c r="T35" s="443">
        <f>T8/$T$7*100</f>
        <v>60.141959978986584</v>
      </c>
      <c r="U35" s="443">
        <f>U8/$U$7*100</f>
        <v>60.965568033313403</v>
      </c>
      <c r="V35" s="443">
        <f>V8/$V$7*100</f>
        <v>60.631465951023145</v>
      </c>
    </row>
    <row r="36" spans="1:22" ht="15" customHeight="1">
      <c r="A36" s="110" t="s">
        <v>202</v>
      </c>
      <c r="B36" s="111"/>
      <c r="C36" s="109">
        <f>C9/$C$7*100</f>
        <v>33.747846837927696</v>
      </c>
      <c r="D36" s="109">
        <f>D9/$D$7*100</f>
        <v>34.453862673135703</v>
      </c>
      <c r="E36" s="109">
        <f>E9/$E$7*100</f>
        <v>33.976219656410592</v>
      </c>
      <c r="F36" s="109">
        <f>F9/$F$7*100</f>
        <v>34.394521674495103</v>
      </c>
      <c r="G36" s="109">
        <f>G9/$G$7*100</f>
        <v>35.108399664851284</v>
      </c>
      <c r="H36" s="109">
        <f>H9/$H$7*100</f>
        <v>35.211755127511346</v>
      </c>
      <c r="I36" s="109">
        <f>I9/$I$7*100</f>
        <v>35.261402059435618</v>
      </c>
      <c r="J36" s="443">
        <f>J9/$J$7*100</f>
        <v>36.280811287168646</v>
      </c>
      <c r="K36" s="443">
        <f>K9/$K$7*100</f>
        <v>35.889466409072909</v>
      </c>
      <c r="L36" s="443">
        <f>L9/$L$7*100</f>
        <v>36.99067342813575</v>
      </c>
      <c r="M36" s="443">
        <f>M9/$M$7*100</f>
        <v>37.078243219703566</v>
      </c>
      <c r="N36" s="443">
        <f>N9/$N$7*100</f>
        <v>37.62903248962715</v>
      </c>
      <c r="O36" s="443">
        <f>O9/$O$7*100</f>
        <v>37.465849191383342</v>
      </c>
      <c r="P36" s="443">
        <f>P9/$P$7*100</f>
        <v>38.029795665059289</v>
      </c>
      <c r="Q36" s="443">
        <f>Q9/$Q$7*100</f>
        <v>38.649497364666338</v>
      </c>
      <c r="R36" s="443">
        <f>R9/$R$7*100</f>
        <v>39.14874271022763</v>
      </c>
      <c r="S36" s="443">
        <f>S9/$S$7*100</f>
        <v>39.860028288890319</v>
      </c>
      <c r="T36" s="443">
        <f>T9/$T$7*100</f>
        <v>39.858040021013416</v>
      </c>
      <c r="U36" s="443">
        <f>U9/$U$7*100</f>
        <v>39.034431966686597</v>
      </c>
      <c r="V36" s="443">
        <f>V9/$V$7*100</f>
        <v>39.368534048976855</v>
      </c>
    </row>
    <row r="37" spans="1:22" ht="1" customHeight="1">
      <c r="A37" s="6"/>
      <c r="B37" s="81"/>
      <c r="C37" s="4"/>
      <c r="D37" s="4"/>
      <c r="E37" s="4"/>
      <c r="F37" s="4"/>
      <c r="G37" s="4"/>
      <c r="H37" s="4"/>
      <c r="I37" s="4"/>
      <c r="J37" s="444"/>
      <c r="K37" s="444"/>
      <c r="L37" s="444"/>
      <c r="M37" s="444"/>
      <c r="N37" s="444"/>
      <c r="O37" s="444"/>
      <c r="P37" s="444"/>
      <c r="Q37" s="444"/>
      <c r="R37" s="444"/>
      <c r="S37" s="444"/>
      <c r="T37" s="444"/>
      <c r="U37" s="444"/>
      <c r="V37" s="444"/>
    </row>
    <row r="38" spans="1:22" ht="14" customHeight="1">
      <c r="A38" s="1"/>
      <c r="B38" s="2" t="s">
        <v>228</v>
      </c>
      <c r="C38" s="17">
        <f>C11/$C$7*100</f>
        <v>16.553452784947037</v>
      </c>
      <c r="D38" s="17">
        <f>D11/$D$7*100</f>
        <v>16.80794009703553</v>
      </c>
      <c r="E38" s="17">
        <f>E11/$E$7*100</f>
        <v>16.883291405964439</v>
      </c>
      <c r="F38" s="17">
        <f>F11/$F$7*100</f>
        <v>17.200951010316672</v>
      </c>
      <c r="G38" s="17">
        <f>G11/$G$7*100</f>
        <v>17.176895684960201</v>
      </c>
      <c r="H38" s="17">
        <f>H11/$H$7*100</f>
        <v>17.663892667183436</v>
      </c>
      <c r="I38" s="17">
        <f>I11/$I$7*100</f>
        <v>18.136756998334214</v>
      </c>
      <c r="J38" s="445">
        <f t="shared" ref="J38:J51" si="3">J11/$J$7*100</f>
        <v>18.987030980086111</v>
      </c>
      <c r="K38" s="445">
        <f t="shared" ref="K38:K51" si="4">K11/$K$7*100</f>
        <v>19.593158137241428</v>
      </c>
      <c r="L38" s="445">
        <f t="shared" ref="L38:L51" si="5">L11/$L$7*100</f>
        <v>20.704437903629366</v>
      </c>
      <c r="M38" s="445">
        <f t="shared" ref="M38:M51" si="6">M11/$M$7*100</f>
        <v>21.055083044904077</v>
      </c>
      <c r="N38" s="445">
        <f t="shared" ref="N38:N51" si="7">N11/$N$7*100</f>
        <v>21.868404806684566</v>
      </c>
      <c r="O38" s="445">
        <f t="shared" ref="O38:O51" si="8">O11/$O$7*100</f>
        <v>22.095530856757883</v>
      </c>
      <c r="P38" s="445">
        <f t="shared" ref="P38:P51" si="9">P11/$P$7*100</f>
        <v>22.684928597267344</v>
      </c>
      <c r="Q38" s="445">
        <f t="shared" ref="Q38:Q51" si="10">Q11/$Q$7*100</f>
        <v>23.298108683896775</v>
      </c>
      <c r="R38" s="445">
        <f t="shared" ref="R38:R51" si="11">R11/$R$7*100</f>
        <v>24.218975355866306</v>
      </c>
      <c r="S38" s="445">
        <f t="shared" ref="S38:S51" si="12">S11/$S$7*100</f>
        <v>25.111759526023018</v>
      </c>
      <c r="T38" s="445">
        <f t="shared" ref="T38:T51" si="13">T11/$T$7*100</f>
        <v>25.319977076269161</v>
      </c>
      <c r="U38" s="445">
        <f t="shared" ref="U38:U51" si="14">U11/$U$7*100</f>
        <v>25.305668150707689</v>
      </c>
      <c r="V38" s="445">
        <f t="shared" ref="V38:V51" si="15">V11/$V$7*100</f>
        <v>25.754579000335454</v>
      </c>
    </row>
    <row r="39" spans="1:22" ht="14" customHeight="1">
      <c r="A39" s="1"/>
      <c r="B39" s="6" t="s">
        <v>4</v>
      </c>
      <c r="C39" s="17">
        <f>C12/$C$7*100</f>
        <v>13.394527963924164</v>
      </c>
      <c r="D39" s="17">
        <f>D12/$D$7*100</f>
        <v>13.502028201661192</v>
      </c>
      <c r="E39" s="17">
        <f>E12/$E$7*100</f>
        <v>13.71347481132684</v>
      </c>
      <c r="F39" s="17">
        <f>F12/$F$7*100</f>
        <v>13.979429920977582</v>
      </c>
      <c r="G39" s="17">
        <f>G12/$G$7*100</f>
        <v>13.903435274403018</v>
      </c>
      <c r="H39" s="17">
        <f>H12/$H$7*100</f>
        <v>14.545215216532842</v>
      </c>
      <c r="I39" s="17">
        <f>I12/$I$7*100</f>
        <v>14.713994862696769</v>
      </c>
      <c r="J39" s="445">
        <f t="shared" si="3"/>
        <v>15.497934953218579</v>
      </c>
      <c r="K39" s="445">
        <f t="shared" si="4"/>
        <v>16.265591024096874</v>
      </c>
      <c r="L39" s="445">
        <f t="shared" si="5"/>
        <v>17.434030363566873</v>
      </c>
      <c r="M39" s="445">
        <f t="shared" si="6"/>
        <v>17.720033021047129</v>
      </c>
      <c r="N39" s="445">
        <f t="shared" si="7"/>
        <v>18.346661306763529</v>
      </c>
      <c r="O39" s="445">
        <f t="shared" si="8"/>
        <v>18.811636496592538</v>
      </c>
      <c r="P39" s="445">
        <f t="shared" si="9"/>
        <v>19.099027940488316</v>
      </c>
      <c r="Q39" s="445">
        <f t="shared" si="10"/>
        <v>19.689428044641055</v>
      </c>
      <c r="R39" s="445">
        <f t="shared" si="11"/>
        <v>20.478146359816893</v>
      </c>
      <c r="S39" s="445">
        <f t="shared" si="12"/>
        <v>21.311475409836063</v>
      </c>
      <c r="T39" s="445">
        <f t="shared" si="13"/>
        <v>21.490400687711926</v>
      </c>
      <c r="U39" s="445">
        <f t="shared" si="14"/>
        <v>21.4377478016258</v>
      </c>
      <c r="V39" s="445">
        <f t="shared" si="15"/>
        <v>21.70519959745052</v>
      </c>
    </row>
    <row r="40" spans="1:22" ht="14" customHeight="1">
      <c r="A40" s="1"/>
      <c r="B40" s="6" t="s">
        <v>218</v>
      </c>
      <c r="C40" s="17"/>
      <c r="D40" s="17"/>
      <c r="E40" s="17"/>
      <c r="F40" s="17"/>
      <c r="G40" s="17"/>
      <c r="H40" s="17"/>
      <c r="I40" s="17"/>
      <c r="J40" s="445">
        <f t="shared" si="3"/>
        <v>14.35054059504915</v>
      </c>
      <c r="K40" s="445">
        <f t="shared" si="4"/>
        <v>15.067214188135058</v>
      </c>
      <c r="L40" s="445">
        <f t="shared" si="5"/>
        <v>16.240528623946478</v>
      </c>
      <c r="M40" s="445">
        <f t="shared" si="6"/>
        <v>16.520747972159317</v>
      </c>
      <c r="N40" s="445">
        <f t="shared" si="7"/>
        <v>16.449040242344189</v>
      </c>
      <c r="O40" s="445">
        <f t="shared" si="8"/>
        <v>17.59016321293516</v>
      </c>
      <c r="P40" s="445">
        <f t="shared" si="9"/>
        <v>17.90228960005841</v>
      </c>
      <c r="Q40" s="445">
        <f t="shared" si="10"/>
        <v>18.430722322481447</v>
      </c>
      <c r="R40" s="445">
        <f t="shared" si="11"/>
        <v>19.129930394431554</v>
      </c>
      <c r="S40" s="445">
        <f t="shared" si="12"/>
        <v>19.78442761020241</v>
      </c>
      <c r="T40" s="445">
        <f t="shared" si="13"/>
        <v>20.056175079994269</v>
      </c>
      <c r="U40" s="445">
        <f t="shared" si="14"/>
        <v>20.092974062506926</v>
      </c>
      <c r="V40" s="445">
        <f t="shared" si="15"/>
        <v>20.339483394833948</v>
      </c>
    </row>
    <row r="41" spans="1:22" ht="14" customHeight="1">
      <c r="A41" s="5">
        <v>1</v>
      </c>
      <c r="B41" s="6" t="s">
        <v>321</v>
      </c>
      <c r="C41" s="17">
        <f t="shared" ref="C41:C51" si="16">C14/$C$7*100</f>
        <v>3.1589248210228735</v>
      </c>
      <c r="D41" s="17">
        <f t="shared" ref="D41:D51" si="17">D14/$D$7*100</f>
        <v>3.3059118953743369</v>
      </c>
      <c r="E41" s="17">
        <f t="shared" ref="E41:E51" si="18">E14/$E$7*100</f>
        <v>3.1698165946375978</v>
      </c>
      <c r="F41" s="17">
        <f t="shared" ref="F41:F51" si="19">F14/$F$7*100</f>
        <v>3.2215210893390904</v>
      </c>
      <c r="G41" s="17">
        <f t="shared" ref="G41:G51" si="20">G14/$G$7*100</f>
        <v>3.2734604105571852</v>
      </c>
      <c r="H41" s="17">
        <f t="shared" ref="H41:H51" si="21">H14/$H$7*100</f>
        <v>3.1186774506505981</v>
      </c>
      <c r="I41" s="17">
        <f t="shared" ref="I41:I51" si="22">I14/$I$7*100</f>
        <v>3.4227621356374458</v>
      </c>
      <c r="J41" s="445">
        <f t="shared" si="3"/>
        <v>3.4890960268675295</v>
      </c>
      <c r="K41" s="445">
        <f t="shared" si="4"/>
        <v>3.327567113144557</v>
      </c>
      <c r="L41" s="445">
        <f t="shared" si="5"/>
        <v>3.270407540062493</v>
      </c>
      <c r="M41" s="445">
        <f t="shared" si="6"/>
        <v>3.3350500238569487</v>
      </c>
      <c r="N41" s="445">
        <f t="shared" si="7"/>
        <v>3.5217434999210373</v>
      </c>
      <c r="O41" s="445">
        <f t="shared" si="8"/>
        <v>3.2838943601653456</v>
      </c>
      <c r="P41" s="445">
        <f t="shared" si="9"/>
        <v>3.5859006567790277</v>
      </c>
      <c r="Q41" s="445">
        <f t="shared" si="10"/>
        <v>3.6086806392557214</v>
      </c>
      <c r="R41" s="445">
        <f t="shared" si="11"/>
        <v>3.7408289960494132</v>
      </c>
      <c r="S41" s="445">
        <f t="shared" si="12"/>
        <v>3.8002841161869521</v>
      </c>
      <c r="T41" s="445">
        <f t="shared" si="13"/>
        <v>3.8295763885572374</v>
      </c>
      <c r="U41" s="445">
        <f t="shared" si="14"/>
        <v>3.8679203490818881</v>
      </c>
      <c r="V41" s="445">
        <f t="shared" si="15"/>
        <v>4.0493794028849379</v>
      </c>
    </row>
    <row r="42" spans="1:22" ht="14" customHeight="1">
      <c r="A42" s="5"/>
      <c r="B42" s="6" t="s">
        <v>5</v>
      </c>
      <c r="C42" s="17">
        <f t="shared" si="16"/>
        <v>2.1671826625386998</v>
      </c>
      <c r="D42" s="17">
        <f t="shared" si="17"/>
        <v>2.2065925075844515</v>
      </c>
      <c r="E42" s="17">
        <f t="shared" si="18"/>
        <v>2.0598163796254489</v>
      </c>
      <c r="F42" s="17">
        <f t="shared" si="19"/>
        <v>2.0517362264290195</v>
      </c>
      <c r="G42" s="17">
        <f t="shared" si="20"/>
        <v>2.15123586091328</v>
      </c>
      <c r="H42" s="17">
        <f t="shared" si="21"/>
        <v>2.0017648291967101</v>
      </c>
      <c r="I42" s="17">
        <f t="shared" si="22"/>
        <v>1.8657710243457613</v>
      </c>
      <c r="J42" s="445">
        <f t="shared" si="3"/>
        <v>1.8085600792697363</v>
      </c>
      <c r="K42" s="445">
        <f t="shared" si="4"/>
        <v>1.6429685794889619</v>
      </c>
      <c r="L42" s="445">
        <f t="shared" si="5"/>
        <v>1.6068339696837162</v>
      </c>
      <c r="M42" s="445">
        <f t="shared" si="6"/>
        <v>1.5541098328498828</v>
      </c>
      <c r="N42" s="445">
        <f t="shared" si="7"/>
        <v>1.4988586277690839</v>
      </c>
      <c r="O42" s="445">
        <f t="shared" si="8"/>
        <v>1.4567626218341736</v>
      </c>
      <c r="P42" s="445">
        <f t="shared" si="9"/>
        <v>1.4121246917718431</v>
      </c>
      <c r="Q42" s="445">
        <f t="shared" si="10"/>
        <v>1.3668553856577912</v>
      </c>
      <c r="R42" s="445">
        <f t="shared" si="11"/>
        <v>1.2673230074622186</v>
      </c>
      <c r="S42" s="445">
        <f t="shared" si="12"/>
        <v>1.2699318550700625</v>
      </c>
      <c r="T42" s="445">
        <f t="shared" si="13"/>
        <v>1.2172262285686994</v>
      </c>
      <c r="U42" s="445">
        <f t="shared" si="14"/>
        <v>1.1362881254568409</v>
      </c>
      <c r="V42" s="445">
        <f t="shared" si="15"/>
        <v>1.1051325058705133</v>
      </c>
    </row>
    <row r="43" spans="1:22" ht="14" customHeight="1">
      <c r="A43" s="5"/>
      <c r="B43" s="6" t="s">
        <v>6</v>
      </c>
      <c r="C43" s="17">
        <f t="shared" si="16"/>
        <v>2.4825028756516718</v>
      </c>
      <c r="D43" s="17">
        <f t="shared" si="17"/>
        <v>2.512243066050063</v>
      </c>
      <c r="E43" s="17">
        <f t="shared" si="18"/>
        <v>2.3570706744931091</v>
      </c>
      <c r="F43" s="17">
        <f t="shared" si="19"/>
        <v>2.3169015198241367</v>
      </c>
      <c r="G43" s="17">
        <f t="shared" si="20"/>
        <v>2.4539170506912447</v>
      </c>
      <c r="H43" s="17">
        <f t="shared" si="21"/>
        <v>2.4083580750686182</v>
      </c>
      <c r="I43" s="17">
        <f t="shared" si="22"/>
        <v>2.3321009222768456</v>
      </c>
      <c r="J43" s="445">
        <f t="shared" si="3"/>
        <v>2.3794074061083297</v>
      </c>
      <c r="K43" s="445">
        <f t="shared" si="4"/>
        <v>2.2063875708315481</v>
      </c>
      <c r="L43" s="445">
        <f t="shared" si="5"/>
        <v>2.1419199262385193</v>
      </c>
      <c r="M43" s="445">
        <f t="shared" si="6"/>
        <v>2.0755545793981987</v>
      </c>
      <c r="N43" s="445">
        <f t="shared" si="7"/>
        <v>1.9999138586995535</v>
      </c>
      <c r="O43" s="445">
        <f t="shared" si="8"/>
        <v>1.9628886082720283</v>
      </c>
      <c r="P43" s="445">
        <f t="shared" si="9"/>
        <v>2.007838868441751</v>
      </c>
      <c r="Q43" s="445">
        <f t="shared" si="10"/>
        <v>2.090024822302285</v>
      </c>
      <c r="R43" s="445">
        <f t="shared" si="11"/>
        <v>2.1235969147802094</v>
      </c>
      <c r="S43" s="445">
        <f t="shared" si="12"/>
        <v>2.1722922285325059</v>
      </c>
      <c r="T43" s="445">
        <f t="shared" si="13"/>
        <v>2.2311834376044701</v>
      </c>
      <c r="U43" s="445">
        <f t="shared" si="14"/>
        <v>2.1640419075464594</v>
      </c>
      <c r="V43" s="445">
        <f t="shared" si="15"/>
        <v>2.2032874874203285</v>
      </c>
    </row>
    <row r="44" spans="1:22" ht="14" customHeight="1">
      <c r="A44" s="5"/>
      <c r="B44" s="6" t="s">
        <v>7</v>
      </c>
      <c r="C44" s="17">
        <f t="shared" si="16"/>
        <v>6.375648809966636</v>
      </c>
      <c r="D44" s="17">
        <f t="shared" si="17"/>
        <v>6.3306025520117259</v>
      </c>
      <c r="E44" s="17">
        <f t="shared" si="18"/>
        <v>6.1676234707260971</v>
      </c>
      <c r="F44" s="17">
        <f t="shared" si="19"/>
        <v>6.1900017396530185</v>
      </c>
      <c r="G44" s="17">
        <f t="shared" si="20"/>
        <v>6.4301424382069552</v>
      </c>
      <c r="H44" s="17">
        <f t="shared" si="21"/>
        <v>6.3592353706872595</v>
      </c>
      <c r="I44" s="17">
        <f t="shared" si="22"/>
        <v>6.2392502607023381</v>
      </c>
      <c r="J44" s="445">
        <f t="shared" si="3"/>
        <v>6.1219210634771706</v>
      </c>
      <c r="K44" s="445">
        <f t="shared" si="4"/>
        <v>5.6463151427947844</v>
      </c>
      <c r="L44" s="445">
        <f t="shared" si="5"/>
        <v>5.5514182930048745</v>
      </c>
      <c r="M44" s="445">
        <f t="shared" si="6"/>
        <v>5.5673788407794786</v>
      </c>
      <c r="N44" s="445">
        <f t="shared" si="7"/>
        <v>5.4983274230829968</v>
      </c>
      <c r="O44" s="445">
        <f t="shared" si="8"/>
        <v>5.4042067702391154</v>
      </c>
      <c r="P44" s="445">
        <f t="shared" si="9"/>
        <v>5.4812341737494146</v>
      </c>
      <c r="Q44" s="445">
        <f t="shared" si="10"/>
        <v>5.4677472946296524</v>
      </c>
      <c r="R44" s="445">
        <f t="shared" si="11"/>
        <v>5.257101649213018</v>
      </c>
      <c r="S44" s="445">
        <f t="shared" si="12"/>
        <v>5.0576363128714457</v>
      </c>
      <c r="T44" s="445">
        <f t="shared" si="13"/>
        <v>4.8187592530684373</v>
      </c>
      <c r="U44" s="445">
        <f t="shared" si="14"/>
        <v>4.4928234434181675</v>
      </c>
      <c r="V44" s="445">
        <f t="shared" si="15"/>
        <v>4.4285810130828578</v>
      </c>
    </row>
    <row r="45" spans="1:22" ht="14" customHeight="1">
      <c r="A45" s="5"/>
      <c r="B45" s="6" t="s">
        <v>8</v>
      </c>
      <c r="C45" s="17">
        <f t="shared" si="16"/>
        <v>0.32962693784586505</v>
      </c>
      <c r="D45" s="17">
        <f t="shared" si="17"/>
        <v>0.30905930075333204</v>
      </c>
      <c r="E45" s="17">
        <f t="shared" si="18"/>
        <v>0.28650368745834143</v>
      </c>
      <c r="F45" s="17">
        <f t="shared" si="19"/>
        <v>0.30523002957410134</v>
      </c>
      <c r="G45" s="17">
        <f t="shared" si="20"/>
        <v>0.31158357771260997</v>
      </c>
      <c r="H45" s="17">
        <f t="shared" si="21"/>
        <v>0.29641330154690693</v>
      </c>
      <c r="I45" s="17">
        <f t="shared" si="22"/>
        <v>0.2812425231472076</v>
      </c>
      <c r="J45" s="445">
        <f t="shared" si="3"/>
        <v>0.26963986636385157</v>
      </c>
      <c r="K45" s="445">
        <f t="shared" si="4"/>
        <v>0.23846284425547049</v>
      </c>
      <c r="L45" s="445">
        <f t="shared" si="5"/>
        <v>0.2230181527319724</v>
      </c>
      <c r="M45" s="445">
        <f t="shared" si="6"/>
        <v>0.21357649749691371</v>
      </c>
      <c r="N45" s="445">
        <f t="shared" si="7"/>
        <v>0.20279097813446656</v>
      </c>
      <c r="O45" s="445">
        <f t="shared" si="8"/>
        <v>0.19432529512731017</v>
      </c>
      <c r="P45" s="445">
        <f t="shared" si="9"/>
        <v>0.19646952233347381</v>
      </c>
      <c r="Q45" s="445">
        <f t="shared" si="10"/>
        <v>0.18470138314298559</v>
      </c>
      <c r="R45" s="445">
        <f t="shared" si="11"/>
        <v>0.17025145795447419</v>
      </c>
      <c r="S45" s="445">
        <f t="shared" si="12"/>
        <v>0.164456021821105</v>
      </c>
      <c r="T45" s="445">
        <f t="shared" si="13"/>
        <v>0.1507354696976933</v>
      </c>
      <c r="U45" s="445">
        <f t="shared" si="14"/>
        <v>0.12653110948678761</v>
      </c>
      <c r="V45" s="445">
        <f t="shared" si="15"/>
        <v>0.12586380409258638</v>
      </c>
    </row>
    <row r="46" spans="1:22" ht="14" customHeight="1">
      <c r="A46" s="5"/>
      <c r="B46" s="6" t="s">
        <v>9</v>
      </c>
      <c r="C46" s="17">
        <f t="shared" si="16"/>
        <v>0.74452195509977515</v>
      </c>
      <c r="D46" s="17">
        <f t="shared" si="17"/>
        <v>0.78003386017339149</v>
      </c>
      <c r="E46" s="17">
        <f t="shared" si="18"/>
        <v>0.79178223569631689</v>
      </c>
      <c r="F46" s="17">
        <f t="shared" si="19"/>
        <v>0.76966466870153361</v>
      </c>
      <c r="G46" s="17">
        <f t="shared" si="20"/>
        <v>0.77607875994972764</v>
      </c>
      <c r="H46" s="17">
        <f t="shared" si="21"/>
        <v>0.75273377892832938</v>
      </c>
      <c r="I46" s="17">
        <f t="shared" si="22"/>
        <v>0.70649205252869973</v>
      </c>
      <c r="J46" s="445">
        <f t="shared" si="3"/>
        <v>0.73087749142852121</v>
      </c>
      <c r="K46" s="445">
        <f t="shared" si="4"/>
        <v>0.6854796336564033</v>
      </c>
      <c r="L46" s="445">
        <f t="shared" si="5"/>
        <v>0.71476135875582669</v>
      </c>
      <c r="M46" s="445">
        <f t="shared" si="6"/>
        <v>0.72555420071646581</v>
      </c>
      <c r="N46" s="445">
        <f t="shared" si="7"/>
        <v>0.72322800166539847</v>
      </c>
      <c r="O46" s="445">
        <f t="shared" si="8"/>
        <v>0.72313385085702864</v>
      </c>
      <c r="P46" s="445">
        <f t="shared" si="9"/>
        <v>0.71883950232145988</v>
      </c>
      <c r="Q46" s="445">
        <f t="shared" si="10"/>
        <v>0.73033598061124105</v>
      </c>
      <c r="R46" s="445">
        <f t="shared" si="11"/>
        <v>0.66501536339123346</v>
      </c>
      <c r="S46" s="445">
        <f t="shared" si="12"/>
        <v>0.67960837375699168</v>
      </c>
      <c r="T46" s="445">
        <f t="shared" si="13"/>
        <v>0.67726491236448738</v>
      </c>
      <c r="U46" s="445">
        <f t="shared" si="14"/>
        <v>0.62545684098611209</v>
      </c>
      <c r="V46" s="445">
        <f t="shared" si="15"/>
        <v>0.60087219054008723</v>
      </c>
    </row>
    <row r="47" spans="1:22" ht="14" customHeight="1">
      <c r="A47" s="5"/>
      <c r="B47" s="6" t="s">
        <v>10</v>
      </c>
      <c r="C47" s="17">
        <f t="shared" si="16"/>
        <v>0.14421178530756598</v>
      </c>
      <c r="D47" s="17">
        <f t="shared" si="17"/>
        <v>0.1448715472281244</v>
      </c>
      <c r="E47" s="17">
        <f t="shared" si="18"/>
        <v>0.1370702444688125</v>
      </c>
      <c r="F47" s="17">
        <f t="shared" si="19"/>
        <v>0.14497108485816557</v>
      </c>
      <c r="G47" s="17">
        <f t="shared" si="20"/>
        <v>0.15238793464599917</v>
      </c>
      <c r="H47" s="17">
        <f t="shared" si="21"/>
        <v>0.14820665077345346</v>
      </c>
      <c r="I47" s="17">
        <f t="shared" si="22"/>
        <v>0.13678408429149908</v>
      </c>
      <c r="J47" s="445">
        <f t="shared" si="3"/>
        <v>0.13986197946352627</v>
      </c>
      <c r="K47" s="445">
        <f t="shared" si="4"/>
        <v>0.12650655974908859</v>
      </c>
      <c r="L47" s="445">
        <f t="shared" si="5"/>
        <v>0.12963422658801926</v>
      </c>
      <c r="M47" s="445">
        <f t="shared" si="6"/>
        <v>0.12155683634132855</v>
      </c>
      <c r="N47" s="445">
        <f t="shared" si="7"/>
        <v>0.1198799764547112</v>
      </c>
      <c r="O47" s="445">
        <f t="shared" si="8"/>
        <v>0.11612121294192923</v>
      </c>
      <c r="P47" s="445">
        <f t="shared" si="9"/>
        <v>0.10918660954005555</v>
      </c>
      <c r="Q47" s="445">
        <f t="shared" si="10"/>
        <v>0.10717240750272002</v>
      </c>
      <c r="R47" s="445">
        <f t="shared" si="11"/>
        <v>9.8451119332789855E-2</v>
      </c>
      <c r="S47" s="445">
        <f t="shared" si="12"/>
        <v>9.6034953041055721E-2</v>
      </c>
      <c r="T47" s="445">
        <f t="shared" si="13"/>
        <v>9.4321600840536798E-2</v>
      </c>
      <c r="U47" s="445">
        <f t="shared" si="14"/>
        <v>8.721509734866105E-2</v>
      </c>
      <c r="V47" s="445">
        <f t="shared" si="15"/>
        <v>8.1314994968131507E-2</v>
      </c>
    </row>
    <row r="48" spans="1:22" ht="14" customHeight="1">
      <c r="A48" s="5"/>
      <c r="B48" s="6" t="s">
        <v>318</v>
      </c>
      <c r="C48" s="17">
        <f t="shared" si="16"/>
        <v>4.2954510338039293</v>
      </c>
      <c r="D48" s="17">
        <f t="shared" si="17"/>
        <v>4.6722494290356664</v>
      </c>
      <c r="E48" s="17">
        <f t="shared" si="18"/>
        <v>4.6969403771313081</v>
      </c>
      <c r="F48" s="17">
        <f t="shared" si="19"/>
        <v>4.8399255639375198</v>
      </c>
      <c r="G48" s="17">
        <f t="shared" si="20"/>
        <v>5.0696480938416419</v>
      </c>
      <c r="H48" s="17">
        <f t="shared" si="21"/>
        <v>5.0107498573998503</v>
      </c>
      <c r="I48" s="17">
        <f t="shared" si="22"/>
        <v>5.0528853315998319</v>
      </c>
      <c r="J48" s="445">
        <f t="shared" si="3"/>
        <v>5.304232688243701</v>
      </c>
      <c r="K48" s="445">
        <f t="shared" si="4"/>
        <v>5.2583078029892736</v>
      </c>
      <c r="L48" s="445">
        <f t="shared" si="5"/>
        <v>5.4095692912672249</v>
      </c>
      <c r="M48" s="445">
        <f t="shared" si="6"/>
        <v>5.2814741322508079</v>
      </c>
      <c r="N48" s="445">
        <f t="shared" si="7"/>
        <v>5.2359553788063691</v>
      </c>
      <c r="O48" s="445">
        <f t="shared" si="8"/>
        <v>5.0375616576557061</v>
      </c>
      <c r="P48" s="445">
        <f t="shared" si="9"/>
        <v>4.9857460034050289</v>
      </c>
      <c r="Q48" s="445">
        <f t="shared" si="10"/>
        <v>4.981399560886306</v>
      </c>
      <c r="R48" s="445">
        <f t="shared" si="11"/>
        <v>4.9586129052486365</v>
      </c>
      <c r="S48" s="445">
        <f t="shared" si="12"/>
        <v>4.9827720044304948</v>
      </c>
      <c r="T48" s="445">
        <f t="shared" si="13"/>
        <v>4.9948660394479205</v>
      </c>
      <c r="U48" s="445">
        <f t="shared" si="14"/>
        <v>4.756129975413649</v>
      </c>
      <c r="V48" s="445">
        <f t="shared" si="15"/>
        <v>4.7487420328748735</v>
      </c>
    </row>
    <row r="49" spans="1:34" ht="14" customHeight="1">
      <c r="A49" s="5"/>
      <c r="B49" s="6" t="s">
        <v>11</v>
      </c>
      <c r="C49" s="17">
        <f t="shared" si="16"/>
        <v>0.32619332390997063</v>
      </c>
      <c r="D49" s="17">
        <f t="shared" si="17"/>
        <v>0.35394107420831961</v>
      </c>
      <c r="E49" s="17">
        <f t="shared" si="18"/>
        <v>0.31176761487024018</v>
      </c>
      <c r="F49" s="17">
        <f t="shared" si="19"/>
        <v>0.2999583537610771</v>
      </c>
      <c r="G49" s="17">
        <f t="shared" si="20"/>
        <v>0.31210724759111858</v>
      </c>
      <c r="H49" s="17">
        <f t="shared" si="21"/>
        <v>0.32176443917920816</v>
      </c>
      <c r="I49" s="17">
        <f t="shared" si="22"/>
        <v>0.29027117557568943</v>
      </c>
      <c r="J49" s="445">
        <f t="shared" si="3"/>
        <v>0.31304530826632532</v>
      </c>
      <c r="K49" s="445">
        <f t="shared" si="4"/>
        <v>0.29787646816318941</v>
      </c>
      <c r="L49" s="445">
        <f t="shared" si="5"/>
        <v>0.3167961038807523</v>
      </c>
      <c r="M49" s="445">
        <f t="shared" si="6"/>
        <v>0.30218802305414388</v>
      </c>
      <c r="N49" s="445">
        <f t="shared" si="7"/>
        <v>0.30687838284065294</v>
      </c>
      <c r="O49" s="445">
        <f t="shared" si="8"/>
        <v>0.29792031308716538</v>
      </c>
      <c r="P49" s="445">
        <f t="shared" si="9"/>
        <v>0.26881809643600302</v>
      </c>
      <c r="Q49" s="445">
        <f t="shared" si="10"/>
        <v>0.26776814275755584</v>
      </c>
      <c r="R49" s="445">
        <f t="shared" si="11"/>
        <v>0.25522041763341069</v>
      </c>
      <c r="S49" s="445">
        <f t="shared" si="12"/>
        <v>0.25374091426502582</v>
      </c>
      <c r="T49" s="445">
        <f t="shared" si="13"/>
        <v>0.23610248817995125</v>
      </c>
      <c r="U49" s="445">
        <f t="shared" si="14"/>
        <v>0.23229671960484644</v>
      </c>
      <c r="V49" s="445">
        <f t="shared" si="15"/>
        <v>0.21898691714189866</v>
      </c>
    </row>
    <row r="50" spans="1:34" ht="14" customHeight="1">
      <c r="A50" s="5"/>
      <c r="B50" s="6" t="s">
        <v>12</v>
      </c>
      <c r="C50" s="17">
        <f t="shared" si="16"/>
        <v>2.6324373508523943E-2</v>
      </c>
      <c r="D50" s="17">
        <f t="shared" si="17"/>
        <v>2.6701814587144497E-2</v>
      </c>
      <c r="E50" s="17">
        <f t="shared" si="18"/>
        <v>2.0426154077705389E-2</v>
      </c>
      <c r="F50" s="17">
        <f t="shared" si="19"/>
        <v>2.0559535670794389E-2</v>
      </c>
      <c r="G50" s="17">
        <f t="shared" si="20"/>
        <v>1.989945538332635E-2</v>
      </c>
      <c r="H50" s="17">
        <f t="shared" si="21"/>
        <v>1.8038309469137426E-2</v>
      </c>
      <c r="I50" s="17">
        <f t="shared" si="22"/>
        <v>1.7154439614115394E-2</v>
      </c>
      <c r="J50" s="445">
        <f t="shared" si="3"/>
        <v>1.9729746319306213E-2</v>
      </c>
      <c r="K50" s="445">
        <f t="shared" si="4"/>
        <v>1.7379495428788527E-2</v>
      </c>
      <c r="L50" s="445">
        <f t="shared" si="5"/>
        <v>1.6943075207552671E-2</v>
      </c>
      <c r="M50" s="445">
        <f t="shared" si="6"/>
        <v>1.4768587592871694E-2</v>
      </c>
      <c r="N50" s="445">
        <f t="shared" si="7"/>
        <v>1.507472757813734E-2</v>
      </c>
      <c r="O50" s="445">
        <f t="shared" si="8"/>
        <v>1.5573107275010918E-2</v>
      </c>
      <c r="P50" s="445">
        <f t="shared" si="9"/>
        <v>1.460246449775819E-2</v>
      </c>
      <c r="Q50" s="445">
        <f t="shared" si="10"/>
        <v>1.4984591930471492E-2</v>
      </c>
      <c r="R50" s="445">
        <f t="shared" si="11"/>
        <v>1.2541543864049666E-2</v>
      </c>
      <c r="S50" s="445">
        <f t="shared" si="12"/>
        <v>1.2579658385569598E-2</v>
      </c>
      <c r="T50" s="445">
        <f t="shared" si="13"/>
        <v>1.2536415301590335E-2</v>
      </c>
      <c r="U50" s="445">
        <f t="shared" si="14"/>
        <v>1.107493299665537E-2</v>
      </c>
      <c r="V50" s="445">
        <f t="shared" si="15"/>
        <v>1.0734652801073465E-2</v>
      </c>
    </row>
    <row r="51" spans="1:34" ht="14" customHeight="1" thickBot="1">
      <c r="A51" s="18">
        <v>3</v>
      </c>
      <c r="B51" s="9" t="s">
        <v>80</v>
      </c>
      <c r="C51" s="19">
        <f t="shared" si="16"/>
        <v>0.30616390928391984</v>
      </c>
      <c r="D51" s="19">
        <f t="shared" si="17"/>
        <v>0.30905930075333204</v>
      </c>
      <c r="E51" s="19">
        <f t="shared" si="18"/>
        <v>0.26285235115784045</v>
      </c>
      <c r="F51" s="19">
        <f t="shared" si="19"/>
        <v>0.25831211483818589</v>
      </c>
      <c r="G51" s="19">
        <f t="shared" si="20"/>
        <v>0.25450356095517385</v>
      </c>
      <c r="H51" s="19">
        <f t="shared" si="21"/>
        <v>0.23011032620088825</v>
      </c>
      <c r="I51" s="19">
        <f t="shared" si="22"/>
        <v>0.2026932470194161</v>
      </c>
      <c r="J51" s="446">
        <f t="shared" si="3"/>
        <v>0.20694311694916742</v>
      </c>
      <c r="K51" s="446">
        <f t="shared" si="4"/>
        <v>0.17622000016166975</v>
      </c>
      <c r="L51" s="446">
        <f t="shared" si="5"/>
        <v>0.17534112714792882</v>
      </c>
      <c r="M51" s="446">
        <f t="shared" si="6"/>
        <v>0.16737732605254588</v>
      </c>
      <c r="N51" s="446">
        <f t="shared" si="7"/>
        <v>0.15972032791121704</v>
      </c>
      <c r="O51" s="446">
        <f t="shared" si="8"/>
        <v>0.16148635152565671</v>
      </c>
      <c r="P51" s="446">
        <f t="shared" si="9"/>
        <v>0.14934338690889057</v>
      </c>
      <c r="Q51" s="446">
        <f t="shared" si="10"/>
        <v>0.14072486334703666</v>
      </c>
      <c r="R51" s="446">
        <f t="shared" si="11"/>
        <v>0.12165297548128173</v>
      </c>
      <c r="S51" s="446">
        <f t="shared" si="12"/>
        <v>0.12426247917452894</v>
      </c>
      <c r="T51" s="446">
        <f t="shared" si="13"/>
        <v>0.10506709967047137</v>
      </c>
      <c r="U51" s="446">
        <f t="shared" si="14"/>
        <v>9.6628790395818107E-2</v>
      </c>
      <c r="V51" s="446">
        <f t="shared" si="15"/>
        <v>8.9902717208990277E-2</v>
      </c>
    </row>
    <row r="52" spans="1:34" ht="10" customHeight="1">
      <c r="A52" s="28" t="s">
        <v>238</v>
      </c>
      <c r="B52" s="85"/>
      <c r="C52" s="86"/>
      <c r="D52" s="86"/>
      <c r="E52" s="87"/>
      <c r="F52" s="88"/>
      <c r="G52" s="88"/>
      <c r="H52" s="88"/>
      <c r="I52" s="88"/>
      <c r="J52" s="88"/>
      <c r="K52" s="88"/>
      <c r="L52" s="88"/>
      <c r="M52" s="88"/>
      <c r="O52" s="4"/>
      <c r="P52" s="4"/>
      <c r="Q52" s="4"/>
      <c r="R52" s="4"/>
      <c r="S52" s="4"/>
    </row>
    <row r="53" spans="1:34" ht="10" customHeight="1">
      <c r="A53" s="28" t="s">
        <v>265</v>
      </c>
      <c r="B53" s="85"/>
      <c r="C53" s="86"/>
      <c r="D53" s="86"/>
      <c r="E53" s="87"/>
      <c r="F53" s="88"/>
      <c r="G53" s="88"/>
      <c r="H53" s="88"/>
      <c r="I53" s="88"/>
      <c r="J53" s="88"/>
      <c r="K53" s="88"/>
      <c r="L53" s="88"/>
      <c r="M53" s="88"/>
      <c r="O53" s="4"/>
      <c r="P53" s="4"/>
      <c r="Q53" s="4"/>
      <c r="R53" s="4"/>
      <c r="S53" s="4"/>
    </row>
    <row r="54" spans="1:34" ht="10" customHeight="1">
      <c r="A54" s="28" t="s">
        <v>192</v>
      </c>
      <c r="B54" s="85"/>
      <c r="C54" s="86"/>
      <c r="D54" s="86"/>
      <c r="E54" s="87"/>
      <c r="F54" s="88"/>
      <c r="G54" s="88"/>
      <c r="H54" s="88"/>
      <c r="I54" s="88"/>
      <c r="J54" s="88"/>
      <c r="K54" s="88"/>
      <c r="L54" s="88"/>
      <c r="M54" s="88"/>
      <c r="O54" s="4"/>
      <c r="P54" s="4"/>
      <c r="Q54" s="4"/>
      <c r="R54" s="4"/>
      <c r="S54" s="4"/>
    </row>
    <row r="55" spans="1:34" ht="10" customHeight="1">
      <c r="A55" s="40" t="s">
        <v>261</v>
      </c>
      <c r="B55" s="89"/>
      <c r="C55" s="89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14"/>
      <c r="O55" s="4"/>
      <c r="P55" s="4"/>
      <c r="Q55" s="4"/>
      <c r="R55" s="4"/>
      <c r="S55" s="4"/>
      <c r="T55" s="14"/>
      <c r="U55" s="14"/>
      <c r="V55" s="14"/>
    </row>
    <row r="56" spans="1:34" ht="10" customHeight="1">
      <c r="A56" s="40"/>
      <c r="B56" s="89"/>
      <c r="C56" s="89"/>
      <c r="D56" s="90"/>
      <c r="E56" s="90"/>
      <c r="F56" s="90"/>
      <c r="G56" s="90"/>
      <c r="H56" s="90"/>
      <c r="I56" s="90"/>
      <c r="J56" s="90"/>
      <c r="K56" s="90"/>
      <c r="L56" s="90"/>
      <c r="M56" s="14"/>
      <c r="N56" s="14"/>
      <c r="O56" s="4"/>
      <c r="P56" s="4"/>
      <c r="Q56" s="4"/>
      <c r="R56" s="4"/>
      <c r="S56" s="4"/>
      <c r="T56" s="14"/>
      <c r="U56" s="14"/>
      <c r="V56" s="14"/>
    </row>
    <row r="57" spans="1:34" ht="16" customHeight="1">
      <c r="A57" s="93" t="s">
        <v>264</v>
      </c>
      <c r="B57" s="93"/>
      <c r="C57" s="91"/>
      <c r="D57" s="91"/>
      <c r="E57" s="91"/>
      <c r="F57" s="91"/>
      <c r="G57" s="91"/>
      <c r="H57" s="91"/>
      <c r="I57" s="91"/>
      <c r="J57" s="91"/>
      <c r="K57" s="97"/>
    </row>
    <row r="58" spans="1:34" ht="13" customHeight="1">
      <c r="A58" s="95" t="s">
        <v>263</v>
      </c>
      <c r="B58" s="95"/>
      <c r="C58" s="91"/>
      <c r="D58" s="91"/>
      <c r="E58" s="91"/>
      <c r="F58" s="91"/>
      <c r="G58" s="91"/>
      <c r="H58" s="91"/>
      <c r="I58" s="91"/>
      <c r="J58" s="91"/>
      <c r="K58" s="97"/>
    </row>
    <row r="59" spans="1:34" ht="4" customHeight="1" thickBo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spans="1:34" ht="17" customHeight="1">
      <c r="A60" s="1094" t="s">
        <v>17</v>
      </c>
      <c r="B60" s="1094"/>
      <c r="C60" s="113" t="s">
        <v>0</v>
      </c>
      <c r="D60" s="113" t="s">
        <v>1</v>
      </c>
      <c r="E60" s="113" t="s">
        <v>2</v>
      </c>
      <c r="F60" s="114">
        <v>2003</v>
      </c>
      <c r="G60" s="114">
        <v>2004</v>
      </c>
      <c r="H60" s="114">
        <v>2005</v>
      </c>
      <c r="I60" s="114">
        <v>2006</v>
      </c>
      <c r="J60" s="115">
        <v>2007</v>
      </c>
      <c r="K60" s="115">
        <v>2008</v>
      </c>
      <c r="L60" s="115">
        <v>2009</v>
      </c>
      <c r="M60" s="115">
        <v>2010</v>
      </c>
      <c r="N60" s="115">
        <v>2011</v>
      </c>
      <c r="O60" s="115">
        <v>2012</v>
      </c>
      <c r="P60" s="115">
        <v>2013</v>
      </c>
      <c r="Q60" s="115">
        <v>2014</v>
      </c>
      <c r="R60" s="115">
        <v>2015</v>
      </c>
      <c r="S60" s="115">
        <v>2016</v>
      </c>
      <c r="T60" s="101">
        <v>2017</v>
      </c>
      <c r="U60" s="101">
        <v>2018</v>
      </c>
      <c r="V60" s="102" t="s">
        <v>270</v>
      </c>
    </row>
    <row r="61" spans="1:34" ht="3" customHeight="1">
      <c r="A61" s="1"/>
      <c r="B61" s="1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83"/>
      <c r="X61" s="83"/>
    </row>
    <row r="62" spans="1:34" ht="14" customHeight="1">
      <c r="A62" s="1"/>
      <c r="B62" s="1" t="s">
        <v>3</v>
      </c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spans="1:34" ht="14" customHeight="1">
      <c r="B63" s="10" t="s">
        <v>230</v>
      </c>
      <c r="C63" s="22">
        <v>622.1</v>
      </c>
      <c r="D63" s="22">
        <v>631.70000000000005</v>
      </c>
      <c r="E63" s="22">
        <v>678.1</v>
      </c>
      <c r="F63" s="22">
        <v>704.9</v>
      </c>
      <c r="G63" s="22">
        <v>705.7</v>
      </c>
      <c r="H63" s="22">
        <v>793</v>
      </c>
      <c r="I63" s="22">
        <v>866.4</v>
      </c>
      <c r="J63" s="447">
        <v>939.6</v>
      </c>
      <c r="K63" s="447">
        <v>1069.7</v>
      </c>
      <c r="L63" s="447">
        <v>1176.0999999999999</v>
      </c>
      <c r="M63" s="447">
        <v>1243.8</v>
      </c>
      <c r="N63" s="447">
        <v>1358.7</v>
      </c>
      <c r="O63" s="447">
        <v>1477</v>
      </c>
      <c r="P63" s="447">
        <v>1529.7</v>
      </c>
      <c r="Q63" s="447">
        <v>1606.6</v>
      </c>
      <c r="R63" s="447">
        <v>1736.1</v>
      </c>
      <c r="S63" s="447">
        <v>1846.3</v>
      </c>
      <c r="T63" s="447">
        <v>1913.8</v>
      </c>
      <c r="U63" s="447">
        <v>2058.1</v>
      </c>
      <c r="V63" s="447">
        <v>2149.8000000000002</v>
      </c>
      <c r="Y63" s="10"/>
      <c r="Z63" s="10"/>
      <c r="AA63" s="10"/>
      <c r="AB63" s="10"/>
      <c r="AC63" s="22"/>
      <c r="AD63" s="22"/>
      <c r="AE63" s="23"/>
      <c r="AF63" s="23"/>
      <c r="AG63" s="22"/>
      <c r="AH63" s="22"/>
    </row>
    <row r="64" spans="1:34" ht="14" customHeight="1">
      <c r="B64" s="10" t="s">
        <v>231</v>
      </c>
      <c r="C64" s="22"/>
      <c r="D64" s="22"/>
      <c r="E64" s="22"/>
      <c r="F64" s="22"/>
      <c r="G64" s="22"/>
      <c r="H64" s="22"/>
      <c r="I64" s="22"/>
      <c r="J64" s="447">
        <v>870</v>
      </c>
      <c r="K64" s="447">
        <v>990.9</v>
      </c>
      <c r="L64" s="447">
        <v>1095.5999999999999</v>
      </c>
      <c r="M64" s="447">
        <v>1159.5999999999999</v>
      </c>
      <c r="N64" s="447">
        <v>1218.2</v>
      </c>
      <c r="O64" s="447">
        <v>1381.1</v>
      </c>
      <c r="P64" s="447">
        <v>1433.8</v>
      </c>
      <c r="Q64" s="447">
        <v>1503.9</v>
      </c>
      <c r="R64" s="447">
        <v>1621.8</v>
      </c>
      <c r="S64" s="447">
        <v>1714</v>
      </c>
      <c r="T64" s="447">
        <v>1786</v>
      </c>
      <c r="U64" s="447">
        <v>1929</v>
      </c>
      <c r="V64" s="447">
        <v>2014.6</v>
      </c>
      <c r="X64" s="10"/>
      <c r="Y64" s="10"/>
      <c r="Z64" s="10"/>
      <c r="AA64" s="22"/>
      <c r="AB64" s="10"/>
      <c r="AC64" s="22"/>
      <c r="AD64" s="22"/>
      <c r="AE64" s="23"/>
      <c r="AF64" s="23"/>
      <c r="AG64" s="22"/>
      <c r="AH64" s="22"/>
    </row>
    <row r="65" spans="1:34" ht="14" customHeight="1">
      <c r="B65" s="10" t="s">
        <v>232</v>
      </c>
      <c r="C65" s="22">
        <v>77.7</v>
      </c>
      <c r="D65" s="22">
        <v>79.7</v>
      </c>
      <c r="E65" s="22">
        <v>78.599999999999994</v>
      </c>
      <c r="F65" s="22">
        <v>79.8</v>
      </c>
      <c r="G65" s="22">
        <v>84.2</v>
      </c>
      <c r="H65" s="22">
        <v>84.2</v>
      </c>
      <c r="I65" s="22">
        <v>84.8</v>
      </c>
      <c r="J65" s="447">
        <v>84.6</v>
      </c>
      <c r="K65" s="447">
        <v>83.4</v>
      </c>
      <c r="L65" s="447">
        <v>83.6</v>
      </c>
      <c r="M65" s="447">
        <v>84.2</v>
      </c>
      <c r="N65" s="447">
        <v>85.6</v>
      </c>
      <c r="O65" s="447">
        <v>88.3</v>
      </c>
      <c r="P65" s="447">
        <v>87.3</v>
      </c>
      <c r="Q65" s="447">
        <v>86.1</v>
      </c>
      <c r="R65" s="447">
        <v>82.9</v>
      </c>
      <c r="S65" s="447">
        <v>84.9</v>
      </c>
      <c r="T65" s="447">
        <v>83.6</v>
      </c>
      <c r="U65" s="447">
        <v>84.2</v>
      </c>
      <c r="V65" s="447">
        <v>84.5</v>
      </c>
      <c r="X65" s="10"/>
      <c r="Y65" s="10"/>
      <c r="Z65" s="10"/>
      <c r="AA65" s="10"/>
      <c r="AB65" s="22"/>
      <c r="AC65" s="22"/>
      <c r="AD65" s="22"/>
      <c r="AE65" s="23"/>
      <c r="AF65" s="23"/>
      <c r="AG65" s="22"/>
      <c r="AH65" s="22"/>
    </row>
    <row r="66" spans="1:34" ht="14" customHeight="1">
      <c r="B66" s="10" t="s">
        <v>233</v>
      </c>
      <c r="C66" s="22">
        <v>122.1</v>
      </c>
      <c r="D66" s="22">
        <v>124.4</v>
      </c>
      <c r="E66" s="22">
        <v>123.4</v>
      </c>
      <c r="F66" s="22">
        <v>123.7</v>
      </c>
      <c r="G66" s="22">
        <v>131.80000000000001</v>
      </c>
      <c r="H66" s="22">
        <v>139</v>
      </c>
      <c r="I66" s="22">
        <v>145.30000000000001</v>
      </c>
      <c r="J66" s="447">
        <v>152.69999999999999</v>
      </c>
      <c r="K66" s="447">
        <v>153.6</v>
      </c>
      <c r="L66" s="447">
        <v>153</v>
      </c>
      <c r="M66" s="447">
        <v>154.19999999999999</v>
      </c>
      <c r="N66" s="447">
        <v>156.80000000000001</v>
      </c>
      <c r="O66" s="447">
        <v>163.1</v>
      </c>
      <c r="P66" s="447">
        <v>170.2</v>
      </c>
      <c r="Q66" s="447">
        <v>180.5</v>
      </c>
      <c r="R66" s="447">
        <v>190.6</v>
      </c>
      <c r="S66" s="447">
        <v>199.2</v>
      </c>
      <c r="T66" s="447">
        <v>210.3</v>
      </c>
      <c r="U66" s="447">
        <v>219.9</v>
      </c>
      <c r="V66" s="447">
        <v>231</v>
      </c>
      <c r="X66" s="10"/>
      <c r="Y66" s="10"/>
      <c r="Z66" s="10"/>
      <c r="AA66" s="10"/>
      <c r="AB66" s="22"/>
      <c r="AC66" s="22"/>
      <c r="AD66" s="22"/>
      <c r="AE66" s="23"/>
      <c r="AF66" s="23"/>
      <c r="AG66" s="22"/>
      <c r="AH66" s="22"/>
    </row>
    <row r="67" spans="1:34" ht="14" customHeight="1">
      <c r="B67" s="10" t="s">
        <v>234</v>
      </c>
      <c r="C67" s="22">
        <v>255.4</v>
      </c>
      <c r="D67" s="22">
        <v>255.4</v>
      </c>
      <c r="E67" s="22">
        <v>263</v>
      </c>
      <c r="F67" s="22">
        <v>269.2</v>
      </c>
      <c r="G67" s="22">
        <v>281.5</v>
      </c>
      <c r="H67" s="22">
        <v>299</v>
      </c>
      <c r="I67" s="22">
        <v>316.8</v>
      </c>
      <c r="J67" s="447">
        <v>320.10000000000002</v>
      </c>
      <c r="K67" s="447">
        <v>320.2</v>
      </c>
      <c r="L67" s="447">
        <v>322.89999999999998</v>
      </c>
      <c r="M67" s="447">
        <v>337</v>
      </c>
      <c r="N67" s="447">
        <v>351.1</v>
      </c>
      <c r="O67" s="447">
        <v>365.9</v>
      </c>
      <c r="P67" s="447">
        <v>378.6</v>
      </c>
      <c r="Q67" s="447">
        <v>384.8</v>
      </c>
      <c r="R67" s="447">
        <v>384.3</v>
      </c>
      <c r="S67" s="447">
        <v>373</v>
      </c>
      <c r="T67" s="447">
        <v>370.1</v>
      </c>
      <c r="U67" s="447">
        <v>372</v>
      </c>
      <c r="V67" s="447">
        <v>378.3</v>
      </c>
      <c r="X67" s="10"/>
      <c r="Y67" s="10"/>
      <c r="Z67" s="10"/>
      <c r="AA67" s="10"/>
      <c r="AB67" s="22"/>
      <c r="AC67" s="22"/>
      <c r="AD67" s="22"/>
      <c r="AE67" s="23"/>
      <c r="AF67" s="23"/>
      <c r="AG67" s="22"/>
      <c r="AH67" s="22"/>
    </row>
    <row r="68" spans="1:34" ht="14" customHeight="1">
      <c r="B68" s="10" t="s">
        <v>235</v>
      </c>
      <c r="C68" s="22">
        <v>15.5</v>
      </c>
      <c r="D68" s="22">
        <v>14.8</v>
      </c>
      <c r="E68" s="22">
        <v>14.5</v>
      </c>
      <c r="F68" s="22">
        <v>15.7</v>
      </c>
      <c r="G68" s="22">
        <v>16.2</v>
      </c>
      <c r="H68" s="22">
        <v>16.5</v>
      </c>
      <c r="I68" s="22">
        <v>16.899999999999999</v>
      </c>
      <c r="J68" s="447">
        <v>16.7</v>
      </c>
      <c r="K68" s="447">
        <v>16</v>
      </c>
      <c r="L68" s="447">
        <v>15.4</v>
      </c>
      <c r="M68" s="447">
        <v>15.3</v>
      </c>
      <c r="N68" s="447">
        <v>15.4</v>
      </c>
      <c r="O68" s="447">
        <v>15.6</v>
      </c>
      <c r="P68" s="447">
        <v>16.100000000000001</v>
      </c>
      <c r="Q68" s="447">
        <v>15.4</v>
      </c>
      <c r="R68" s="447">
        <v>14.8</v>
      </c>
      <c r="S68" s="447">
        <v>14.6</v>
      </c>
      <c r="T68" s="447">
        <v>13.7</v>
      </c>
      <c r="U68" s="447">
        <v>12.4</v>
      </c>
      <c r="V68" s="447">
        <v>12.8</v>
      </c>
      <c r="X68" s="10"/>
      <c r="Y68" s="10"/>
      <c r="Z68" s="10"/>
      <c r="AA68" s="10"/>
      <c r="AB68" s="22"/>
      <c r="AC68" s="22"/>
      <c r="AD68" s="22"/>
      <c r="AE68" s="23"/>
      <c r="AF68" s="23"/>
      <c r="AG68" s="22"/>
      <c r="AH68" s="22"/>
    </row>
    <row r="69" spans="1:34" ht="14" customHeight="1">
      <c r="B69" s="10" t="s">
        <v>236</v>
      </c>
      <c r="C69" s="22">
        <v>16.2</v>
      </c>
      <c r="D69" s="22">
        <v>17.100000000000001</v>
      </c>
      <c r="E69" s="22">
        <v>18.399999999999999</v>
      </c>
      <c r="F69" s="22">
        <v>18.2</v>
      </c>
      <c r="G69" s="22">
        <v>18.5</v>
      </c>
      <c r="H69" s="22">
        <v>19.3</v>
      </c>
      <c r="I69" s="22">
        <v>19.5</v>
      </c>
      <c r="J69" s="447">
        <v>20.8</v>
      </c>
      <c r="K69" s="447">
        <v>21.2</v>
      </c>
      <c r="L69" s="447">
        <v>22.6</v>
      </c>
      <c r="M69" s="447">
        <v>23.9</v>
      </c>
      <c r="N69" s="447">
        <v>25.2</v>
      </c>
      <c r="O69" s="447">
        <v>26.7</v>
      </c>
      <c r="P69" s="447">
        <v>27</v>
      </c>
      <c r="Q69" s="447">
        <v>28</v>
      </c>
      <c r="R69" s="447">
        <v>26.5</v>
      </c>
      <c r="S69" s="447">
        <v>27.7</v>
      </c>
      <c r="T69" s="447">
        <v>28.3</v>
      </c>
      <c r="U69" s="447">
        <v>28.2</v>
      </c>
      <c r="V69" s="447">
        <v>28</v>
      </c>
      <c r="X69" s="10"/>
      <c r="Y69" s="10"/>
      <c r="Z69" s="10"/>
      <c r="AA69" s="10"/>
      <c r="AB69" s="22"/>
      <c r="AC69" s="22"/>
      <c r="AD69" s="22"/>
      <c r="AE69" s="23"/>
      <c r="AF69" s="23"/>
      <c r="AG69" s="22"/>
      <c r="AH69" s="22"/>
    </row>
    <row r="70" spans="1:34" ht="14" customHeight="1">
      <c r="B70" s="10" t="s">
        <v>237</v>
      </c>
      <c r="C70" s="22">
        <v>7.1</v>
      </c>
      <c r="D70" s="22">
        <v>7.2</v>
      </c>
      <c r="E70" s="22">
        <v>7.2</v>
      </c>
      <c r="F70" s="22">
        <v>7.8</v>
      </c>
      <c r="G70" s="22">
        <v>8.1999999999999993</v>
      </c>
      <c r="H70" s="22">
        <v>8.6</v>
      </c>
      <c r="I70" s="22">
        <v>8.5</v>
      </c>
      <c r="J70" s="447">
        <v>9</v>
      </c>
      <c r="K70" s="447">
        <v>8.8000000000000007</v>
      </c>
      <c r="L70" s="447">
        <v>9.3000000000000007</v>
      </c>
      <c r="M70" s="447">
        <v>9.1</v>
      </c>
      <c r="N70" s="447">
        <v>9.4</v>
      </c>
      <c r="O70" s="447">
        <v>9.6999999999999993</v>
      </c>
      <c r="P70" s="447">
        <v>9.3000000000000007</v>
      </c>
      <c r="Q70" s="447">
        <v>9.3000000000000007</v>
      </c>
      <c r="R70" s="447">
        <v>8.8000000000000007</v>
      </c>
      <c r="S70" s="447">
        <v>8.8000000000000007</v>
      </c>
      <c r="T70" s="447">
        <v>8.9</v>
      </c>
      <c r="U70" s="447">
        <v>8.9</v>
      </c>
      <c r="V70" s="447">
        <v>8.6</v>
      </c>
      <c r="X70" s="10"/>
      <c r="Y70" s="10"/>
      <c r="Z70" s="10"/>
      <c r="AA70" s="10"/>
      <c r="AB70" s="22"/>
      <c r="AC70" s="22"/>
      <c r="AD70" s="22"/>
      <c r="AE70" s="23"/>
      <c r="AF70" s="23"/>
      <c r="AG70" s="22"/>
      <c r="AH70" s="22"/>
    </row>
    <row r="71" spans="1:34" ht="14" customHeight="1">
      <c r="B71" s="6" t="s">
        <v>281</v>
      </c>
      <c r="C71" s="22">
        <v>178.7</v>
      </c>
      <c r="D71" s="22">
        <v>188.4</v>
      </c>
      <c r="E71" s="22">
        <v>190.9</v>
      </c>
      <c r="F71" s="22">
        <v>197.8</v>
      </c>
      <c r="G71" s="22">
        <v>202.4</v>
      </c>
      <c r="H71" s="22">
        <v>207.1</v>
      </c>
      <c r="I71" s="22">
        <v>245.5</v>
      </c>
      <c r="J71" s="447">
        <v>257.60000000000002</v>
      </c>
      <c r="K71" s="447">
        <v>266.5</v>
      </c>
      <c r="L71" s="447">
        <v>268.7</v>
      </c>
      <c r="M71" s="447">
        <v>285.10000000000002</v>
      </c>
      <c r="N71" s="447">
        <v>317.7</v>
      </c>
      <c r="O71" s="447">
        <v>314</v>
      </c>
      <c r="P71" s="447">
        <v>349.8</v>
      </c>
      <c r="Q71" s="447">
        <v>358.6</v>
      </c>
      <c r="R71" s="447">
        <v>386.3</v>
      </c>
      <c r="S71" s="447">
        <v>401</v>
      </c>
      <c r="T71" s="447">
        <v>415.3</v>
      </c>
      <c r="U71" s="447">
        <v>452.2</v>
      </c>
      <c r="V71" s="447">
        <v>488.5</v>
      </c>
      <c r="X71" s="10"/>
      <c r="Y71" s="10"/>
      <c r="Z71" s="10"/>
      <c r="AE71" s="23"/>
      <c r="AF71" s="23"/>
    </row>
    <row r="72" spans="1:34" ht="14" customHeight="1">
      <c r="B72" s="6" t="s">
        <v>318</v>
      </c>
      <c r="C72" s="22">
        <v>903.2</v>
      </c>
      <c r="D72" s="22">
        <v>989.7</v>
      </c>
      <c r="E72" s="22">
        <v>1051.5</v>
      </c>
      <c r="F72" s="22">
        <v>1104.8</v>
      </c>
      <c r="G72" s="22">
        <v>1165</v>
      </c>
      <c r="H72" s="22">
        <v>1236.8</v>
      </c>
      <c r="I72" s="22">
        <v>1347</v>
      </c>
      <c r="J72" s="447">
        <v>1455.8</v>
      </c>
      <c r="K72" s="447">
        <v>1565.5</v>
      </c>
      <c r="L72" s="447">
        <v>1652.1</v>
      </c>
      <c r="M72" s="447">
        <v>1678.4</v>
      </c>
      <c r="N72" s="447">
        <v>1755.5</v>
      </c>
      <c r="O72" s="447">
        <v>1790.7</v>
      </c>
      <c r="P72" s="447">
        <v>1807.8</v>
      </c>
      <c r="Q72" s="447">
        <v>1840.2</v>
      </c>
      <c r="R72" s="447">
        <v>1903.2</v>
      </c>
      <c r="S72" s="447">
        <v>1954.2</v>
      </c>
      <c r="T72" s="447">
        <v>2013.7</v>
      </c>
      <c r="U72" s="447">
        <v>2067.1</v>
      </c>
      <c r="V72" s="442">
        <v>2129.4</v>
      </c>
      <c r="X72" s="10"/>
      <c r="Y72" s="10"/>
      <c r="Z72" s="10"/>
      <c r="AE72" s="23"/>
      <c r="AF72" s="23"/>
    </row>
    <row r="73" spans="1:34" ht="14" customHeight="1">
      <c r="B73" s="6" t="s">
        <v>11</v>
      </c>
      <c r="C73" s="22">
        <v>3.1</v>
      </c>
      <c r="D73" s="22">
        <v>3.4</v>
      </c>
      <c r="E73" s="22">
        <v>3.2</v>
      </c>
      <c r="F73" s="22">
        <v>3.1</v>
      </c>
      <c r="G73" s="22">
        <v>3.2</v>
      </c>
      <c r="H73" s="22">
        <v>3.6</v>
      </c>
      <c r="I73" s="22">
        <v>3.5</v>
      </c>
      <c r="J73" s="447">
        <v>3.9</v>
      </c>
      <c r="K73" s="447">
        <v>4</v>
      </c>
      <c r="L73" s="447">
        <v>4.4000000000000004</v>
      </c>
      <c r="M73" s="447">
        <v>4.4000000000000004</v>
      </c>
      <c r="N73" s="447">
        <v>4.7</v>
      </c>
      <c r="O73" s="447">
        <v>4.8</v>
      </c>
      <c r="P73" s="447">
        <v>4.4000000000000004</v>
      </c>
      <c r="Q73" s="447">
        <v>4.5</v>
      </c>
      <c r="R73" s="447">
        <v>4.4000000000000004</v>
      </c>
      <c r="S73" s="447">
        <v>4.5</v>
      </c>
      <c r="T73" s="447">
        <v>4.3</v>
      </c>
      <c r="U73" s="447">
        <v>4.5999999999999996</v>
      </c>
      <c r="V73" s="442">
        <v>4.5</v>
      </c>
      <c r="X73" s="10"/>
      <c r="Y73" s="10"/>
      <c r="Z73" s="10"/>
      <c r="AE73" s="23"/>
      <c r="AF73" s="23"/>
    </row>
    <row r="74" spans="1:34" ht="14" customHeight="1">
      <c r="B74" s="6" t="s">
        <v>12</v>
      </c>
      <c r="C74" s="22">
        <v>0.7</v>
      </c>
      <c r="D74" s="22">
        <v>0.8</v>
      </c>
      <c r="E74" s="22">
        <v>0.6</v>
      </c>
      <c r="F74" s="22">
        <v>0.6</v>
      </c>
      <c r="G74" s="22">
        <v>0.6</v>
      </c>
      <c r="H74" s="22">
        <v>0.6</v>
      </c>
      <c r="I74" s="22">
        <v>0.6</v>
      </c>
      <c r="J74" s="447">
        <v>0.7</v>
      </c>
      <c r="K74" s="447">
        <v>0.7</v>
      </c>
      <c r="L74" s="447">
        <v>0.7</v>
      </c>
      <c r="M74" s="447">
        <v>0.6</v>
      </c>
      <c r="N74" s="447">
        <v>0.7</v>
      </c>
      <c r="O74" s="447">
        <v>0.7</v>
      </c>
      <c r="P74" s="447">
        <v>0.7</v>
      </c>
      <c r="Q74" s="447">
        <v>0.7</v>
      </c>
      <c r="R74" s="447">
        <v>0.7</v>
      </c>
      <c r="S74" s="447">
        <v>0.7</v>
      </c>
      <c r="T74" s="447">
        <v>0.7</v>
      </c>
      <c r="U74" s="447">
        <v>0.7</v>
      </c>
      <c r="V74" s="442">
        <v>0.7</v>
      </c>
      <c r="X74" s="10"/>
      <c r="Y74" s="10"/>
      <c r="Z74" s="10"/>
      <c r="AE74" s="23"/>
      <c r="AF74" s="23"/>
    </row>
    <row r="75" spans="1:34" ht="14" customHeight="1" thickBot="1">
      <c r="A75" s="24"/>
      <c r="B75" s="9" t="s">
        <v>283</v>
      </c>
      <c r="C75" s="25">
        <v>12.4</v>
      </c>
      <c r="D75" s="25">
        <v>12.6</v>
      </c>
      <c r="E75" s="25">
        <v>11.3</v>
      </c>
      <c r="F75" s="25">
        <v>11.3</v>
      </c>
      <c r="G75" s="25">
        <v>11.2</v>
      </c>
      <c r="H75" s="25">
        <v>10.9</v>
      </c>
      <c r="I75" s="25">
        <v>10.4</v>
      </c>
      <c r="J75" s="448">
        <v>10.9</v>
      </c>
      <c r="K75" s="448">
        <v>10.1</v>
      </c>
      <c r="L75" s="448">
        <v>10.3</v>
      </c>
      <c r="M75" s="448">
        <v>10.199999999999999</v>
      </c>
      <c r="N75" s="448">
        <v>10.3</v>
      </c>
      <c r="O75" s="448">
        <v>11</v>
      </c>
      <c r="P75" s="448">
        <v>10.4</v>
      </c>
      <c r="Q75" s="448">
        <v>10</v>
      </c>
      <c r="R75" s="448">
        <v>9</v>
      </c>
      <c r="S75" s="448">
        <v>9.4</v>
      </c>
      <c r="T75" s="448">
        <v>8.1</v>
      </c>
      <c r="U75" s="448">
        <v>8.1</v>
      </c>
      <c r="V75" s="448">
        <v>7.8</v>
      </c>
      <c r="X75" s="10"/>
      <c r="Y75" s="10"/>
      <c r="Z75" s="10"/>
      <c r="AE75" s="23"/>
      <c r="AF75" s="23"/>
    </row>
    <row r="76" spans="1:34" ht="10" customHeight="1">
      <c r="A76" s="28" t="s">
        <v>238</v>
      </c>
      <c r="B76" s="85"/>
      <c r="C76" s="86"/>
      <c r="D76" s="86"/>
      <c r="E76" s="116"/>
      <c r="F76" s="96"/>
      <c r="G76" s="116"/>
      <c r="H76" s="116"/>
      <c r="I76" s="96"/>
      <c r="J76" s="116"/>
      <c r="K76" s="116"/>
      <c r="L76" s="116"/>
      <c r="M76" s="116"/>
      <c r="N76" s="84"/>
      <c r="O76" s="84"/>
      <c r="P76" s="84"/>
      <c r="Q76" s="84"/>
      <c r="R76" s="84"/>
      <c r="S76" s="84"/>
      <c r="T76" s="84"/>
      <c r="U76" s="84"/>
      <c r="V76" s="84"/>
    </row>
    <row r="77" spans="1:34" ht="10" customHeight="1">
      <c r="A77" s="28" t="s">
        <v>267</v>
      </c>
      <c r="B77" s="85"/>
      <c r="C77" s="86"/>
      <c r="D77" s="86"/>
      <c r="E77" s="116"/>
      <c r="F77" s="96"/>
      <c r="G77" s="116"/>
      <c r="H77" s="116"/>
      <c r="I77" s="96"/>
      <c r="J77" s="116"/>
      <c r="K77" s="116"/>
      <c r="L77" s="116"/>
      <c r="M77" s="116"/>
      <c r="N77" s="84"/>
      <c r="O77" s="84"/>
      <c r="P77" s="84"/>
      <c r="Q77" s="84"/>
      <c r="R77" s="84"/>
      <c r="S77" s="84"/>
      <c r="T77" s="84"/>
      <c r="U77" s="84"/>
      <c r="V77" s="84"/>
    </row>
    <row r="78" spans="1:34" ht="10" customHeight="1">
      <c r="A78" s="28" t="s">
        <v>192</v>
      </c>
      <c r="B78" s="85"/>
      <c r="C78" s="86"/>
      <c r="D78" s="86"/>
      <c r="E78" s="116"/>
      <c r="F78" s="96"/>
      <c r="G78" s="116"/>
      <c r="H78" s="116"/>
      <c r="I78" s="96"/>
      <c r="J78" s="116"/>
      <c r="K78" s="116"/>
      <c r="L78" s="116"/>
      <c r="M78" s="116"/>
      <c r="N78" s="84"/>
      <c r="O78" s="84"/>
      <c r="P78" s="84"/>
      <c r="Q78" s="84"/>
      <c r="R78" s="84"/>
      <c r="S78" s="84"/>
      <c r="T78" s="84"/>
      <c r="U78" s="84"/>
      <c r="V78" s="84"/>
    </row>
    <row r="79" spans="1:34" ht="10" customHeight="1">
      <c r="A79" s="40" t="s">
        <v>261</v>
      </c>
      <c r="B79" s="85"/>
      <c r="C79" s="86"/>
      <c r="D79" s="86"/>
      <c r="E79" s="116"/>
      <c r="F79" s="116"/>
      <c r="G79" s="116"/>
      <c r="H79" s="116"/>
      <c r="I79" s="116"/>
      <c r="J79" s="116"/>
      <c r="K79" s="116"/>
      <c r="L79" s="116"/>
      <c r="M79" s="116"/>
      <c r="N79" s="84"/>
      <c r="O79" s="84"/>
      <c r="P79" s="84"/>
      <c r="Q79" s="84"/>
      <c r="R79" s="84"/>
      <c r="S79" s="84"/>
      <c r="T79" s="84"/>
      <c r="U79" s="84"/>
      <c r="V79" s="84"/>
    </row>
    <row r="80" spans="1:34" ht="13" customHeight="1">
      <c r="A80" s="10"/>
      <c r="B80" s="13"/>
      <c r="C80" s="13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80"/>
      <c r="O80" s="80"/>
      <c r="P80" s="80"/>
      <c r="Q80" s="80"/>
      <c r="R80" s="80"/>
      <c r="S80" s="80"/>
      <c r="T80" s="84"/>
      <c r="U80" s="84"/>
      <c r="V80" s="84"/>
    </row>
    <row r="81" spans="1:35" ht="13" customHeight="1">
      <c r="T81" s="84"/>
      <c r="U81" s="84"/>
      <c r="V81" s="84"/>
    </row>
    <row r="82" spans="1:35" ht="13" customHeight="1">
      <c r="A82" s="10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84"/>
      <c r="U82" s="84"/>
      <c r="V82" s="84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</row>
    <row r="83" spans="1:35" ht="13" customHeight="1">
      <c r="A83" s="10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ht="13" customHeight="1">
      <c r="A84" s="10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</row>
    <row r="85" spans="1:35" ht="13" customHeight="1"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</row>
    <row r="86" spans="1:35" ht="13" customHeight="1"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</row>
    <row r="87" spans="1:35" ht="13" customHeight="1"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</row>
    <row r="88" spans="1:35" ht="13" customHeight="1"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</row>
    <row r="89" spans="1:35" ht="13" customHeight="1"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</row>
    <row r="90" spans="1:35" ht="13" customHeight="1">
      <c r="B90" s="6"/>
      <c r="C90" s="4"/>
      <c r="D90" s="4"/>
      <c r="E90" s="4"/>
      <c r="F90" s="4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</row>
    <row r="91" spans="1:35" ht="13" customHeight="1">
      <c r="B91" s="81"/>
      <c r="C91" s="22"/>
      <c r="D91" s="4"/>
      <c r="E91" s="4"/>
      <c r="F91" s="4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</row>
    <row r="92" spans="1:35" ht="13" customHeight="1"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</row>
    <row r="93" spans="1:35" ht="13" customHeight="1"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</row>
    <row r="95" spans="1:35" ht="13" customHeight="1"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</row>
    <row r="96" spans="1:35" ht="13" customHeight="1"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</row>
    <row r="97" spans="7:22" ht="13" customHeight="1"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</row>
    <row r="98" spans="7:22" ht="13" customHeight="1"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</row>
    <row r="99" spans="7:22" ht="13" customHeight="1"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</row>
    <row r="100" spans="7:22" ht="13" customHeight="1"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</row>
    <row r="101" spans="7:22" ht="13" customHeight="1"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</row>
    <row r="102" spans="7:22" ht="13" customHeight="1"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</row>
    <row r="103" spans="7:22" ht="13" customHeight="1"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</row>
    <row r="104" spans="7:22" ht="13" customHeight="1"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</row>
    <row r="105" spans="7:22" ht="13" customHeight="1"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</row>
    <row r="106" spans="7:22" ht="13" customHeight="1"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</row>
    <row r="107" spans="7:22" ht="13" customHeight="1"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</row>
    <row r="108" spans="7:22" ht="13" customHeight="1"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</row>
  </sheetData>
  <mergeCells count="3">
    <mergeCell ref="A6:B6"/>
    <mergeCell ref="A60:B60"/>
    <mergeCell ref="A33:B33"/>
  </mergeCells>
  <phoneticPr fontId="2" type="noConversion"/>
  <printOptions horizontalCentered="1" verticalCentered="1"/>
  <pageMargins left="0.78740157480314998" right="0" top="0" bottom="0" header="0" footer="0"/>
  <pageSetup paperSize="9" orientation="landscape"/>
  <headerFooter alignWithMargins="0"/>
  <rowBreaks count="2" manualBreakCount="2">
    <brk id="29" max="23" man="1"/>
    <brk id="56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4" tint="-0.249977111117893"/>
  </sheetPr>
  <dimension ref="A1"/>
  <sheetViews>
    <sheetView showGridLines="0" topLeftCell="N1" zoomScale="150" zoomScaleNormal="150" workbookViewId="0">
      <selection activeCell="K34" sqref="K34"/>
    </sheetView>
  </sheetViews>
  <sheetFormatPr baseColWidth="10" defaultRowHeight="13" customHeight="1"/>
  <cols>
    <col min="1" max="16384" width="11" style="67"/>
  </cols>
  <sheetData/>
  <pageMargins left="0.7" right="0.7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5" tint="0.39997558519241921"/>
  </sheetPr>
  <dimension ref="A1:Q40"/>
  <sheetViews>
    <sheetView showGridLines="0" zoomScaleNormal="100" workbookViewId="0">
      <selection activeCell="K34" sqref="K34"/>
    </sheetView>
  </sheetViews>
  <sheetFormatPr baseColWidth="10" defaultColWidth="7" defaultRowHeight="13" customHeight="1"/>
  <cols>
    <col min="1" max="1" width="12.19921875" style="12" customWidth="1"/>
    <col min="2" max="2" width="9.3984375" style="12" customWidth="1"/>
    <col min="3" max="9" width="9" style="12" customWidth="1"/>
    <col min="10" max="16384" width="7" style="12"/>
  </cols>
  <sheetData>
    <row r="1" spans="1:17" ht="13" customHeight="1">
      <c r="B1" s="123"/>
      <c r="C1" s="123"/>
      <c r="D1" s="123"/>
      <c r="E1" s="123"/>
      <c r="F1" s="123"/>
      <c r="G1" s="123"/>
      <c r="H1" s="123"/>
      <c r="I1" s="123"/>
    </row>
    <row r="2" spans="1:17" ht="13" customHeight="1">
      <c r="A2" s="314" t="s">
        <v>300</v>
      </c>
      <c r="B2" s="124"/>
      <c r="C2" s="124"/>
      <c r="D2" s="124"/>
      <c r="E2" s="124"/>
      <c r="F2" s="124"/>
      <c r="G2" s="124"/>
      <c r="H2" s="124"/>
      <c r="I2" s="125"/>
    </row>
    <row r="3" spans="1:17" s="340" customFormat="1" ht="13" customHeight="1">
      <c r="A3" s="337" t="s">
        <v>269</v>
      </c>
      <c r="B3" s="338"/>
      <c r="C3" s="338"/>
      <c r="D3" s="338"/>
      <c r="E3" s="338"/>
      <c r="F3" s="338"/>
      <c r="G3" s="338"/>
      <c r="H3" s="338"/>
      <c r="I3" s="339"/>
    </row>
    <row r="4" spans="1:17" ht="4" customHeight="1" thickBot="1">
      <c r="A4" s="126"/>
      <c r="B4" s="126"/>
      <c r="C4" s="126"/>
      <c r="D4" s="126"/>
      <c r="E4" s="126"/>
      <c r="F4" s="126"/>
      <c r="G4" s="126"/>
      <c r="H4" s="126"/>
      <c r="I4" s="126"/>
    </row>
    <row r="5" spans="1:17" ht="22" customHeight="1">
      <c r="A5" s="318" t="s">
        <v>18</v>
      </c>
      <c r="B5" s="318" t="s">
        <v>19</v>
      </c>
      <c r="C5" s="318" t="s">
        <v>9</v>
      </c>
      <c r="D5" s="318" t="s">
        <v>20</v>
      </c>
      <c r="E5" s="318" t="s">
        <v>8</v>
      </c>
      <c r="F5" s="318" t="s">
        <v>5</v>
      </c>
      <c r="G5" s="318" t="s">
        <v>6</v>
      </c>
      <c r="H5" s="318" t="s">
        <v>7</v>
      </c>
      <c r="I5" s="319" t="s">
        <v>82</v>
      </c>
      <c r="L5" s="316"/>
    </row>
    <row r="6" spans="1:17" ht="15" customHeight="1">
      <c r="A6" s="315" t="s">
        <v>106</v>
      </c>
      <c r="B6" s="321">
        <f t="shared" ref="B6:I6" si="0">(B8+B9+B10+B11+B12+B16+B17+B18+B19+B20+B21+B22+B23+B24+B25+B26+B27+B28+B31+B32+B33+B34+B35+B36)</f>
        <v>168172635</v>
      </c>
      <c r="C6" s="321">
        <f t="shared" si="0"/>
        <v>4449506</v>
      </c>
      <c r="D6" s="321">
        <f t="shared" si="0"/>
        <v>1089701</v>
      </c>
      <c r="E6" s="321">
        <f t="shared" si="0"/>
        <v>1807961</v>
      </c>
      <c r="F6" s="321">
        <f t="shared" si="0"/>
        <v>11261559</v>
      </c>
      <c r="G6" s="321">
        <f t="shared" si="0"/>
        <v>3258809</v>
      </c>
      <c r="H6" s="321">
        <f t="shared" si="0"/>
        <v>5599893</v>
      </c>
      <c r="I6" s="321">
        <f t="shared" si="0"/>
        <v>905818</v>
      </c>
      <c r="J6" s="127"/>
      <c r="L6" s="317"/>
    </row>
    <row r="7" spans="1:17" ht="5" customHeight="1">
      <c r="A7" s="123"/>
      <c r="B7" s="322"/>
      <c r="C7" s="322"/>
      <c r="D7" s="322"/>
      <c r="E7" s="322"/>
      <c r="F7" s="322"/>
      <c r="G7" s="322"/>
      <c r="H7" s="322"/>
      <c r="I7" s="322"/>
      <c r="L7" s="317"/>
    </row>
    <row r="8" spans="1:17" ht="13" customHeight="1">
      <c r="A8" s="128" t="s">
        <v>21</v>
      </c>
      <c r="B8" s="323">
        <v>157220</v>
      </c>
      <c r="C8" s="323">
        <v>0</v>
      </c>
      <c r="D8" s="323">
        <v>0</v>
      </c>
      <c r="E8" s="323">
        <v>65320</v>
      </c>
      <c r="F8" s="323">
        <v>7515</v>
      </c>
      <c r="G8" s="323">
        <v>30010</v>
      </c>
      <c r="H8" s="324">
        <v>22200</v>
      </c>
      <c r="I8" s="325">
        <v>362</v>
      </c>
      <c r="J8" s="127"/>
    </row>
    <row r="9" spans="1:17" ht="13" customHeight="1">
      <c r="A9" s="128" t="s">
        <v>22</v>
      </c>
      <c r="B9" s="326">
        <v>5858230</v>
      </c>
      <c r="C9" s="327">
        <v>100</v>
      </c>
      <c r="D9" s="327">
        <v>0</v>
      </c>
      <c r="E9" s="326">
        <v>330221</v>
      </c>
      <c r="F9" s="326">
        <v>274119</v>
      </c>
      <c r="G9" s="326">
        <v>167860</v>
      </c>
      <c r="H9" s="328">
        <v>258181</v>
      </c>
      <c r="I9" s="329">
        <v>24072</v>
      </c>
      <c r="J9" s="127"/>
    </row>
    <row r="10" spans="1:17" ht="13" customHeight="1">
      <c r="A10" s="128" t="s">
        <v>23</v>
      </c>
      <c r="B10" s="323">
        <v>2489462</v>
      </c>
      <c r="C10" s="330">
        <v>0</v>
      </c>
      <c r="D10" s="330">
        <v>0</v>
      </c>
      <c r="E10" s="323">
        <v>106151</v>
      </c>
      <c r="F10" s="331">
        <v>68325</v>
      </c>
      <c r="G10" s="323">
        <v>73428</v>
      </c>
      <c r="H10" s="324">
        <v>113602</v>
      </c>
      <c r="I10" s="325">
        <v>17837</v>
      </c>
      <c r="J10" s="127"/>
    </row>
    <row r="11" spans="1:17" ht="13" customHeight="1">
      <c r="A11" s="134" t="s">
        <v>24</v>
      </c>
      <c r="B11" s="323">
        <v>24963293</v>
      </c>
      <c r="C11" s="323">
        <v>7710</v>
      </c>
      <c r="D11" s="330">
        <v>0</v>
      </c>
      <c r="E11" s="323">
        <v>91388</v>
      </c>
      <c r="F11" s="323">
        <v>344949</v>
      </c>
      <c r="G11" s="323">
        <v>113341</v>
      </c>
      <c r="H11" s="324">
        <v>235457</v>
      </c>
      <c r="I11" s="325">
        <v>48823</v>
      </c>
      <c r="J11" s="127"/>
    </row>
    <row r="12" spans="1:17" ht="13" customHeight="1">
      <c r="A12" s="128" t="s">
        <v>25</v>
      </c>
      <c r="B12" s="322">
        <f>SUM(B13:B15)</f>
        <v>870494</v>
      </c>
      <c r="C12" s="322">
        <f t="shared" ref="C12:I12" si="1">SUM(C13:C15)</f>
        <v>1190</v>
      </c>
      <c r="D12" s="322">
        <f t="shared" si="1"/>
        <v>0</v>
      </c>
      <c r="E12" s="322">
        <f t="shared" si="1"/>
        <v>107350</v>
      </c>
      <c r="F12" s="322">
        <f t="shared" si="1"/>
        <v>480072</v>
      </c>
      <c r="G12" s="322">
        <f t="shared" si="1"/>
        <v>288252</v>
      </c>
      <c r="H12" s="322">
        <f t="shared" si="1"/>
        <v>655840</v>
      </c>
      <c r="I12" s="322">
        <f t="shared" si="1"/>
        <v>164222</v>
      </c>
      <c r="J12" s="127"/>
      <c r="K12" s="123"/>
      <c r="L12" s="123"/>
      <c r="M12" s="123"/>
      <c r="N12" s="123"/>
      <c r="O12" s="123"/>
      <c r="P12" s="123"/>
      <c r="Q12" s="123"/>
    </row>
    <row r="13" spans="1:17" ht="13" customHeight="1">
      <c r="A13" s="134" t="s">
        <v>26</v>
      </c>
      <c r="B13" s="323">
        <v>367692</v>
      </c>
      <c r="C13" s="323">
        <v>1190</v>
      </c>
      <c r="D13" s="323">
        <v>0</v>
      </c>
      <c r="E13" s="323">
        <v>66574</v>
      </c>
      <c r="F13" s="323">
        <v>344402</v>
      </c>
      <c r="G13" s="323">
        <v>79774</v>
      </c>
      <c r="H13" s="324">
        <v>263239</v>
      </c>
      <c r="I13" s="325">
        <v>97194</v>
      </c>
      <c r="J13" s="127"/>
    </row>
    <row r="14" spans="1:17" ht="13" customHeight="1">
      <c r="A14" s="134" t="s">
        <v>27</v>
      </c>
      <c r="B14" s="323">
        <v>208383</v>
      </c>
      <c r="C14" s="323">
        <v>0</v>
      </c>
      <c r="D14" s="323">
        <v>0</v>
      </c>
      <c r="E14" s="323">
        <v>20745</v>
      </c>
      <c r="F14" s="323">
        <v>104272</v>
      </c>
      <c r="G14" s="323">
        <v>103450</v>
      </c>
      <c r="H14" s="324">
        <v>276060</v>
      </c>
      <c r="I14" s="325">
        <v>61574</v>
      </c>
      <c r="J14" s="127"/>
    </row>
    <row r="15" spans="1:17" ht="13" customHeight="1">
      <c r="A15" s="134" t="s">
        <v>28</v>
      </c>
      <c r="B15" s="323">
        <v>294419</v>
      </c>
      <c r="C15" s="323">
        <v>0</v>
      </c>
      <c r="D15" s="323">
        <v>0</v>
      </c>
      <c r="E15" s="323">
        <v>20031</v>
      </c>
      <c r="F15" s="323">
        <v>31398</v>
      </c>
      <c r="G15" s="331">
        <v>105028</v>
      </c>
      <c r="H15" s="324">
        <v>116541</v>
      </c>
      <c r="I15" s="325">
        <v>5454</v>
      </c>
      <c r="J15" s="127"/>
    </row>
    <row r="16" spans="1:17" ht="13" customHeight="1">
      <c r="A16" s="128" t="s">
        <v>29</v>
      </c>
      <c r="B16" s="323">
        <v>1525969</v>
      </c>
      <c r="C16" s="323">
        <v>0</v>
      </c>
      <c r="D16" s="330">
        <v>0</v>
      </c>
      <c r="E16" s="323">
        <v>12575</v>
      </c>
      <c r="F16" s="323">
        <v>23047</v>
      </c>
      <c r="G16" s="323">
        <v>85700</v>
      </c>
      <c r="H16" s="324">
        <v>247855</v>
      </c>
      <c r="I16" s="325">
        <v>79623</v>
      </c>
      <c r="J16" s="127"/>
      <c r="M16" s="135"/>
    </row>
    <row r="17" spans="1:13" ht="13" customHeight="1">
      <c r="A17" s="134" t="s">
        <v>30</v>
      </c>
      <c r="B17" s="323">
        <v>2632858</v>
      </c>
      <c r="C17" s="323">
        <v>10200</v>
      </c>
      <c r="D17" s="330">
        <v>0</v>
      </c>
      <c r="E17" s="323">
        <v>169698</v>
      </c>
      <c r="F17" s="323">
        <v>671829</v>
      </c>
      <c r="G17" s="323">
        <v>171477</v>
      </c>
      <c r="H17" s="324">
        <v>306065</v>
      </c>
      <c r="I17" s="325">
        <v>14847</v>
      </c>
      <c r="J17" s="127"/>
      <c r="M17" s="135"/>
    </row>
    <row r="18" spans="1:13" ht="13" customHeight="1">
      <c r="A18" s="134" t="s">
        <v>31</v>
      </c>
      <c r="B18" s="323">
        <v>68879430</v>
      </c>
      <c r="C18" s="323">
        <v>46625</v>
      </c>
      <c r="D18" s="323">
        <v>21780</v>
      </c>
      <c r="E18" s="323">
        <v>169383</v>
      </c>
      <c r="F18" s="323">
        <v>315962</v>
      </c>
      <c r="G18" s="323">
        <v>464900</v>
      </c>
      <c r="H18" s="324">
        <v>250851</v>
      </c>
      <c r="I18" s="325">
        <v>71092</v>
      </c>
      <c r="J18" s="127"/>
      <c r="M18" s="135"/>
    </row>
    <row r="19" spans="1:13" ht="13" customHeight="1">
      <c r="A19" s="128" t="s">
        <v>32</v>
      </c>
      <c r="B19" s="323">
        <v>17467343</v>
      </c>
      <c r="C19" s="323">
        <v>0</v>
      </c>
      <c r="D19" s="323">
        <v>0</v>
      </c>
      <c r="E19" s="323">
        <v>75880</v>
      </c>
      <c r="F19" s="323">
        <v>27552</v>
      </c>
      <c r="G19" s="323">
        <v>102767</v>
      </c>
      <c r="H19" s="324">
        <v>50530</v>
      </c>
      <c r="I19" s="325">
        <v>12537</v>
      </c>
      <c r="J19" s="127"/>
      <c r="M19" s="135"/>
    </row>
    <row r="20" spans="1:13" ht="13" customHeight="1">
      <c r="A20" s="128" t="s">
        <v>33</v>
      </c>
      <c r="B20" s="323">
        <v>1761432</v>
      </c>
      <c r="C20" s="323">
        <v>6760</v>
      </c>
      <c r="D20" s="323">
        <v>3513</v>
      </c>
      <c r="E20" s="323">
        <v>102260</v>
      </c>
      <c r="F20" s="323">
        <v>529832</v>
      </c>
      <c r="G20" s="323">
        <v>405725</v>
      </c>
      <c r="H20" s="324">
        <v>292866</v>
      </c>
      <c r="I20" s="325">
        <v>34916</v>
      </c>
      <c r="J20" s="127"/>
      <c r="M20" s="135"/>
    </row>
    <row r="21" spans="1:13" ht="13" customHeight="1">
      <c r="A21" s="128" t="s">
        <v>34</v>
      </c>
      <c r="B21" s="323">
        <v>139895</v>
      </c>
      <c r="C21" s="323">
        <v>130778</v>
      </c>
      <c r="D21" s="323">
        <v>43880</v>
      </c>
      <c r="E21" s="323">
        <v>6345</v>
      </c>
      <c r="F21" s="323">
        <v>691923</v>
      </c>
      <c r="G21" s="323">
        <v>53567</v>
      </c>
      <c r="H21" s="324">
        <v>119542</v>
      </c>
      <c r="I21" s="325">
        <v>29614</v>
      </c>
      <c r="J21" s="127"/>
      <c r="M21" s="135"/>
    </row>
    <row r="22" spans="1:13" ht="13" customHeight="1">
      <c r="A22" s="128" t="s">
        <v>35</v>
      </c>
      <c r="B22" s="323">
        <v>3562423</v>
      </c>
      <c r="C22" s="323">
        <v>94111</v>
      </c>
      <c r="D22" s="323">
        <v>61081</v>
      </c>
      <c r="E22" s="323">
        <v>10833</v>
      </c>
      <c r="F22" s="323">
        <v>1516644</v>
      </c>
      <c r="G22" s="323">
        <v>171904</v>
      </c>
      <c r="H22" s="324">
        <v>326506</v>
      </c>
      <c r="I22" s="325">
        <v>40669</v>
      </c>
      <c r="J22" s="127"/>
      <c r="M22" s="135"/>
    </row>
    <row r="23" spans="1:13" ht="13" customHeight="1">
      <c r="A23" s="128" t="s">
        <v>36</v>
      </c>
      <c r="B23" s="323">
        <v>389033</v>
      </c>
      <c r="C23" s="323">
        <v>270053</v>
      </c>
      <c r="D23" s="323">
        <v>131322</v>
      </c>
      <c r="E23" s="323">
        <v>181228</v>
      </c>
      <c r="F23" s="323">
        <v>625574</v>
      </c>
      <c r="G23" s="323">
        <v>157545</v>
      </c>
      <c r="H23" s="324">
        <v>182010</v>
      </c>
      <c r="I23" s="325">
        <v>12120</v>
      </c>
      <c r="J23" s="127"/>
      <c r="M23" s="135"/>
    </row>
    <row r="24" spans="1:13" ht="13" customHeight="1">
      <c r="A24" s="134" t="s">
        <v>37</v>
      </c>
      <c r="B24" s="323">
        <v>17146598</v>
      </c>
      <c r="C24" s="323">
        <v>430134</v>
      </c>
      <c r="D24" s="323">
        <v>88209</v>
      </c>
      <c r="E24" s="323">
        <v>16611</v>
      </c>
      <c r="F24" s="323">
        <v>188221</v>
      </c>
      <c r="G24" s="323">
        <v>107120</v>
      </c>
      <c r="H24" s="324">
        <v>212744</v>
      </c>
      <c r="I24" s="325">
        <v>75737</v>
      </c>
      <c r="J24" s="127"/>
      <c r="M24" s="135"/>
    </row>
    <row r="25" spans="1:13" ht="13" customHeight="1">
      <c r="A25" s="128" t="s">
        <v>38</v>
      </c>
      <c r="B25" s="323">
        <v>60034</v>
      </c>
      <c r="C25" s="323">
        <v>144970</v>
      </c>
      <c r="D25" s="323">
        <v>38655</v>
      </c>
      <c r="E25" s="323">
        <v>8333</v>
      </c>
      <c r="F25" s="323">
        <v>49291</v>
      </c>
      <c r="G25" s="323">
        <v>13225</v>
      </c>
      <c r="H25" s="324">
        <v>23721</v>
      </c>
      <c r="I25" s="325">
        <v>5671</v>
      </c>
      <c r="J25" s="127"/>
      <c r="M25" s="135"/>
    </row>
    <row r="26" spans="1:13" ht="13" customHeight="1">
      <c r="A26" s="128" t="s">
        <v>39</v>
      </c>
      <c r="B26" s="323">
        <v>1185038</v>
      </c>
      <c r="C26" s="323">
        <v>77057</v>
      </c>
      <c r="D26" s="323">
        <v>28405</v>
      </c>
      <c r="E26" s="323">
        <v>17080</v>
      </c>
      <c r="F26" s="323">
        <v>36005</v>
      </c>
      <c r="G26" s="323">
        <v>36232</v>
      </c>
      <c r="H26" s="324">
        <v>18884</v>
      </c>
      <c r="I26" s="325">
        <v>5692</v>
      </c>
      <c r="J26" s="127"/>
      <c r="M26" s="135"/>
    </row>
    <row r="27" spans="1:13" ht="13" customHeight="1">
      <c r="A27" s="128" t="s">
        <v>40</v>
      </c>
      <c r="B27" s="323">
        <v>664511</v>
      </c>
      <c r="C27" s="323">
        <v>309833</v>
      </c>
      <c r="D27" s="323">
        <v>79754</v>
      </c>
      <c r="E27" s="323">
        <v>192115</v>
      </c>
      <c r="F27" s="323">
        <v>617461</v>
      </c>
      <c r="G27" s="323">
        <v>118454</v>
      </c>
      <c r="H27" s="324">
        <v>453426</v>
      </c>
      <c r="I27" s="325">
        <v>33695</v>
      </c>
      <c r="J27" s="127"/>
      <c r="M27" s="135"/>
    </row>
    <row r="28" spans="1:13" ht="13" customHeight="1">
      <c r="A28" s="134" t="s">
        <v>41</v>
      </c>
      <c r="B28" s="322">
        <f>SUM(B29:B30)</f>
        <v>309739</v>
      </c>
      <c r="C28" s="322">
        <f t="shared" ref="C28:I28" si="2">SUM(C29:C30)</f>
        <v>215340</v>
      </c>
      <c r="D28" s="322">
        <f t="shared" si="2"/>
        <v>72611</v>
      </c>
      <c r="E28" s="322">
        <f t="shared" si="2"/>
        <v>109518</v>
      </c>
      <c r="F28" s="322">
        <f t="shared" si="2"/>
        <v>456405</v>
      </c>
      <c r="G28" s="322">
        <f t="shared" si="2"/>
        <v>133037</v>
      </c>
      <c r="H28" s="322">
        <f t="shared" si="2"/>
        <v>296567</v>
      </c>
      <c r="I28" s="322">
        <f t="shared" si="2"/>
        <v>31825</v>
      </c>
      <c r="J28" s="127"/>
      <c r="M28" s="135"/>
    </row>
    <row r="29" spans="1:13" ht="13" customHeight="1">
      <c r="A29" s="134" t="s">
        <v>42</v>
      </c>
      <c r="B29" s="323">
        <v>189884</v>
      </c>
      <c r="C29" s="323">
        <v>195550</v>
      </c>
      <c r="D29" s="323">
        <v>54521</v>
      </c>
      <c r="E29" s="323">
        <v>55360</v>
      </c>
      <c r="F29" s="323">
        <v>314716</v>
      </c>
      <c r="G29" s="323">
        <v>50341</v>
      </c>
      <c r="H29" s="324">
        <v>190150</v>
      </c>
      <c r="I29" s="325">
        <v>20027</v>
      </c>
      <c r="J29" s="127"/>
      <c r="M29" s="135"/>
    </row>
    <row r="30" spans="1:13" ht="13" customHeight="1">
      <c r="A30" s="134" t="s">
        <v>43</v>
      </c>
      <c r="B30" s="323">
        <v>119855</v>
      </c>
      <c r="C30" s="323">
        <v>19790</v>
      </c>
      <c r="D30" s="323">
        <v>18090</v>
      </c>
      <c r="E30" s="323">
        <v>54158</v>
      </c>
      <c r="F30" s="323">
        <v>141689</v>
      </c>
      <c r="G30" s="323">
        <v>82696</v>
      </c>
      <c r="H30" s="324">
        <v>106417</v>
      </c>
      <c r="I30" s="325">
        <v>11798</v>
      </c>
      <c r="J30" s="127"/>
      <c r="M30" s="135"/>
    </row>
    <row r="31" spans="1:13" ht="13" customHeight="1">
      <c r="A31" s="128" t="s">
        <v>44</v>
      </c>
      <c r="B31" s="323">
        <v>1201279</v>
      </c>
      <c r="C31" s="323">
        <v>669365</v>
      </c>
      <c r="D31" s="323">
        <v>150801</v>
      </c>
      <c r="E31" s="323">
        <v>34907</v>
      </c>
      <c r="F31" s="323">
        <v>1443471</v>
      </c>
      <c r="G31" s="323">
        <v>127738</v>
      </c>
      <c r="H31" s="324">
        <v>439168</v>
      </c>
      <c r="I31" s="325">
        <v>80570</v>
      </c>
      <c r="J31" s="127"/>
      <c r="M31" s="135"/>
    </row>
    <row r="32" spans="1:13" ht="13" customHeight="1">
      <c r="A32" s="128" t="s">
        <v>45</v>
      </c>
      <c r="B32" s="323">
        <v>1698765</v>
      </c>
      <c r="C32" s="323">
        <v>2035280</v>
      </c>
      <c r="D32" s="323">
        <v>369690</v>
      </c>
      <c r="E32" s="332">
        <v>0</v>
      </c>
      <c r="F32" s="323">
        <v>2852165</v>
      </c>
      <c r="G32" s="323">
        <v>119760</v>
      </c>
      <c r="H32" s="324">
        <v>733260</v>
      </c>
      <c r="I32" s="325">
        <v>95949</v>
      </c>
      <c r="J32" s="127"/>
      <c r="M32" s="135"/>
    </row>
    <row r="33" spans="1:13" ht="13" customHeight="1">
      <c r="A33" s="12" t="s">
        <v>46</v>
      </c>
      <c r="B33" s="323">
        <v>4536966</v>
      </c>
      <c r="C33" s="330">
        <v>0</v>
      </c>
      <c r="D33" s="330">
        <v>0</v>
      </c>
      <c r="E33" s="332">
        <v>0</v>
      </c>
      <c r="F33" s="323">
        <v>9269</v>
      </c>
      <c r="G33" s="323">
        <v>170291</v>
      </c>
      <c r="H33" s="324">
        <v>211843</v>
      </c>
      <c r="I33" s="325">
        <v>19732</v>
      </c>
      <c r="J33" s="127"/>
      <c r="M33" s="135"/>
    </row>
    <row r="34" spans="1:13" ht="13" customHeight="1">
      <c r="A34" s="35" t="s">
        <v>47</v>
      </c>
      <c r="B34" s="330">
        <v>4183526</v>
      </c>
      <c r="C34" s="330">
        <v>0</v>
      </c>
      <c r="D34" s="330">
        <v>0</v>
      </c>
      <c r="E34" s="332">
        <v>375</v>
      </c>
      <c r="F34" s="330">
        <v>12385</v>
      </c>
      <c r="G34" s="330">
        <v>84515</v>
      </c>
      <c r="H34" s="324">
        <v>46190</v>
      </c>
      <c r="I34" s="325">
        <v>1228</v>
      </c>
      <c r="J34" s="127"/>
      <c r="M34" s="135"/>
    </row>
    <row r="35" spans="1:13" ht="13" customHeight="1">
      <c r="A35" s="134" t="s">
        <v>48</v>
      </c>
      <c r="B35" s="330">
        <v>6002549</v>
      </c>
      <c r="C35" s="330">
        <v>0</v>
      </c>
      <c r="D35" s="330">
        <v>0</v>
      </c>
      <c r="E35" s="332">
        <v>170</v>
      </c>
      <c r="F35" s="330">
        <v>10049</v>
      </c>
      <c r="G35" s="330">
        <v>48466</v>
      </c>
      <c r="H35" s="324">
        <v>45705</v>
      </c>
      <c r="I35" s="325">
        <v>3631</v>
      </c>
      <c r="J35" s="127"/>
    </row>
    <row r="36" spans="1:13" ht="13" customHeight="1" thickBot="1">
      <c r="A36" s="136" t="s">
        <v>49</v>
      </c>
      <c r="B36" s="333">
        <v>486548</v>
      </c>
      <c r="C36" s="333">
        <v>0</v>
      </c>
      <c r="D36" s="333">
        <v>0</v>
      </c>
      <c r="E36" s="334">
        <v>220</v>
      </c>
      <c r="F36" s="333">
        <v>9494</v>
      </c>
      <c r="G36" s="333">
        <v>13495</v>
      </c>
      <c r="H36" s="335">
        <v>56880</v>
      </c>
      <c r="I36" s="336">
        <v>1354</v>
      </c>
      <c r="J36" s="127"/>
    </row>
    <row r="37" spans="1:13" ht="10" customHeight="1">
      <c r="A37" s="28" t="s">
        <v>238</v>
      </c>
      <c r="B37" s="40"/>
      <c r="C37" s="40"/>
      <c r="F37" s="138"/>
    </row>
    <row r="38" spans="1:13" ht="10" customHeight="1">
      <c r="A38" s="28" t="s">
        <v>192</v>
      </c>
      <c r="B38" s="40"/>
      <c r="C38" s="40"/>
    </row>
    <row r="39" spans="1:13" ht="10" customHeight="1">
      <c r="A39" s="40" t="s">
        <v>261</v>
      </c>
      <c r="B39" s="320"/>
      <c r="C39" s="320"/>
      <c r="D39" s="139"/>
      <c r="E39" s="139"/>
      <c r="F39" s="139"/>
      <c r="G39" s="139"/>
      <c r="H39" s="139"/>
      <c r="I39" s="139"/>
    </row>
    <row r="40" spans="1:13" ht="13" customHeight="1">
      <c r="B40" s="123"/>
      <c r="C40" s="123"/>
      <c r="D40" s="123"/>
      <c r="E40" s="123"/>
      <c r="F40" s="123"/>
      <c r="G40" s="123"/>
      <c r="H40" s="123"/>
      <c r="I40" s="12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XEJ2" transitionEvaluation="1" transitionEntry="1" codeName="Hoja5">
    <tabColor theme="9" tint="0.59999389629810485"/>
  </sheetPr>
  <dimension ref="A1:DC70"/>
  <sheetViews>
    <sheetView showGridLines="0" topLeftCell="XEJ2" zoomScale="150" zoomScaleNormal="150" workbookViewId="0">
      <selection activeCell="V34" sqref="V34:XEX34"/>
    </sheetView>
  </sheetViews>
  <sheetFormatPr baseColWidth="10" defaultColWidth="7" defaultRowHeight="13" customHeight="1"/>
  <cols>
    <col min="1" max="1" width="9.3984375" style="305" customWidth="1"/>
    <col min="2" max="2" width="15.3984375" style="305" customWidth="1"/>
    <col min="3" max="9" width="7.59765625" style="305" hidden="1" customWidth="1"/>
    <col min="10" max="22" width="8" style="305" customWidth="1"/>
    <col min="23" max="16384" width="7" style="305"/>
  </cols>
  <sheetData>
    <row r="1" spans="1:33" ht="13" customHeight="1">
      <c r="M1" s="306"/>
      <c r="N1" s="306"/>
      <c r="O1" s="306"/>
      <c r="P1" s="306"/>
      <c r="Q1" s="306"/>
      <c r="R1" s="306"/>
      <c r="S1" s="306"/>
      <c r="T1" s="306"/>
      <c r="U1" s="306"/>
      <c r="V1" s="306"/>
    </row>
    <row r="2" spans="1:33" ht="13" customHeight="1">
      <c r="A2" s="359" t="s">
        <v>301</v>
      </c>
      <c r="B2" s="361"/>
      <c r="M2" s="306"/>
      <c r="N2" s="306"/>
      <c r="O2" s="306"/>
      <c r="P2" s="306"/>
      <c r="Q2" s="306"/>
      <c r="R2" s="306"/>
      <c r="S2" s="306"/>
      <c r="T2" s="306"/>
      <c r="U2" s="306"/>
      <c r="V2" s="306"/>
    </row>
    <row r="3" spans="1:33" ht="13" customHeight="1">
      <c r="A3" s="360" t="s">
        <v>286</v>
      </c>
      <c r="B3" s="362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</row>
    <row r="4" spans="1:33" ht="4" customHeight="1" thickBot="1">
      <c r="A4" s="1095"/>
      <c r="B4" s="1095"/>
      <c r="C4" s="1095"/>
      <c r="D4" s="1095"/>
      <c r="E4" s="1095"/>
      <c r="F4" s="1095"/>
      <c r="G4" s="1095"/>
      <c r="H4" s="1095"/>
      <c r="I4" s="1095"/>
      <c r="J4" s="1095"/>
      <c r="K4" s="1095"/>
      <c r="L4" s="1095"/>
      <c r="M4" s="1095"/>
      <c r="N4" s="1095"/>
      <c r="O4" s="1095"/>
      <c r="P4" s="1095"/>
      <c r="Q4" s="1095"/>
      <c r="R4" s="1095"/>
      <c r="S4" s="1095"/>
      <c r="T4" s="1095"/>
      <c r="U4" s="1095"/>
      <c r="V4" s="1095"/>
    </row>
    <row r="5" spans="1:33" ht="22" customHeight="1">
      <c r="A5" s="358" t="s">
        <v>285</v>
      </c>
      <c r="B5" s="342" t="s">
        <v>55</v>
      </c>
      <c r="C5" s="342">
        <v>2000</v>
      </c>
      <c r="D5" s="342">
        <v>2001</v>
      </c>
      <c r="E5" s="342">
        <v>2002</v>
      </c>
      <c r="F5" s="342">
        <v>2003</v>
      </c>
      <c r="G5" s="342">
        <v>2004</v>
      </c>
      <c r="H5" s="342">
        <v>2005</v>
      </c>
      <c r="I5" s="342">
        <v>2006</v>
      </c>
      <c r="J5" s="342">
        <v>2007</v>
      </c>
      <c r="K5" s="342">
        <v>2008</v>
      </c>
      <c r="L5" s="342">
        <v>2009</v>
      </c>
      <c r="M5" s="342">
        <v>2010</v>
      </c>
      <c r="N5" s="342">
        <v>2011</v>
      </c>
      <c r="O5" s="342">
        <v>2012</v>
      </c>
      <c r="P5" s="342">
        <v>2013</v>
      </c>
      <c r="Q5" s="342">
        <v>2014</v>
      </c>
      <c r="R5" s="342">
        <v>2015</v>
      </c>
      <c r="S5" s="342">
        <v>2016</v>
      </c>
      <c r="T5" s="343">
        <v>2017</v>
      </c>
      <c r="U5" s="344" t="s">
        <v>221</v>
      </c>
      <c r="V5" s="344" t="s">
        <v>239</v>
      </c>
      <c r="X5" s="309"/>
      <c r="AF5" s="310"/>
    </row>
    <row r="6" spans="1:33" ht="12" customHeight="1">
      <c r="B6" s="349" t="s">
        <v>51</v>
      </c>
      <c r="C6" s="350">
        <v>88010358</v>
      </c>
      <c r="D6" s="350">
        <v>85621159</v>
      </c>
      <c r="E6" s="350">
        <v>90354182</v>
      </c>
      <c r="F6" s="350">
        <v>92846109</v>
      </c>
      <c r="G6" s="350">
        <v>97761003</v>
      </c>
      <c r="H6" s="350">
        <v>99278818</v>
      </c>
      <c r="I6" s="350">
        <v>117976702</v>
      </c>
      <c r="J6" s="350">
        <v>120227.6</v>
      </c>
      <c r="K6" s="350">
        <v>131179.1</v>
      </c>
      <c r="L6" s="350">
        <v>137838</v>
      </c>
      <c r="M6" s="350">
        <v>130779</v>
      </c>
      <c r="N6" s="350">
        <v>128943.5</v>
      </c>
      <c r="O6" s="350">
        <v>138554.1</v>
      </c>
      <c r="P6" s="350">
        <v>138179.79999999999</v>
      </c>
      <c r="Q6" s="350">
        <v>144703.70000000001</v>
      </c>
      <c r="R6" s="350">
        <v>151000.9</v>
      </c>
      <c r="S6" s="350">
        <v>158263.20000000001</v>
      </c>
      <c r="T6" s="350">
        <v>156637.70000000001</v>
      </c>
      <c r="U6" s="350">
        <v>160959.29999999999</v>
      </c>
      <c r="V6" s="350">
        <v>168172.6</v>
      </c>
      <c r="X6" s="311"/>
      <c r="Y6" s="311"/>
      <c r="Z6" s="311"/>
      <c r="AA6" s="311"/>
      <c r="AB6" s="311"/>
      <c r="AC6" s="311"/>
      <c r="AD6" s="311"/>
      <c r="AE6" s="311"/>
      <c r="AF6" s="311"/>
      <c r="AG6" s="311"/>
    </row>
    <row r="7" spans="1:33" ht="12" customHeight="1">
      <c r="B7" s="349" t="s">
        <v>250</v>
      </c>
      <c r="C7" s="351">
        <v>283733046</v>
      </c>
      <c r="D7" s="351">
        <v>287860594</v>
      </c>
      <c r="E7" s="351">
        <v>307094298</v>
      </c>
      <c r="F7" s="351">
        <v>310943489</v>
      </c>
      <c r="G7" s="351">
        <v>308485309</v>
      </c>
      <c r="H7" s="351">
        <v>342073628</v>
      </c>
      <c r="I7" s="351">
        <v>368545799</v>
      </c>
      <c r="J7" s="350">
        <v>394749.6</v>
      </c>
      <c r="K7" s="350">
        <v>435909.3</v>
      </c>
      <c r="L7" s="350">
        <v>476340.3</v>
      </c>
      <c r="M7" s="350">
        <v>504986.8</v>
      </c>
      <c r="N7" s="350">
        <v>535421.1</v>
      </c>
      <c r="O7" s="350">
        <v>575566.4</v>
      </c>
      <c r="P7" s="350">
        <v>594004.19999999995</v>
      </c>
      <c r="Q7" s="350">
        <v>621140.1</v>
      </c>
      <c r="R7" s="350">
        <v>645016.19999999995</v>
      </c>
      <c r="S7" s="350">
        <v>690892.3</v>
      </c>
      <c r="T7" s="350">
        <v>709233</v>
      </c>
      <c r="U7" s="350">
        <v>755841.1</v>
      </c>
      <c r="V7" s="350">
        <v>786549.7</v>
      </c>
      <c r="X7" s="312"/>
      <c r="Y7" s="312"/>
      <c r="Z7" s="312"/>
      <c r="AA7" s="312"/>
      <c r="AB7" s="312"/>
      <c r="AC7" s="312"/>
      <c r="AD7" s="312"/>
      <c r="AE7" s="312"/>
      <c r="AF7" s="312"/>
      <c r="AG7" s="312"/>
    </row>
    <row r="8" spans="1:33" ht="12" customHeight="1">
      <c r="A8" s="305" t="s">
        <v>19</v>
      </c>
      <c r="B8" s="349" t="s">
        <v>271</v>
      </c>
      <c r="C8" s="350">
        <v>510161</v>
      </c>
      <c r="D8" s="350">
        <v>518010</v>
      </c>
      <c r="E8" s="350">
        <v>556076</v>
      </c>
      <c r="F8" s="350">
        <v>577989</v>
      </c>
      <c r="G8" s="350">
        <v>578693</v>
      </c>
      <c r="H8" s="350">
        <v>650296</v>
      </c>
      <c r="I8" s="350">
        <v>710428</v>
      </c>
      <c r="J8" s="350">
        <v>770444</v>
      </c>
      <c r="K8" s="350">
        <v>877171</v>
      </c>
      <c r="L8" s="350">
        <v>964407</v>
      </c>
      <c r="M8" s="350">
        <v>1019935</v>
      </c>
      <c r="N8" s="350">
        <v>1108345</v>
      </c>
      <c r="O8" s="350">
        <v>1211140</v>
      </c>
      <c r="P8" s="350">
        <v>1254348</v>
      </c>
      <c r="Q8" s="350">
        <v>1317426</v>
      </c>
      <c r="R8" s="350">
        <v>1423586</v>
      </c>
      <c r="S8" s="350">
        <v>1513950</v>
      </c>
      <c r="T8" s="350">
        <v>1569280</v>
      </c>
      <c r="U8" s="350">
        <v>1687636</v>
      </c>
      <c r="V8" s="350">
        <v>1762856</v>
      </c>
    </row>
    <row r="9" spans="1:33" ht="12" customHeight="1">
      <c r="B9" s="349" t="s">
        <v>284</v>
      </c>
      <c r="C9" s="355">
        <f>(C8/C7)*1000</f>
        <v>1.7980316610705966</v>
      </c>
      <c r="D9" s="355">
        <f t="shared" ref="D9:I9" si="0">(D8/D7)*1000</f>
        <v>1.7995168869831486</v>
      </c>
      <c r="E9" s="355">
        <f t="shared" si="0"/>
        <v>1.8107662813068577</v>
      </c>
      <c r="F9" s="355">
        <f t="shared" si="0"/>
        <v>1.858823292485793</v>
      </c>
      <c r="G9" s="355">
        <f t="shared" si="0"/>
        <v>1.8759175335639726</v>
      </c>
      <c r="H9" s="355">
        <f t="shared" si="0"/>
        <v>1.9010410238347868</v>
      </c>
      <c r="I9" s="355">
        <f t="shared" si="0"/>
        <v>1.9276518737363222</v>
      </c>
      <c r="J9" s="355">
        <f>(J8/J7)</f>
        <v>1.9517283868052053</v>
      </c>
      <c r="K9" s="355">
        <f t="shared" ref="K9:V9" si="1">(K8/K7)</f>
        <v>2.0122787010967649</v>
      </c>
      <c r="L9" s="355">
        <f t="shared" si="1"/>
        <v>2.0246176945347685</v>
      </c>
      <c r="M9" s="355">
        <f t="shared" si="1"/>
        <v>2.0197260601663252</v>
      </c>
      <c r="N9" s="355">
        <f t="shared" si="1"/>
        <v>2.0700435601062419</v>
      </c>
      <c r="O9" s="355">
        <f t="shared" si="1"/>
        <v>2.10425764950838</v>
      </c>
      <c r="P9" s="355">
        <f t="shared" si="1"/>
        <v>2.1116820386118484</v>
      </c>
      <c r="Q9" s="355">
        <f t="shared" si="1"/>
        <v>2.120980435814722</v>
      </c>
      <c r="R9" s="355">
        <f t="shared" si="1"/>
        <v>2.207054644519006</v>
      </c>
      <c r="S9" s="355">
        <f t="shared" si="1"/>
        <v>2.1912966753284122</v>
      </c>
      <c r="T9" s="355">
        <f t="shared" si="1"/>
        <v>2.2126437997103912</v>
      </c>
      <c r="U9" s="355">
        <f t="shared" si="1"/>
        <v>2.2327920511334991</v>
      </c>
      <c r="V9" s="355">
        <f t="shared" si="1"/>
        <v>2.2412518878336614</v>
      </c>
    </row>
    <row r="10" spans="1:33" ht="12" customHeight="1">
      <c r="A10" s="347"/>
      <c r="B10" s="353" t="s">
        <v>272</v>
      </c>
      <c r="C10" s="357">
        <v>3.06</v>
      </c>
      <c r="D10" s="357">
        <v>3.19</v>
      </c>
      <c r="E10" s="357">
        <v>3.07</v>
      </c>
      <c r="F10" s="357">
        <v>3.09</v>
      </c>
      <c r="G10" s="357">
        <v>3.48</v>
      </c>
      <c r="H10" s="357">
        <v>3.46</v>
      </c>
      <c r="I10" s="357">
        <v>3.6</v>
      </c>
      <c r="J10" s="357">
        <v>3.63</v>
      </c>
      <c r="K10" s="357">
        <v>4.18</v>
      </c>
      <c r="L10" s="357">
        <v>4.33</v>
      </c>
      <c r="M10" s="357">
        <v>4.6399999999999997</v>
      </c>
      <c r="N10" s="357">
        <v>4.67</v>
      </c>
      <c r="O10" s="357">
        <v>4.7</v>
      </c>
      <c r="P10" s="357">
        <v>4.75</v>
      </c>
      <c r="Q10" s="357">
        <v>4.78</v>
      </c>
      <c r="R10" s="357">
        <v>4.82</v>
      </c>
      <c r="S10" s="357">
        <v>4.84</v>
      </c>
      <c r="T10" s="357">
        <v>4.84</v>
      </c>
      <c r="U10" s="357">
        <v>4.8600000000000003</v>
      </c>
      <c r="V10" s="357">
        <v>4.6500000000000004</v>
      </c>
      <c r="W10" s="306"/>
    </row>
    <row r="11" spans="1:33" ht="12" customHeight="1">
      <c r="B11" s="349" t="s">
        <v>51</v>
      </c>
      <c r="C11" s="350">
        <v>14800991</v>
      </c>
      <c r="D11" s="350">
        <v>14727155</v>
      </c>
      <c r="E11" s="350">
        <v>14690547</v>
      </c>
      <c r="F11" s="350">
        <v>14721243</v>
      </c>
      <c r="G11" s="350">
        <v>14696522</v>
      </c>
      <c r="H11" s="350">
        <v>14813786</v>
      </c>
      <c r="I11" s="350">
        <v>14675255</v>
      </c>
      <c r="J11" s="350">
        <v>14580166</v>
      </c>
      <c r="K11" s="350">
        <v>14509628</v>
      </c>
      <c r="L11" s="350">
        <v>14137690</v>
      </c>
      <c r="M11" s="350">
        <v>14159720</v>
      </c>
      <c r="N11" s="350">
        <v>14050173</v>
      </c>
      <c r="O11" s="350">
        <v>12184143</v>
      </c>
      <c r="P11" s="350">
        <v>11830977</v>
      </c>
      <c r="Q11" s="350">
        <v>11652272</v>
      </c>
      <c r="R11" s="350">
        <v>11982580</v>
      </c>
      <c r="S11" s="350">
        <v>11450657</v>
      </c>
      <c r="T11" s="350">
        <v>11338424</v>
      </c>
      <c r="U11" s="350">
        <v>11331908</v>
      </c>
      <c r="V11" s="350">
        <v>11261557</v>
      </c>
    </row>
    <row r="12" spans="1:33" ht="12" customHeight="1">
      <c r="B12" s="349" t="s">
        <v>250</v>
      </c>
      <c r="C12" s="351">
        <v>2521661</v>
      </c>
      <c r="D12" s="351">
        <v>2571321</v>
      </c>
      <c r="E12" s="351">
        <v>2517896</v>
      </c>
      <c r="F12" s="351">
        <v>2535935</v>
      </c>
      <c r="G12" s="351">
        <v>2709847</v>
      </c>
      <c r="H12" s="351">
        <v>2685627</v>
      </c>
      <c r="I12" s="351">
        <v>2692776</v>
      </c>
      <c r="J12" s="351">
        <v>2681208</v>
      </c>
      <c r="K12" s="351">
        <v>2678241</v>
      </c>
      <c r="L12" s="351">
        <v>2753681</v>
      </c>
      <c r="M12" s="351">
        <v>2788507</v>
      </c>
      <c r="N12" s="351">
        <v>2844228</v>
      </c>
      <c r="O12" s="351">
        <v>2910166</v>
      </c>
      <c r="P12" s="351">
        <v>2832371</v>
      </c>
      <c r="Q12" s="351">
        <v>2788555</v>
      </c>
      <c r="R12" s="351">
        <v>2698887</v>
      </c>
      <c r="S12" s="351">
        <v>2745951</v>
      </c>
      <c r="T12" s="351">
        <v>2699282</v>
      </c>
      <c r="U12" s="351">
        <v>2687624</v>
      </c>
      <c r="V12" s="351">
        <v>2682837</v>
      </c>
    </row>
    <row r="13" spans="1:33" ht="12" customHeight="1">
      <c r="A13" s="305" t="s">
        <v>5</v>
      </c>
      <c r="B13" s="349" t="s">
        <v>271</v>
      </c>
      <c r="C13" s="350">
        <v>31068</v>
      </c>
      <c r="D13" s="350">
        <v>31868</v>
      </c>
      <c r="E13" s="350">
        <v>31437</v>
      </c>
      <c r="F13" s="350">
        <v>31926</v>
      </c>
      <c r="G13" s="350">
        <v>33698</v>
      </c>
      <c r="H13" s="350">
        <v>33686</v>
      </c>
      <c r="I13" s="350">
        <v>33904</v>
      </c>
      <c r="J13" s="350">
        <v>33839</v>
      </c>
      <c r="K13" s="350">
        <v>33350</v>
      </c>
      <c r="L13" s="350">
        <v>33458</v>
      </c>
      <c r="M13" s="350">
        <v>33669</v>
      </c>
      <c r="N13" s="350">
        <v>34256</v>
      </c>
      <c r="O13" s="350">
        <v>35304</v>
      </c>
      <c r="P13" s="350">
        <v>34906</v>
      </c>
      <c r="Q13" s="350">
        <v>34421</v>
      </c>
      <c r="R13" s="350">
        <v>33163</v>
      </c>
      <c r="S13" s="350">
        <v>33955</v>
      </c>
      <c r="T13" s="350">
        <v>33458</v>
      </c>
      <c r="U13" s="350">
        <v>33672</v>
      </c>
      <c r="V13" s="350">
        <v>33781</v>
      </c>
    </row>
    <row r="14" spans="1:33" ht="12" customHeight="1">
      <c r="B14" s="349" t="s">
        <v>284</v>
      </c>
      <c r="C14" s="352">
        <f>(C13/C12)*1000</f>
        <v>12.320450687066977</v>
      </c>
      <c r="D14" s="352">
        <f t="shared" ref="D14:P14" si="2">(D13/D12)*1000</f>
        <v>12.393629577948454</v>
      </c>
      <c r="E14" s="352">
        <f t="shared" si="2"/>
        <v>12.485424338415884</v>
      </c>
      <c r="F14" s="352">
        <f t="shared" si="2"/>
        <v>12.589439398091828</v>
      </c>
      <c r="G14" s="352">
        <f t="shared" si="2"/>
        <v>12.435388418608134</v>
      </c>
      <c r="H14" s="352">
        <f t="shared" si="2"/>
        <v>12.543067224152869</v>
      </c>
      <c r="I14" s="352">
        <f t="shared" si="2"/>
        <v>12.590724219170106</v>
      </c>
      <c r="J14" s="352">
        <f t="shared" si="2"/>
        <v>12.620803757112466</v>
      </c>
      <c r="K14" s="352">
        <f t="shared" si="2"/>
        <v>12.452202770400422</v>
      </c>
      <c r="L14" s="352">
        <f t="shared" si="2"/>
        <v>12.150281750137362</v>
      </c>
      <c r="M14" s="352">
        <f t="shared" si="2"/>
        <v>12.07420314885349</v>
      </c>
      <c r="N14" s="352">
        <f t="shared" si="2"/>
        <v>12.044041476281086</v>
      </c>
      <c r="O14" s="352">
        <f t="shared" si="2"/>
        <v>12.131266738735865</v>
      </c>
      <c r="P14" s="352">
        <f t="shared" si="2"/>
        <v>12.323950499422567</v>
      </c>
      <c r="Q14" s="352">
        <f t="shared" ref="Q14:V14" si="3">(Q13/Q12)*1000</f>
        <v>12.343669032886208</v>
      </c>
      <c r="R14" s="352">
        <f t="shared" si="3"/>
        <v>12.287657838212567</v>
      </c>
      <c r="S14" s="352">
        <f t="shared" si="3"/>
        <v>12.365479209206574</v>
      </c>
      <c r="T14" s="352">
        <f t="shared" si="3"/>
        <v>12.395148043072195</v>
      </c>
      <c r="U14" s="352">
        <f t="shared" si="3"/>
        <v>12.528538218143609</v>
      </c>
      <c r="V14" s="352">
        <f t="shared" si="3"/>
        <v>12.591521587036411</v>
      </c>
    </row>
    <row r="15" spans="1:33" ht="12" customHeight="1">
      <c r="A15" s="347"/>
      <c r="B15" s="353" t="s">
        <v>272</v>
      </c>
      <c r="C15" s="357">
        <v>2.99</v>
      </c>
      <c r="D15" s="357">
        <v>3.13</v>
      </c>
      <c r="E15" s="357">
        <v>3.29</v>
      </c>
      <c r="F15" s="357">
        <v>3.29</v>
      </c>
      <c r="G15" s="357">
        <v>3.27</v>
      </c>
      <c r="H15" s="357">
        <v>3.31</v>
      </c>
      <c r="I15" s="357">
        <v>3.32</v>
      </c>
      <c r="J15" s="357">
        <v>3.49</v>
      </c>
      <c r="K15" s="357">
        <v>3.9</v>
      </c>
      <c r="L15" s="357">
        <v>4.13</v>
      </c>
      <c r="M15" s="357">
        <v>4.46</v>
      </c>
      <c r="N15" s="357">
        <v>4.5199999999999996</v>
      </c>
      <c r="O15" s="357">
        <v>4.9000000000000004</v>
      </c>
      <c r="P15" s="357">
        <v>5.04</v>
      </c>
      <c r="Q15" s="357">
        <v>5.72</v>
      </c>
      <c r="R15" s="357">
        <v>5.72</v>
      </c>
      <c r="S15" s="357">
        <v>5.9</v>
      </c>
      <c r="T15" s="357">
        <v>5.6</v>
      </c>
      <c r="U15" s="357">
        <v>5.56</v>
      </c>
      <c r="V15" s="357">
        <v>5.6</v>
      </c>
      <c r="W15" s="306"/>
    </row>
    <row r="16" spans="1:33" ht="12" customHeight="1">
      <c r="B16" s="349" t="s">
        <v>51</v>
      </c>
      <c r="C16" s="350">
        <v>2845573</v>
      </c>
      <c r="D16" s="350">
        <v>2809888</v>
      </c>
      <c r="E16" s="350">
        <v>2941036</v>
      </c>
      <c r="F16" s="350">
        <v>2990499</v>
      </c>
      <c r="G16" s="350">
        <v>3000199</v>
      </c>
      <c r="H16" s="350">
        <v>3010724</v>
      </c>
      <c r="I16" s="350">
        <v>3073855</v>
      </c>
      <c r="J16" s="350">
        <v>3115772</v>
      </c>
      <c r="K16" s="350">
        <v>3151406</v>
      </c>
      <c r="L16" s="350">
        <v>3256809</v>
      </c>
      <c r="M16" s="350">
        <v>3254413</v>
      </c>
      <c r="N16" s="350">
        <v>3263254</v>
      </c>
      <c r="O16" s="350">
        <v>2987315</v>
      </c>
      <c r="P16" s="350">
        <v>3176115</v>
      </c>
      <c r="Q16" s="350">
        <v>3173015</v>
      </c>
      <c r="R16" s="350">
        <v>3200714</v>
      </c>
      <c r="S16" s="350">
        <v>3104911</v>
      </c>
      <c r="T16" s="350">
        <v>3217254</v>
      </c>
      <c r="U16" s="350">
        <v>3209742</v>
      </c>
      <c r="V16" s="350">
        <v>3258808</v>
      </c>
      <c r="Z16" s="306"/>
      <c r="AA16" s="306"/>
    </row>
    <row r="17" spans="1:107" ht="12" customHeight="1">
      <c r="B17" s="349" t="s">
        <v>250</v>
      </c>
      <c r="C17" s="351">
        <v>1540534</v>
      </c>
      <c r="D17" s="351">
        <v>1650886</v>
      </c>
      <c r="E17" s="351">
        <v>1637129</v>
      </c>
      <c r="F17" s="351">
        <v>1670387</v>
      </c>
      <c r="G17" s="351">
        <v>1884573</v>
      </c>
      <c r="H17" s="351">
        <v>1991346</v>
      </c>
      <c r="I17" s="351">
        <v>2074715</v>
      </c>
      <c r="J17" s="351">
        <v>2153141</v>
      </c>
      <c r="K17" s="351">
        <v>2131518</v>
      </c>
      <c r="L17" s="351">
        <v>2213057</v>
      </c>
      <c r="M17" s="351">
        <v>2186978</v>
      </c>
      <c r="N17" s="351">
        <v>2298432</v>
      </c>
      <c r="O17" s="351">
        <v>2401634</v>
      </c>
      <c r="P17" s="351">
        <v>2499031</v>
      </c>
      <c r="Q17" s="351">
        <v>2629566</v>
      </c>
      <c r="R17" s="351">
        <v>2764884</v>
      </c>
      <c r="S17" s="351">
        <v>2876803</v>
      </c>
      <c r="T17" s="351">
        <v>3073656</v>
      </c>
      <c r="U17" s="351">
        <v>3090907</v>
      </c>
      <c r="V17" s="351">
        <v>3284606</v>
      </c>
      <c r="X17" s="312"/>
      <c r="Y17" s="312"/>
    </row>
    <row r="18" spans="1:107" ht="12" customHeight="1">
      <c r="A18" s="305" t="s">
        <v>6</v>
      </c>
      <c r="B18" s="349" t="s">
        <v>271</v>
      </c>
      <c r="C18" s="350">
        <v>91554</v>
      </c>
      <c r="D18" s="350">
        <v>93313</v>
      </c>
      <c r="E18" s="350">
        <v>92530</v>
      </c>
      <c r="F18" s="350">
        <v>92738</v>
      </c>
      <c r="G18" s="350">
        <v>98880</v>
      </c>
      <c r="H18" s="350">
        <v>104254</v>
      </c>
      <c r="I18" s="350">
        <v>109010</v>
      </c>
      <c r="J18" s="350">
        <v>114520</v>
      </c>
      <c r="K18" s="350">
        <v>115196</v>
      </c>
      <c r="L18" s="350">
        <v>114719</v>
      </c>
      <c r="M18" s="350">
        <v>115655</v>
      </c>
      <c r="N18" s="350">
        <v>117588</v>
      </c>
      <c r="O18" s="350">
        <v>122353</v>
      </c>
      <c r="P18" s="350">
        <v>127684</v>
      </c>
      <c r="Q18" s="350">
        <v>135390</v>
      </c>
      <c r="R18" s="350">
        <v>142925</v>
      </c>
      <c r="S18" s="350">
        <v>149399</v>
      </c>
      <c r="T18" s="350">
        <v>157824</v>
      </c>
      <c r="U18" s="350">
        <v>162421</v>
      </c>
      <c r="V18" s="350">
        <v>173259</v>
      </c>
      <c r="X18" s="311"/>
      <c r="Y18" s="311"/>
    </row>
    <row r="19" spans="1:107" ht="12" customHeight="1">
      <c r="B19" s="349" t="s">
        <v>284</v>
      </c>
      <c r="C19" s="352">
        <f t="shared" ref="C19:P19" si="4">(C18/C17)*1000</f>
        <v>59.43004179070374</v>
      </c>
      <c r="D19" s="352">
        <f t="shared" si="4"/>
        <v>56.522982204707048</v>
      </c>
      <c r="E19" s="352">
        <f t="shared" si="4"/>
        <v>56.519675602838873</v>
      </c>
      <c r="F19" s="352">
        <f t="shared" si="4"/>
        <v>55.518870776652356</v>
      </c>
      <c r="G19" s="352">
        <f t="shared" si="4"/>
        <v>52.468118772793623</v>
      </c>
      <c r="H19" s="352">
        <f t="shared" si="4"/>
        <v>52.353533740495124</v>
      </c>
      <c r="I19" s="352">
        <f t="shared" si="4"/>
        <v>52.542156392564763</v>
      </c>
      <c r="J19" s="352">
        <f t="shared" si="4"/>
        <v>53.187413179164764</v>
      </c>
      <c r="K19" s="352">
        <f t="shared" si="4"/>
        <v>54.044113162544257</v>
      </c>
      <c r="L19" s="352">
        <f t="shared" si="4"/>
        <v>51.837345355316202</v>
      </c>
      <c r="M19" s="352">
        <f t="shared" si="4"/>
        <v>52.883476651342633</v>
      </c>
      <c r="N19" s="352">
        <f t="shared" si="4"/>
        <v>51.160095230139497</v>
      </c>
      <c r="O19" s="352">
        <f t="shared" si="4"/>
        <v>50.945731114732716</v>
      </c>
      <c r="P19" s="352">
        <f t="shared" si="4"/>
        <v>51.093403803314168</v>
      </c>
      <c r="Q19" s="352">
        <f t="shared" ref="Q19:V19" si="5">(Q18/Q17)*1000</f>
        <v>51.487583882663529</v>
      </c>
      <c r="R19" s="352">
        <f t="shared" si="5"/>
        <v>51.692946250186267</v>
      </c>
      <c r="S19" s="352">
        <f t="shared" si="5"/>
        <v>51.932301238562395</v>
      </c>
      <c r="T19" s="352">
        <f t="shared" si="5"/>
        <v>51.347320584997149</v>
      </c>
      <c r="U19" s="352">
        <f t="shared" si="5"/>
        <v>52.548006135415918</v>
      </c>
      <c r="V19" s="352">
        <f t="shared" si="5"/>
        <v>52.748792397018086</v>
      </c>
    </row>
    <row r="20" spans="1:107" ht="12" customHeight="1">
      <c r="A20" s="347"/>
      <c r="B20" s="353" t="s">
        <v>272</v>
      </c>
      <c r="C20" s="357">
        <v>3.31</v>
      </c>
      <c r="D20" s="357">
        <v>3.34</v>
      </c>
      <c r="E20" s="357">
        <v>3.35</v>
      </c>
      <c r="F20" s="357">
        <v>3.39</v>
      </c>
      <c r="G20" s="357">
        <v>3.42</v>
      </c>
      <c r="H20" s="357">
        <v>3.43</v>
      </c>
      <c r="I20" s="357">
        <v>3.47</v>
      </c>
      <c r="J20" s="357">
        <v>3.5</v>
      </c>
      <c r="K20" s="357">
        <v>3.8</v>
      </c>
      <c r="L20" s="357">
        <v>4.12</v>
      </c>
      <c r="M20" s="357">
        <v>4.25</v>
      </c>
      <c r="N20" s="357">
        <v>5.05</v>
      </c>
      <c r="O20" s="357">
        <v>5.24</v>
      </c>
      <c r="P20" s="357">
        <v>5.91</v>
      </c>
      <c r="Q20" s="357">
        <v>6.07</v>
      </c>
      <c r="R20" s="357">
        <v>6.42</v>
      </c>
      <c r="S20" s="357">
        <v>6.77</v>
      </c>
      <c r="T20" s="357">
        <v>6.96</v>
      </c>
      <c r="U20" s="357">
        <v>7.05</v>
      </c>
      <c r="V20" s="357">
        <v>6.95</v>
      </c>
      <c r="W20" s="306"/>
    </row>
    <row r="21" spans="1:107" ht="12" customHeight="1">
      <c r="B21" s="349" t="s">
        <v>51</v>
      </c>
      <c r="C21" s="350">
        <v>4980291</v>
      </c>
      <c r="D21" s="350">
        <v>5035612</v>
      </c>
      <c r="E21" s="350">
        <v>5163700</v>
      </c>
      <c r="F21" s="350">
        <v>5193414</v>
      </c>
      <c r="G21" s="350">
        <v>5184822</v>
      </c>
      <c r="H21" s="350">
        <v>5249783</v>
      </c>
      <c r="I21" s="350">
        <v>5241102</v>
      </c>
      <c r="J21" s="350">
        <v>5420865</v>
      </c>
      <c r="K21" s="350">
        <v>5442989</v>
      </c>
      <c r="L21" s="350">
        <v>5459435</v>
      </c>
      <c r="M21" s="350">
        <v>5520200</v>
      </c>
      <c r="N21" s="350">
        <v>5589173</v>
      </c>
      <c r="O21" s="350">
        <v>5660984</v>
      </c>
      <c r="P21" s="350">
        <v>5555988</v>
      </c>
      <c r="Q21" s="350">
        <v>5577959</v>
      </c>
      <c r="R21" s="350">
        <v>5553470</v>
      </c>
      <c r="S21" s="350">
        <v>5525454</v>
      </c>
      <c r="T21" s="350">
        <v>5535569</v>
      </c>
      <c r="U21" s="350">
        <v>5575483</v>
      </c>
      <c r="V21" s="350">
        <v>5599890.5</v>
      </c>
      <c r="W21" s="307"/>
      <c r="X21" s="307"/>
      <c r="Y21" s="307"/>
      <c r="Z21" s="307"/>
      <c r="AA21" s="307"/>
      <c r="AB21" s="307"/>
      <c r="AC21" s="307"/>
      <c r="AD21" s="307"/>
      <c r="AE21" s="307"/>
      <c r="AF21" s="307"/>
      <c r="AI21" s="307"/>
      <c r="AJ21" s="307"/>
      <c r="AK21" s="307"/>
      <c r="AL21" s="307"/>
      <c r="AM21" s="307"/>
      <c r="AN21" s="307"/>
      <c r="AO21" s="307"/>
      <c r="AP21" s="307"/>
      <c r="AQ21" s="307"/>
      <c r="AR21" s="307"/>
      <c r="AS21" s="307"/>
      <c r="AT21" s="307"/>
      <c r="AU21" s="307"/>
      <c r="AY21" s="307"/>
      <c r="AZ21" s="307"/>
      <c r="BA21" s="307"/>
      <c r="BB21" s="307"/>
      <c r="BC21" s="307"/>
      <c r="BD21" s="307"/>
      <c r="BE21" s="307"/>
      <c r="BF21" s="307"/>
      <c r="BG21" s="307"/>
      <c r="BK21" s="307"/>
      <c r="BL21" s="307"/>
      <c r="BM21" s="307"/>
      <c r="BN21" s="307"/>
      <c r="BO21" s="307"/>
      <c r="BP21" s="307"/>
      <c r="BQ21" s="307"/>
      <c r="BR21" s="307"/>
      <c r="BS21" s="307"/>
      <c r="BT21" s="307"/>
      <c r="BU21" s="307"/>
      <c r="BV21" s="307"/>
      <c r="BW21" s="307"/>
      <c r="BX21" s="307"/>
      <c r="CB21" s="307"/>
      <c r="CC21" s="307"/>
      <c r="CD21" s="307"/>
      <c r="CE21" s="307"/>
      <c r="CF21" s="307"/>
      <c r="CG21" s="307"/>
      <c r="CH21" s="307"/>
      <c r="CI21" s="307"/>
      <c r="CJ21" s="307"/>
      <c r="CK21" s="307"/>
      <c r="CL21" s="307"/>
      <c r="CM21" s="307"/>
      <c r="CN21" s="307"/>
      <c r="CQ21" s="307"/>
      <c r="CR21" s="307"/>
      <c r="CS21" s="307"/>
      <c r="CT21" s="307"/>
      <c r="CU21" s="307"/>
      <c r="CV21" s="307"/>
      <c r="CW21" s="307"/>
      <c r="CX21" s="307"/>
      <c r="CY21" s="307"/>
      <c r="CZ21" s="307"/>
      <c r="DA21" s="307"/>
      <c r="DB21" s="307"/>
      <c r="DC21" s="307"/>
    </row>
    <row r="22" spans="1:107" ht="12" customHeight="1">
      <c r="B22" s="349" t="s">
        <v>250</v>
      </c>
      <c r="C22" s="351">
        <v>875746</v>
      </c>
      <c r="D22" s="351">
        <v>920031</v>
      </c>
      <c r="E22" s="351">
        <v>951383</v>
      </c>
      <c r="F22" s="351">
        <v>986402</v>
      </c>
      <c r="G22" s="351">
        <v>1020294</v>
      </c>
      <c r="H22" s="351">
        <v>1074578</v>
      </c>
      <c r="I22" s="351">
        <v>1127321</v>
      </c>
      <c r="J22" s="351">
        <v>1138578</v>
      </c>
      <c r="K22" s="351">
        <v>1151906</v>
      </c>
      <c r="L22" s="351">
        <v>1168497</v>
      </c>
      <c r="M22" s="351">
        <v>1218723</v>
      </c>
      <c r="N22" s="351">
        <v>1266710</v>
      </c>
      <c r="O22" s="351">
        <v>1319404</v>
      </c>
      <c r="P22" s="351">
        <v>1375095</v>
      </c>
      <c r="Q22" s="351">
        <v>1376391</v>
      </c>
      <c r="R22" s="351">
        <v>1367797</v>
      </c>
      <c r="S22" s="351">
        <v>1364230</v>
      </c>
      <c r="T22" s="351">
        <v>1331223</v>
      </c>
      <c r="U22" s="351">
        <v>1348165</v>
      </c>
      <c r="V22" s="351">
        <v>1357067</v>
      </c>
    </row>
    <row r="23" spans="1:107" ht="12" customHeight="1">
      <c r="A23" s="305" t="s">
        <v>7</v>
      </c>
      <c r="B23" s="349" t="s">
        <v>271</v>
      </c>
      <c r="C23" s="350">
        <v>130249</v>
      </c>
      <c r="D23" s="350">
        <v>130269</v>
      </c>
      <c r="E23" s="350">
        <v>134137</v>
      </c>
      <c r="F23" s="350">
        <v>137271</v>
      </c>
      <c r="G23" s="350">
        <v>143554</v>
      </c>
      <c r="H23" s="350">
        <v>152497</v>
      </c>
      <c r="I23" s="350">
        <v>161578</v>
      </c>
      <c r="J23" s="350">
        <v>163235</v>
      </c>
      <c r="K23" s="350">
        <v>163318</v>
      </c>
      <c r="L23" s="350">
        <v>164704</v>
      </c>
      <c r="M23" s="350">
        <v>171872</v>
      </c>
      <c r="N23" s="350">
        <v>179084</v>
      </c>
      <c r="O23" s="350">
        <v>186617</v>
      </c>
      <c r="P23" s="350">
        <v>193087</v>
      </c>
      <c r="Q23" s="350">
        <v>196232</v>
      </c>
      <c r="R23" s="350">
        <v>196015</v>
      </c>
      <c r="S23" s="350">
        <v>192703</v>
      </c>
      <c r="T23" s="350">
        <v>188738</v>
      </c>
      <c r="U23" s="350">
        <v>189703</v>
      </c>
      <c r="V23" s="350">
        <v>192920</v>
      </c>
    </row>
    <row r="24" spans="1:107" ht="12" customHeight="1">
      <c r="B24" s="349" t="s">
        <v>284</v>
      </c>
      <c r="C24" s="352">
        <f t="shared" ref="C24:P24" si="6">(C23/C22)*1000</f>
        <v>148.72919773541642</v>
      </c>
      <c r="D24" s="352">
        <f t="shared" si="6"/>
        <v>141.59196809672716</v>
      </c>
      <c r="E24" s="352">
        <f t="shared" si="6"/>
        <v>140.99158803552302</v>
      </c>
      <c r="F24" s="352">
        <f t="shared" si="6"/>
        <v>139.16334314001796</v>
      </c>
      <c r="G24" s="352">
        <f t="shared" si="6"/>
        <v>140.69866136623367</v>
      </c>
      <c r="H24" s="352">
        <f t="shared" si="6"/>
        <v>141.91338367247423</v>
      </c>
      <c r="I24" s="352">
        <f t="shared" si="6"/>
        <v>143.32918485506789</v>
      </c>
      <c r="J24" s="352">
        <f t="shared" si="6"/>
        <v>143.3674284941392</v>
      </c>
      <c r="K24" s="352">
        <f t="shared" si="6"/>
        <v>141.7806661307433</v>
      </c>
      <c r="L24" s="352">
        <f t="shared" si="6"/>
        <v>140.95372089102494</v>
      </c>
      <c r="M24" s="352">
        <f t="shared" si="6"/>
        <v>141.02630376221666</v>
      </c>
      <c r="N24" s="352">
        <f t="shared" si="6"/>
        <v>141.37726867238754</v>
      </c>
      <c r="O24" s="352">
        <f t="shared" si="6"/>
        <v>141.44037762504888</v>
      </c>
      <c r="P24" s="352">
        <f t="shared" si="6"/>
        <v>140.41720753838825</v>
      </c>
      <c r="Q24" s="352">
        <f t="shared" ref="Q24:V24" si="7">(Q23/Q22)*1000</f>
        <v>142.56995286949711</v>
      </c>
      <c r="R24" s="352">
        <f t="shared" si="7"/>
        <v>143.30708431148776</v>
      </c>
      <c r="S24" s="352">
        <f t="shared" si="7"/>
        <v>141.25404074093078</v>
      </c>
      <c r="T24" s="352">
        <f t="shared" si="7"/>
        <v>141.7778989695941</v>
      </c>
      <c r="U24" s="352">
        <f t="shared" si="7"/>
        <v>140.71200483620328</v>
      </c>
      <c r="V24" s="352">
        <f t="shared" si="7"/>
        <v>142.15952491660326</v>
      </c>
    </row>
    <row r="25" spans="1:107" ht="12" customHeight="1">
      <c r="A25" s="347"/>
      <c r="B25" s="353" t="s">
        <v>272</v>
      </c>
      <c r="C25" s="357">
        <v>3.34</v>
      </c>
      <c r="D25" s="357">
        <v>3.41</v>
      </c>
      <c r="E25" s="357">
        <v>3.29</v>
      </c>
      <c r="F25" s="357">
        <v>3.52</v>
      </c>
      <c r="G25" s="357">
        <v>3.33</v>
      </c>
      <c r="H25" s="357">
        <v>3.36</v>
      </c>
      <c r="I25" s="357">
        <v>3.4</v>
      </c>
      <c r="J25" s="357">
        <v>3.5</v>
      </c>
      <c r="K25" s="357">
        <v>3.77</v>
      </c>
      <c r="L25" s="357">
        <v>4.08</v>
      </c>
      <c r="M25" s="357">
        <v>4.0999999999999996</v>
      </c>
      <c r="N25" s="357">
        <v>4.25</v>
      </c>
      <c r="O25" s="357">
        <v>4.6900000000000004</v>
      </c>
      <c r="P25" s="357">
        <v>4.84</v>
      </c>
      <c r="Q25" s="357">
        <v>5.23</v>
      </c>
      <c r="R25" s="357">
        <v>5.41</v>
      </c>
      <c r="S25" s="357">
        <v>5.45</v>
      </c>
      <c r="T25" s="357">
        <v>5.53</v>
      </c>
      <c r="U25" s="357">
        <v>5.64</v>
      </c>
      <c r="V25" s="357">
        <v>5.68</v>
      </c>
      <c r="W25" s="313"/>
    </row>
    <row r="26" spans="1:107" ht="12" customHeight="1">
      <c r="B26" s="349" t="s">
        <v>51</v>
      </c>
      <c r="C26" s="350">
        <v>2034914</v>
      </c>
      <c r="D26" s="350">
        <v>2017808</v>
      </c>
      <c r="E26" s="350">
        <v>1983128</v>
      </c>
      <c r="F26" s="350">
        <v>1983302</v>
      </c>
      <c r="G26" s="350">
        <v>1971863</v>
      </c>
      <c r="H26" s="350">
        <v>1952956</v>
      </c>
      <c r="I26" s="350">
        <v>1936855</v>
      </c>
      <c r="J26" s="350">
        <v>1925912</v>
      </c>
      <c r="K26" s="350">
        <v>1904124</v>
      </c>
      <c r="L26" s="350">
        <v>1928678</v>
      </c>
      <c r="M26" s="350">
        <v>1968306</v>
      </c>
      <c r="N26" s="350">
        <v>1946117</v>
      </c>
      <c r="O26" s="350">
        <v>1949502</v>
      </c>
      <c r="P26" s="350">
        <v>1928631</v>
      </c>
      <c r="Q26" s="350">
        <v>1905462</v>
      </c>
      <c r="R26" s="350">
        <v>1882361</v>
      </c>
      <c r="S26" s="350">
        <v>1865047</v>
      </c>
      <c r="T26" s="350">
        <v>1814704</v>
      </c>
      <c r="U26" s="350">
        <v>1811630</v>
      </c>
      <c r="V26" s="350">
        <v>1807959</v>
      </c>
    </row>
    <row r="27" spans="1:107" ht="12" customHeight="1">
      <c r="B27" s="349" t="s">
        <v>250</v>
      </c>
      <c r="C27" s="351">
        <v>451247</v>
      </c>
      <c r="D27" s="351">
        <v>468861</v>
      </c>
      <c r="E27" s="351">
        <v>476569</v>
      </c>
      <c r="F27" s="351">
        <v>523993</v>
      </c>
      <c r="G27" s="351">
        <v>524448</v>
      </c>
      <c r="H27" s="351">
        <v>527096</v>
      </c>
      <c r="I27" s="351">
        <v>518663</v>
      </c>
      <c r="J27" s="351">
        <v>506927</v>
      </c>
      <c r="K27" s="351">
        <v>496706</v>
      </c>
      <c r="L27" s="351">
        <v>505880</v>
      </c>
      <c r="M27" s="351">
        <v>499447</v>
      </c>
      <c r="N27" s="351">
        <v>489915</v>
      </c>
      <c r="O27" s="351">
        <v>496626</v>
      </c>
      <c r="P27" s="351">
        <v>505262</v>
      </c>
      <c r="Q27" s="351">
        <v>489956</v>
      </c>
      <c r="R27" s="351">
        <v>464018</v>
      </c>
      <c r="S27" s="351">
        <v>458812</v>
      </c>
      <c r="T27" s="351">
        <v>444799</v>
      </c>
      <c r="U27" s="351">
        <v>410567</v>
      </c>
      <c r="V27" s="351">
        <v>411263</v>
      </c>
    </row>
    <row r="28" spans="1:107" ht="12" customHeight="1">
      <c r="A28" s="305" t="s">
        <v>8</v>
      </c>
      <c r="B28" s="349" t="s">
        <v>271</v>
      </c>
      <c r="C28" s="350">
        <v>6268</v>
      </c>
      <c r="D28" s="350">
        <v>5912</v>
      </c>
      <c r="E28" s="350">
        <v>5793</v>
      </c>
      <c r="F28" s="350">
        <v>6294</v>
      </c>
      <c r="G28" s="350">
        <v>6476</v>
      </c>
      <c r="H28" s="350">
        <v>6618</v>
      </c>
      <c r="I28" s="350">
        <v>6772</v>
      </c>
      <c r="J28" s="350">
        <v>6686</v>
      </c>
      <c r="K28" s="350">
        <v>6419</v>
      </c>
      <c r="L28" s="350">
        <v>6153</v>
      </c>
      <c r="M28" s="350">
        <v>6131</v>
      </c>
      <c r="N28" s="350">
        <v>6150</v>
      </c>
      <c r="O28" s="350">
        <v>6247</v>
      </c>
      <c r="P28" s="350">
        <v>6439</v>
      </c>
      <c r="Q28" s="350">
        <v>6167</v>
      </c>
      <c r="R28" s="350">
        <v>5901</v>
      </c>
      <c r="S28" s="350">
        <v>5827</v>
      </c>
      <c r="T28" s="350">
        <v>5494</v>
      </c>
      <c r="U28" s="350">
        <v>4966</v>
      </c>
      <c r="V28" s="350">
        <v>5102</v>
      </c>
    </row>
    <row r="29" spans="1:107" ht="12" customHeight="1">
      <c r="B29" s="349" t="s">
        <v>284</v>
      </c>
      <c r="C29" s="352">
        <f t="shared" ref="C29:P29" si="8">(C28/C27)*1000</f>
        <v>13.890397055271281</v>
      </c>
      <c r="D29" s="352">
        <f t="shared" si="8"/>
        <v>12.609280788975836</v>
      </c>
      <c r="E29" s="352">
        <f t="shared" si="8"/>
        <v>12.155637483764156</v>
      </c>
      <c r="F29" s="352">
        <f t="shared" si="8"/>
        <v>12.011610842129571</v>
      </c>
      <c r="G29" s="352">
        <f t="shared" si="8"/>
        <v>12.348221367990726</v>
      </c>
      <c r="H29" s="352">
        <f t="shared" si="8"/>
        <v>12.555587596946287</v>
      </c>
      <c r="I29" s="352">
        <f t="shared" si="8"/>
        <v>13.056647572701349</v>
      </c>
      <c r="J29" s="352">
        <f t="shared" si="8"/>
        <v>13.189275773434835</v>
      </c>
      <c r="K29" s="352">
        <f t="shared" si="8"/>
        <v>12.923137630711125</v>
      </c>
      <c r="L29" s="352">
        <f t="shared" si="8"/>
        <v>12.162963548667667</v>
      </c>
      <c r="M29" s="352">
        <f t="shared" si="8"/>
        <v>12.275576787927447</v>
      </c>
      <c r="N29" s="352">
        <f t="shared" si="8"/>
        <v>12.553198003735341</v>
      </c>
      <c r="O29" s="352">
        <f t="shared" si="8"/>
        <v>12.578882297745183</v>
      </c>
      <c r="P29" s="352">
        <f t="shared" si="8"/>
        <v>12.743883371399393</v>
      </c>
      <c r="Q29" s="352">
        <f t="shared" ref="Q29:V29" si="9">(Q28/Q27)*1000</f>
        <v>12.586844532978471</v>
      </c>
      <c r="R29" s="352">
        <f t="shared" si="9"/>
        <v>12.717179074949678</v>
      </c>
      <c r="S29" s="352">
        <f t="shared" si="9"/>
        <v>12.700190927874598</v>
      </c>
      <c r="T29" s="352">
        <f t="shared" si="9"/>
        <v>12.351646474025346</v>
      </c>
      <c r="U29" s="352">
        <f t="shared" si="9"/>
        <v>12.095467974776344</v>
      </c>
      <c r="V29" s="352">
        <f t="shared" si="9"/>
        <v>12.405686871904354</v>
      </c>
    </row>
    <row r="30" spans="1:107" ht="12" customHeight="1">
      <c r="A30" s="347"/>
      <c r="B30" s="353" t="s">
        <v>272</v>
      </c>
      <c r="C30" s="354">
        <v>3.33</v>
      </c>
      <c r="D30" s="354">
        <v>3.28</v>
      </c>
      <c r="E30" s="354">
        <v>3.31</v>
      </c>
      <c r="F30" s="354">
        <v>3.22</v>
      </c>
      <c r="G30" s="354">
        <v>3.27</v>
      </c>
      <c r="H30" s="354">
        <v>3.05</v>
      </c>
      <c r="I30" s="354">
        <v>3.01</v>
      </c>
      <c r="J30" s="354">
        <v>3.17</v>
      </c>
      <c r="K30" s="354">
        <v>3.41</v>
      </c>
      <c r="L30" s="354">
        <v>3.61</v>
      </c>
      <c r="M30" s="354">
        <v>3.38</v>
      </c>
      <c r="N30" s="354">
        <v>3.53</v>
      </c>
      <c r="O30" s="354">
        <v>3.68</v>
      </c>
      <c r="P30" s="354">
        <v>3.93</v>
      </c>
      <c r="Q30" s="354">
        <v>4.04</v>
      </c>
      <c r="R30" s="354">
        <v>4.28</v>
      </c>
      <c r="S30" s="354">
        <v>4.66</v>
      </c>
      <c r="T30" s="354">
        <v>4.74</v>
      </c>
      <c r="U30" s="354">
        <v>4.79</v>
      </c>
      <c r="V30" s="354">
        <v>4.8099999999999996</v>
      </c>
      <c r="W30" s="313"/>
    </row>
    <row r="31" spans="1:107" ht="12" customHeight="1">
      <c r="B31" s="349" t="s">
        <v>51</v>
      </c>
      <c r="C31" s="350">
        <v>3078524</v>
      </c>
      <c r="D31" s="350">
        <v>3190373</v>
      </c>
      <c r="E31" s="350">
        <v>3335721</v>
      </c>
      <c r="F31" s="350">
        <v>3422557</v>
      </c>
      <c r="G31" s="350">
        <v>3429019</v>
      </c>
      <c r="H31" s="350">
        <v>3594515</v>
      </c>
      <c r="I31" s="350">
        <v>3625627</v>
      </c>
      <c r="J31" s="350">
        <v>3687340</v>
      </c>
      <c r="K31" s="350">
        <v>3780806</v>
      </c>
      <c r="L31" s="350">
        <v>4105582</v>
      </c>
      <c r="M31" s="350">
        <v>4177499</v>
      </c>
      <c r="N31" s="350">
        <v>4322258</v>
      </c>
      <c r="O31" s="350">
        <v>3927361</v>
      </c>
      <c r="P31" s="350">
        <v>4005315</v>
      </c>
      <c r="Q31" s="350">
        <v>4315793</v>
      </c>
      <c r="R31" s="350">
        <v>4318457</v>
      </c>
      <c r="S31" s="350">
        <v>4319228</v>
      </c>
      <c r="T31" s="350">
        <v>4330710</v>
      </c>
      <c r="U31" s="350">
        <v>4384846</v>
      </c>
      <c r="V31" s="350">
        <v>4449505</v>
      </c>
    </row>
    <row r="32" spans="1:107" ht="12" customHeight="1">
      <c r="B32" s="349" t="s">
        <v>250</v>
      </c>
      <c r="C32" s="351">
        <v>269643</v>
      </c>
      <c r="D32" s="351">
        <v>288318</v>
      </c>
      <c r="E32" s="351">
        <v>313415</v>
      </c>
      <c r="F32" s="351">
        <v>304890</v>
      </c>
      <c r="G32" s="351">
        <v>312092</v>
      </c>
      <c r="H32" s="351">
        <v>321478</v>
      </c>
      <c r="I32" s="351">
        <v>330072</v>
      </c>
      <c r="J32" s="351">
        <v>355174</v>
      </c>
      <c r="K32" s="351">
        <v>365555</v>
      </c>
      <c r="L32" s="351">
        <v>387980</v>
      </c>
      <c r="M32" s="351">
        <v>410085</v>
      </c>
      <c r="N32" s="351">
        <v>424100</v>
      </c>
      <c r="O32" s="351">
        <v>455558</v>
      </c>
      <c r="P32" s="351">
        <v>463354</v>
      </c>
      <c r="Q32" s="351">
        <v>481847</v>
      </c>
      <c r="R32" s="351">
        <v>446199</v>
      </c>
      <c r="S32" s="351">
        <v>474135</v>
      </c>
      <c r="T32" s="351">
        <v>479033</v>
      </c>
      <c r="U32" s="351">
        <v>470464</v>
      </c>
      <c r="V32" s="351">
        <v>473283</v>
      </c>
    </row>
    <row r="33" spans="1:23" ht="12" customHeight="1">
      <c r="A33" s="305" t="s">
        <v>9</v>
      </c>
      <c r="B33" s="349" t="s">
        <v>271</v>
      </c>
      <c r="C33" s="350">
        <v>7307</v>
      </c>
      <c r="D33" s="350">
        <v>7713</v>
      </c>
      <c r="E33" s="350">
        <v>8277</v>
      </c>
      <c r="F33" s="350">
        <v>8204</v>
      </c>
      <c r="G33" s="350">
        <v>8323</v>
      </c>
      <c r="H33" s="350">
        <v>8671</v>
      </c>
      <c r="I33" s="350">
        <v>8793</v>
      </c>
      <c r="J33" s="350">
        <v>9366</v>
      </c>
      <c r="K33" s="350">
        <v>9527</v>
      </c>
      <c r="L33" s="350">
        <v>10189</v>
      </c>
      <c r="M33" s="350">
        <v>10761</v>
      </c>
      <c r="N33" s="350">
        <v>11318</v>
      </c>
      <c r="O33" s="350">
        <v>11999</v>
      </c>
      <c r="P33" s="350">
        <v>12169</v>
      </c>
      <c r="Q33" s="350">
        <v>12594</v>
      </c>
      <c r="R33" s="350">
        <v>11917</v>
      </c>
      <c r="S33" s="350">
        <v>12445</v>
      </c>
      <c r="T33" s="350">
        <v>12747</v>
      </c>
      <c r="U33" s="350">
        <v>12689</v>
      </c>
      <c r="V33" s="350">
        <v>12580</v>
      </c>
    </row>
    <row r="34" spans="1:23" ht="12" customHeight="1">
      <c r="B34" s="349" t="s">
        <v>284</v>
      </c>
      <c r="C34" s="352">
        <f t="shared" ref="C34:P34" si="10">(C33/C32)*1000</f>
        <v>27.098793590043133</v>
      </c>
      <c r="D34" s="352">
        <f t="shared" si="10"/>
        <v>26.751711651717894</v>
      </c>
      <c r="E34" s="352">
        <f t="shared" si="10"/>
        <v>26.409074230652646</v>
      </c>
      <c r="F34" s="352">
        <f t="shared" si="10"/>
        <v>26.908065203844011</v>
      </c>
      <c r="G34" s="352">
        <f t="shared" si="10"/>
        <v>26.668418286915397</v>
      </c>
      <c r="H34" s="352">
        <f t="shared" si="10"/>
        <v>26.972296704595649</v>
      </c>
      <c r="I34" s="352">
        <f t="shared" si="10"/>
        <v>26.639642259870573</v>
      </c>
      <c r="J34" s="352">
        <f t="shared" si="10"/>
        <v>26.370173492429064</v>
      </c>
      <c r="K34" s="352">
        <f t="shared" si="10"/>
        <v>26.061741735169811</v>
      </c>
      <c r="L34" s="352">
        <f t="shared" si="10"/>
        <v>26.261662972318163</v>
      </c>
      <c r="M34" s="352">
        <f t="shared" si="10"/>
        <v>26.240901276564614</v>
      </c>
      <c r="N34" s="352">
        <f t="shared" si="10"/>
        <v>26.68710209856166</v>
      </c>
      <c r="O34" s="352">
        <f t="shared" si="10"/>
        <v>26.339126960782163</v>
      </c>
      <c r="P34" s="352">
        <f t="shared" si="10"/>
        <v>26.262857340176193</v>
      </c>
      <c r="Q34" s="352">
        <f t="shared" ref="Q34:V34" si="11">(Q33/Q32)*1000</f>
        <v>26.136927281896536</v>
      </c>
      <c r="R34" s="352">
        <f t="shared" si="11"/>
        <v>26.707814226387775</v>
      </c>
      <c r="S34" s="352">
        <f t="shared" si="11"/>
        <v>26.24779862275512</v>
      </c>
      <c r="T34" s="352">
        <f t="shared" si="11"/>
        <v>26.609857775977854</v>
      </c>
      <c r="U34" s="352">
        <f t="shared" si="11"/>
        <v>26.971245408787922</v>
      </c>
      <c r="V34" s="352">
        <f t="shared" si="11"/>
        <v>26.580291284495747</v>
      </c>
    </row>
    <row r="35" spans="1:23" ht="12" customHeight="1">
      <c r="A35" s="347"/>
      <c r="B35" s="353" t="s">
        <v>272</v>
      </c>
      <c r="C35" s="354">
        <v>2.4</v>
      </c>
      <c r="D35" s="354">
        <v>2.57</v>
      </c>
      <c r="E35" s="354">
        <v>2.48</v>
      </c>
      <c r="F35" s="354">
        <v>2.5299999999999998</v>
      </c>
      <c r="G35" s="354">
        <v>2.66</v>
      </c>
      <c r="H35" s="354">
        <v>2.61</v>
      </c>
      <c r="I35" s="354">
        <v>2.5099999999999998</v>
      </c>
      <c r="J35" s="354">
        <v>2.5</v>
      </c>
      <c r="K35" s="354">
        <v>2.91</v>
      </c>
      <c r="L35" s="354">
        <v>3.13</v>
      </c>
      <c r="M35" s="354">
        <v>3.43</v>
      </c>
      <c r="N35" s="354">
        <v>3.65</v>
      </c>
      <c r="O35" s="354">
        <v>4.03</v>
      </c>
      <c r="P35" s="354">
        <v>4.43</v>
      </c>
      <c r="Q35" s="354">
        <v>4.7699999999999996</v>
      </c>
      <c r="R35" s="354">
        <v>4.63</v>
      </c>
      <c r="S35" s="354">
        <v>4.8099999999999996</v>
      </c>
      <c r="T35" s="354">
        <v>4.91</v>
      </c>
      <c r="U35" s="354">
        <v>4.96</v>
      </c>
      <c r="V35" s="354">
        <v>4.9400000000000004</v>
      </c>
      <c r="W35" s="313"/>
    </row>
    <row r="36" spans="1:23" ht="12" customHeight="1">
      <c r="A36" s="737"/>
      <c r="B36" s="738"/>
      <c r="C36" s="739"/>
      <c r="D36" s="739"/>
      <c r="E36" s="739"/>
      <c r="F36" s="739"/>
      <c r="G36" s="739"/>
      <c r="H36" s="739"/>
      <c r="I36" s="739"/>
      <c r="J36" s="739"/>
      <c r="K36" s="739"/>
      <c r="L36" s="739"/>
      <c r="M36" s="739"/>
      <c r="N36" s="739"/>
      <c r="O36" s="739"/>
      <c r="P36" s="739"/>
      <c r="Q36" s="739"/>
      <c r="R36" s="739"/>
      <c r="S36" s="739"/>
      <c r="T36" s="739"/>
      <c r="U36" s="739"/>
      <c r="V36" s="348" t="s">
        <v>287</v>
      </c>
      <c r="W36" s="313"/>
    </row>
    <row r="37" spans="1:23" ht="12" customHeight="1" thickBot="1">
      <c r="A37" s="740" t="s">
        <v>299</v>
      </c>
      <c r="B37" s="738"/>
      <c r="C37" s="739"/>
      <c r="D37" s="739"/>
      <c r="E37" s="739"/>
      <c r="F37" s="739"/>
      <c r="G37" s="739"/>
      <c r="H37" s="739"/>
      <c r="I37" s="739"/>
      <c r="J37" s="739"/>
      <c r="K37" s="739"/>
      <c r="L37" s="739"/>
      <c r="M37" s="739"/>
      <c r="N37" s="739"/>
      <c r="O37" s="739"/>
      <c r="P37" s="739"/>
      <c r="Q37" s="739"/>
      <c r="R37" s="739"/>
      <c r="S37" s="739"/>
      <c r="T37" s="739"/>
      <c r="U37" s="739"/>
      <c r="V37" s="739"/>
      <c r="W37" s="313"/>
    </row>
    <row r="38" spans="1:23" ht="22" customHeight="1">
      <c r="A38" s="358" t="s">
        <v>285</v>
      </c>
      <c r="B38" s="342" t="s">
        <v>55</v>
      </c>
      <c r="C38" s="342">
        <v>2000</v>
      </c>
      <c r="D38" s="342">
        <v>2001</v>
      </c>
      <c r="E38" s="342">
        <v>2002</v>
      </c>
      <c r="F38" s="342">
        <v>2003</v>
      </c>
      <c r="G38" s="342">
        <v>2004</v>
      </c>
      <c r="H38" s="342">
        <v>2005</v>
      </c>
      <c r="I38" s="342">
        <v>2006</v>
      </c>
      <c r="J38" s="342">
        <v>2007</v>
      </c>
      <c r="K38" s="342">
        <v>2008</v>
      </c>
      <c r="L38" s="342">
        <v>2009</v>
      </c>
      <c r="M38" s="342">
        <v>2010</v>
      </c>
      <c r="N38" s="342">
        <v>2011</v>
      </c>
      <c r="O38" s="342">
        <v>2012</v>
      </c>
      <c r="P38" s="342">
        <v>2013</v>
      </c>
      <c r="Q38" s="342">
        <v>2014</v>
      </c>
      <c r="R38" s="342">
        <v>2015</v>
      </c>
      <c r="S38" s="342">
        <v>2016</v>
      </c>
      <c r="T38" s="343">
        <v>2017</v>
      </c>
      <c r="U38" s="344" t="s">
        <v>221</v>
      </c>
      <c r="V38" s="344" t="s">
        <v>239</v>
      </c>
      <c r="W38" s="313"/>
    </row>
    <row r="39" spans="1:23" ht="12" customHeight="1">
      <c r="B39" s="349" t="s">
        <v>51</v>
      </c>
      <c r="C39" s="350">
        <v>1183908</v>
      </c>
      <c r="D39" s="350">
        <v>1179088</v>
      </c>
      <c r="E39" s="350">
        <v>1207275</v>
      </c>
      <c r="F39" s="350">
        <v>1230543</v>
      </c>
      <c r="G39" s="350">
        <v>1236984</v>
      </c>
      <c r="H39" s="350">
        <v>1269979</v>
      </c>
      <c r="I39" s="350">
        <v>1256101</v>
      </c>
      <c r="J39" s="350">
        <v>1274425</v>
      </c>
      <c r="K39" s="350">
        <v>1262782</v>
      </c>
      <c r="L39" s="350">
        <v>1237593</v>
      </c>
      <c r="M39" s="350">
        <v>1245169</v>
      </c>
      <c r="N39" s="350">
        <v>1226612</v>
      </c>
      <c r="O39" s="350">
        <v>1194404</v>
      </c>
      <c r="P39" s="350">
        <v>1234089</v>
      </c>
      <c r="Q39" s="350">
        <v>1211917</v>
      </c>
      <c r="R39" s="350">
        <v>1194708</v>
      </c>
      <c r="S39" s="350">
        <v>1105018</v>
      </c>
      <c r="T39" s="350">
        <v>1106201</v>
      </c>
      <c r="U39" s="350">
        <v>1093124</v>
      </c>
      <c r="V39" s="350">
        <v>1089699</v>
      </c>
    </row>
    <row r="40" spans="1:23" ht="12" customHeight="1">
      <c r="B40" s="349" t="s">
        <v>250</v>
      </c>
      <c r="C40" s="351">
        <v>91890</v>
      </c>
      <c r="D40" s="351">
        <v>95157</v>
      </c>
      <c r="E40" s="351">
        <v>97389</v>
      </c>
      <c r="F40" s="351">
        <v>101826</v>
      </c>
      <c r="G40" s="351">
        <v>109330</v>
      </c>
      <c r="H40" s="351">
        <v>112106</v>
      </c>
      <c r="I40" s="351">
        <v>113801</v>
      </c>
      <c r="J40" s="351">
        <v>118399</v>
      </c>
      <c r="K40" s="351">
        <v>119237</v>
      </c>
      <c r="L40" s="351">
        <v>127316</v>
      </c>
      <c r="M40" s="351">
        <v>123384</v>
      </c>
      <c r="N40" s="351">
        <v>128346</v>
      </c>
      <c r="O40" s="351">
        <v>130530</v>
      </c>
      <c r="P40" s="351">
        <v>125729</v>
      </c>
      <c r="Q40" s="351">
        <v>123360</v>
      </c>
      <c r="R40" s="351">
        <v>119806</v>
      </c>
      <c r="S40" s="351">
        <v>119195</v>
      </c>
      <c r="T40" s="351">
        <v>120748</v>
      </c>
      <c r="U40" s="351">
        <v>119726</v>
      </c>
      <c r="V40" s="351">
        <v>115790</v>
      </c>
    </row>
    <row r="41" spans="1:23" ht="12" customHeight="1">
      <c r="A41" s="305" t="s">
        <v>10</v>
      </c>
      <c r="B41" s="349" t="s">
        <v>271</v>
      </c>
      <c r="C41" s="350">
        <v>3194</v>
      </c>
      <c r="D41" s="350">
        <v>3232</v>
      </c>
      <c r="E41" s="350">
        <v>3242</v>
      </c>
      <c r="F41" s="350">
        <v>3496</v>
      </c>
      <c r="G41" s="350">
        <v>3699</v>
      </c>
      <c r="H41" s="350">
        <v>3863</v>
      </c>
      <c r="I41" s="350">
        <v>3839</v>
      </c>
      <c r="J41" s="350">
        <v>4053</v>
      </c>
      <c r="K41" s="350">
        <v>3971</v>
      </c>
      <c r="L41" s="350">
        <v>4175</v>
      </c>
      <c r="M41" s="350">
        <v>4075</v>
      </c>
      <c r="N41" s="350">
        <v>4235</v>
      </c>
      <c r="O41" s="350">
        <v>4350</v>
      </c>
      <c r="P41" s="350">
        <v>4179</v>
      </c>
      <c r="Q41" s="350">
        <v>4170</v>
      </c>
      <c r="R41" s="350">
        <v>3980</v>
      </c>
      <c r="S41" s="350">
        <v>3977</v>
      </c>
      <c r="T41" s="350">
        <v>4009</v>
      </c>
      <c r="U41" s="350">
        <v>4003</v>
      </c>
      <c r="V41" s="350">
        <v>3848</v>
      </c>
    </row>
    <row r="42" spans="1:23" ht="12" customHeight="1">
      <c r="B42" s="349" t="s">
        <v>284</v>
      </c>
      <c r="C42" s="352">
        <f t="shared" ref="C42:P42" si="12">(C41/C40)*1000</f>
        <v>34.758950919577757</v>
      </c>
      <c r="D42" s="352">
        <f t="shared" si="12"/>
        <v>33.964921130342489</v>
      </c>
      <c r="E42" s="352">
        <f t="shared" si="12"/>
        <v>33.289180502931544</v>
      </c>
      <c r="F42" s="352">
        <f t="shared" si="12"/>
        <v>34.333077995796756</v>
      </c>
      <c r="G42" s="352">
        <f t="shared" si="12"/>
        <v>33.833348577700541</v>
      </c>
      <c r="H42" s="352">
        <f t="shared" si="12"/>
        <v>34.458458958485721</v>
      </c>
      <c r="I42" s="352">
        <f t="shared" si="12"/>
        <v>33.734325708912927</v>
      </c>
      <c r="J42" s="352">
        <f t="shared" si="12"/>
        <v>34.23170803807465</v>
      </c>
      <c r="K42" s="352">
        <f t="shared" si="12"/>
        <v>33.303420918003638</v>
      </c>
      <c r="L42" s="352">
        <f t="shared" si="12"/>
        <v>32.792422005089698</v>
      </c>
      <c r="M42" s="352">
        <f t="shared" si="12"/>
        <v>33.026972703105749</v>
      </c>
      <c r="N42" s="352">
        <f t="shared" si="12"/>
        <v>32.996743178595359</v>
      </c>
      <c r="O42" s="352">
        <f t="shared" si="12"/>
        <v>33.325672259250744</v>
      </c>
      <c r="P42" s="352">
        <f t="shared" si="12"/>
        <v>33.238155079575911</v>
      </c>
      <c r="Q42" s="352">
        <f t="shared" ref="Q42:V42" si="13">(Q41/Q40)*1000</f>
        <v>33.803501945525291</v>
      </c>
      <c r="R42" s="352">
        <f t="shared" si="13"/>
        <v>33.220372936246932</v>
      </c>
      <c r="S42" s="352">
        <f t="shared" si="13"/>
        <v>33.365493519023453</v>
      </c>
      <c r="T42" s="352">
        <f t="shared" si="13"/>
        <v>33.201378076655509</v>
      </c>
      <c r="U42" s="352">
        <f t="shared" si="13"/>
        <v>33.434675843175249</v>
      </c>
      <c r="V42" s="352">
        <f t="shared" si="13"/>
        <v>33.232576215562659</v>
      </c>
    </row>
    <row r="43" spans="1:23" ht="12" customHeight="1">
      <c r="A43" s="347"/>
      <c r="B43" s="353" t="s">
        <v>272</v>
      </c>
      <c r="C43" s="354">
        <v>1.93</v>
      </c>
      <c r="D43" s="354">
        <v>2.1800000000000002</v>
      </c>
      <c r="E43" s="354">
        <v>2.39</v>
      </c>
      <c r="F43" s="354">
        <v>2.4</v>
      </c>
      <c r="G43" s="354">
        <v>2.4500000000000002</v>
      </c>
      <c r="H43" s="354">
        <v>2.4900000000000002</v>
      </c>
      <c r="I43" s="354">
        <v>2.39</v>
      </c>
      <c r="J43" s="354">
        <v>2.31</v>
      </c>
      <c r="K43" s="354">
        <v>2.7</v>
      </c>
      <c r="L43" s="354">
        <v>2.88</v>
      </c>
      <c r="M43" s="354">
        <v>3.02</v>
      </c>
      <c r="N43" s="354">
        <v>3.4</v>
      </c>
      <c r="O43" s="354">
        <v>3.61</v>
      </c>
      <c r="P43" s="354">
        <v>3.87</v>
      </c>
      <c r="Q43" s="354">
        <v>4.25</v>
      </c>
      <c r="R43" s="354">
        <v>4.09</v>
      </c>
      <c r="S43" s="354">
        <v>4.32</v>
      </c>
      <c r="T43" s="354">
        <v>4.25</v>
      </c>
      <c r="U43" s="354">
        <v>4.28</v>
      </c>
      <c r="V43" s="354">
        <v>4.2699999999999996</v>
      </c>
      <c r="W43" s="313"/>
    </row>
    <row r="44" spans="1:23" ht="12" customHeight="1">
      <c r="B44" s="349" t="s">
        <v>248</v>
      </c>
      <c r="C44" s="351">
        <v>11899785</v>
      </c>
      <c r="D44" s="351">
        <v>12705402</v>
      </c>
      <c r="E44" s="351">
        <v>12651366</v>
      </c>
      <c r="F44" s="351">
        <v>13059118</v>
      </c>
      <c r="G44" s="351">
        <v>13362491</v>
      </c>
      <c r="H44" s="351">
        <v>13654721</v>
      </c>
      <c r="I44" s="351">
        <v>15842743</v>
      </c>
      <c r="J44" s="351">
        <v>16572273</v>
      </c>
      <c r="K44" s="351">
        <v>17048710</v>
      </c>
      <c r="L44" s="351">
        <v>17206413</v>
      </c>
      <c r="M44" s="351">
        <v>18156674</v>
      </c>
      <c r="N44" s="351">
        <v>19950695</v>
      </c>
      <c r="O44" s="351">
        <v>19846405</v>
      </c>
      <c r="P44" s="351">
        <v>21805630</v>
      </c>
      <c r="Q44" s="351">
        <v>22353253</v>
      </c>
      <c r="R44" s="351">
        <v>23883311</v>
      </c>
      <c r="S44" s="351">
        <v>24752078</v>
      </c>
      <c r="T44" s="351">
        <v>25559765</v>
      </c>
      <c r="U44" s="351">
        <v>27705670</v>
      </c>
      <c r="V44" s="351">
        <v>29468986</v>
      </c>
    </row>
    <row r="45" spans="1:23" ht="12" customHeight="1">
      <c r="A45" s="305" t="s">
        <v>281</v>
      </c>
      <c r="B45" s="349" t="s">
        <v>274</v>
      </c>
      <c r="C45" s="350">
        <v>178686</v>
      </c>
      <c r="D45" s="350">
        <v>188391</v>
      </c>
      <c r="E45" s="350">
        <v>190915</v>
      </c>
      <c r="F45" s="350">
        <v>197839</v>
      </c>
      <c r="G45" s="350">
        <v>202357</v>
      </c>
      <c r="H45" s="350">
        <v>207086</v>
      </c>
      <c r="I45" s="350">
        <v>245451</v>
      </c>
      <c r="J45" s="350">
        <v>257621</v>
      </c>
      <c r="K45" s="350">
        <v>266541</v>
      </c>
      <c r="L45" s="350">
        <v>268707</v>
      </c>
      <c r="M45" s="350">
        <v>285102</v>
      </c>
      <c r="N45" s="350">
        <v>317654</v>
      </c>
      <c r="O45" s="350">
        <v>314024</v>
      </c>
      <c r="P45" s="350">
        <v>349791</v>
      </c>
      <c r="Q45" s="350">
        <v>358630</v>
      </c>
      <c r="R45" s="350">
        <v>386255</v>
      </c>
      <c r="S45" s="350">
        <v>400980</v>
      </c>
      <c r="T45" s="350">
        <v>415336</v>
      </c>
      <c r="U45" s="350">
        <v>452234</v>
      </c>
      <c r="V45" s="350">
        <v>488484</v>
      </c>
    </row>
    <row r="46" spans="1:23" ht="12" customHeight="1">
      <c r="B46" s="349" t="s">
        <v>275</v>
      </c>
      <c r="C46" s="355">
        <f t="shared" ref="C46:P46" si="14">(C45/C44)*1000</f>
        <v>15.015901547801073</v>
      </c>
      <c r="D46" s="355">
        <f t="shared" si="14"/>
        <v>14.827630011234591</v>
      </c>
      <c r="E46" s="355">
        <f t="shared" si="14"/>
        <v>15.090465329988872</v>
      </c>
      <c r="F46" s="352">
        <f t="shared" si="14"/>
        <v>15.149491719119164</v>
      </c>
      <c r="G46" s="352">
        <f t="shared" si="14"/>
        <v>15.143658469068379</v>
      </c>
      <c r="H46" s="352">
        <f t="shared" si="14"/>
        <v>15.165890244114106</v>
      </c>
      <c r="I46" s="352">
        <f t="shared" si="14"/>
        <v>15.492961035850925</v>
      </c>
      <c r="J46" s="352">
        <f t="shared" si="14"/>
        <v>15.545302687205311</v>
      </c>
      <c r="K46" s="352">
        <f t="shared" si="14"/>
        <v>15.634086098009762</v>
      </c>
      <c r="L46" s="352">
        <f t="shared" si="14"/>
        <v>15.616677340012703</v>
      </c>
      <c r="M46" s="352">
        <f t="shared" si="14"/>
        <v>15.702325216611808</v>
      </c>
      <c r="N46" s="352">
        <f t="shared" si="14"/>
        <v>15.921951591160107</v>
      </c>
      <c r="O46" s="352">
        <f t="shared" si="14"/>
        <v>15.822714491616996</v>
      </c>
      <c r="P46" s="352">
        <f t="shared" si="14"/>
        <v>16.041315935379991</v>
      </c>
      <c r="Q46" s="352">
        <f t="shared" ref="Q46:V46" si="15">(Q45/Q44)*1000</f>
        <v>16.043749873899785</v>
      </c>
      <c r="R46" s="352">
        <f t="shared" si="15"/>
        <v>16.172590140454144</v>
      </c>
      <c r="S46" s="352">
        <f t="shared" si="15"/>
        <v>16.199851988184587</v>
      </c>
      <c r="T46" s="352">
        <f t="shared" si="15"/>
        <v>16.249601668872934</v>
      </c>
      <c r="U46" s="352">
        <f t="shared" si="15"/>
        <v>16.322796019731701</v>
      </c>
      <c r="V46" s="352">
        <f t="shared" si="15"/>
        <v>16.576206592245828</v>
      </c>
    </row>
    <row r="47" spans="1:23" ht="12" customHeight="1">
      <c r="A47" s="347"/>
      <c r="B47" s="353" t="s">
        <v>273</v>
      </c>
      <c r="C47" s="356">
        <v>2.74</v>
      </c>
      <c r="D47" s="356">
        <v>2.73</v>
      </c>
      <c r="E47" s="356">
        <v>2.91</v>
      </c>
      <c r="F47" s="356">
        <v>2.78</v>
      </c>
      <c r="G47" s="356">
        <v>3.07</v>
      </c>
      <c r="H47" s="356">
        <v>3.2</v>
      </c>
      <c r="I47" s="356">
        <v>3.07</v>
      </c>
      <c r="J47" s="356">
        <v>3.09</v>
      </c>
      <c r="K47" s="356">
        <v>3.81</v>
      </c>
      <c r="L47" s="356">
        <v>3.79</v>
      </c>
      <c r="M47" s="356">
        <v>3.73</v>
      </c>
      <c r="N47" s="356">
        <v>3.88</v>
      </c>
      <c r="O47" s="356">
        <v>4.1500000000000004</v>
      </c>
      <c r="P47" s="356">
        <v>4.33</v>
      </c>
      <c r="Q47" s="356">
        <v>4.63</v>
      </c>
      <c r="R47" s="356">
        <v>4.66</v>
      </c>
      <c r="S47" s="356">
        <v>4.72</v>
      </c>
      <c r="T47" s="356">
        <v>4.75</v>
      </c>
      <c r="U47" s="356">
        <v>4.67</v>
      </c>
      <c r="V47" s="356">
        <v>4.1399999999999997</v>
      </c>
      <c r="W47" s="313"/>
    </row>
    <row r="48" spans="1:23" ht="12" customHeight="1">
      <c r="B48" s="349" t="s">
        <v>251</v>
      </c>
      <c r="C48" s="351">
        <v>553872</v>
      </c>
      <c r="D48" s="351">
        <v>570399</v>
      </c>
      <c r="E48" s="351">
        <v>635516</v>
      </c>
      <c r="F48" s="351">
        <v>649791</v>
      </c>
      <c r="G48" s="351">
        <v>674830</v>
      </c>
      <c r="H48" s="351">
        <v>708120</v>
      </c>
      <c r="I48" s="351">
        <v>743671</v>
      </c>
      <c r="J48" s="351">
        <v>753189</v>
      </c>
      <c r="K48" s="351">
        <v>769581</v>
      </c>
      <c r="L48" s="351">
        <v>787007</v>
      </c>
      <c r="M48" s="351">
        <v>787604</v>
      </c>
      <c r="N48" s="351">
        <v>815393</v>
      </c>
      <c r="O48" s="351">
        <v>859630</v>
      </c>
      <c r="P48" s="351">
        <v>859468</v>
      </c>
      <c r="Q48" s="351">
        <v>874941</v>
      </c>
      <c r="R48" s="351">
        <v>886143</v>
      </c>
      <c r="S48" s="351">
        <v>895716</v>
      </c>
      <c r="T48" s="351">
        <v>890154</v>
      </c>
      <c r="U48" s="351">
        <v>896710</v>
      </c>
      <c r="V48" s="351">
        <v>905817</v>
      </c>
    </row>
    <row r="49" spans="1:23" ht="12" customHeight="1">
      <c r="A49" s="305" t="s">
        <v>282</v>
      </c>
      <c r="B49" s="349" t="s">
        <v>274</v>
      </c>
      <c r="C49" s="350">
        <v>903216</v>
      </c>
      <c r="D49" s="350">
        <v>989706</v>
      </c>
      <c r="E49" s="350">
        <v>1051482</v>
      </c>
      <c r="F49" s="350">
        <v>1104820</v>
      </c>
      <c r="G49" s="350">
        <v>1164973</v>
      </c>
      <c r="H49" s="350">
        <v>1236836</v>
      </c>
      <c r="I49" s="350">
        <v>1346991</v>
      </c>
      <c r="J49" s="350">
        <v>1455815</v>
      </c>
      <c r="K49" s="350">
        <v>1565528</v>
      </c>
      <c r="L49" s="350">
        <v>1652112</v>
      </c>
      <c r="M49" s="350">
        <v>1678372</v>
      </c>
      <c r="N49" s="350">
        <v>1755529</v>
      </c>
      <c r="O49" s="350">
        <v>1790670</v>
      </c>
      <c r="P49" s="350">
        <v>1807806</v>
      </c>
      <c r="Q49" s="350">
        <v>1840226</v>
      </c>
      <c r="R49" s="350">
        <v>1903177</v>
      </c>
      <c r="S49" s="350">
        <v>1954232</v>
      </c>
      <c r="T49" s="350">
        <v>2013674</v>
      </c>
      <c r="U49" s="350">
        <v>2067143</v>
      </c>
      <c r="V49" s="350">
        <v>2129366</v>
      </c>
    </row>
    <row r="50" spans="1:23" ht="12" customHeight="1">
      <c r="B50" s="349" t="s">
        <v>52</v>
      </c>
      <c r="C50" s="351">
        <f t="shared" ref="C50:P50" si="16">(C49/C48)*1000</f>
        <v>1630.7305659069245</v>
      </c>
      <c r="D50" s="351">
        <f t="shared" si="16"/>
        <v>1735.1117375731724</v>
      </c>
      <c r="E50" s="351">
        <f t="shared" si="16"/>
        <v>1654.5326946921873</v>
      </c>
      <c r="F50" s="351">
        <f t="shared" si="16"/>
        <v>1700.2697790520335</v>
      </c>
      <c r="G50" s="351">
        <f t="shared" si="16"/>
        <v>1726.3207029918647</v>
      </c>
      <c r="H50" s="351">
        <f t="shared" si="16"/>
        <v>1746.6474608823364</v>
      </c>
      <c r="I50" s="351">
        <f t="shared" si="16"/>
        <v>1811.2727267837524</v>
      </c>
      <c r="J50" s="351">
        <f t="shared" si="16"/>
        <v>1932.8681114567526</v>
      </c>
      <c r="K50" s="351">
        <f t="shared" si="16"/>
        <v>2034.2602013303344</v>
      </c>
      <c r="L50" s="351">
        <f t="shared" si="16"/>
        <v>2099.2341872435695</v>
      </c>
      <c r="M50" s="351">
        <f t="shared" si="16"/>
        <v>2130.9846064773669</v>
      </c>
      <c r="N50" s="351">
        <f t="shared" si="16"/>
        <v>2152.9851249642807</v>
      </c>
      <c r="O50" s="351">
        <f t="shared" si="16"/>
        <v>2083.0706234077452</v>
      </c>
      <c r="P50" s="351">
        <f t="shared" si="16"/>
        <v>2103.4011737493429</v>
      </c>
      <c r="Q50" s="351">
        <f t="shared" ref="Q50:V50" si="17">(Q49/Q48)*1000</f>
        <v>2103.2572482030218</v>
      </c>
      <c r="R50" s="351">
        <f t="shared" si="17"/>
        <v>2147.7086655314097</v>
      </c>
      <c r="S50" s="351">
        <f t="shared" si="17"/>
        <v>2181.754038110294</v>
      </c>
      <c r="T50" s="351">
        <f t="shared" si="17"/>
        <v>2262.1636256198367</v>
      </c>
      <c r="U50" s="351">
        <f t="shared" si="17"/>
        <v>2305.2525342641434</v>
      </c>
      <c r="V50" s="351">
        <f t="shared" si="17"/>
        <v>2350.7684223192987</v>
      </c>
    </row>
    <row r="51" spans="1:23" ht="12" customHeight="1">
      <c r="A51" s="347"/>
      <c r="B51" s="353" t="s">
        <v>276</v>
      </c>
      <c r="C51" s="356">
        <v>0.78</v>
      </c>
      <c r="D51" s="356">
        <v>0.79</v>
      </c>
      <c r="E51" s="356">
        <v>0.8</v>
      </c>
      <c r="F51" s="356">
        <v>0.8</v>
      </c>
      <c r="G51" s="356">
        <v>0.83</v>
      </c>
      <c r="H51" s="356">
        <v>0.86</v>
      </c>
      <c r="I51" s="356">
        <v>0.86</v>
      </c>
      <c r="J51" s="356">
        <v>0.86</v>
      </c>
      <c r="K51" s="356">
        <v>0.92</v>
      </c>
      <c r="L51" s="356">
        <v>0.97</v>
      </c>
      <c r="M51" s="356">
        <v>0.98</v>
      </c>
      <c r="N51" s="356">
        <v>1.01</v>
      </c>
      <c r="O51" s="356">
        <v>1.07</v>
      </c>
      <c r="P51" s="356">
        <v>1.1399999999999999</v>
      </c>
      <c r="Q51" s="356">
        <v>1.1499999999999999</v>
      </c>
      <c r="R51" s="356">
        <v>1.21</v>
      </c>
      <c r="S51" s="356">
        <v>1.24</v>
      </c>
      <c r="T51" s="356">
        <v>1.29</v>
      </c>
      <c r="U51" s="356">
        <v>1.31</v>
      </c>
      <c r="V51" s="356">
        <v>1.34</v>
      </c>
      <c r="W51" s="313"/>
    </row>
    <row r="52" spans="1:23" ht="12" customHeight="1">
      <c r="B52" s="349" t="s">
        <v>278</v>
      </c>
      <c r="C52" s="351">
        <v>1825696</v>
      </c>
      <c r="D52" s="351">
        <v>1936439</v>
      </c>
      <c r="E52" s="351">
        <v>1784549</v>
      </c>
      <c r="F52" s="351">
        <v>1774369</v>
      </c>
      <c r="G52" s="351">
        <v>1831357</v>
      </c>
      <c r="H52" s="351">
        <v>1995906</v>
      </c>
      <c r="I52" s="351">
        <v>1980553</v>
      </c>
      <c r="J52" s="351">
        <v>2208305</v>
      </c>
      <c r="K52" s="351">
        <v>2325284</v>
      </c>
      <c r="L52" s="351">
        <v>2513106</v>
      </c>
      <c r="M52" s="351">
        <v>2481124</v>
      </c>
      <c r="N52" s="351">
        <v>2573193</v>
      </c>
      <c r="O52" s="351">
        <v>2636389</v>
      </c>
      <c r="P52" s="351">
        <v>2391039</v>
      </c>
      <c r="Q52" s="351">
        <v>2894758</v>
      </c>
      <c r="R52" s="351">
        <v>2372976</v>
      </c>
      <c r="S52" s="351">
        <v>2420549</v>
      </c>
      <c r="T52" s="351">
        <v>2296839</v>
      </c>
      <c r="U52" s="351">
        <v>2365529</v>
      </c>
      <c r="V52" s="351">
        <v>2254980</v>
      </c>
    </row>
    <row r="53" spans="1:23" ht="12" customHeight="1">
      <c r="A53" s="305" t="s">
        <v>11</v>
      </c>
      <c r="B53" s="349" t="s">
        <v>274</v>
      </c>
      <c r="C53" s="350">
        <v>3110</v>
      </c>
      <c r="D53" s="350">
        <v>3399</v>
      </c>
      <c r="E53" s="350">
        <v>3165</v>
      </c>
      <c r="F53" s="350">
        <v>3103</v>
      </c>
      <c r="G53" s="350">
        <v>3248</v>
      </c>
      <c r="H53" s="350">
        <v>3597</v>
      </c>
      <c r="I53" s="350">
        <v>3510</v>
      </c>
      <c r="J53" s="350">
        <v>3895</v>
      </c>
      <c r="K53" s="350">
        <v>4019</v>
      </c>
      <c r="L53" s="350">
        <v>4387</v>
      </c>
      <c r="M53" s="350">
        <v>4352</v>
      </c>
      <c r="N53" s="350">
        <v>4661</v>
      </c>
      <c r="O53" s="350">
        <v>4797</v>
      </c>
      <c r="P53" s="350">
        <v>4420</v>
      </c>
      <c r="Q53" s="350">
        <v>4485</v>
      </c>
      <c r="R53" s="350">
        <v>4438</v>
      </c>
      <c r="S53" s="350">
        <v>4508</v>
      </c>
      <c r="T53" s="350">
        <v>4314</v>
      </c>
      <c r="U53" s="350">
        <v>4575</v>
      </c>
      <c r="V53" s="350">
        <v>4453</v>
      </c>
    </row>
    <row r="54" spans="1:23" ht="12" customHeight="1">
      <c r="B54" s="349" t="s">
        <v>53</v>
      </c>
      <c r="C54" s="355">
        <f t="shared" ref="C54:P54" si="18">(C53/C52)*1000</f>
        <v>1.70345994075684</v>
      </c>
      <c r="D54" s="355">
        <f t="shared" si="18"/>
        <v>1.7552837967010579</v>
      </c>
      <c r="E54" s="355">
        <f t="shared" si="18"/>
        <v>1.7735573525860036</v>
      </c>
      <c r="F54" s="355">
        <f t="shared" si="18"/>
        <v>1.7487906968618139</v>
      </c>
      <c r="G54" s="355">
        <f t="shared" si="18"/>
        <v>1.7735482486484067</v>
      </c>
      <c r="H54" s="355">
        <f t="shared" si="18"/>
        <v>1.8021890810489072</v>
      </c>
      <c r="I54" s="355">
        <f t="shared" si="18"/>
        <v>1.7722323007766012</v>
      </c>
      <c r="J54" s="355">
        <f t="shared" si="18"/>
        <v>1.7637962147438873</v>
      </c>
      <c r="K54" s="355">
        <f t="shared" si="18"/>
        <v>1.7283910266444873</v>
      </c>
      <c r="L54" s="355">
        <f t="shared" si="18"/>
        <v>1.7456486117179297</v>
      </c>
      <c r="M54" s="355">
        <f t="shared" si="18"/>
        <v>1.7540437317925264</v>
      </c>
      <c r="N54" s="355">
        <f t="shared" si="18"/>
        <v>1.8113682106239213</v>
      </c>
      <c r="O54" s="355">
        <f t="shared" si="18"/>
        <v>1.8195342189638934</v>
      </c>
      <c r="P54" s="355">
        <f t="shared" si="18"/>
        <v>1.8485687602753447</v>
      </c>
      <c r="Q54" s="355">
        <f t="shared" ref="Q54:V54" si="19">(Q53/Q52)*1000</f>
        <v>1.5493523120067376</v>
      </c>
      <c r="R54" s="355">
        <f t="shared" si="19"/>
        <v>1.8702254047238573</v>
      </c>
      <c r="S54" s="355">
        <f t="shared" si="19"/>
        <v>1.8623874170694334</v>
      </c>
      <c r="T54" s="355">
        <f t="shared" si="19"/>
        <v>1.8782335200682327</v>
      </c>
      <c r="U54" s="355">
        <f t="shared" si="19"/>
        <v>1.9340282871188643</v>
      </c>
      <c r="V54" s="355">
        <f t="shared" si="19"/>
        <v>1.9747403524643234</v>
      </c>
    </row>
    <row r="55" spans="1:23" ht="12" customHeight="1">
      <c r="A55" s="347"/>
      <c r="B55" s="353" t="s">
        <v>277</v>
      </c>
      <c r="C55" s="354">
        <v>5.69</v>
      </c>
      <c r="D55" s="354">
        <v>4.95</v>
      </c>
      <c r="E55" s="354">
        <v>5.05</v>
      </c>
      <c r="F55" s="354">
        <v>4.78</v>
      </c>
      <c r="G55" s="354">
        <v>4.58</v>
      </c>
      <c r="H55" s="354">
        <v>5.21</v>
      </c>
      <c r="I55" s="354">
        <v>7.68</v>
      </c>
      <c r="J55" s="354">
        <v>8.33</v>
      </c>
      <c r="K55" s="354">
        <v>8.4700000000000006</v>
      </c>
      <c r="L55" s="354">
        <v>5.51</v>
      </c>
      <c r="M55" s="354">
        <v>5.83</v>
      </c>
      <c r="N55" s="354">
        <v>6.65</v>
      </c>
      <c r="O55" s="354">
        <v>6.71</v>
      </c>
      <c r="P55" s="354">
        <v>7.28</v>
      </c>
      <c r="Q55" s="354">
        <v>7.75</v>
      </c>
      <c r="R55" s="354">
        <v>8.09</v>
      </c>
      <c r="S55" s="354">
        <v>7.59</v>
      </c>
      <c r="T55" s="354">
        <v>7.88</v>
      </c>
      <c r="U55" s="354">
        <v>7.92</v>
      </c>
      <c r="V55" s="354">
        <v>7.27</v>
      </c>
      <c r="W55" s="306"/>
    </row>
    <row r="56" spans="1:23" ht="12" customHeight="1">
      <c r="B56" s="349" t="s">
        <v>278</v>
      </c>
      <c r="C56" s="351">
        <v>484051</v>
      </c>
      <c r="D56" s="351">
        <v>519736</v>
      </c>
      <c r="E56" s="351">
        <v>402772</v>
      </c>
      <c r="F56" s="351">
        <v>413808</v>
      </c>
      <c r="G56" s="351">
        <v>399255</v>
      </c>
      <c r="H56" s="351">
        <v>388716</v>
      </c>
      <c r="I56" s="351">
        <v>400609</v>
      </c>
      <c r="J56" s="351">
        <v>452090</v>
      </c>
      <c r="K56" s="351">
        <v>444255</v>
      </c>
      <c r="L56" s="351">
        <v>447983</v>
      </c>
      <c r="M56" s="351">
        <v>403510</v>
      </c>
      <c r="N56" s="351">
        <v>434702</v>
      </c>
      <c r="O56" s="351">
        <v>449117</v>
      </c>
      <c r="P56" s="351">
        <v>415602</v>
      </c>
      <c r="Q56" s="351">
        <v>485141</v>
      </c>
      <c r="R56" s="351">
        <v>365636</v>
      </c>
      <c r="S56" s="351">
        <v>374408</v>
      </c>
      <c r="T56" s="351">
        <v>373971</v>
      </c>
      <c r="U56" s="351">
        <v>356929</v>
      </c>
      <c r="V56" s="351">
        <v>340347</v>
      </c>
    </row>
    <row r="57" spans="1:23" ht="12" customHeight="1">
      <c r="A57" s="305" t="s">
        <v>12</v>
      </c>
      <c r="B57" s="349" t="s">
        <v>274</v>
      </c>
      <c r="C57" s="350">
        <v>742</v>
      </c>
      <c r="D57" s="350">
        <v>760</v>
      </c>
      <c r="E57" s="350">
        <v>628</v>
      </c>
      <c r="F57" s="350">
        <v>634</v>
      </c>
      <c r="G57" s="350">
        <v>622</v>
      </c>
      <c r="H57" s="350">
        <v>604</v>
      </c>
      <c r="I57" s="350">
        <v>623</v>
      </c>
      <c r="J57" s="350">
        <v>740</v>
      </c>
      <c r="K57" s="350">
        <v>704</v>
      </c>
      <c r="L57" s="350">
        <v>696</v>
      </c>
      <c r="M57" s="350">
        <v>632</v>
      </c>
      <c r="N57" s="350">
        <v>677</v>
      </c>
      <c r="O57" s="350">
        <v>745</v>
      </c>
      <c r="P57" s="350">
        <v>726</v>
      </c>
      <c r="Q57" s="350">
        <v>745</v>
      </c>
      <c r="R57" s="350">
        <v>656</v>
      </c>
      <c r="S57" s="350">
        <v>670</v>
      </c>
      <c r="T57" s="350">
        <v>681</v>
      </c>
      <c r="U57" s="350">
        <v>660</v>
      </c>
      <c r="V57" s="350">
        <v>657</v>
      </c>
    </row>
    <row r="58" spans="1:23" ht="12" customHeight="1">
      <c r="B58" s="349" t="s">
        <v>279</v>
      </c>
      <c r="C58" s="355">
        <f t="shared" ref="C58:P58" si="20">(C57/C56)*1000</f>
        <v>1.5328963270399194</v>
      </c>
      <c r="D58" s="355">
        <f t="shared" si="20"/>
        <v>1.4622808502778335</v>
      </c>
      <c r="E58" s="355">
        <f t="shared" si="20"/>
        <v>1.5591947801733983</v>
      </c>
      <c r="F58" s="355">
        <f t="shared" si="20"/>
        <v>1.5321115106522831</v>
      </c>
      <c r="G58" s="355">
        <f t="shared" si="20"/>
        <v>1.5579015917145684</v>
      </c>
      <c r="H58" s="355">
        <f t="shared" si="20"/>
        <v>1.5538336471871494</v>
      </c>
      <c r="I58" s="355">
        <f t="shared" si="20"/>
        <v>1.5551323110564166</v>
      </c>
      <c r="J58" s="355">
        <f t="shared" si="20"/>
        <v>1.6368422216815235</v>
      </c>
      <c r="K58" s="355">
        <f t="shared" si="20"/>
        <v>1.5846754679182</v>
      </c>
      <c r="L58" s="355">
        <f t="shared" si="20"/>
        <v>1.5536303832957947</v>
      </c>
      <c r="M58" s="355">
        <f t="shared" si="20"/>
        <v>1.5662561026988178</v>
      </c>
      <c r="N58" s="355">
        <f t="shared" si="20"/>
        <v>1.5573887398723725</v>
      </c>
      <c r="O58" s="355">
        <f t="shared" si="20"/>
        <v>1.6588105104015212</v>
      </c>
      <c r="P58" s="355">
        <f t="shared" si="20"/>
        <v>1.7468635858345243</v>
      </c>
      <c r="Q58" s="355">
        <f t="shared" ref="Q58:V58" si="21">(Q57/Q56)*1000</f>
        <v>1.5356360315866933</v>
      </c>
      <c r="R58" s="355">
        <f t="shared" si="21"/>
        <v>1.7941340568215383</v>
      </c>
      <c r="S58" s="355">
        <f t="shared" si="21"/>
        <v>1.7894916775282579</v>
      </c>
      <c r="T58" s="355">
        <f t="shared" si="21"/>
        <v>1.8209968152610765</v>
      </c>
      <c r="U58" s="355">
        <f t="shared" si="21"/>
        <v>1.8491072454185566</v>
      </c>
      <c r="V58" s="355">
        <f t="shared" si="21"/>
        <v>1.9303828151856781</v>
      </c>
    </row>
    <row r="59" spans="1:23" ht="12" customHeight="1">
      <c r="A59" s="347"/>
      <c r="B59" s="353" t="s">
        <v>277</v>
      </c>
      <c r="C59" s="354">
        <v>2.68</v>
      </c>
      <c r="D59" s="354">
        <v>3.16</v>
      </c>
      <c r="E59" s="354">
        <v>2.86</v>
      </c>
      <c r="F59" s="354">
        <v>2.36</v>
      </c>
      <c r="G59" s="354">
        <v>1.98</v>
      </c>
      <c r="H59" s="354">
        <v>2.23</v>
      </c>
      <c r="I59" s="354">
        <v>2.38</v>
      </c>
      <c r="J59" s="354">
        <v>2.79</v>
      </c>
      <c r="K59" s="354">
        <v>2.92</v>
      </c>
      <c r="L59" s="354">
        <v>2.2999999999999998</v>
      </c>
      <c r="M59" s="354">
        <v>2.59</v>
      </c>
      <c r="N59" s="354">
        <v>2.82</v>
      </c>
      <c r="O59" s="354">
        <v>2.84</v>
      </c>
      <c r="P59" s="354">
        <v>2.75</v>
      </c>
      <c r="Q59" s="354">
        <v>2.84</v>
      </c>
      <c r="R59" s="354">
        <v>3</v>
      </c>
      <c r="S59" s="354">
        <v>3.12</v>
      </c>
      <c r="T59" s="354">
        <v>3.1</v>
      </c>
      <c r="U59" s="354">
        <v>3.28</v>
      </c>
      <c r="V59" s="354">
        <v>3.13</v>
      </c>
      <c r="W59" s="306"/>
    </row>
    <row r="60" spans="1:23" ht="12" customHeight="1">
      <c r="B60" s="349" t="s">
        <v>278</v>
      </c>
      <c r="C60" s="351">
        <v>7371783</v>
      </c>
      <c r="D60" s="351">
        <v>7431849</v>
      </c>
      <c r="E60" s="351">
        <v>6658609</v>
      </c>
      <c r="F60" s="351">
        <v>6683557</v>
      </c>
      <c r="G60" s="351">
        <v>6645652</v>
      </c>
      <c r="H60" s="351">
        <v>6333240</v>
      </c>
      <c r="I60" s="351">
        <v>6054839</v>
      </c>
      <c r="J60" s="351">
        <v>6468169</v>
      </c>
      <c r="K60" s="351">
        <v>5869896</v>
      </c>
      <c r="L60" s="351">
        <v>6035367</v>
      </c>
      <c r="M60" s="351">
        <v>6004149</v>
      </c>
      <c r="N60" s="351">
        <v>5985893</v>
      </c>
      <c r="O60" s="351">
        <v>6618656</v>
      </c>
      <c r="P60" s="351">
        <v>6104258</v>
      </c>
      <c r="Q60" s="351">
        <v>5741017</v>
      </c>
      <c r="R60" s="351">
        <v>5162592</v>
      </c>
      <c r="S60" s="351">
        <v>5575610</v>
      </c>
      <c r="T60" s="351">
        <v>4574331</v>
      </c>
      <c r="U60" s="351">
        <v>4559586</v>
      </c>
      <c r="V60" s="351">
        <v>4304515</v>
      </c>
    </row>
    <row r="61" spans="1:23" ht="12" customHeight="1">
      <c r="A61" s="305" t="s">
        <v>283</v>
      </c>
      <c r="B61" s="349" t="s">
        <v>274</v>
      </c>
      <c r="C61" s="350">
        <v>12361</v>
      </c>
      <c r="D61" s="350">
        <v>12577</v>
      </c>
      <c r="E61" s="350">
        <v>11307</v>
      </c>
      <c r="F61" s="350">
        <v>11319</v>
      </c>
      <c r="G61" s="350">
        <v>11237</v>
      </c>
      <c r="H61" s="350">
        <v>10912</v>
      </c>
      <c r="I61" s="350">
        <v>10374</v>
      </c>
      <c r="J61" s="350">
        <v>10895</v>
      </c>
      <c r="K61" s="350">
        <v>10085</v>
      </c>
      <c r="L61" s="350">
        <v>10279</v>
      </c>
      <c r="M61" s="350">
        <v>10218</v>
      </c>
      <c r="N61" s="350">
        <v>10292</v>
      </c>
      <c r="O61" s="350">
        <v>11029</v>
      </c>
      <c r="P61" s="350">
        <v>10403</v>
      </c>
      <c r="Q61" s="350">
        <v>9975</v>
      </c>
      <c r="R61" s="350">
        <v>8954</v>
      </c>
      <c r="S61" s="350">
        <v>9352</v>
      </c>
      <c r="T61" s="350">
        <v>8138</v>
      </c>
      <c r="U61" s="350">
        <v>8056</v>
      </c>
      <c r="V61" s="350">
        <v>7750</v>
      </c>
    </row>
    <row r="62" spans="1:23" ht="12" customHeight="1">
      <c r="B62" s="349" t="s">
        <v>280</v>
      </c>
      <c r="C62" s="355">
        <f t="shared" ref="C62:P62" si="22">(C61/C60)*1000</f>
        <v>1.6767992221149211</v>
      </c>
      <c r="D62" s="355">
        <f t="shared" si="22"/>
        <v>1.6923110251567275</v>
      </c>
      <c r="E62" s="355">
        <f t="shared" si="22"/>
        <v>1.6981024114796348</v>
      </c>
      <c r="F62" s="355">
        <f t="shared" si="22"/>
        <v>1.6935592828788624</v>
      </c>
      <c r="G62" s="355">
        <f t="shared" si="22"/>
        <v>1.6908799919105002</v>
      </c>
      <c r="H62" s="355">
        <f t="shared" si="22"/>
        <v>1.7229727595985627</v>
      </c>
      <c r="I62" s="355">
        <f t="shared" si="22"/>
        <v>1.713340354714634</v>
      </c>
      <c r="J62" s="355">
        <f t="shared" si="22"/>
        <v>1.6844024947400107</v>
      </c>
      <c r="K62" s="355">
        <f t="shared" si="22"/>
        <v>1.7180883613610871</v>
      </c>
      <c r="L62" s="355">
        <f t="shared" si="22"/>
        <v>1.7031275811396391</v>
      </c>
      <c r="M62" s="355">
        <f t="shared" si="22"/>
        <v>1.7018231892646236</v>
      </c>
      <c r="N62" s="355">
        <f t="shared" si="22"/>
        <v>1.7193758725723964</v>
      </c>
      <c r="O62" s="355">
        <f t="shared" si="22"/>
        <v>1.6663503889611426</v>
      </c>
      <c r="P62" s="355">
        <f t="shared" si="22"/>
        <v>1.7042202344658435</v>
      </c>
      <c r="Q62" s="355">
        <f t="shared" ref="Q62:V62" si="23">(Q61/Q60)*1000</f>
        <v>1.7374970323202317</v>
      </c>
      <c r="R62" s="355">
        <f t="shared" si="23"/>
        <v>1.7344000842987399</v>
      </c>
      <c r="S62" s="355">
        <f t="shared" si="23"/>
        <v>1.6773052634599621</v>
      </c>
      <c r="T62" s="355">
        <f t="shared" si="23"/>
        <v>1.7790579649789227</v>
      </c>
      <c r="U62" s="355">
        <f t="shared" si="23"/>
        <v>1.7668270759669849</v>
      </c>
      <c r="V62" s="355">
        <f t="shared" si="23"/>
        <v>1.8004351245146084</v>
      </c>
    </row>
    <row r="63" spans="1:23" ht="12" customHeight="1" thickBot="1">
      <c r="A63" s="368"/>
      <c r="B63" s="369" t="s">
        <v>277</v>
      </c>
      <c r="C63" s="370">
        <v>1.49</v>
      </c>
      <c r="D63" s="370">
        <v>1.38</v>
      </c>
      <c r="E63" s="370">
        <v>1.38</v>
      </c>
      <c r="F63" s="370">
        <v>1.07</v>
      </c>
      <c r="G63" s="370">
        <v>1.63</v>
      </c>
      <c r="H63" s="370">
        <v>1.71</v>
      </c>
      <c r="I63" s="370">
        <v>1.72</v>
      </c>
      <c r="J63" s="370">
        <v>1.96</v>
      </c>
      <c r="K63" s="370">
        <v>2.08</v>
      </c>
      <c r="L63" s="370">
        <v>1.83</v>
      </c>
      <c r="M63" s="370">
        <v>2.0299999999999998</v>
      </c>
      <c r="N63" s="370">
        <v>2.21</v>
      </c>
      <c r="O63" s="370">
        <v>2.34</v>
      </c>
      <c r="P63" s="370">
        <v>2.5499999999999998</v>
      </c>
      <c r="Q63" s="370">
        <v>2.5</v>
      </c>
      <c r="R63" s="370">
        <v>2.4700000000000002</v>
      </c>
      <c r="S63" s="370">
        <v>2.64</v>
      </c>
      <c r="T63" s="370">
        <v>2.8</v>
      </c>
      <c r="U63" s="370">
        <v>2.92</v>
      </c>
      <c r="V63" s="370">
        <v>3.14</v>
      </c>
      <c r="W63" s="306"/>
    </row>
    <row r="64" spans="1:23" ht="10" customHeight="1">
      <c r="A64" s="28" t="s">
        <v>238</v>
      </c>
      <c r="B64" s="40"/>
      <c r="C64" s="345"/>
      <c r="D64" s="346" t="s">
        <v>54</v>
      </c>
      <c r="E64" s="345"/>
      <c r="F64" s="346"/>
      <c r="G64" s="345"/>
      <c r="H64" s="346"/>
      <c r="I64" s="308"/>
      <c r="J64" s="308"/>
      <c r="K64" s="308"/>
      <c r="L64" s="348"/>
      <c r="M64" s="345"/>
      <c r="N64" s="345"/>
      <c r="O64" s="345"/>
      <c r="P64" s="345"/>
      <c r="Q64" s="345"/>
      <c r="R64" s="345"/>
      <c r="S64" s="345"/>
      <c r="T64" s="345"/>
      <c r="U64" s="345"/>
      <c r="V64" s="345"/>
    </row>
    <row r="65" spans="1:22" ht="10" customHeight="1">
      <c r="A65" s="28" t="s">
        <v>192</v>
      </c>
      <c r="B65" s="40"/>
      <c r="C65" s="346"/>
      <c r="D65" s="346"/>
      <c r="E65" s="346"/>
      <c r="F65" s="346"/>
      <c r="G65" s="346"/>
      <c r="H65" s="346"/>
    </row>
    <row r="66" spans="1:22" ht="10" customHeight="1">
      <c r="A66" s="40" t="s">
        <v>261</v>
      </c>
      <c r="B66" s="320"/>
      <c r="C66" s="346"/>
      <c r="D66" s="346"/>
      <c r="E66" s="346"/>
      <c r="F66" s="346"/>
      <c r="G66" s="346"/>
      <c r="H66" s="346"/>
    </row>
    <row r="67" spans="1:22" ht="13" customHeight="1">
      <c r="A67" s="12"/>
    </row>
    <row r="70" spans="1:22" ht="13" customHeight="1">
      <c r="M70" s="306"/>
      <c r="N70" s="306"/>
      <c r="O70" s="306"/>
      <c r="P70" s="306"/>
      <c r="Q70" s="306"/>
      <c r="R70" s="306"/>
      <c r="S70" s="306"/>
      <c r="T70" s="306"/>
      <c r="U70" s="306"/>
      <c r="V70" s="306"/>
    </row>
  </sheetData>
  <mergeCells count="1">
    <mergeCell ref="A4:V4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36" max="2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theme="9" tint="0.59999389629810485"/>
  </sheetPr>
  <dimension ref="A2:R82"/>
  <sheetViews>
    <sheetView showGridLines="0" zoomScale="132" zoomScaleNormal="132" workbookViewId="0">
      <selection activeCell="K34" sqref="K34"/>
    </sheetView>
  </sheetViews>
  <sheetFormatPr baseColWidth="10" defaultColWidth="7" defaultRowHeight="13" customHeight="1"/>
  <cols>
    <col min="1" max="1" width="10.3984375" style="141" customWidth="1"/>
    <col min="2" max="2" width="17.796875" style="141" customWidth="1"/>
    <col min="3" max="3" width="9" style="141" bestFit="1" customWidth="1"/>
    <col min="4" max="15" width="8.59765625" style="141" customWidth="1"/>
    <col min="16" max="16384" width="7" style="141"/>
  </cols>
  <sheetData>
    <row r="2" spans="1:18" ht="17" customHeight="1">
      <c r="A2" s="386" t="s">
        <v>302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</row>
    <row r="3" spans="1:18" ht="5" customHeight="1" thickBot="1">
      <c r="A3" s="175"/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</row>
    <row r="4" spans="1:18" ht="22" customHeight="1">
      <c r="A4" s="373" t="s">
        <v>322</v>
      </c>
      <c r="B4" s="374" t="s">
        <v>55</v>
      </c>
      <c r="C4" s="374" t="s">
        <v>56</v>
      </c>
      <c r="D4" s="374" t="s">
        <v>57</v>
      </c>
      <c r="E4" s="374" t="s">
        <v>58</v>
      </c>
      <c r="F4" s="374" t="s">
        <v>59</v>
      </c>
      <c r="G4" s="374" t="s">
        <v>60</v>
      </c>
      <c r="H4" s="374" t="s">
        <v>61</v>
      </c>
      <c r="I4" s="374" t="s">
        <v>62</v>
      </c>
      <c r="J4" s="374" t="s">
        <v>63</v>
      </c>
      <c r="K4" s="374" t="s">
        <v>64</v>
      </c>
      <c r="L4" s="374" t="s">
        <v>65</v>
      </c>
      <c r="M4" s="374" t="s">
        <v>66</v>
      </c>
      <c r="N4" s="374" t="s">
        <v>67</v>
      </c>
      <c r="O4" s="374" t="s">
        <v>68</v>
      </c>
    </row>
    <row r="5" spans="1:18" ht="13" customHeight="1">
      <c r="A5" s="1096" t="s">
        <v>69</v>
      </c>
      <c r="B5" s="371" t="s">
        <v>197</v>
      </c>
      <c r="C5" s="378">
        <v>168172635</v>
      </c>
      <c r="D5" s="18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</row>
    <row r="6" spans="1:18" ht="13" customHeight="1">
      <c r="A6" s="1097"/>
      <c r="B6" s="371" t="s">
        <v>247</v>
      </c>
      <c r="C6" s="378">
        <f>SUM(D6:O6)</f>
        <v>786549677</v>
      </c>
      <c r="D6" s="145">
        <v>64482640</v>
      </c>
      <c r="E6" s="145">
        <v>59808205</v>
      </c>
      <c r="F6" s="145">
        <v>65184340</v>
      </c>
      <c r="G6" s="145">
        <v>66960116</v>
      </c>
      <c r="H6" s="145">
        <v>67285534</v>
      </c>
      <c r="I6" s="145">
        <v>63960438</v>
      </c>
      <c r="J6" s="145">
        <v>66480292</v>
      </c>
      <c r="K6" s="145">
        <v>66888702</v>
      </c>
      <c r="L6" s="145">
        <v>64219960</v>
      </c>
      <c r="M6" s="145">
        <v>67851094</v>
      </c>
      <c r="N6" s="145">
        <v>65360518</v>
      </c>
      <c r="O6" s="145">
        <v>68067838</v>
      </c>
      <c r="P6" s="145"/>
      <c r="Q6" s="145"/>
      <c r="R6" s="145"/>
    </row>
    <row r="7" spans="1:18" ht="13" customHeight="1">
      <c r="A7" s="1097"/>
      <c r="B7" s="371" t="s">
        <v>288</v>
      </c>
      <c r="C7" s="378">
        <f>SUM(D7:O7)</f>
        <v>1762857</v>
      </c>
      <c r="D7" s="145">
        <v>139841</v>
      </c>
      <c r="E7" s="145">
        <v>125499</v>
      </c>
      <c r="F7" s="145">
        <v>141111</v>
      </c>
      <c r="G7" s="145">
        <v>145604</v>
      </c>
      <c r="H7" s="145">
        <v>149321</v>
      </c>
      <c r="I7" s="145">
        <v>149264</v>
      </c>
      <c r="J7" s="145">
        <v>154342</v>
      </c>
      <c r="K7" s="145">
        <v>156728</v>
      </c>
      <c r="L7" s="145">
        <v>150536</v>
      </c>
      <c r="M7" s="145">
        <v>152033</v>
      </c>
      <c r="N7" s="145">
        <v>144887</v>
      </c>
      <c r="O7" s="145">
        <v>153691</v>
      </c>
    </row>
    <row r="8" spans="1:18" ht="13" customHeight="1">
      <c r="A8" s="1097"/>
      <c r="B8" s="371" t="s">
        <v>284</v>
      </c>
      <c r="C8" s="379">
        <f>(C7/C6)*1000</f>
        <v>2.2412532247470494</v>
      </c>
      <c r="D8" s="146">
        <f>D7/D6*1000</f>
        <v>2.1686612086601911</v>
      </c>
      <c r="E8" s="146">
        <f t="shared" ref="E8:O8" si="0">E7/E6*1000</f>
        <v>2.0983575748511427</v>
      </c>
      <c r="F8" s="146">
        <f t="shared" si="0"/>
        <v>2.1647990913154911</v>
      </c>
      <c r="G8" s="146">
        <f t="shared" si="0"/>
        <v>2.1744884671346747</v>
      </c>
      <c r="H8" s="146">
        <f t="shared" si="0"/>
        <v>2.219214014114832</v>
      </c>
      <c r="I8" s="146">
        <f t="shared" si="0"/>
        <v>2.3336925866580214</v>
      </c>
      <c r="J8" s="146">
        <f t="shared" si="0"/>
        <v>2.3216203683341221</v>
      </c>
      <c r="K8" s="146">
        <f t="shared" si="0"/>
        <v>2.3431161812648122</v>
      </c>
      <c r="L8" s="146">
        <f t="shared" si="0"/>
        <v>2.3440687287877475</v>
      </c>
      <c r="M8" s="146">
        <f t="shared" si="0"/>
        <v>2.2406860529028463</v>
      </c>
      <c r="N8" s="146">
        <f t="shared" si="0"/>
        <v>2.2167357975957289</v>
      </c>
      <c r="O8" s="146">
        <f t="shared" si="0"/>
        <v>2.2579092346079803</v>
      </c>
    </row>
    <row r="9" spans="1:18" ht="13" customHeight="1">
      <c r="A9" s="1099"/>
      <c r="B9" s="375" t="s">
        <v>296</v>
      </c>
      <c r="C9" s="380">
        <v>4.6500000000000004</v>
      </c>
      <c r="D9" s="376">
        <v>4.6900000000000004</v>
      </c>
      <c r="E9" s="376">
        <v>4.66</v>
      </c>
      <c r="F9" s="376">
        <v>4.6900000000000004</v>
      </c>
      <c r="G9" s="376">
        <v>4.68</v>
      </c>
      <c r="H9" s="376">
        <v>4.71</v>
      </c>
      <c r="I9" s="376">
        <v>4.68</v>
      </c>
      <c r="J9" s="376">
        <v>4.66</v>
      </c>
      <c r="K9" s="376">
        <v>4.62</v>
      </c>
      <c r="L9" s="376">
        <v>4.5999999999999996</v>
      </c>
      <c r="M9" s="376">
        <v>4.5999999999999996</v>
      </c>
      <c r="N9" s="376">
        <v>4.6100000000000003</v>
      </c>
      <c r="O9" s="376">
        <v>4.66</v>
      </c>
    </row>
    <row r="10" spans="1:18" ht="13" customHeight="1">
      <c r="A10" s="1096" t="s">
        <v>5</v>
      </c>
      <c r="B10" s="371" t="s">
        <v>197</v>
      </c>
      <c r="C10" s="378">
        <v>11261557</v>
      </c>
      <c r="D10" s="18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</row>
    <row r="11" spans="1:18" ht="13" customHeight="1">
      <c r="A11" s="1097"/>
      <c r="B11" s="371" t="s">
        <v>247</v>
      </c>
      <c r="C11" s="378">
        <f>SUM(D11:O11)</f>
        <v>2682837</v>
      </c>
      <c r="D11" s="145">
        <v>188821</v>
      </c>
      <c r="E11" s="145">
        <v>204090</v>
      </c>
      <c r="F11" s="145">
        <v>215610</v>
      </c>
      <c r="G11" s="145">
        <v>240544</v>
      </c>
      <c r="H11" s="145">
        <v>249396</v>
      </c>
      <c r="I11" s="145">
        <v>250022</v>
      </c>
      <c r="J11" s="145">
        <v>246648</v>
      </c>
      <c r="K11" s="145">
        <v>236866</v>
      </c>
      <c r="L11" s="145">
        <v>221878</v>
      </c>
      <c r="M11" s="145">
        <v>211596</v>
      </c>
      <c r="N11" s="145">
        <v>208319</v>
      </c>
      <c r="O11" s="145">
        <v>209047</v>
      </c>
    </row>
    <row r="12" spans="1:18" ht="13" customHeight="1">
      <c r="A12" s="1097"/>
      <c r="B12" s="371" t="s">
        <v>288</v>
      </c>
      <c r="C12" s="378">
        <f>SUM(D12:O12)</f>
        <v>33782</v>
      </c>
      <c r="D12" s="145">
        <v>2331</v>
      </c>
      <c r="E12" s="145">
        <v>2548</v>
      </c>
      <c r="F12" s="145">
        <v>2727</v>
      </c>
      <c r="G12" s="145">
        <v>3082</v>
      </c>
      <c r="H12" s="145">
        <v>3211</v>
      </c>
      <c r="I12" s="145">
        <v>3209</v>
      </c>
      <c r="J12" s="145">
        <v>3121</v>
      </c>
      <c r="K12" s="145">
        <v>2961</v>
      </c>
      <c r="L12" s="145">
        <v>2806</v>
      </c>
      <c r="M12" s="145">
        <v>2613</v>
      </c>
      <c r="N12" s="145">
        <v>2572</v>
      </c>
      <c r="O12" s="145">
        <v>2601</v>
      </c>
    </row>
    <row r="13" spans="1:18" ht="13" customHeight="1">
      <c r="A13" s="1097"/>
      <c r="B13" s="371" t="s">
        <v>284</v>
      </c>
      <c r="C13" s="381">
        <f>(C12/C11)*1000</f>
        <v>12.591894326789141</v>
      </c>
      <c r="D13" s="185">
        <f>D12/D11*1000</f>
        <v>12.345025182580327</v>
      </c>
      <c r="E13" s="185">
        <f t="shared" ref="E13:O13" si="1">E12/E11*1000</f>
        <v>12.484688127786761</v>
      </c>
      <c r="F13" s="185">
        <f t="shared" si="1"/>
        <v>12.647836371225825</v>
      </c>
      <c r="G13" s="185">
        <f t="shared" si="1"/>
        <v>12.812624717307438</v>
      </c>
      <c r="H13" s="185">
        <f t="shared" si="1"/>
        <v>12.875106256716228</v>
      </c>
      <c r="I13" s="185">
        <f t="shared" si="1"/>
        <v>12.834870531393237</v>
      </c>
      <c r="J13" s="185">
        <f t="shared" si="1"/>
        <v>12.653660276993936</v>
      </c>
      <c r="K13" s="185">
        <f t="shared" si="1"/>
        <v>12.500738814350729</v>
      </c>
      <c r="L13" s="185">
        <f t="shared" si="1"/>
        <v>12.646589567239655</v>
      </c>
      <c r="M13" s="185">
        <f t="shared" si="1"/>
        <v>12.34900470708331</v>
      </c>
      <c r="N13" s="185">
        <f t="shared" si="1"/>
        <v>12.346449435721176</v>
      </c>
      <c r="O13" s="185">
        <f t="shared" si="1"/>
        <v>12.442178074787011</v>
      </c>
    </row>
    <row r="14" spans="1:18" ht="13" customHeight="1">
      <c r="A14" s="1099"/>
      <c r="B14" s="375" t="s">
        <v>296</v>
      </c>
      <c r="C14" s="380">
        <v>5.6</v>
      </c>
      <c r="D14" s="376">
        <v>5.57</v>
      </c>
      <c r="E14" s="376">
        <v>5.59</v>
      </c>
      <c r="F14" s="376">
        <v>5.61</v>
      </c>
      <c r="G14" s="376">
        <v>5.64</v>
      </c>
      <c r="H14" s="376">
        <v>5.64</v>
      </c>
      <c r="I14" s="376">
        <v>5.62</v>
      </c>
      <c r="J14" s="376">
        <v>5.61</v>
      </c>
      <c r="K14" s="376">
        <v>5.6</v>
      </c>
      <c r="L14" s="376">
        <v>5.58</v>
      </c>
      <c r="M14" s="376">
        <v>5.57</v>
      </c>
      <c r="N14" s="376">
        <v>5.57</v>
      </c>
      <c r="O14" s="376">
        <v>5.56</v>
      </c>
    </row>
    <row r="15" spans="1:18" ht="13" customHeight="1">
      <c r="A15" s="1096" t="s">
        <v>70</v>
      </c>
      <c r="B15" s="371" t="s">
        <v>197</v>
      </c>
      <c r="C15" s="378">
        <v>3258808</v>
      </c>
      <c r="D15" s="18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</row>
    <row r="16" spans="1:18" ht="13" customHeight="1">
      <c r="A16" s="1097"/>
      <c r="B16" s="371" t="s">
        <v>247</v>
      </c>
      <c r="C16" s="378">
        <f>SUM(D16:O16)</f>
        <v>3284607</v>
      </c>
      <c r="D16" s="145">
        <v>255815</v>
      </c>
      <c r="E16" s="145">
        <v>252824</v>
      </c>
      <c r="F16" s="145">
        <v>262772</v>
      </c>
      <c r="G16" s="145">
        <v>266086</v>
      </c>
      <c r="H16" s="145">
        <v>273122</v>
      </c>
      <c r="I16" s="145">
        <v>281219</v>
      </c>
      <c r="J16" s="145">
        <v>295570</v>
      </c>
      <c r="K16" s="145">
        <v>275132</v>
      </c>
      <c r="L16" s="145">
        <v>271226</v>
      </c>
      <c r="M16" s="145">
        <v>269811</v>
      </c>
      <c r="N16" s="145">
        <v>270579</v>
      </c>
      <c r="O16" s="145">
        <v>310451</v>
      </c>
    </row>
    <row r="17" spans="1:15" ht="13" customHeight="1">
      <c r="A17" s="1097"/>
      <c r="B17" s="371" t="s">
        <v>288</v>
      </c>
      <c r="C17" s="378">
        <f>SUM(D17:O17)</f>
        <v>173259</v>
      </c>
      <c r="D17" s="145">
        <v>13622</v>
      </c>
      <c r="E17" s="145">
        <v>13370</v>
      </c>
      <c r="F17" s="145">
        <v>13687</v>
      </c>
      <c r="G17" s="145">
        <v>13794</v>
      </c>
      <c r="H17" s="145">
        <v>14008</v>
      </c>
      <c r="I17" s="145">
        <v>14959</v>
      </c>
      <c r="J17" s="145">
        <v>16019</v>
      </c>
      <c r="K17" s="145">
        <v>14759</v>
      </c>
      <c r="L17" s="145">
        <v>14337</v>
      </c>
      <c r="M17" s="145">
        <v>14208</v>
      </c>
      <c r="N17" s="145">
        <v>14073</v>
      </c>
      <c r="O17" s="145">
        <v>16423</v>
      </c>
    </row>
    <row r="18" spans="1:15" ht="13" customHeight="1">
      <c r="A18" s="1097"/>
      <c r="B18" s="371" t="s">
        <v>284</v>
      </c>
      <c r="C18" s="381">
        <f>(C17/C16)*1000</f>
        <v>52.748776337625777</v>
      </c>
      <c r="D18" s="185">
        <f>D17/D16*1000</f>
        <v>53.249418525106037</v>
      </c>
      <c r="E18" s="185">
        <f t="shared" ref="E18:O18" si="2">E17/E16*1000</f>
        <v>52.882637724266687</v>
      </c>
      <c r="F18" s="185">
        <f t="shared" si="2"/>
        <v>52.086980347982276</v>
      </c>
      <c r="G18" s="185">
        <f t="shared" si="2"/>
        <v>51.840382432747305</v>
      </c>
      <c r="H18" s="185">
        <f t="shared" si="2"/>
        <v>51.288435204780285</v>
      </c>
      <c r="I18" s="185">
        <f t="shared" si="2"/>
        <v>53.193418652367015</v>
      </c>
      <c r="J18" s="185">
        <f t="shared" si="2"/>
        <v>54.196975335791862</v>
      </c>
      <c r="K18" s="185">
        <f t="shared" si="2"/>
        <v>53.643342104880567</v>
      </c>
      <c r="L18" s="185">
        <f t="shared" si="2"/>
        <v>52.859976550920635</v>
      </c>
      <c r="M18" s="185">
        <f t="shared" si="2"/>
        <v>52.659083580728733</v>
      </c>
      <c r="N18" s="185">
        <f t="shared" si="2"/>
        <v>52.010688190879563</v>
      </c>
      <c r="O18" s="185">
        <f t="shared" si="2"/>
        <v>52.900457721186278</v>
      </c>
    </row>
    <row r="19" spans="1:15" ht="13" customHeight="1">
      <c r="A19" s="1099"/>
      <c r="B19" s="375" t="s">
        <v>296</v>
      </c>
      <c r="C19" s="380">
        <v>7.04</v>
      </c>
      <c r="D19" s="376">
        <v>6.91</v>
      </c>
      <c r="E19" s="376">
        <v>6.9</v>
      </c>
      <c r="F19" s="376">
        <v>6.91</v>
      </c>
      <c r="G19" s="376">
        <v>6.93</v>
      </c>
      <c r="H19" s="376">
        <v>6.94</v>
      </c>
      <c r="I19" s="376">
        <v>6.93</v>
      </c>
      <c r="J19" s="376">
        <v>6.95</v>
      </c>
      <c r="K19" s="376">
        <v>6.96</v>
      </c>
      <c r="L19" s="376">
        <v>6.96</v>
      </c>
      <c r="M19" s="376">
        <v>6.97</v>
      </c>
      <c r="N19" s="376">
        <v>6.98</v>
      </c>
      <c r="O19" s="376">
        <v>7.03</v>
      </c>
    </row>
    <row r="20" spans="1:15" ht="13" customHeight="1">
      <c r="A20" s="1096" t="s">
        <v>71</v>
      </c>
      <c r="B20" s="371" t="s">
        <v>197</v>
      </c>
      <c r="C20" s="378">
        <v>5599891</v>
      </c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</row>
    <row r="21" spans="1:15" ht="13" customHeight="1">
      <c r="A21" s="1097"/>
      <c r="B21" s="371" t="s">
        <v>247</v>
      </c>
      <c r="C21" s="378">
        <f>SUM(D21:O21)</f>
        <v>1357067</v>
      </c>
      <c r="D21" s="185">
        <v>101272</v>
      </c>
      <c r="E21" s="145">
        <v>104739</v>
      </c>
      <c r="F21" s="145">
        <v>109634</v>
      </c>
      <c r="G21" s="145">
        <v>118371</v>
      </c>
      <c r="H21" s="145">
        <v>121905</v>
      </c>
      <c r="I21" s="145">
        <v>121838</v>
      </c>
      <c r="J21" s="145">
        <v>120691</v>
      </c>
      <c r="K21" s="145">
        <v>115388</v>
      </c>
      <c r="L21" s="145">
        <v>111677</v>
      </c>
      <c r="M21" s="145">
        <v>109303</v>
      </c>
      <c r="N21" s="145">
        <v>108195</v>
      </c>
      <c r="O21" s="145">
        <v>114054</v>
      </c>
    </row>
    <row r="22" spans="1:15" ht="13" customHeight="1">
      <c r="A22" s="1097"/>
      <c r="B22" s="371" t="s">
        <v>288</v>
      </c>
      <c r="C22" s="378">
        <f>SUM(D22:O22)</f>
        <v>192920</v>
      </c>
      <c r="D22" s="145">
        <v>14436</v>
      </c>
      <c r="E22" s="145">
        <v>15165</v>
      </c>
      <c r="F22" s="145">
        <v>15698</v>
      </c>
      <c r="G22" s="145">
        <v>16742</v>
      </c>
      <c r="H22" s="145">
        <v>17211</v>
      </c>
      <c r="I22" s="145">
        <v>17310</v>
      </c>
      <c r="J22" s="145">
        <v>16979</v>
      </c>
      <c r="K22" s="145">
        <v>16417</v>
      </c>
      <c r="L22" s="145">
        <v>15835</v>
      </c>
      <c r="M22" s="145">
        <v>15544</v>
      </c>
      <c r="N22" s="145">
        <v>15493</v>
      </c>
      <c r="O22" s="145">
        <v>16090</v>
      </c>
    </row>
    <row r="23" spans="1:15" ht="13" customHeight="1">
      <c r="A23" s="1097"/>
      <c r="B23" s="371" t="s">
        <v>284</v>
      </c>
      <c r="C23" s="381">
        <f>(C22/C21)*1000</f>
        <v>142.15952491660326</v>
      </c>
      <c r="D23" s="185">
        <f>D22/D21*1000</f>
        <v>142.54680464491665</v>
      </c>
      <c r="E23" s="185">
        <f t="shared" ref="E23:O23" si="3">E22/E21*1000</f>
        <v>144.78847420731535</v>
      </c>
      <c r="F23" s="185">
        <f t="shared" si="3"/>
        <v>143.18550814528339</v>
      </c>
      <c r="G23" s="185">
        <f t="shared" si="3"/>
        <v>141.43666945451167</v>
      </c>
      <c r="H23" s="185">
        <f t="shared" si="3"/>
        <v>141.1837086255691</v>
      </c>
      <c r="I23" s="185">
        <f t="shared" si="3"/>
        <v>142.07390141006911</v>
      </c>
      <c r="J23" s="185">
        <f t="shared" si="3"/>
        <v>140.68157526244707</v>
      </c>
      <c r="K23" s="185">
        <f t="shared" si="3"/>
        <v>142.27649322286544</v>
      </c>
      <c r="L23" s="185">
        <f t="shared" si="3"/>
        <v>141.79284901994143</v>
      </c>
      <c r="M23" s="185">
        <f t="shared" si="3"/>
        <v>142.21018636267991</v>
      </c>
      <c r="N23" s="185">
        <f t="shared" si="3"/>
        <v>143.19515689264753</v>
      </c>
      <c r="O23" s="185">
        <f t="shared" si="3"/>
        <v>141.0735265751311</v>
      </c>
    </row>
    <row r="24" spans="1:15" ht="13" customHeight="1">
      <c r="A24" s="1099"/>
      <c r="B24" s="375" t="s">
        <v>296</v>
      </c>
      <c r="C24" s="380">
        <v>5.64</v>
      </c>
      <c r="D24" s="376">
        <v>5.65</v>
      </c>
      <c r="E24" s="376">
        <v>5.67</v>
      </c>
      <c r="F24" s="376">
        <v>5.68</v>
      </c>
      <c r="G24" s="376">
        <v>5.69</v>
      </c>
      <c r="H24" s="376">
        <v>5.69</v>
      </c>
      <c r="I24" s="376">
        <v>5.69</v>
      </c>
      <c r="J24" s="376">
        <v>5.69</v>
      </c>
      <c r="K24" s="376">
        <v>5.69</v>
      </c>
      <c r="L24" s="376">
        <v>5.68</v>
      </c>
      <c r="M24" s="376">
        <v>5.69</v>
      </c>
      <c r="N24" s="376">
        <v>5.68</v>
      </c>
      <c r="O24" s="376">
        <v>5.69</v>
      </c>
    </row>
    <row r="25" spans="1:15" ht="13" customHeight="1">
      <c r="A25" s="1096" t="s">
        <v>72</v>
      </c>
      <c r="B25" s="371" t="s">
        <v>197</v>
      </c>
      <c r="C25" s="378">
        <v>1807959</v>
      </c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</row>
    <row r="26" spans="1:15" ht="13" customHeight="1">
      <c r="A26" s="1097"/>
      <c r="B26" s="371" t="s">
        <v>247</v>
      </c>
      <c r="C26" s="378">
        <f>SUM(D26:O26)</f>
        <v>411261.9</v>
      </c>
      <c r="D26" s="185">
        <v>29495.9</v>
      </c>
      <c r="E26" s="145">
        <v>32141</v>
      </c>
      <c r="F26" s="145">
        <v>34355</v>
      </c>
      <c r="G26" s="145">
        <v>35093</v>
      </c>
      <c r="H26" s="145">
        <v>36517</v>
      </c>
      <c r="I26" s="145">
        <v>37280</v>
      </c>
      <c r="J26" s="145">
        <v>36748</v>
      </c>
      <c r="K26" s="145">
        <v>35448</v>
      </c>
      <c r="L26" s="145">
        <v>32809</v>
      </c>
      <c r="M26" s="145">
        <v>32185</v>
      </c>
      <c r="N26" s="145">
        <v>33208</v>
      </c>
      <c r="O26" s="145">
        <v>35982</v>
      </c>
    </row>
    <row r="27" spans="1:15" ht="13" customHeight="1">
      <c r="A27" s="1097"/>
      <c r="B27" s="371" t="s">
        <v>288</v>
      </c>
      <c r="C27" s="378">
        <f>SUM(D27:O27)</f>
        <v>5102</v>
      </c>
      <c r="D27" s="145">
        <v>373</v>
      </c>
      <c r="E27" s="145">
        <v>404</v>
      </c>
      <c r="F27" s="145">
        <v>421</v>
      </c>
      <c r="G27" s="145">
        <v>432</v>
      </c>
      <c r="H27" s="145">
        <v>448</v>
      </c>
      <c r="I27" s="145">
        <v>472</v>
      </c>
      <c r="J27" s="145">
        <v>465</v>
      </c>
      <c r="K27" s="145">
        <v>444</v>
      </c>
      <c r="L27" s="145">
        <v>405</v>
      </c>
      <c r="M27" s="145">
        <v>386</v>
      </c>
      <c r="N27" s="145">
        <v>407</v>
      </c>
      <c r="O27" s="145">
        <v>445</v>
      </c>
    </row>
    <row r="28" spans="1:15" ht="13" customHeight="1">
      <c r="A28" s="1097"/>
      <c r="B28" s="371" t="s">
        <v>284</v>
      </c>
      <c r="C28" s="381">
        <f>(C27/C26)*1000</f>
        <v>12.405720053328547</v>
      </c>
      <c r="D28" s="185">
        <f>D27/D26*1000</f>
        <v>12.645825351998074</v>
      </c>
      <c r="E28" s="185">
        <f t="shared" ref="E28:O28" si="4">E27/E26*1000</f>
        <v>12.569615133318814</v>
      </c>
      <c r="F28" s="185">
        <f t="shared" si="4"/>
        <v>12.254402561490322</v>
      </c>
      <c r="G28" s="185">
        <f t="shared" si="4"/>
        <v>12.310147322827914</v>
      </c>
      <c r="H28" s="185">
        <f t="shared" si="4"/>
        <v>12.268258619273215</v>
      </c>
      <c r="I28" s="185">
        <f t="shared" si="4"/>
        <v>12.660944206008583</v>
      </c>
      <c r="J28" s="185">
        <f t="shared" si="4"/>
        <v>12.653749863938174</v>
      </c>
      <c r="K28" s="185">
        <f t="shared" si="4"/>
        <v>12.525389302640487</v>
      </c>
      <c r="L28" s="185">
        <f t="shared" si="4"/>
        <v>12.344173854734981</v>
      </c>
      <c r="M28" s="185">
        <f t="shared" si="4"/>
        <v>11.993164517632437</v>
      </c>
      <c r="N28" s="185">
        <f t="shared" si="4"/>
        <v>12.256082871597206</v>
      </c>
      <c r="O28" s="185">
        <f t="shared" si="4"/>
        <v>12.367294758490356</v>
      </c>
    </row>
    <row r="29" spans="1:15" ht="13" customHeight="1">
      <c r="A29" s="1099"/>
      <c r="B29" s="375" t="s">
        <v>296</v>
      </c>
      <c r="C29" s="380">
        <v>4.79</v>
      </c>
      <c r="D29" s="376">
        <v>4.8099999999999996</v>
      </c>
      <c r="E29" s="376">
        <v>4.8099999999999996</v>
      </c>
      <c r="F29" s="376">
        <v>4.8099999999999996</v>
      </c>
      <c r="G29" s="376">
        <v>4.8</v>
      </c>
      <c r="H29" s="376">
        <v>4.8099999999999996</v>
      </c>
      <c r="I29" s="376">
        <v>4.8</v>
      </c>
      <c r="J29" s="376">
        <v>4.8099999999999996</v>
      </c>
      <c r="K29" s="376">
        <v>4.8099999999999996</v>
      </c>
      <c r="L29" s="376">
        <v>4.82</v>
      </c>
      <c r="M29" s="376">
        <v>4.82</v>
      </c>
      <c r="N29" s="376">
        <v>4.82</v>
      </c>
      <c r="O29" s="376">
        <v>4.84</v>
      </c>
    </row>
    <row r="30" spans="1:15" ht="13" customHeight="1">
      <c r="A30" s="1096" t="s">
        <v>73</v>
      </c>
      <c r="B30" s="371" t="s">
        <v>197</v>
      </c>
      <c r="C30" s="378">
        <v>4449505</v>
      </c>
      <c r="D30" s="18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</row>
    <row r="31" spans="1:15" ht="13" customHeight="1">
      <c r="A31" s="1097"/>
      <c r="B31" s="371" t="s">
        <v>247</v>
      </c>
      <c r="C31" s="378">
        <f>SUM(D31:O31)</f>
        <v>473283</v>
      </c>
      <c r="D31" s="145">
        <v>31345</v>
      </c>
      <c r="E31" s="145">
        <v>37344</v>
      </c>
      <c r="F31" s="145">
        <v>40945</v>
      </c>
      <c r="G31" s="145">
        <v>47971</v>
      </c>
      <c r="H31" s="145">
        <v>46678</v>
      </c>
      <c r="I31" s="145">
        <v>47120</v>
      </c>
      <c r="J31" s="145">
        <v>45906</v>
      </c>
      <c r="K31" s="145">
        <v>41956</v>
      </c>
      <c r="L31" s="145">
        <v>36148</v>
      </c>
      <c r="M31" s="145">
        <v>33531</v>
      </c>
      <c r="N31" s="145">
        <v>33340</v>
      </c>
      <c r="O31" s="145">
        <v>30999</v>
      </c>
    </row>
    <row r="32" spans="1:15" ht="13" customHeight="1">
      <c r="A32" s="1097"/>
      <c r="B32" s="371" t="s">
        <v>288</v>
      </c>
      <c r="C32" s="378">
        <f>SUM(D32:O32)</f>
        <v>12581</v>
      </c>
      <c r="D32" s="145">
        <v>821</v>
      </c>
      <c r="E32" s="145">
        <v>990</v>
      </c>
      <c r="F32" s="145">
        <v>1088</v>
      </c>
      <c r="G32" s="145">
        <v>1306</v>
      </c>
      <c r="H32" s="145">
        <v>1265</v>
      </c>
      <c r="I32" s="145">
        <v>1265</v>
      </c>
      <c r="J32" s="145">
        <v>1236</v>
      </c>
      <c r="K32" s="145">
        <v>1115</v>
      </c>
      <c r="L32" s="145">
        <v>952</v>
      </c>
      <c r="M32" s="145">
        <v>869</v>
      </c>
      <c r="N32" s="145">
        <v>866</v>
      </c>
      <c r="O32" s="145">
        <v>808</v>
      </c>
    </row>
    <row r="33" spans="1:16" ht="13" customHeight="1">
      <c r="A33" s="1097"/>
      <c r="B33" s="371" t="s">
        <v>284</v>
      </c>
      <c r="C33" s="381">
        <f>(C32/C31)*1000</f>
        <v>26.582404185233784</v>
      </c>
      <c r="D33" s="185">
        <f>D32/D31*1000</f>
        <v>26.192375179454459</v>
      </c>
      <c r="E33" s="185">
        <f t="shared" ref="E33:O33" si="5">E32/E31*1000</f>
        <v>26.510282776349612</v>
      </c>
      <c r="F33" s="185">
        <f t="shared" si="5"/>
        <v>26.572231041641228</v>
      </c>
      <c r="G33" s="185">
        <f t="shared" si="5"/>
        <v>27.22478163890684</v>
      </c>
      <c r="H33" s="185">
        <f t="shared" si="5"/>
        <v>27.100561292257595</v>
      </c>
      <c r="I33" s="185">
        <f t="shared" si="5"/>
        <v>26.846349745331068</v>
      </c>
      <c r="J33" s="185">
        <f t="shared" si="5"/>
        <v>26.924585021565807</v>
      </c>
      <c r="K33" s="185">
        <f t="shared" si="5"/>
        <v>26.575460005720277</v>
      </c>
      <c r="L33" s="185">
        <f t="shared" si="5"/>
        <v>26.336173508907823</v>
      </c>
      <c r="M33" s="185">
        <f t="shared" si="5"/>
        <v>25.916316244669112</v>
      </c>
      <c r="N33" s="185">
        <f t="shared" si="5"/>
        <v>25.974805038992201</v>
      </c>
      <c r="O33" s="185">
        <f t="shared" si="5"/>
        <v>26.065356946998289</v>
      </c>
    </row>
    <row r="34" spans="1:16" ht="13" customHeight="1">
      <c r="A34" s="1099"/>
      <c r="B34" s="375" t="s">
        <v>296</v>
      </c>
      <c r="C34" s="380">
        <v>4.96</v>
      </c>
      <c r="D34" s="376">
        <v>4.91</v>
      </c>
      <c r="E34" s="376">
        <v>4.97</v>
      </c>
      <c r="F34" s="376">
        <v>4.9800000000000004</v>
      </c>
      <c r="G34" s="376">
        <v>5.0199999999999996</v>
      </c>
      <c r="H34" s="376">
        <v>4.9800000000000004</v>
      </c>
      <c r="I34" s="376">
        <v>4.96</v>
      </c>
      <c r="J34" s="376">
        <v>4.95</v>
      </c>
      <c r="K34" s="376">
        <v>4.92</v>
      </c>
      <c r="L34" s="376">
        <v>4.8899999999999997</v>
      </c>
      <c r="M34" s="376">
        <v>4.8899999999999997</v>
      </c>
      <c r="N34" s="376">
        <v>4.87</v>
      </c>
      <c r="O34" s="376">
        <v>4.8</v>
      </c>
      <c r="P34" s="188"/>
    </row>
    <row r="35" spans="1:16" ht="13" customHeight="1">
      <c r="A35" s="383"/>
      <c r="B35" s="384"/>
      <c r="C35" s="385"/>
      <c r="D35" s="304"/>
      <c r="E35" s="304"/>
      <c r="F35" s="304"/>
      <c r="G35" s="304"/>
      <c r="H35" s="304"/>
      <c r="I35" s="304"/>
      <c r="J35" s="304"/>
      <c r="K35" s="304"/>
      <c r="L35" s="304"/>
      <c r="M35" s="304"/>
      <c r="N35" s="304"/>
      <c r="O35" s="348" t="s">
        <v>287</v>
      </c>
      <c r="P35" s="188"/>
    </row>
    <row r="36" spans="1:16" ht="15" customHeight="1" thickBot="1">
      <c r="A36" s="359" t="s">
        <v>298</v>
      </c>
      <c r="B36" s="384"/>
      <c r="C36" s="385"/>
      <c r="D36" s="304"/>
      <c r="E36" s="304"/>
      <c r="F36" s="304"/>
      <c r="G36" s="304"/>
      <c r="H36" s="304"/>
      <c r="I36" s="304"/>
      <c r="J36" s="304"/>
      <c r="K36" s="304"/>
      <c r="L36" s="304"/>
      <c r="M36" s="304"/>
      <c r="N36" s="304"/>
      <c r="O36" s="304"/>
      <c r="P36" s="188"/>
    </row>
    <row r="37" spans="1:16" ht="22" customHeight="1">
      <c r="A37" s="373" t="s">
        <v>597</v>
      </c>
      <c r="B37" s="374" t="s">
        <v>55</v>
      </c>
      <c r="C37" s="374" t="s">
        <v>56</v>
      </c>
      <c r="D37" s="374" t="s">
        <v>57</v>
      </c>
      <c r="E37" s="374" t="s">
        <v>58</v>
      </c>
      <c r="F37" s="374" t="s">
        <v>59</v>
      </c>
      <c r="G37" s="374" t="s">
        <v>60</v>
      </c>
      <c r="H37" s="374" t="s">
        <v>61</v>
      </c>
      <c r="I37" s="374" t="s">
        <v>62</v>
      </c>
      <c r="J37" s="374" t="s">
        <v>63</v>
      </c>
      <c r="K37" s="374" t="s">
        <v>64</v>
      </c>
      <c r="L37" s="374" t="s">
        <v>65</v>
      </c>
      <c r="M37" s="374" t="s">
        <v>66</v>
      </c>
      <c r="N37" s="374" t="s">
        <v>67</v>
      </c>
      <c r="O37" s="374" t="s">
        <v>68</v>
      </c>
      <c r="P37" s="188"/>
    </row>
    <row r="38" spans="1:16" ht="13" customHeight="1">
      <c r="A38" s="1096" t="s">
        <v>74</v>
      </c>
      <c r="B38" s="371" t="s">
        <v>197</v>
      </c>
      <c r="C38" s="378">
        <v>1089699</v>
      </c>
      <c r="D38" s="18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</row>
    <row r="39" spans="1:16" ht="13" customHeight="1">
      <c r="A39" s="1097"/>
      <c r="B39" s="371" t="s">
        <v>247</v>
      </c>
      <c r="C39" s="378">
        <f>SUM(D39:O39)</f>
        <v>115790</v>
      </c>
      <c r="D39" s="145">
        <v>7838</v>
      </c>
      <c r="E39" s="145">
        <v>9132</v>
      </c>
      <c r="F39" s="145">
        <v>9654</v>
      </c>
      <c r="G39" s="145">
        <v>10848</v>
      </c>
      <c r="H39" s="145">
        <v>10828</v>
      </c>
      <c r="I39" s="145">
        <v>11282</v>
      </c>
      <c r="J39" s="145">
        <v>10677</v>
      </c>
      <c r="K39" s="145">
        <v>9934</v>
      </c>
      <c r="L39" s="145">
        <v>9126</v>
      </c>
      <c r="M39" s="145">
        <v>8321</v>
      </c>
      <c r="N39" s="145">
        <v>8415</v>
      </c>
      <c r="O39" s="145">
        <v>9735</v>
      </c>
    </row>
    <row r="40" spans="1:16" ht="13" customHeight="1">
      <c r="A40" s="1097"/>
      <c r="B40" s="371" t="s">
        <v>288</v>
      </c>
      <c r="C40" s="378">
        <f>SUM(D40:O40)</f>
        <v>3849</v>
      </c>
      <c r="D40" s="145">
        <v>259</v>
      </c>
      <c r="E40" s="145">
        <v>302</v>
      </c>
      <c r="F40" s="145">
        <v>322</v>
      </c>
      <c r="G40" s="145">
        <v>373</v>
      </c>
      <c r="H40" s="145">
        <v>370</v>
      </c>
      <c r="I40" s="145">
        <v>381</v>
      </c>
      <c r="J40" s="145">
        <v>355</v>
      </c>
      <c r="K40" s="145">
        <v>327</v>
      </c>
      <c r="L40" s="145">
        <v>298</v>
      </c>
      <c r="M40" s="145">
        <v>271</v>
      </c>
      <c r="N40" s="145">
        <v>272</v>
      </c>
      <c r="O40" s="145">
        <v>319</v>
      </c>
    </row>
    <row r="41" spans="1:16" ht="13" customHeight="1">
      <c r="A41" s="1097"/>
      <c r="B41" s="371" t="s">
        <v>284</v>
      </c>
      <c r="C41" s="381">
        <f>(C40/C39)*1000</f>
        <v>33.241212539943</v>
      </c>
      <c r="D41" s="185">
        <f>D40/D39*1000</f>
        <v>33.044143914263842</v>
      </c>
      <c r="E41" s="185">
        <f t="shared" ref="E41:O41" si="6">E40/E39*1000</f>
        <v>33.070521243977225</v>
      </c>
      <c r="F41" s="185">
        <f t="shared" si="6"/>
        <v>33.354050134659211</v>
      </c>
      <c r="G41" s="185">
        <f t="shared" si="6"/>
        <v>34.384218289085545</v>
      </c>
      <c r="H41" s="185">
        <f t="shared" si="6"/>
        <v>34.170668636867383</v>
      </c>
      <c r="I41" s="185">
        <f t="shared" si="6"/>
        <v>33.770608048218399</v>
      </c>
      <c r="J41" s="185">
        <f t="shared" si="6"/>
        <v>33.249039992507257</v>
      </c>
      <c r="K41" s="185">
        <f t="shared" si="6"/>
        <v>32.917253875578815</v>
      </c>
      <c r="L41" s="185">
        <f t="shared" si="6"/>
        <v>32.653955730878806</v>
      </c>
      <c r="M41" s="185">
        <f t="shared" si="6"/>
        <v>32.568200937387331</v>
      </c>
      <c r="N41" s="185">
        <f t="shared" si="6"/>
        <v>32.323232323232325</v>
      </c>
      <c r="O41" s="185">
        <f t="shared" si="6"/>
        <v>32.768361581920907</v>
      </c>
    </row>
    <row r="42" spans="1:16" ht="13" customHeight="1">
      <c r="A42" s="1099"/>
      <c r="B42" s="375" t="s">
        <v>296</v>
      </c>
      <c r="C42" s="380">
        <v>4.28</v>
      </c>
      <c r="D42" s="376">
        <v>4.2699999999999996</v>
      </c>
      <c r="E42" s="376">
        <v>4.3</v>
      </c>
      <c r="F42" s="376">
        <v>4.29</v>
      </c>
      <c r="G42" s="376">
        <v>4.33</v>
      </c>
      <c r="H42" s="376">
        <v>4.3099999999999996</v>
      </c>
      <c r="I42" s="376">
        <v>4.29</v>
      </c>
      <c r="J42" s="376">
        <v>4.26</v>
      </c>
      <c r="K42" s="376">
        <v>4.25</v>
      </c>
      <c r="L42" s="376">
        <v>4.25</v>
      </c>
      <c r="M42" s="376">
        <v>4.22</v>
      </c>
      <c r="N42" s="376">
        <v>4.21</v>
      </c>
      <c r="O42" s="376">
        <v>4.22</v>
      </c>
    </row>
    <row r="43" spans="1:16" ht="13" customHeight="1">
      <c r="A43" s="1096" t="s">
        <v>281</v>
      </c>
      <c r="B43" s="371" t="s">
        <v>75</v>
      </c>
      <c r="C43" s="378">
        <f>AVERAGE(D43:O43)</f>
        <v>29468986</v>
      </c>
      <c r="D43" s="145">
        <v>29182528</v>
      </c>
      <c r="E43" s="145">
        <v>29544814</v>
      </c>
      <c r="F43" s="145">
        <v>29011079</v>
      </c>
      <c r="G43" s="145">
        <v>29411919</v>
      </c>
      <c r="H43" s="145">
        <v>29700028</v>
      </c>
      <c r="I43" s="145">
        <v>29607390</v>
      </c>
      <c r="J43" s="145">
        <v>29507060</v>
      </c>
      <c r="K43" s="145">
        <v>29318525</v>
      </c>
      <c r="L43" s="145">
        <v>29119687</v>
      </c>
      <c r="M43" s="145">
        <v>29500508</v>
      </c>
      <c r="N43" s="145">
        <v>29719704</v>
      </c>
      <c r="O43" s="145">
        <v>30004590</v>
      </c>
    </row>
    <row r="44" spans="1:16" ht="13" customHeight="1">
      <c r="A44" s="1097"/>
      <c r="B44" s="371" t="s">
        <v>289</v>
      </c>
      <c r="C44" s="378">
        <f>SUM(D44:O44)</f>
        <v>488482</v>
      </c>
      <c r="D44" s="145">
        <v>40058</v>
      </c>
      <c r="E44" s="145">
        <v>40248</v>
      </c>
      <c r="F44" s="145">
        <v>40240</v>
      </c>
      <c r="G44" s="145">
        <v>40299</v>
      </c>
      <c r="H44" s="145">
        <v>40688</v>
      </c>
      <c r="I44" s="145">
        <v>40523</v>
      </c>
      <c r="J44" s="145">
        <v>40408</v>
      </c>
      <c r="K44" s="145">
        <v>40433</v>
      </c>
      <c r="L44" s="145">
        <v>40549</v>
      </c>
      <c r="M44" s="145">
        <v>41134</v>
      </c>
      <c r="N44" s="145">
        <v>41845</v>
      </c>
      <c r="O44" s="145">
        <v>42057</v>
      </c>
    </row>
    <row r="45" spans="1:16" ht="13" customHeight="1">
      <c r="A45" s="1097"/>
      <c r="B45" s="371" t="s">
        <v>275</v>
      </c>
      <c r="C45" s="381">
        <f>(C44/C43)*1000</f>
        <v>16.576138724284576</v>
      </c>
      <c r="D45" s="146">
        <f>D44/D43*1000</f>
        <v>1.3726706610201831</v>
      </c>
      <c r="E45" s="146">
        <f t="shared" ref="E45:O45" si="7">E44/E43*1000</f>
        <v>1.3622695340034972</v>
      </c>
      <c r="F45" s="146">
        <f t="shared" si="7"/>
        <v>1.3870563035590644</v>
      </c>
      <c r="G45" s="146">
        <f t="shared" si="7"/>
        <v>1.3701588121468715</v>
      </c>
      <c r="H45" s="146">
        <f t="shared" si="7"/>
        <v>1.3699650384167987</v>
      </c>
      <c r="I45" s="146">
        <f t="shared" si="7"/>
        <v>1.3686785630209215</v>
      </c>
      <c r="J45" s="146">
        <f t="shared" si="7"/>
        <v>1.3694349759006827</v>
      </c>
      <c r="K45" s="146">
        <f t="shared" si="7"/>
        <v>1.3790939346368891</v>
      </c>
      <c r="L45" s="146">
        <f t="shared" si="7"/>
        <v>1.3924943630060311</v>
      </c>
      <c r="M45" s="146">
        <f t="shared" si="7"/>
        <v>1.3943488701957267</v>
      </c>
      <c r="N45" s="146">
        <f t="shared" si="7"/>
        <v>1.4079884510289873</v>
      </c>
      <c r="O45" s="146">
        <f t="shared" si="7"/>
        <v>1.4016855421120569</v>
      </c>
    </row>
    <row r="46" spans="1:16" ht="13" customHeight="1">
      <c r="A46" s="1099"/>
      <c r="B46" s="375" t="s">
        <v>272</v>
      </c>
      <c r="C46" s="380">
        <v>4.67</v>
      </c>
      <c r="D46" s="376">
        <v>4.0599999999999996</v>
      </c>
      <c r="E46" s="376">
        <v>4.08</v>
      </c>
      <c r="F46" s="376">
        <v>4.0999999999999996</v>
      </c>
      <c r="G46" s="376">
        <v>4.12</v>
      </c>
      <c r="H46" s="376">
        <v>4.1500000000000004</v>
      </c>
      <c r="I46" s="376">
        <v>4.17</v>
      </c>
      <c r="J46" s="376">
        <v>4.21</v>
      </c>
      <c r="K46" s="376">
        <v>4.1900000000000004</v>
      </c>
      <c r="L46" s="376">
        <v>4.17</v>
      </c>
      <c r="M46" s="376">
        <v>4.16</v>
      </c>
      <c r="N46" s="376">
        <v>4.1500000000000004</v>
      </c>
      <c r="O46" s="376">
        <v>4.13</v>
      </c>
    </row>
    <row r="47" spans="1:16" ht="13" customHeight="1">
      <c r="A47" s="1096" t="s">
        <v>282</v>
      </c>
      <c r="B47" s="371" t="s">
        <v>76</v>
      </c>
      <c r="C47" s="378">
        <f>AVERAGE(D47:O47)</f>
        <v>905817.25</v>
      </c>
      <c r="D47" s="145">
        <v>883946</v>
      </c>
      <c r="E47" s="145">
        <v>934419</v>
      </c>
      <c r="F47" s="145">
        <v>941058</v>
      </c>
      <c r="G47" s="145">
        <v>968590</v>
      </c>
      <c r="H47" s="145">
        <v>969536</v>
      </c>
      <c r="I47" s="145">
        <v>944524</v>
      </c>
      <c r="J47" s="145">
        <v>904596</v>
      </c>
      <c r="K47" s="145">
        <v>879445</v>
      </c>
      <c r="L47" s="145">
        <v>862817</v>
      </c>
      <c r="M47" s="145">
        <v>858107</v>
      </c>
      <c r="N47" s="145">
        <v>860936</v>
      </c>
      <c r="O47" s="145">
        <v>861833</v>
      </c>
    </row>
    <row r="48" spans="1:16" ht="13" customHeight="1">
      <c r="A48" s="1097"/>
      <c r="B48" s="371" t="s">
        <v>290</v>
      </c>
      <c r="C48" s="378">
        <f>SUM(D48:O48)</f>
        <v>2129366</v>
      </c>
      <c r="D48" s="145">
        <v>183746</v>
      </c>
      <c r="E48" s="145">
        <v>171137</v>
      </c>
      <c r="F48" s="145">
        <v>183859</v>
      </c>
      <c r="G48" s="145">
        <v>190048</v>
      </c>
      <c r="H48" s="145">
        <v>194641</v>
      </c>
      <c r="I48" s="145">
        <v>184681</v>
      </c>
      <c r="J48" s="145">
        <v>179033</v>
      </c>
      <c r="K48" s="145">
        <v>171442</v>
      </c>
      <c r="L48" s="145">
        <v>166239</v>
      </c>
      <c r="M48" s="145">
        <v>168249</v>
      </c>
      <c r="N48" s="145">
        <v>166490</v>
      </c>
      <c r="O48" s="145">
        <v>169801</v>
      </c>
    </row>
    <row r="49" spans="1:17" ht="13" customHeight="1">
      <c r="A49" s="1097"/>
      <c r="B49" s="371" t="s">
        <v>297</v>
      </c>
      <c r="C49" s="381">
        <f>(C48/C47)*1000/305</f>
        <v>7.7074353230217891</v>
      </c>
      <c r="D49" s="185">
        <f>(D48/D47)*1000/31</f>
        <v>6.7054891617594796</v>
      </c>
      <c r="E49" s="185">
        <f>(E48/E47)*1000/28</f>
        <v>6.5410011079459158</v>
      </c>
      <c r="F49" s="185">
        <f>(F48/F47)*1000/31</f>
        <v>6.3024122677571075</v>
      </c>
      <c r="G49" s="185">
        <f>(G48/G47)*1000/30</f>
        <v>6.5403662368322335</v>
      </c>
      <c r="H49" s="185">
        <f>(H48/H47)*1000/31</f>
        <v>6.4760276415562403</v>
      </c>
      <c r="I49" s="185">
        <f>(I48/I47)*1000/30</f>
        <v>6.5176039288925782</v>
      </c>
      <c r="J49" s="185">
        <f>(J48/J47)*1000/31</f>
        <v>6.3843506543430761</v>
      </c>
      <c r="K49" s="185">
        <f>(K48/K47)*1000/31</f>
        <v>6.2884968324047481</v>
      </c>
      <c r="L49" s="185">
        <f>(L48/L47)*1000/30</f>
        <v>6.4223352112904584</v>
      </c>
      <c r="M49" s="185">
        <f>(M48/M47)*1000/31</f>
        <v>6.3248372251644538</v>
      </c>
      <c r="N49" s="185">
        <f>(N48/N47)*1000/30</f>
        <v>6.446085036131219</v>
      </c>
      <c r="O49" s="185">
        <f>(O48/O47)*1000/31</f>
        <v>6.3555835212891889</v>
      </c>
    </row>
    <row r="50" spans="1:17" ht="13" customHeight="1">
      <c r="A50" s="1099"/>
      <c r="B50" s="375" t="s">
        <v>272</v>
      </c>
      <c r="C50" s="380">
        <v>1.27</v>
      </c>
      <c r="D50" s="376">
        <v>1.28</v>
      </c>
      <c r="E50" s="376">
        <v>1.28</v>
      </c>
      <c r="F50" s="376">
        <v>1.29</v>
      </c>
      <c r="G50" s="376">
        <v>1.3</v>
      </c>
      <c r="H50" s="376">
        <v>1.31</v>
      </c>
      <c r="I50" s="376">
        <v>1.31</v>
      </c>
      <c r="J50" s="376">
        <v>1.3</v>
      </c>
      <c r="K50" s="376">
        <v>1.3</v>
      </c>
      <c r="L50" s="376">
        <v>1.3</v>
      </c>
      <c r="M50" s="376">
        <v>1.3</v>
      </c>
      <c r="N50" s="376">
        <v>1.3</v>
      </c>
      <c r="O50" s="376">
        <v>1.31</v>
      </c>
    </row>
    <row r="51" spans="1:17" ht="13" customHeight="1">
      <c r="A51" s="1096" t="s">
        <v>11</v>
      </c>
      <c r="B51" s="371" t="s">
        <v>77</v>
      </c>
      <c r="C51" s="378">
        <f>SUM(D51:O51)</f>
        <v>2254980</v>
      </c>
      <c r="D51" s="145">
        <v>175426</v>
      </c>
      <c r="E51" s="145">
        <v>349431</v>
      </c>
      <c r="F51" s="145">
        <v>348257</v>
      </c>
      <c r="G51" s="145">
        <v>29029</v>
      </c>
      <c r="H51" s="145">
        <v>30695</v>
      </c>
      <c r="I51" s="145">
        <v>26334</v>
      </c>
      <c r="J51" s="145">
        <v>925</v>
      </c>
      <c r="K51" s="145">
        <v>7899</v>
      </c>
      <c r="L51" s="145">
        <v>3187</v>
      </c>
      <c r="M51" s="145">
        <v>76201</v>
      </c>
      <c r="N51" s="145">
        <v>836861</v>
      </c>
      <c r="O51" s="145">
        <v>370735</v>
      </c>
    </row>
    <row r="52" spans="1:17" ht="13" customHeight="1">
      <c r="A52" s="1097"/>
      <c r="B52" s="371" t="s">
        <v>291</v>
      </c>
      <c r="C52" s="378">
        <f>SUM(D52:O52)</f>
        <v>4453</v>
      </c>
      <c r="D52" s="145">
        <v>331</v>
      </c>
      <c r="E52" s="145">
        <v>651</v>
      </c>
      <c r="F52" s="145">
        <v>655</v>
      </c>
      <c r="G52" s="145">
        <v>63</v>
      </c>
      <c r="H52" s="145">
        <v>55</v>
      </c>
      <c r="I52" s="145">
        <v>48</v>
      </c>
      <c r="J52" s="145">
        <v>2</v>
      </c>
      <c r="K52" s="145">
        <v>15</v>
      </c>
      <c r="L52" s="145">
        <v>6</v>
      </c>
      <c r="M52" s="145">
        <v>169</v>
      </c>
      <c r="N52" s="145">
        <v>1670</v>
      </c>
      <c r="O52" s="145">
        <v>788</v>
      </c>
    </row>
    <row r="53" spans="1:17" ht="13" customHeight="1">
      <c r="A53" s="1097"/>
      <c r="B53" s="371" t="s">
        <v>293</v>
      </c>
      <c r="C53" s="379">
        <f>C52/C51*1000</f>
        <v>1.9747403524643234</v>
      </c>
      <c r="D53" s="146">
        <f>D52/D51*1000</f>
        <v>1.8868354747870897</v>
      </c>
      <c r="E53" s="146">
        <f t="shared" ref="E53:O53" si="8">E52/E51*1000</f>
        <v>1.8630287524575668</v>
      </c>
      <c r="F53" s="146">
        <f t="shared" si="8"/>
        <v>1.8807949301808722</v>
      </c>
      <c r="G53" s="146">
        <f t="shared" si="8"/>
        <v>2.1702435495538941</v>
      </c>
      <c r="H53" s="146">
        <f t="shared" si="8"/>
        <v>1.7918227724385078</v>
      </c>
      <c r="I53" s="146">
        <f t="shared" si="8"/>
        <v>1.8227386648439279</v>
      </c>
      <c r="J53" s="146">
        <f t="shared" si="8"/>
        <v>2.1621621621621623</v>
      </c>
      <c r="K53" s="146">
        <f t="shared" si="8"/>
        <v>1.8989745537409799</v>
      </c>
      <c r="L53" s="146">
        <f t="shared" si="8"/>
        <v>1.8826482585503608</v>
      </c>
      <c r="M53" s="146">
        <f t="shared" si="8"/>
        <v>2.2178186637970634</v>
      </c>
      <c r="N53" s="146">
        <f t="shared" si="8"/>
        <v>1.9955524274640593</v>
      </c>
      <c r="O53" s="146">
        <f t="shared" si="8"/>
        <v>2.1255074379273604</v>
      </c>
      <c r="P53" s="146"/>
      <c r="Q53" s="146"/>
    </row>
    <row r="54" spans="1:17" ht="13" customHeight="1">
      <c r="A54" s="1099"/>
      <c r="B54" s="375" t="s">
        <v>272</v>
      </c>
      <c r="C54" s="380">
        <v>17.489999999999998</v>
      </c>
      <c r="D54" s="376">
        <v>14.7</v>
      </c>
      <c r="E54" s="376">
        <v>14.59</v>
      </c>
      <c r="F54" s="376">
        <v>14.55</v>
      </c>
      <c r="G54" s="376">
        <v>13.41</v>
      </c>
      <c r="H54" s="376">
        <v>14.37</v>
      </c>
      <c r="I54" s="376">
        <v>15.39</v>
      </c>
      <c r="J54" s="376">
        <v>13.77</v>
      </c>
      <c r="K54" s="376">
        <v>13.43</v>
      </c>
      <c r="L54" s="376">
        <v>14.21</v>
      </c>
      <c r="M54" s="376">
        <v>15.06</v>
      </c>
      <c r="N54" s="376">
        <v>14.73</v>
      </c>
      <c r="O54" s="376">
        <v>14.5</v>
      </c>
      <c r="P54" s="188"/>
    </row>
    <row r="55" spans="1:17" ht="13" customHeight="1">
      <c r="A55" s="1096" t="s">
        <v>12</v>
      </c>
      <c r="B55" s="371" t="s">
        <v>78</v>
      </c>
      <c r="C55" s="378">
        <f>SUM(D55:O55)</f>
        <v>340347</v>
      </c>
      <c r="D55" s="145">
        <v>15981</v>
      </c>
      <c r="E55" s="145">
        <v>63845</v>
      </c>
      <c r="F55" s="145">
        <v>56706</v>
      </c>
      <c r="G55" s="145">
        <v>6058</v>
      </c>
      <c r="H55" s="145">
        <v>3127</v>
      </c>
      <c r="I55" s="145">
        <v>1735</v>
      </c>
      <c r="J55" s="145">
        <v>125</v>
      </c>
      <c r="K55" s="145">
        <v>0</v>
      </c>
      <c r="L55" s="145">
        <v>25</v>
      </c>
      <c r="M55" s="145">
        <v>19712</v>
      </c>
      <c r="N55" s="145">
        <v>144908</v>
      </c>
      <c r="O55" s="145">
        <v>28125</v>
      </c>
    </row>
    <row r="56" spans="1:17" ht="13" customHeight="1">
      <c r="A56" s="1097"/>
      <c r="B56" s="371" t="s">
        <v>291</v>
      </c>
      <c r="C56" s="378">
        <f>SUM(D56:O56)</f>
        <v>658</v>
      </c>
      <c r="D56" s="145">
        <v>29</v>
      </c>
      <c r="E56" s="145">
        <v>114</v>
      </c>
      <c r="F56" s="145">
        <v>103</v>
      </c>
      <c r="G56" s="145">
        <v>9</v>
      </c>
      <c r="H56" s="145">
        <v>5</v>
      </c>
      <c r="I56" s="145">
        <v>3</v>
      </c>
      <c r="J56" s="145">
        <v>0</v>
      </c>
      <c r="K56" s="145">
        <v>0</v>
      </c>
      <c r="L56" s="145">
        <v>0</v>
      </c>
      <c r="M56" s="145">
        <v>45</v>
      </c>
      <c r="N56" s="145">
        <v>290</v>
      </c>
      <c r="O56" s="145">
        <v>60</v>
      </c>
    </row>
    <row r="57" spans="1:17" ht="13" customHeight="1">
      <c r="A57" s="1097"/>
      <c r="B57" s="371" t="s">
        <v>294</v>
      </c>
      <c r="C57" s="379">
        <f>C56/C55*1000</f>
        <v>1.9333209929865696</v>
      </c>
      <c r="D57" s="146">
        <f>D56/D55*1000</f>
        <v>1.8146549026969525</v>
      </c>
      <c r="E57" s="146">
        <f t="shared" ref="E57:O57" si="9">E56/E55*1000</f>
        <v>1.7855744380922547</v>
      </c>
      <c r="F57" s="146">
        <f t="shared" si="9"/>
        <v>1.8163862730575249</v>
      </c>
      <c r="G57" s="146">
        <f t="shared" si="9"/>
        <v>1.4856388246946186</v>
      </c>
      <c r="H57" s="146">
        <f t="shared" si="9"/>
        <v>1.598976654940838</v>
      </c>
      <c r="I57" s="146">
        <f t="shared" si="9"/>
        <v>1.7291066282420748</v>
      </c>
      <c r="J57" s="146">
        <f t="shared" si="9"/>
        <v>0</v>
      </c>
      <c r="K57" s="146">
        <v>0</v>
      </c>
      <c r="L57" s="146">
        <f t="shared" si="9"/>
        <v>0</v>
      </c>
      <c r="M57" s="146">
        <f t="shared" si="9"/>
        <v>2.2828733766233764</v>
      </c>
      <c r="N57" s="146">
        <f t="shared" si="9"/>
        <v>2.0012697711651528</v>
      </c>
      <c r="O57" s="146">
        <f t="shared" si="9"/>
        <v>2.1333333333333333</v>
      </c>
      <c r="P57" s="302"/>
    </row>
    <row r="58" spans="1:17" ht="13" customHeight="1">
      <c r="A58" s="1099"/>
      <c r="B58" s="375" t="s">
        <v>272</v>
      </c>
      <c r="C58" s="380">
        <v>7.25</v>
      </c>
      <c r="D58" s="376">
        <v>6.6</v>
      </c>
      <c r="E58" s="376">
        <v>6.88</v>
      </c>
      <c r="F58" s="376">
        <v>7.02</v>
      </c>
      <c r="G58" s="376">
        <v>5.91</v>
      </c>
      <c r="H58" s="376">
        <v>5.84</v>
      </c>
      <c r="I58" s="376">
        <v>5.82</v>
      </c>
      <c r="J58" s="376">
        <v>6.25</v>
      </c>
      <c r="K58" s="376">
        <v>0</v>
      </c>
      <c r="L58" s="376">
        <v>7.06</v>
      </c>
      <c r="M58" s="376">
        <v>5.94</v>
      </c>
      <c r="N58" s="376">
        <v>7.07</v>
      </c>
      <c r="O58" s="376">
        <v>7.05</v>
      </c>
      <c r="P58" s="188"/>
    </row>
    <row r="59" spans="1:17" ht="13" customHeight="1">
      <c r="A59" s="1096" t="s">
        <v>283</v>
      </c>
      <c r="B59" s="371" t="s">
        <v>79</v>
      </c>
      <c r="C59" s="378">
        <f>SUM(D59:O59)</f>
        <v>4304515</v>
      </c>
      <c r="D59" s="145">
        <v>389239</v>
      </c>
      <c r="E59" s="145">
        <v>1517905</v>
      </c>
      <c r="F59" s="145">
        <v>1106158</v>
      </c>
      <c r="G59" s="145">
        <v>169154</v>
      </c>
      <c r="H59" s="145">
        <v>198334</v>
      </c>
      <c r="I59" s="145">
        <v>94685</v>
      </c>
      <c r="J59" s="145">
        <v>93134</v>
      </c>
      <c r="K59" s="145">
        <v>57534</v>
      </c>
      <c r="L59" s="145">
        <v>103656</v>
      </c>
      <c r="M59" s="145">
        <v>17890</v>
      </c>
      <c r="N59" s="145">
        <v>314301</v>
      </c>
      <c r="O59" s="145">
        <v>242525</v>
      </c>
      <c r="P59" s="189"/>
    </row>
    <row r="60" spans="1:17" ht="13" customHeight="1">
      <c r="A60" s="1097"/>
      <c r="B60" s="371" t="s">
        <v>292</v>
      </c>
      <c r="C60" s="378">
        <f>SUM(D60:O60)</f>
        <v>7751</v>
      </c>
      <c r="D60" s="145">
        <v>655</v>
      </c>
      <c r="E60" s="145">
        <v>2691</v>
      </c>
      <c r="F60" s="145">
        <v>1941</v>
      </c>
      <c r="G60" s="145">
        <v>283</v>
      </c>
      <c r="H60" s="145">
        <v>455</v>
      </c>
      <c r="I60" s="145">
        <v>223</v>
      </c>
      <c r="J60" s="145">
        <v>196</v>
      </c>
      <c r="K60" s="145">
        <v>135</v>
      </c>
      <c r="L60" s="145">
        <v>180</v>
      </c>
      <c r="M60" s="145">
        <v>32</v>
      </c>
      <c r="N60" s="145">
        <v>555</v>
      </c>
      <c r="O60" s="145">
        <v>405</v>
      </c>
    </row>
    <row r="61" spans="1:17" ht="13" customHeight="1">
      <c r="A61" s="1097"/>
      <c r="B61" s="371" t="s">
        <v>295</v>
      </c>
      <c r="C61" s="379">
        <f>C60/C59*1000</f>
        <v>1.8006674387242234</v>
      </c>
      <c r="D61" s="146">
        <f>D60/D59*1000</f>
        <v>1.682770739828229</v>
      </c>
      <c r="E61" s="146">
        <f t="shared" ref="E61:O61" si="10">E60/E59*1000</f>
        <v>1.7728382211007936</v>
      </c>
      <c r="F61" s="146">
        <f t="shared" si="10"/>
        <v>1.7547222006259504</v>
      </c>
      <c r="G61" s="146">
        <f t="shared" si="10"/>
        <v>1.6730316752781489</v>
      </c>
      <c r="H61" s="146">
        <f t="shared" si="10"/>
        <v>2.2941099357649217</v>
      </c>
      <c r="I61" s="146">
        <f t="shared" si="10"/>
        <v>2.3551776944605796</v>
      </c>
      <c r="J61" s="146">
        <f t="shared" si="10"/>
        <v>2.1044945991796764</v>
      </c>
      <c r="K61" s="146">
        <f t="shared" si="10"/>
        <v>2.3464386275941185</v>
      </c>
      <c r="L61" s="146">
        <f t="shared" si="10"/>
        <v>1.7365130817318823</v>
      </c>
      <c r="M61" s="146">
        <f t="shared" si="10"/>
        <v>1.7887087758524316</v>
      </c>
      <c r="N61" s="146">
        <f t="shared" si="10"/>
        <v>1.765823207689444</v>
      </c>
      <c r="O61" s="146">
        <f t="shared" si="10"/>
        <v>1.6699309349551594</v>
      </c>
    </row>
    <row r="62" spans="1:17" ht="13" customHeight="1" thickBot="1">
      <c r="A62" s="1098"/>
      <c r="B62" s="372" t="s">
        <v>272</v>
      </c>
      <c r="C62" s="382">
        <v>6.45</v>
      </c>
      <c r="D62" s="303">
        <v>6.7</v>
      </c>
      <c r="E62" s="303">
        <v>6.95</v>
      </c>
      <c r="F62" s="303">
        <v>6.94</v>
      </c>
      <c r="G62" s="303">
        <v>6.68</v>
      </c>
      <c r="H62" s="303">
        <v>7.21</v>
      </c>
      <c r="I62" s="303">
        <v>7.25</v>
      </c>
      <c r="J62" s="303">
        <v>7.33</v>
      </c>
      <c r="K62" s="303">
        <v>7.32</v>
      </c>
      <c r="L62" s="303">
        <v>7.2</v>
      </c>
      <c r="M62" s="303">
        <v>7.15</v>
      </c>
      <c r="N62" s="303">
        <v>6.71</v>
      </c>
      <c r="O62" s="303">
        <v>6.79</v>
      </c>
    </row>
    <row r="63" spans="1:17" ht="10" customHeight="1">
      <c r="A63" s="28" t="s">
        <v>238</v>
      </c>
      <c r="B63" s="363"/>
      <c r="C63" s="364"/>
      <c r="D63" s="364"/>
      <c r="E63" s="364"/>
      <c r="F63" s="364" t="s">
        <v>198</v>
      </c>
      <c r="G63" s="364"/>
      <c r="H63" s="364"/>
      <c r="I63" s="364"/>
      <c r="J63" s="364"/>
      <c r="K63" s="364"/>
      <c r="L63" s="364"/>
      <c r="M63" s="364"/>
      <c r="N63" s="364"/>
      <c r="O63" s="304"/>
    </row>
    <row r="64" spans="1:17" ht="10" customHeight="1">
      <c r="A64" s="28" t="s">
        <v>192</v>
      </c>
      <c r="B64" s="363"/>
      <c r="C64" s="364"/>
      <c r="D64" s="363"/>
      <c r="E64" s="365"/>
      <c r="F64" s="363"/>
      <c r="G64" s="364"/>
      <c r="H64" s="364"/>
      <c r="I64" s="364"/>
      <c r="J64" s="364"/>
      <c r="K64" s="365"/>
      <c r="L64" s="363"/>
      <c r="M64" s="364"/>
      <c r="N64" s="363"/>
      <c r="O64" s="304"/>
    </row>
    <row r="65" spans="1:15" ht="10" customHeight="1">
      <c r="A65" s="40" t="s">
        <v>261</v>
      </c>
      <c r="B65" s="363"/>
      <c r="C65" s="364"/>
      <c r="D65" s="363"/>
      <c r="E65" s="365"/>
      <c r="F65" s="363"/>
      <c r="G65" s="364"/>
      <c r="H65" s="364"/>
      <c r="I65" s="364"/>
      <c r="J65" s="364"/>
      <c r="K65" s="365"/>
      <c r="L65" s="363"/>
      <c r="M65" s="364"/>
      <c r="N65" s="363"/>
      <c r="O65" s="304"/>
    </row>
    <row r="66" spans="1:15" ht="10" customHeight="1">
      <c r="A66" s="40"/>
      <c r="B66" s="363"/>
      <c r="C66" s="364"/>
      <c r="D66" s="363"/>
      <c r="E66" s="365"/>
      <c r="F66" s="363"/>
      <c r="G66" s="364"/>
      <c r="H66" s="364"/>
      <c r="I66" s="364"/>
      <c r="J66" s="364"/>
      <c r="K66" s="365"/>
      <c r="L66" s="363"/>
      <c r="M66" s="364"/>
      <c r="N66" s="363"/>
      <c r="O66" s="304"/>
    </row>
    <row r="67" spans="1:15" ht="10" customHeight="1">
      <c r="A67" s="366"/>
      <c r="B67" s="367"/>
      <c r="C67" s="367"/>
      <c r="D67" s="367"/>
      <c r="E67" s="367"/>
      <c r="F67" s="367"/>
      <c r="G67" s="367"/>
      <c r="H67" s="367"/>
      <c r="I67" s="367"/>
      <c r="J67" s="367"/>
      <c r="K67" s="367"/>
      <c r="L67" s="367"/>
      <c r="M67" s="367"/>
      <c r="N67" s="367"/>
      <c r="O67" s="145"/>
    </row>
    <row r="68" spans="1:15" ht="10" customHeight="1">
      <c r="A68" s="366"/>
      <c r="B68" s="367"/>
      <c r="C68" s="367"/>
      <c r="D68" s="367"/>
      <c r="E68" s="367"/>
      <c r="F68" s="367"/>
      <c r="G68" s="367"/>
      <c r="H68" s="367"/>
      <c r="I68" s="367"/>
      <c r="J68" s="367"/>
      <c r="K68" s="367"/>
      <c r="L68" s="367"/>
      <c r="M68" s="367"/>
      <c r="N68" s="367"/>
      <c r="O68" s="145"/>
    </row>
    <row r="69" spans="1:15" ht="10" customHeight="1">
      <c r="A69" s="365"/>
      <c r="B69" s="367"/>
      <c r="C69" s="367"/>
      <c r="D69" s="367"/>
      <c r="E69" s="367"/>
      <c r="F69" s="367"/>
      <c r="G69" s="367"/>
      <c r="H69" s="367"/>
      <c r="I69" s="367"/>
      <c r="J69" s="367"/>
      <c r="K69" s="367"/>
      <c r="L69" s="367"/>
      <c r="M69" s="367"/>
      <c r="N69" s="367"/>
      <c r="O69" s="145"/>
    </row>
    <row r="70" spans="1:15" ht="10" customHeight="1">
      <c r="A70" s="367"/>
      <c r="B70" s="367"/>
      <c r="C70" s="367"/>
      <c r="D70" s="367"/>
      <c r="E70" s="367"/>
      <c r="F70" s="367"/>
      <c r="G70" s="367"/>
      <c r="H70" s="367"/>
      <c r="I70" s="367"/>
      <c r="J70" s="367"/>
      <c r="K70" s="367"/>
      <c r="L70" s="367"/>
      <c r="M70" s="367"/>
      <c r="N70" s="367"/>
      <c r="O70" s="145"/>
    </row>
    <row r="71" spans="1:15" ht="10" customHeight="1">
      <c r="A71" s="367"/>
      <c r="B71" s="367"/>
      <c r="C71" s="367"/>
      <c r="D71" s="367"/>
      <c r="E71" s="367"/>
      <c r="F71" s="367"/>
      <c r="G71" s="367"/>
      <c r="H71" s="367"/>
      <c r="I71" s="367"/>
      <c r="J71" s="367"/>
      <c r="K71" s="367"/>
      <c r="L71" s="367"/>
      <c r="M71" s="367"/>
      <c r="N71" s="367"/>
      <c r="O71" s="145"/>
    </row>
    <row r="72" spans="1:15" ht="13" customHeight="1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</row>
    <row r="73" spans="1:15" ht="13" customHeight="1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</row>
    <row r="74" spans="1:15" ht="13" customHeight="1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</row>
    <row r="75" spans="1:15" ht="13" customHeight="1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</row>
    <row r="76" spans="1:15" ht="13" customHeight="1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</row>
    <row r="77" spans="1:15" ht="13" customHeight="1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</row>
    <row r="78" spans="1:15" ht="13" customHeight="1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</row>
    <row r="79" spans="1:15" ht="13" customHeight="1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</row>
    <row r="80" spans="1:15" ht="13" customHeight="1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</row>
    <row r="81" spans="1:15" ht="13" customHeight="1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</row>
    <row r="82" spans="1:15" ht="13" customHeight="1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</row>
  </sheetData>
  <mergeCells count="12">
    <mergeCell ref="A59:A62"/>
    <mergeCell ref="A5:A9"/>
    <mergeCell ref="A10:A14"/>
    <mergeCell ref="A15:A19"/>
    <mergeCell ref="A20:A24"/>
    <mergeCell ref="A25:A29"/>
    <mergeCell ref="A30:A34"/>
    <mergeCell ref="A38:A42"/>
    <mergeCell ref="A43:A46"/>
    <mergeCell ref="A47:A50"/>
    <mergeCell ref="A51:A54"/>
    <mergeCell ref="A55:A58"/>
  </mergeCells>
  <printOptions horizontalCentered="1" verticalCentered="1"/>
  <pageMargins left="0" right="0" top="0" bottom="0" header="0" footer="0"/>
  <pageSetup paperSize="9" orientation="landscape" horizontalDpi="120" verticalDpi="144"/>
  <headerFooter scaleWithDoc="0" alignWithMargins="0"/>
  <rowBreaks count="1" manualBreakCount="1">
    <brk id="35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9" tint="0.59999389629810485"/>
  </sheetPr>
  <dimension ref="A2:K40"/>
  <sheetViews>
    <sheetView showGridLines="0" zoomScaleNormal="100" workbookViewId="0">
      <selection activeCell="K34" sqref="K34"/>
    </sheetView>
  </sheetViews>
  <sheetFormatPr baseColWidth="10" defaultColWidth="7" defaultRowHeight="13" customHeight="1"/>
  <cols>
    <col min="1" max="1" width="12" style="141" customWidth="1"/>
    <col min="2" max="2" width="10.19921875" style="141" customWidth="1"/>
    <col min="3" max="8" width="9" style="141" customWidth="1"/>
    <col min="9" max="9" width="8" style="141" customWidth="1"/>
    <col min="10" max="16384" width="7" style="141"/>
  </cols>
  <sheetData>
    <row r="2" spans="1:11" ht="13" customHeight="1">
      <c r="A2" s="388" t="s">
        <v>304</v>
      </c>
    </row>
    <row r="3" spans="1:11" ht="13" customHeight="1">
      <c r="A3" s="389" t="s">
        <v>303</v>
      </c>
      <c r="J3" s="186"/>
      <c r="K3" s="146"/>
    </row>
    <row r="4" spans="1:11" ht="5" customHeight="1" thickBot="1">
      <c r="A4" s="191"/>
      <c r="B4" s="191"/>
      <c r="C4" s="191"/>
      <c r="D4" s="191"/>
      <c r="E4" s="191"/>
      <c r="F4" s="191"/>
      <c r="G4" s="191"/>
      <c r="H4" s="191"/>
    </row>
    <row r="5" spans="1:11" ht="15" customHeight="1">
      <c r="A5" s="390" t="s">
        <v>18</v>
      </c>
      <c r="B5" s="390" t="s">
        <v>19</v>
      </c>
      <c r="C5" s="390" t="s">
        <v>5</v>
      </c>
      <c r="D5" s="390" t="s">
        <v>6</v>
      </c>
      <c r="E5" s="390" t="s">
        <v>7</v>
      </c>
      <c r="F5" s="390" t="s">
        <v>8</v>
      </c>
      <c r="G5" s="390" t="s">
        <v>9</v>
      </c>
      <c r="H5" s="390" t="s">
        <v>10</v>
      </c>
      <c r="K5" s="146"/>
    </row>
    <row r="6" spans="1:11" ht="15" customHeight="1">
      <c r="A6" s="396" t="s">
        <v>100</v>
      </c>
      <c r="B6" s="402">
        <f t="shared" ref="B6:H6" si="0">(B8+B9+B10+B11+B12+B16+B17+B18+B19+B20+B21+B22+B23+B24+B25+B26+B27+B28+B31+B32+B33+B34+B35+B36)</f>
        <v>786256916</v>
      </c>
      <c r="C6" s="402">
        <f t="shared" si="0"/>
        <v>2682837</v>
      </c>
      <c r="D6" s="402">
        <f t="shared" si="0"/>
        <v>3284607</v>
      </c>
      <c r="E6" s="402">
        <f t="shared" si="0"/>
        <v>1357067</v>
      </c>
      <c r="F6" s="402">
        <f t="shared" si="0"/>
        <v>411263</v>
      </c>
      <c r="G6" s="402">
        <f t="shared" si="0"/>
        <v>473283</v>
      </c>
      <c r="H6" s="402">
        <f t="shared" si="0"/>
        <v>115790</v>
      </c>
    </row>
    <row r="7" spans="1:11" ht="3" customHeight="1">
      <c r="A7" s="297"/>
      <c r="B7" s="403"/>
      <c r="C7" s="403"/>
      <c r="D7" s="403"/>
      <c r="E7" s="403"/>
      <c r="F7" s="403"/>
      <c r="G7" s="403"/>
      <c r="H7" s="403"/>
    </row>
    <row r="8" spans="1:11" ht="13" customHeight="1">
      <c r="A8" s="141" t="s">
        <v>21</v>
      </c>
      <c r="B8" s="404">
        <v>132083</v>
      </c>
      <c r="C8" s="404">
        <v>2941</v>
      </c>
      <c r="D8" s="404">
        <v>6339</v>
      </c>
      <c r="E8" s="404">
        <v>4510</v>
      </c>
      <c r="F8" s="404">
        <v>22337</v>
      </c>
      <c r="G8" s="404">
        <v>0</v>
      </c>
      <c r="H8" s="404">
        <v>0</v>
      </c>
    </row>
    <row r="9" spans="1:11" ht="13" customHeight="1">
      <c r="A9" s="141" t="s">
        <v>22</v>
      </c>
      <c r="B9" s="404">
        <v>14783876</v>
      </c>
      <c r="C9" s="404">
        <v>120555</v>
      </c>
      <c r="D9" s="404">
        <v>113620</v>
      </c>
      <c r="E9" s="404">
        <v>47805</v>
      </c>
      <c r="F9" s="404">
        <v>93286</v>
      </c>
      <c r="G9" s="404">
        <v>0</v>
      </c>
      <c r="H9" s="404">
        <v>0</v>
      </c>
      <c r="J9" s="186"/>
      <c r="K9" s="146"/>
    </row>
    <row r="10" spans="1:11" ht="13" customHeight="1">
      <c r="A10" s="141" t="s">
        <v>23</v>
      </c>
      <c r="B10" s="404">
        <v>12079398</v>
      </c>
      <c r="C10" s="404">
        <v>31831</v>
      </c>
      <c r="D10" s="404">
        <v>31654</v>
      </c>
      <c r="E10" s="404">
        <v>21454</v>
      </c>
      <c r="F10" s="404">
        <v>26996</v>
      </c>
      <c r="G10" s="404">
        <v>0</v>
      </c>
      <c r="H10" s="404">
        <v>0</v>
      </c>
      <c r="J10" s="186"/>
      <c r="K10" s="146"/>
    </row>
    <row r="11" spans="1:11" ht="13" customHeight="1">
      <c r="A11" s="141" t="s">
        <v>24</v>
      </c>
      <c r="B11" s="404">
        <v>140698998</v>
      </c>
      <c r="C11" s="404">
        <v>188941</v>
      </c>
      <c r="D11" s="404">
        <v>309578</v>
      </c>
      <c r="E11" s="404">
        <v>58195</v>
      </c>
      <c r="F11" s="404">
        <v>35654</v>
      </c>
      <c r="G11" s="404">
        <v>1377</v>
      </c>
      <c r="H11" s="404">
        <v>0</v>
      </c>
    </row>
    <row r="12" spans="1:11" ht="13" customHeight="1">
      <c r="A12" s="141" t="s">
        <v>25</v>
      </c>
      <c r="B12" s="404">
        <v>1768812</v>
      </c>
      <c r="C12" s="404">
        <v>99840</v>
      </c>
      <c r="D12" s="404">
        <v>150866</v>
      </c>
      <c r="E12" s="404">
        <v>196668</v>
      </c>
      <c r="F12" s="404">
        <v>28924</v>
      </c>
      <c r="G12" s="404">
        <v>0</v>
      </c>
      <c r="H12" s="404">
        <v>0</v>
      </c>
      <c r="K12" s="146"/>
    </row>
    <row r="13" spans="1:11" ht="13" customHeight="1">
      <c r="A13" s="141" t="s">
        <v>26</v>
      </c>
      <c r="B13" s="404">
        <v>1142164</v>
      </c>
      <c r="C13" s="404">
        <v>71305</v>
      </c>
      <c r="D13" s="404">
        <v>64954</v>
      </c>
      <c r="E13" s="404">
        <v>111060</v>
      </c>
      <c r="F13" s="404">
        <v>16773</v>
      </c>
      <c r="G13" s="404">
        <v>0</v>
      </c>
      <c r="H13" s="404">
        <v>0</v>
      </c>
    </row>
    <row r="14" spans="1:11" ht="13" customHeight="1">
      <c r="A14" s="141" t="s">
        <v>27</v>
      </c>
      <c r="B14" s="404">
        <v>306022</v>
      </c>
      <c r="C14" s="404">
        <v>22463</v>
      </c>
      <c r="D14" s="404">
        <v>48684</v>
      </c>
      <c r="E14" s="404">
        <v>54560</v>
      </c>
      <c r="F14" s="404">
        <v>1551</v>
      </c>
      <c r="G14" s="404">
        <v>0</v>
      </c>
      <c r="H14" s="404">
        <v>0</v>
      </c>
    </row>
    <row r="15" spans="1:11" ht="13" customHeight="1">
      <c r="A15" s="141" t="s">
        <v>28</v>
      </c>
      <c r="B15" s="404">
        <v>320626</v>
      </c>
      <c r="C15" s="404">
        <v>6072</v>
      </c>
      <c r="D15" s="404">
        <v>37228</v>
      </c>
      <c r="E15" s="404">
        <v>31048</v>
      </c>
      <c r="F15" s="404">
        <v>10600</v>
      </c>
      <c r="G15" s="404">
        <v>0</v>
      </c>
      <c r="H15" s="404">
        <v>0</v>
      </c>
    </row>
    <row r="16" spans="1:11" ht="13" customHeight="1">
      <c r="A16" s="141" t="s">
        <v>29</v>
      </c>
      <c r="B16" s="404">
        <v>102828</v>
      </c>
      <c r="C16" s="404">
        <v>3532</v>
      </c>
      <c r="D16" s="404">
        <v>34042</v>
      </c>
      <c r="E16" s="404">
        <v>62118</v>
      </c>
      <c r="F16" s="404">
        <v>4816</v>
      </c>
      <c r="G16" s="404">
        <v>0</v>
      </c>
      <c r="H16" s="404">
        <v>0</v>
      </c>
    </row>
    <row r="17" spans="1:8" ht="13" customHeight="1">
      <c r="A17" s="141" t="s">
        <v>30</v>
      </c>
      <c r="B17" s="404">
        <v>17185743</v>
      </c>
      <c r="C17" s="404">
        <v>132633</v>
      </c>
      <c r="D17" s="404">
        <v>49555</v>
      </c>
      <c r="E17" s="404">
        <v>72763</v>
      </c>
      <c r="F17" s="404">
        <v>20509</v>
      </c>
      <c r="G17" s="404">
        <v>390</v>
      </c>
      <c r="H17" s="404">
        <v>0</v>
      </c>
    </row>
    <row r="18" spans="1:8" ht="13" customHeight="1">
      <c r="A18" s="141" t="s">
        <v>31</v>
      </c>
      <c r="B18" s="404">
        <v>416797807</v>
      </c>
      <c r="C18" s="404">
        <v>64093</v>
      </c>
      <c r="D18" s="404">
        <v>1178439</v>
      </c>
      <c r="E18" s="404">
        <v>113481</v>
      </c>
      <c r="F18" s="404">
        <v>40739</v>
      </c>
      <c r="G18" s="404">
        <v>2831</v>
      </c>
      <c r="H18" s="404">
        <v>2030</v>
      </c>
    </row>
    <row r="19" spans="1:8" ht="13" customHeight="1">
      <c r="A19" s="141" t="s">
        <v>32</v>
      </c>
      <c r="B19" s="404">
        <v>45451220</v>
      </c>
      <c r="C19" s="404">
        <v>9044</v>
      </c>
      <c r="D19" s="404">
        <v>212080</v>
      </c>
      <c r="E19" s="404">
        <v>13058</v>
      </c>
      <c r="F19" s="404">
        <v>17363</v>
      </c>
      <c r="G19" s="404">
        <v>0</v>
      </c>
      <c r="H19" s="404">
        <v>0</v>
      </c>
    </row>
    <row r="20" spans="1:8" ht="13" customHeight="1">
      <c r="A20" s="141" t="s">
        <v>33</v>
      </c>
      <c r="B20" s="404">
        <v>646070</v>
      </c>
      <c r="C20" s="404">
        <v>157449</v>
      </c>
      <c r="D20" s="404">
        <v>208424</v>
      </c>
      <c r="E20" s="404">
        <v>149251</v>
      </c>
      <c r="F20" s="404">
        <v>23327</v>
      </c>
      <c r="G20" s="404">
        <v>1256</v>
      </c>
      <c r="H20" s="404">
        <v>0</v>
      </c>
    </row>
    <row r="21" spans="1:8" ht="13" customHeight="1">
      <c r="A21" s="141" t="s">
        <v>34</v>
      </c>
      <c r="B21" s="404">
        <v>300084</v>
      </c>
      <c r="C21" s="404">
        <v>107119</v>
      </c>
      <c r="D21" s="404">
        <v>36228</v>
      </c>
      <c r="E21" s="404">
        <v>23223</v>
      </c>
      <c r="F21" s="404">
        <v>1059</v>
      </c>
      <c r="G21" s="404">
        <v>15701</v>
      </c>
      <c r="H21" s="404">
        <v>3832</v>
      </c>
    </row>
    <row r="22" spans="1:8" ht="13" customHeight="1">
      <c r="A22" s="141" t="s">
        <v>35</v>
      </c>
      <c r="B22" s="404">
        <v>5131255</v>
      </c>
      <c r="C22" s="404">
        <v>303867</v>
      </c>
      <c r="D22" s="404">
        <v>114371</v>
      </c>
      <c r="E22" s="404">
        <v>61103</v>
      </c>
      <c r="F22" s="404">
        <v>3585</v>
      </c>
      <c r="G22" s="404">
        <v>12751</v>
      </c>
      <c r="H22" s="404">
        <v>8636</v>
      </c>
    </row>
    <row r="23" spans="1:8" ht="13" customHeight="1">
      <c r="A23" s="141" t="s">
        <v>36</v>
      </c>
      <c r="B23" s="404">
        <v>508566</v>
      </c>
      <c r="C23" s="404">
        <v>110863</v>
      </c>
      <c r="D23" s="404">
        <v>44440</v>
      </c>
      <c r="E23" s="404">
        <v>29731</v>
      </c>
      <c r="F23" s="404">
        <v>25727</v>
      </c>
      <c r="G23" s="404">
        <v>22349</v>
      </c>
      <c r="H23" s="404">
        <v>7899</v>
      </c>
    </row>
    <row r="24" spans="1:8" ht="13" customHeight="1">
      <c r="A24" s="141" t="s">
        <v>37</v>
      </c>
      <c r="B24" s="404">
        <v>75369645</v>
      </c>
      <c r="C24" s="404">
        <v>146807</v>
      </c>
      <c r="D24" s="404">
        <v>198540</v>
      </c>
      <c r="E24" s="404">
        <v>35096</v>
      </c>
      <c r="F24" s="404">
        <v>10335</v>
      </c>
      <c r="G24" s="404">
        <v>37588</v>
      </c>
      <c r="H24" s="404">
        <v>9379</v>
      </c>
    </row>
    <row r="25" spans="1:8" ht="13" customHeight="1">
      <c r="A25" s="141" t="s">
        <v>38</v>
      </c>
      <c r="B25" s="404">
        <v>95558</v>
      </c>
      <c r="C25" s="404">
        <v>4033</v>
      </c>
      <c r="D25" s="404">
        <v>26011</v>
      </c>
      <c r="E25" s="404">
        <v>3495</v>
      </c>
      <c r="F25" s="404">
        <v>689</v>
      </c>
      <c r="G25" s="404">
        <v>4117</v>
      </c>
      <c r="H25" s="404">
        <v>1353</v>
      </c>
    </row>
    <row r="26" spans="1:8" ht="13" customHeight="1">
      <c r="A26" s="141" t="s">
        <v>39</v>
      </c>
      <c r="B26" s="404">
        <v>8886158</v>
      </c>
      <c r="C26" s="404">
        <v>8114</v>
      </c>
      <c r="D26" s="404">
        <v>68881</v>
      </c>
      <c r="E26" s="404">
        <v>5040</v>
      </c>
      <c r="F26" s="404">
        <v>5343</v>
      </c>
      <c r="G26" s="404">
        <v>7956</v>
      </c>
      <c r="H26" s="404">
        <v>4650</v>
      </c>
    </row>
    <row r="27" spans="1:8" ht="13" customHeight="1">
      <c r="A27" s="141" t="s">
        <v>40</v>
      </c>
      <c r="B27" s="404">
        <v>544510</v>
      </c>
      <c r="C27" s="404">
        <v>166207</v>
      </c>
      <c r="D27" s="404">
        <v>62319</v>
      </c>
      <c r="E27" s="404">
        <v>97165</v>
      </c>
      <c r="F27" s="404">
        <v>28248</v>
      </c>
      <c r="G27" s="404">
        <v>44781</v>
      </c>
      <c r="H27" s="404">
        <v>8451</v>
      </c>
    </row>
    <row r="28" spans="1:8" ht="13" customHeight="1">
      <c r="A28" s="141" t="s">
        <v>41</v>
      </c>
      <c r="B28" s="404">
        <v>405658</v>
      </c>
      <c r="C28" s="404">
        <v>79281</v>
      </c>
      <c r="D28" s="404">
        <v>71343</v>
      </c>
      <c r="E28" s="404">
        <v>42496</v>
      </c>
      <c r="F28" s="404">
        <v>18390</v>
      </c>
      <c r="G28" s="404">
        <v>22860</v>
      </c>
      <c r="H28" s="404">
        <v>9923</v>
      </c>
    </row>
    <row r="29" spans="1:8" ht="13" customHeight="1">
      <c r="A29" s="141" t="s">
        <v>42</v>
      </c>
      <c r="B29" s="404">
        <v>245574</v>
      </c>
      <c r="C29" s="404">
        <v>40475</v>
      </c>
      <c r="D29" s="404">
        <v>25903</v>
      </c>
      <c r="E29" s="404">
        <v>21379</v>
      </c>
      <c r="F29" s="404">
        <v>5709</v>
      </c>
      <c r="G29" s="404">
        <v>15468</v>
      </c>
      <c r="H29" s="404">
        <v>4745</v>
      </c>
    </row>
    <row r="30" spans="1:8" ht="13" customHeight="1">
      <c r="A30" s="141" t="s">
        <v>43</v>
      </c>
      <c r="B30" s="404">
        <v>160084</v>
      </c>
      <c r="C30" s="404">
        <v>38806</v>
      </c>
      <c r="D30" s="404">
        <v>45440</v>
      </c>
      <c r="E30" s="404">
        <v>21117</v>
      </c>
      <c r="F30" s="404">
        <v>12681</v>
      </c>
      <c r="G30" s="404">
        <v>7392</v>
      </c>
      <c r="H30" s="404">
        <v>5178</v>
      </c>
    </row>
    <row r="31" spans="1:8" ht="13" customHeight="1">
      <c r="A31" s="141" t="s">
        <v>44</v>
      </c>
      <c r="B31" s="404">
        <v>1899521</v>
      </c>
      <c r="C31" s="404">
        <v>302899</v>
      </c>
      <c r="D31" s="404">
        <v>120446</v>
      </c>
      <c r="E31" s="404">
        <v>73001</v>
      </c>
      <c r="F31" s="404">
        <v>3901</v>
      </c>
      <c r="G31" s="404">
        <v>90127</v>
      </c>
      <c r="H31" s="404">
        <v>19710</v>
      </c>
    </row>
    <row r="32" spans="1:8" ht="13" customHeight="1">
      <c r="A32" s="141" t="s">
        <v>45</v>
      </c>
      <c r="B32" s="404">
        <v>1354640</v>
      </c>
      <c r="C32" s="404">
        <v>629215</v>
      </c>
      <c r="D32" s="404">
        <v>77140</v>
      </c>
      <c r="E32" s="404">
        <v>146350</v>
      </c>
      <c r="F32" s="404">
        <v>0</v>
      </c>
      <c r="G32" s="404">
        <v>209199</v>
      </c>
      <c r="H32" s="404">
        <v>39927</v>
      </c>
    </row>
    <row r="33" spans="1:8" ht="13" customHeight="1">
      <c r="A33" s="141" t="s">
        <v>46</v>
      </c>
      <c r="B33" s="404">
        <v>18414920</v>
      </c>
      <c r="C33" s="404">
        <v>6854</v>
      </c>
      <c r="D33" s="404">
        <v>70713</v>
      </c>
      <c r="E33" s="404">
        <v>56686</v>
      </c>
      <c r="F33" s="404">
        <v>0</v>
      </c>
      <c r="G33" s="404">
        <v>0</v>
      </c>
      <c r="H33" s="404">
        <v>0</v>
      </c>
    </row>
    <row r="34" spans="1:8" ht="13" customHeight="1">
      <c r="A34" s="141" t="s">
        <v>47</v>
      </c>
      <c r="B34" s="404">
        <v>12043022</v>
      </c>
      <c r="C34" s="404">
        <v>2359</v>
      </c>
      <c r="D34" s="404">
        <v>60322</v>
      </c>
      <c r="E34" s="404">
        <v>13923</v>
      </c>
      <c r="F34" s="404">
        <v>35</v>
      </c>
      <c r="G34" s="404">
        <v>0</v>
      </c>
      <c r="H34" s="404">
        <v>0</v>
      </c>
    </row>
    <row r="35" spans="1:8" ht="13" customHeight="1">
      <c r="A35" s="141" t="s">
        <v>48</v>
      </c>
      <c r="B35" s="404">
        <v>7328098</v>
      </c>
      <c r="C35" s="404">
        <v>2288</v>
      </c>
      <c r="D35" s="404">
        <v>21739</v>
      </c>
      <c r="E35" s="404">
        <v>15802</v>
      </c>
      <c r="F35" s="404">
        <v>0</v>
      </c>
      <c r="G35" s="404">
        <v>0</v>
      </c>
      <c r="H35" s="404">
        <v>0</v>
      </c>
    </row>
    <row r="36" spans="1:8" ht="13" customHeight="1" thickBot="1">
      <c r="A36" s="398" t="s">
        <v>49</v>
      </c>
      <c r="B36" s="405">
        <v>4328446</v>
      </c>
      <c r="C36" s="405">
        <v>2072</v>
      </c>
      <c r="D36" s="405">
        <v>17517</v>
      </c>
      <c r="E36" s="405">
        <v>14653</v>
      </c>
      <c r="F36" s="405">
        <v>0</v>
      </c>
      <c r="G36" s="405">
        <v>0</v>
      </c>
      <c r="H36" s="405">
        <v>0</v>
      </c>
    </row>
    <row r="37" spans="1:8" ht="10" customHeight="1">
      <c r="A37" s="28" t="s">
        <v>238</v>
      </c>
      <c r="B37" s="363"/>
      <c r="C37" s="391"/>
      <c r="D37" s="363"/>
      <c r="E37" s="363"/>
      <c r="F37" s="391"/>
      <c r="G37" s="391"/>
      <c r="H37" s="299"/>
    </row>
    <row r="38" spans="1:8" ht="10" customHeight="1">
      <c r="A38" s="28" t="s">
        <v>192</v>
      </c>
      <c r="B38" s="392"/>
      <c r="C38" s="392"/>
      <c r="D38" s="392"/>
      <c r="E38" s="392"/>
      <c r="F38" s="392"/>
      <c r="G38" s="392"/>
      <c r="H38" s="298"/>
    </row>
    <row r="39" spans="1:8" ht="10" customHeight="1">
      <c r="A39" s="40" t="s">
        <v>261</v>
      </c>
      <c r="B39" s="367"/>
      <c r="C39" s="367"/>
      <c r="D39" s="367"/>
      <c r="E39" s="367"/>
      <c r="F39" s="367"/>
      <c r="G39" s="367"/>
      <c r="H39" s="145"/>
    </row>
    <row r="40" spans="1:8" ht="13" customHeight="1">
      <c r="A40" s="12"/>
    </row>
  </sheetData>
  <printOptions horizontalCentered="1" verticalCentered="1"/>
  <pageMargins left="0" right="0" top="0" bottom="0" header="0" footer="0"/>
  <pageSetup paperSize="9" orientation="portrait" horizontalDpi="120" verticalDpi="144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theme="9" tint="0.59999389629810485"/>
  </sheetPr>
  <dimension ref="A2:H40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2" style="141" customWidth="1"/>
    <col min="2" max="8" width="9" style="141" customWidth="1"/>
    <col min="9" max="9" width="8" style="141" customWidth="1"/>
    <col min="10" max="16384" width="7" style="141"/>
  </cols>
  <sheetData>
    <row r="2" spans="1:8" ht="13" customHeight="1">
      <c r="A2" s="388" t="s">
        <v>309</v>
      </c>
    </row>
    <row r="3" spans="1:8" ht="13" customHeight="1">
      <c r="A3" s="400" t="s">
        <v>306</v>
      </c>
      <c r="B3" s="182"/>
      <c r="C3" s="182"/>
      <c r="D3" s="182"/>
      <c r="E3" s="182"/>
      <c r="F3" s="182"/>
      <c r="G3" s="182"/>
      <c r="H3" s="182"/>
    </row>
    <row r="4" spans="1:8" ht="5" customHeight="1" thickBot="1">
      <c r="A4" s="191"/>
      <c r="B4" s="191"/>
      <c r="C4" s="191"/>
      <c r="D4" s="191"/>
      <c r="E4" s="191"/>
      <c r="F4" s="191"/>
      <c r="G4" s="191"/>
      <c r="H4" s="191"/>
    </row>
    <row r="5" spans="1:8" ht="15" customHeight="1">
      <c r="A5" s="394" t="s">
        <v>18</v>
      </c>
      <c r="B5" s="394" t="s">
        <v>19</v>
      </c>
      <c r="C5" s="394" t="s">
        <v>5</v>
      </c>
      <c r="D5" s="394" t="s">
        <v>6</v>
      </c>
      <c r="E5" s="394" t="s">
        <v>7</v>
      </c>
      <c r="F5" s="394" t="s">
        <v>8</v>
      </c>
      <c r="G5" s="394" t="s">
        <v>9</v>
      </c>
      <c r="H5" s="394" t="s">
        <v>10</v>
      </c>
    </row>
    <row r="6" spans="1:8" ht="15" customHeight="1">
      <c r="A6" s="401" t="s">
        <v>100</v>
      </c>
      <c r="B6" s="406">
        <f t="shared" ref="B6:H6" si="0">(B8+B9+B10+B11+B12+B16+B17+B18+B19+B20+B21+B22+B23+B24+B25+B26+B27+B28+B31+B32+B33+B34+B35+B36)</f>
        <v>1762857</v>
      </c>
      <c r="C6" s="406">
        <f t="shared" si="0"/>
        <v>33782</v>
      </c>
      <c r="D6" s="406">
        <f t="shared" si="0"/>
        <v>173258</v>
      </c>
      <c r="E6" s="406">
        <f t="shared" si="0"/>
        <v>192919</v>
      </c>
      <c r="F6" s="406">
        <f t="shared" si="0"/>
        <v>5100.3999999999996</v>
      </c>
      <c r="G6" s="406">
        <f t="shared" si="0"/>
        <v>12579</v>
      </c>
      <c r="H6" s="406">
        <f t="shared" si="0"/>
        <v>3849</v>
      </c>
    </row>
    <row r="7" spans="1:8" ht="3" customHeight="1">
      <c r="A7" s="297"/>
      <c r="B7" s="403"/>
      <c r="C7" s="403"/>
      <c r="D7" s="403"/>
      <c r="E7" s="403"/>
      <c r="F7" s="403"/>
      <c r="G7" s="403"/>
      <c r="H7" s="403"/>
    </row>
    <row r="8" spans="1:8" ht="13" customHeight="1">
      <c r="A8" s="141" t="s">
        <v>21</v>
      </c>
      <c r="B8" s="404">
        <v>294</v>
      </c>
      <c r="C8" s="404">
        <v>33</v>
      </c>
      <c r="D8" s="404">
        <v>345</v>
      </c>
      <c r="E8" s="404">
        <v>685</v>
      </c>
      <c r="F8" s="404">
        <v>220</v>
      </c>
      <c r="G8" s="404">
        <v>0</v>
      </c>
      <c r="H8" s="404">
        <v>0</v>
      </c>
    </row>
    <row r="9" spans="1:8" ht="13" customHeight="1">
      <c r="A9" s="141" t="s">
        <v>22</v>
      </c>
      <c r="B9" s="407">
        <v>33053</v>
      </c>
      <c r="C9" s="407">
        <v>1493</v>
      </c>
      <c r="D9" s="407">
        <v>5825</v>
      </c>
      <c r="E9" s="407">
        <v>7217</v>
      </c>
      <c r="F9" s="407">
        <v>1283</v>
      </c>
      <c r="G9" s="407">
        <v>0</v>
      </c>
      <c r="H9" s="407">
        <v>0</v>
      </c>
    </row>
    <row r="10" spans="1:8" ht="13" customHeight="1">
      <c r="A10" s="141" t="s">
        <v>23</v>
      </c>
      <c r="B10" s="407">
        <v>26358</v>
      </c>
      <c r="C10" s="407">
        <v>529</v>
      </c>
      <c r="D10" s="407">
        <v>1721</v>
      </c>
      <c r="E10" s="407">
        <v>3101</v>
      </c>
      <c r="F10" s="407">
        <v>375</v>
      </c>
      <c r="G10" s="407">
        <v>0</v>
      </c>
      <c r="H10" s="407">
        <v>0</v>
      </c>
    </row>
    <row r="11" spans="1:8" ht="13" customHeight="1">
      <c r="A11" s="141" t="s">
        <v>24</v>
      </c>
      <c r="B11" s="407">
        <v>316907</v>
      </c>
      <c r="C11" s="407">
        <v>2504</v>
      </c>
      <c r="D11" s="407">
        <v>17654</v>
      </c>
      <c r="E11" s="407">
        <v>8227</v>
      </c>
      <c r="F11" s="407">
        <v>437</v>
      </c>
      <c r="G11" s="407">
        <v>43</v>
      </c>
      <c r="H11" s="407">
        <v>0</v>
      </c>
    </row>
    <row r="12" spans="1:8" ht="13" customHeight="1">
      <c r="A12" s="141" t="s">
        <v>25</v>
      </c>
      <c r="B12" s="407">
        <v>3667</v>
      </c>
      <c r="C12" s="407">
        <v>1211</v>
      </c>
      <c r="D12" s="407">
        <v>6484</v>
      </c>
      <c r="E12" s="407">
        <v>24659</v>
      </c>
      <c r="F12" s="407">
        <v>296</v>
      </c>
      <c r="G12" s="407">
        <v>0</v>
      </c>
      <c r="H12" s="407">
        <v>0</v>
      </c>
    </row>
    <row r="13" spans="1:8" ht="13" customHeight="1">
      <c r="A13" s="141" t="s">
        <v>26</v>
      </c>
      <c r="B13" s="407">
        <v>2388</v>
      </c>
      <c r="C13" s="407">
        <v>862</v>
      </c>
      <c r="D13" s="407">
        <v>2349</v>
      </c>
      <c r="E13" s="407">
        <v>12584</v>
      </c>
      <c r="F13" s="407">
        <v>170</v>
      </c>
      <c r="G13" s="407">
        <v>0</v>
      </c>
      <c r="H13" s="407">
        <v>0</v>
      </c>
    </row>
    <row r="14" spans="1:8" ht="13" customHeight="1">
      <c r="A14" s="141" t="s">
        <v>27</v>
      </c>
      <c r="B14" s="407">
        <v>623</v>
      </c>
      <c r="C14" s="407">
        <v>288</v>
      </c>
      <c r="D14" s="407">
        <v>2320</v>
      </c>
      <c r="E14" s="407">
        <v>7372</v>
      </c>
      <c r="F14" s="407">
        <v>18</v>
      </c>
      <c r="G14" s="407">
        <v>0</v>
      </c>
      <c r="H14" s="407">
        <v>0</v>
      </c>
    </row>
    <row r="15" spans="1:8" ht="13" customHeight="1">
      <c r="A15" s="141" t="s">
        <v>28</v>
      </c>
      <c r="B15" s="407">
        <v>657</v>
      </c>
      <c r="C15" s="407">
        <v>61</v>
      </c>
      <c r="D15" s="407">
        <v>1815</v>
      </c>
      <c r="E15" s="407">
        <v>4703</v>
      </c>
      <c r="F15" s="407">
        <v>108</v>
      </c>
      <c r="G15" s="407">
        <v>0</v>
      </c>
      <c r="H15" s="407">
        <v>0</v>
      </c>
    </row>
    <row r="16" spans="1:8" ht="13" customHeight="1">
      <c r="A16" s="141" t="s">
        <v>29</v>
      </c>
      <c r="B16" s="407">
        <v>820</v>
      </c>
      <c r="C16" s="407">
        <v>56</v>
      </c>
      <c r="D16" s="407">
        <v>1806</v>
      </c>
      <c r="E16" s="407">
        <v>9172</v>
      </c>
      <c r="F16" s="407">
        <v>60</v>
      </c>
      <c r="G16" s="407">
        <v>0</v>
      </c>
      <c r="H16" s="407">
        <v>0</v>
      </c>
    </row>
    <row r="17" spans="1:8" ht="13" customHeight="1">
      <c r="A17" s="141" t="s">
        <v>30</v>
      </c>
      <c r="B17" s="407">
        <v>38410</v>
      </c>
      <c r="C17" s="407">
        <v>1403</v>
      </c>
      <c r="D17" s="407">
        <v>1593</v>
      </c>
      <c r="E17" s="407">
        <v>9831</v>
      </c>
      <c r="F17" s="407">
        <v>219</v>
      </c>
      <c r="G17" s="407">
        <v>11</v>
      </c>
      <c r="H17" s="407">
        <v>0</v>
      </c>
    </row>
    <row r="18" spans="1:8" ht="13" customHeight="1">
      <c r="A18" s="141" t="s">
        <v>31</v>
      </c>
      <c r="B18" s="407">
        <v>942813</v>
      </c>
      <c r="C18" s="407">
        <v>793</v>
      </c>
      <c r="D18" s="407">
        <v>74813</v>
      </c>
      <c r="E18" s="407">
        <v>21608</v>
      </c>
      <c r="F18" s="407">
        <v>533</v>
      </c>
      <c r="G18" s="407">
        <v>76</v>
      </c>
      <c r="H18" s="407">
        <v>63</v>
      </c>
    </row>
    <row r="19" spans="1:8" ht="13" customHeight="1">
      <c r="A19" s="141" t="s">
        <v>32</v>
      </c>
      <c r="B19" s="407">
        <v>95536</v>
      </c>
      <c r="C19" s="407">
        <v>128</v>
      </c>
      <c r="D19" s="407">
        <v>11484</v>
      </c>
      <c r="E19" s="407">
        <v>1992</v>
      </c>
      <c r="F19" s="407">
        <v>247</v>
      </c>
      <c r="G19" s="407">
        <v>0</v>
      </c>
      <c r="H19" s="407">
        <v>0</v>
      </c>
    </row>
    <row r="20" spans="1:8" ht="13" customHeight="1">
      <c r="A20" s="141" t="s">
        <v>33</v>
      </c>
      <c r="B20" s="407">
        <v>1320</v>
      </c>
      <c r="C20" s="407">
        <v>1799</v>
      </c>
      <c r="D20" s="407">
        <v>8079</v>
      </c>
      <c r="E20" s="407">
        <v>22966</v>
      </c>
      <c r="F20" s="407">
        <v>237</v>
      </c>
      <c r="G20" s="407">
        <v>34</v>
      </c>
      <c r="H20" s="407">
        <v>0</v>
      </c>
    </row>
    <row r="21" spans="1:8" ht="13" customHeight="1">
      <c r="A21" s="141" t="s">
        <v>34</v>
      </c>
      <c r="B21" s="407">
        <v>642</v>
      </c>
      <c r="C21" s="407">
        <v>1338</v>
      </c>
      <c r="D21" s="407">
        <v>1328</v>
      </c>
      <c r="E21" s="407">
        <v>3680</v>
      </c>
      <c r="F21" s="407">
        <v>12</v>
      </c>
      <c r="G21" s="407">
        <v>361</v>
      </c>
      <c r="H21" s="407">
        <v>111</v>
      </c>
    </row>
    <row r="22" spans="1:8" ht="13" customHeight="1">
      <c r="A22" s="141" t="s">
        <v>35</v>
      </c>
      <c r="B22" s="407">
        <v>11237</v>
      </c>
      <c r="C22" s="407">
        <v>3285</v>
      </c>
      <c r="D22" s="407">
        <v>4855</v>
      </c>
      <c r="E22" s="407">
        <v>7969</v>
      </c>
      <c r="F22" s="407">
        <v>44</v>
      </c>
      <c r="G22" s="407">
        <v>281</v>
      </c>
      <c r="H22" s="407">
        <v>240</v>
      </c>
    </row>
    <row r="23" spans="1:8" ht="13" customHeight="1">
      <c r="A23" s="141" t="s">
        <v>36</v>
      </c>
      <c r="B23" s="407">
        <v>1009</v>
      </c>
      <c r="C23" s="407">
        <v>1441</v>
      </c>
      <c r="D23" s="407">
        <v>1633</v>
      </c>
      <c r="E23" s="407">
        <v>3496</v>
      </c>
      <c r="F23" s="407">
        <v>335</v>
      </c>
      <c r="G23" s="407">
        <v>564</v>
      </c>
      <c r="H23" s="407">
        <v>269</v>
      </c>
    </row>
    <row r="24" spans="1:8" ht="13" customHeight="1">
      <c r="A24" s="141" t="s">
        <v>37</v>
      </c>
      <c r="B24" s="407">
        <v>168941</v>
      </c>
      <c r="C24" s="407">
        <v>2148</v>
      </c>
      <c r="D24" s="407">
        <v>11061</v>
      </c>
      <c r="E24" s="407">
        <v>5490</v>
      </c>
      <c r="F24" s="407">
        <v>130</v>
      </c>
      <c r="G24" s="407">
        <v>926</v>
      </c>
      <c r="H24" s="407">
        <v>324</v>
      </c>
    </row>
    <row r="25" spans="1:8" ht="13" customHeight="1">
      <c r="A25" s="141" t="s">
        <v>38</v>
      </c>
      <c r="B25" s="407">
        <v>198</v>
      </c>
      <c r="C25" s="407">
        <v>82</v>
      </c>
      <c r="D25" s="407">
        <v>1163</v>
      </c>
      <c r="E25" s="407">
        <v>749</v>
      </c>
      <c r="F25" s="407">
        <v>10</v>
      </c>
      <c r="G25" s="407">
        <v>127</v>
      </c>
      <c r="H25" s="407">
        <v>59</v>
      </c>
    </row>
    <row r="26" spans="1:8" ht="13" customHeight="1">
      <c r="A26" s="141" t="s">
        <v>39</v>
      </c>
      <c r="B26" s="407">
        <v>20227</v>
      </c>
      <c r="C26" s="407">
        <v>187</v>
      </c>
      <c r="D26" s="407">
        <v>2707</v>
      </c>
      <c r="E26" s="407">
        <v>971</v>
      </c>
      <c r="F26" s="407">
        <v>76</v>
      </c>
      <c r="G26" s="407">
        <v>226</v>
      </c>
      <c r="H26" s="407">
        <v>137</v>
      </c>
    </row>
    <row r="27" spans="1:8" ht="13" customHeight="1">
      <c r="A27" s="141" t="s">
        <v>40</v>
      </c>
      <c r="B27" s="407">
        <v>1104</v>
      </c>
      <c r="C27" s="407">
        <v>1958</v>
      </c>
      <c r="D27" s="407">
        <v>2757</v>
      </c>
      <c r="E27" s="407">
        <v>12261</v>
      </c>
      <c r="F27" s="407">
        <v>341</v>
      </c>
      <c r="G27" s="407">
        <v>1193</v>
      </c>
      <c r="H27" s="407">
        <v>252</v>
      </c>
    </row>
    <row r="28" spans="1:8" ht="13" customHeight="1">
      <c r="A28" s="141" t="s">
        <v>41</v>
      </c>
      <c r="B28" s="407">
        <v>814</v>
      </c>
      <c r="C28" s="407">
        <v>920</v>
      </c>
      <c r="D28" s="407">
        <v>2775</v>
      </c>
      <c r="E28" s="407">
        <v>4670</v>
      </c>
      <c r="F28" s="407">
        <v>195</v>
      </c>
      <c r="G28" s="407">
        <v>556</v>
      </c>
      <c r="H28" s="407">
        <v>284</v>
      </c>
    </row>
    <row r="29" spans="1:8" ht="13" customHeight="1">
      <c r="A29" s="141" t="s">
        <v>42</v>
      </c>
      <c r="B29" s="407">
        <v>495</v>
      </c>
      <c r="C29" s="407">
        <v>498</v>
      </c>
      <c r="D29" s="407">
        <v>948</v>
      </c>
      <c r="E29" s="407">
        <v>2419</v>
      </c>
      <c r="F29" s="407">
        <v>61</v>
      </c>
      <c r="G29" s="407">
        <v>385</v>
      </c>
      <c r="H29" s="407">
        <v>144</v>
      </c>
    </row>
    <row r="30" spans="1:8" ht="13" customHeight="1">
      <c r="A30" s="141" t="s">
        <v>43</v>
      </c>
      <c r="B30" s="407">
        <v>319</v>
      </c>
      <c r="C30" s="407">
        <v>422</v>
      </c>
      <c r="D30" s="407">
        <v>1827</v>
      </c>
      <c r="E30" s="407">
        <v>2251</v>
      </c>
      <c r="F30" s="407">
        <v>134</v>
      </c>
      <c r="G30" s="407">
        <v>170</v>
      </c>
      <c r="H30" s="407">
        <v>140</v>
      </c>
    </row>
    <row r="31" spans="1:8" ht="13" customHeight="1">
      <c r="A31" s="141" t="s">
        <v>44</v>
      </c>
      <c r="B31" s="407">
        <v>4058</v>
      </c>
      <c r="C31" s="407">
        <v>3631</v>
      </c>
      <c r="D31" s="407">
        <v>4946</v>
      </c>
      <c r="E31" s="407">
        <v>10865</v>
      </c>
      <c r="F31" s="407">
        <v>50</v>
      </c>
      <c r="G31" s="407">
        <v>2397</v>
      </c>
      <c r="H31" s="407">
        <v>573</v>
      </c>
    </row>
    <row r="32" spans="1:8" ht="13" customHeight="1">
      <c r="A32" s="141" t="s">
        <v>45</v>
      </c>
      <c r="B32" s="407">
        <v>2686</v>
      </c>
      <c r="C32" s="407">
        <v>8679</v>
      </c>
      <c r="D32" s="407">
        <v>2579</v>
      </c>
      <c r="E32" s="407">
        <v>21025</v>
      </c>
      <c r="F32" s="407">
        <v>0</v>
      </c>
      <c r="G32" s="407">
        <v>5784</v>
      </c>
      <c r="H32" s="407">
        <v>1537</v>
      </c>
    </row>
    <row r="33" spans="1:8" ht="13" customHeight="1">
      <c r="A33" s="141" t="s">
        <v>46</v>
      </c>
      <c r="B33" s="407">
        <v>40421</v>
      </c>
      <c r="C33" s="407">
        <v>71</v>
      </c>
      <c r="D33" s="407">
        <v>3034</v>
      </c>
      <c r="E33" s="407">
        <v>6255</v>
      </c>
      <c r="F33" s="407">
        <v>0</v>
      </c>
      <c r="G33" s="407">
        <v>0</v>
      </c>
      <c r="H33" s="407">
        <v>0</v>
      </c>
    </row>
    <row r="34" spans="1:8" ht="13" customHeight="1">
      <c r="A34" s="141" t="s">
        <v>47</v>
      </c>
      <c r="B34" s="407">
        <v>26873</v>
      </c>
      <c r="C34" s="407">
        <v>29</v>
      </c>
      <c r="D34" s="407">
        <v>2718</v>
      </c>
      <c r="E34" s="407">
        <v>1631</v>
      </c>
      <c r="F34" s="407">
        <v>0.4</v>
      </c>
      <c r="G34" s="407">
        <v>0</v>
      </c>
      <c r="H34" s="407">
        <v>0</v>
      </c>
    </row>
    <row r="35" spans="1:8" ht="13" customHeight="1">
      <c r="A35" s="141" t="s">
        <v>48</v>
      </c>
      <c r="B35" s="407">
        <v>15750</v>
      </c>
      <c r="C35" s="407">
        <v>28</v>
      </c>
      <c r="D35" s="407">
        <v>848</v>
      </c>
      <c r="E35" s="407">
        <v>2026</v>
      </c>
      <c r="F35" s="407">
        <v>0</v>
      </c>
      <c r="G35" s="407">
        <v>0</v>
      </c>
      <c r="H35" s="407">
        <v>0</v>
      </c>
    </row>
    <row r="36" spans="1:8" ht="13" customHeight="1" thickBot="1">
      <c r="A36" s="398" t="s">
        <v>49</v>
      </c>
      <c r="B36" s="405">
        <v>9719</v>
      </c>
      <c r="C36" s="405">
        <v>36</v>
      </c>
      <c r="D36" s="405">
        <v>1050</v>
      </c>
      <c r="E36" s="405">
        <v>2373</v>
      </c>
      <c r="F36" s="405">
        <v>0</v>
      </c>
      <c r="G36" s="405">
        <v>0</v>
      </c>
      <c r="H36" s="405">
        <v>0</v>
      </c>
    </row>
    <row r="37" spans="1:8" ht="10" customHeight="1">
      <c r="A37" s="28" t="s">
        <v>238</v>
      </c>
      <c r="B37" s="363"/>
      <c r="C37" s="391"/>
      <c r="D37" s="391"/>
      <c r="E37" s="363"/>
      <c r="F37" s="391"/>
      <c r="G37" s="391"/>
      <c r="H37" s="298"/>
    </row>
    <row r="38" spans="1:8" ht="10" customHeight="1">
      <c r="A38" s="28" t="s">
        <v>192</v>
      </c>
      <c r="B38" s="392"/>
      <c r="C38" s="392"/>
      <c r="D38" s="392"/>
      <c r="E38" s="392"/>
      <c r="F38" s="392"/>
      <c r="G38" s="392"/>
      <c r="H38" s="145"/>
    </row>
    <row r="39" spans="1:8" ht="10" customHeight="1">
      <c r="A39" s="40" t="s">
        <v>261</v>
      </c>
      <c r="B39" s="367"/>
      <c r="C39" s="367"/>
      <c r="D39" s="367"/>
      <c r="E39" s="367"/>
      <c r="F39" s="367"/>
      <c r="G39" s="367"/>
    </row>
    <row r="40" spans="1:8" ht="13" customHeight="1">
      <c r="A40" s="12"/>
    </row>
  </sheetData>
  <printOptions horizontalCentered="1" verticalCentered="1"/>
  <pageMargins left="0" right="0" top="0" bottom="0" header="0" footer="0"/>
  <pageSetup paperSize="9" orientation="landscape" horizontalDpi="120" verticalDpi="144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theme="9" tint="0.59999389629810485"/>
  </sheetPr>
  <dimension ref="A2:I40"/>
  <sheetViews>
    <sheetView showGridLines="0" zoomScale="150" zoomScaleNormal="150" workbookViewId="0">
      <selection activeCell="A2" sqref="A2:H39"/>
    </sheetView>
  </sheetViews>
  <sheetFormatPr baseColWidth="10" defaultColWidth="7" defaultRowHeight="13" customHeight="1"/>
  <cols>
    <col min="1" max="1" width="12" style="141" customWidth="1"/>
    <col min="2" max="8" width="9" style="141" customWidth="1"/>
    <col min="9" max="9" width="8" style="141" customWidth="1"/>
    <col min="10" max="16384" width="7" style="141"/>
  </cols>
  <sheetData>
    <row r="2" spans="1:9" ht="13" customHeight="1">
      <c r="A2" s="388" t="s">
        <v>310</v>
      </c>
      <c r="B2" s="189"/>
      <c r="C2" s="189"/>
    </row>
    <row r="3" spans="1:9" ht="13" customHeight="1">
      <c r="A3" s="400" t="s">
        <v>311</v>
      </c>
      <c r="B3" s="183"/>
      <c r="C3" s="183"/>
      <c r="D3" s="182"/>
      <c r="E3" s="182"/>
      <c r="F3" s="182"/>
      <c r="G3" s="182"/>
      <c r="H3" s="182"/>
    </row>
    <row r="4" spans="1:9" ht="5" customHeight="1" thickBot="1">
      <c r="A4" s="191"/>
      <c r="B4" s="191"/>
      <c r="C4" s="191"/>
      <c r="D4" s="191"/>
      <c r="E4" s="191"/>
      <c r="F4" s="191"/>
      <c r="G4" s="191"/>
      <c r="H4" s="191"/>
    </row>
    <row r="5" spans="1:9" ht="15" customHeight="1">
      <c r="A5" s="394" t="s">
        <v>18</v>
      </c>
      <c r="B5" s="394" t="s">
        <v>19</v>
      </c>
      <c r="C5" s="394" t="s">
        <v>5</v>
      </c>
      <c r="D5" s="394" t="s">
        <v>6</v>
      </c>
      <c r="E5" s="394" t="s">
        <v>7</v>
      </c>
      <c r="F5" s="394" t="s">
        <v>8</v>
      </c>
      <c r="G5" s="394" t="s">
        <v>9</v>
      </c>
      <c r="H5" s="394" t="s">
        <v>10</v>
      </c>
    </row>
    <row r="6" spans="1:9" ht="15" customHeight="1">
      <c r="A6" s="401" t="s">
        <v>100</v>
      </c>
      <c r="B6" s="408">
        <f>('C 8'!B6/'C 7'!B6)*1000</f>
        <v>2.2420877503607231</v>
      </c>
      <c r="C6" s="408">
        <f>('C 8'!C6/'C 7'!C6)*1000</f>
        <v>12.591894326789141</v>
      </c>
      <c r="D6" s="408">
        <f>('C 8'!D6/'C 7'!D6)*1000</f>
        <v>52.748471887199905</v>
      </c>
      <c r="E6" s="408">
        <f>('C 8'!E6/'C 7'!E6)*1000</f>
        <v>142.15878803331009</v>
      </c>
      <c r="F6" s="408">
        <f>('C 8'!F6/'C 7'!F6)*1000</f>
        <v>12.401796417377687</v>
      </c>
      <c r="G6" s="408">
        <f>('C 8'!G6/'C 7'!G6)*1000</f>
        <v>26.578178383757709</v>
      </c>
      <c r="H6" s="408">
        <f>('C 8'!H6/'C 7'!H6)*1000</f>
        <v>33.241212539943</v>
      </c>
    </row>
    <row r="7" spans="1:9" ht="3" customHeight="1">
      <c r="A7" s="297"/>
      <c r="B7" s="409"/>
      <c r="C7" s="409"/>
      <c r="D7" s="409"/>
      <c r="E7" s="409"/>
      <c r="F7" s="409"/>
      <c r="G7" s="409"/>
      <c r="H7" s="409"/>
    </row>
    <row r="8" spans="1:9" ht="13" customHeight="1">
      <c r="A8" s="141" t="s">
        <v>21</v>
      </c>
      <c r="B8" s="410">
        <f>('C 8'!B8/'C 7'!B8)*1000</f>
        <v>2.2258731252318618</v>
      </c>
      <c r="C8" s="410">
        <f>('C 8'!C8/'C 7'!C8)*1000</f>
        <v>11.220673240394424</v>
      </c>
      <c r="D8" s="410">
        <f>('C 8'!D8/'C 7'!D8)*1000</f>
        <v>54.424988168480837</v>
      </c>
      <c r="E8" s="410">
        <f>'C 8'!E8/'C 7'!E8*1000</f>
        <v>151.88470066518846</v>
      </c>
      <c r="F8" s="410">
        <f>('C 8'!F8/'C 7'!F8)*1000</f>
        <v>9.8491292474369878</v>
      </c>
      <c r="G8" s="410">
        <v>0</v>
      </c>
      <c r="H8" s="410">
        <v>0</v>
      </c>
      <c r="I8" s="301" t="s">
        <v>81</v>
      </c>
    </row>
    <row r="9" spans="1:9" ht="13" customHeight="1">
      <c r="A9" s="141" t="s">
        <v>22</v>
      </c>
      <c r="B9" s="410">
        <f>('C 8'!B9/'C 7'!B9)*1000</f>
        <v>2.2357465660561551</v>
      </c>
      <c r="C9" s="410">
        <f>('C 8'!C9/'C 7'!C9)*1000</f>
        <v>12.384388868151465</v>
      </c>
      <c r="D9" s="410">
        <f>('C 8'!D9/'C 7'!D9)*1000</f>
        <v>51.267382503080448</v>
      </c>
      <c r="E9" s="410">
        <f>('C 8'!E9/'C 7'!E9)*1000</f>
        <v>150.96747202175504</v>
      </c>
      <c r="F9" s="410">
        <f>('C 8'!F9/'C 7'!F9)*1000</f>
        <v>13.753403511780974</v>
      </c>
      <c r="G9" s="410">
        <v>0</v>
      </c>
      <c r="H9" s="410">
        <v>0</v>
      </c>
    </row>
    <row r="10" spans="1:9" ht="13" customHeight="1">
      <c r="A10" s="141" t="s">
        <v>23</v>
      </c>
      <c r="B10" s="410">
        <f>('C 8'!B10/'C 7'!B10)*1000</f>
        <v>2.1820623842347113</v>
      </c>
      <c r="C10" s="410">
        <f>('C 8'!C10/'C 7'!C10)*1000</f>
        <v>16.619019195124249</v>
      </c>
      <c r="D10" s="410">
        <f>('C 8'!D10/'C 7'!D10)*1000</f>
        <v>54.369116067479624</v>
      </c>
      <c r="E10" s="410">
        <f>('C 8'!E10/'C 7'!E10)*1000</f>
        <v>144.5418103850098</v>
      </c>
      <c r="F10" s="410">
        <f>('C 8'!F10/'C 7'!F10)*1000</f>
        <v>13.890946806934361</v>
      </c>
      <c r="G10" s="410">
        <v>0</v>
      </c>
      <c r="H10" s="410">
        <v>0</v>
      </c>
    </row>
    <row r="11" spans="1:9" ht="13" customHeight="1">
      <c r="A11" s="141" t="s">
        <v>24</v>
      </c>
      <c r="B11" s="410">
        <f>('C 8'!B11/'C 7'!B11)*1000</f>
        <v>2.2523756707919129</v>
      </c>
      <c r="C11" s="410">
        <f>('C 8'!C11/'C 7'!C11)*1000</f>
        <v>13.252814370623634</v>
      </c>
      <c r="D11" s="410">
        <f>('C 8'!D11/'C 7'!D11)*1000</f>
        <v>57.026016060572779</v>
      </c>
      <c r="E11" s="410">
        <f>('C 8'!E11/'C 7'!E11)*1000</f>
        <v>141.36953346507434</v>
      </c>
      <c r="F11" s="410">
        <f>('C 8'!F11/'C 7'!F11)*1000</f>
        <v>12.256689291524092</v>
      </c>
      <c r="G11" s="410">
        <f>('C 8'!G11/'C 7'!G11)*1000</f>
        <v>31.22730573710966</v>
      </c>
      <c r="H11" s="410">
        <v>0</v>
      </c>
    </row>
    <row r="12" spans="1:9" ht="13" customHeight="1">
      <c r="A12" s="141" t="s">
        <v>25</v>
      </c>
      <c r="B12" s="410">
        <f>('C 8'!B12/'C 7'!B12)*1000</f>
        <v>2.0731428778185585</v>
      </c>
      <c r="C12" s="410">
        <f>('C 8'!C12/'C 7'!C12)*1000</f>
        <v>12.129407051282051</v>
      </c>
      <c r="D12" s="410">
        <f>('C 8'!D12/'C 7'!D12)*1000</f>
        <v>42.978537244972358</v>
      </c>
      <c r="E12" s="410">
        <f>('C 8'!E12/'C 7'!E12)*1000</f>
        <v>125.38389570240201</v>
      </c>
      <c r="F12" s="410">
        <f>('C 8'!F12/'C 7'!F12)*1000</f>
        <v>10.23371594523579</v>
      </c>
      <c r="G12" s="410">
        <v>0</v>
      </c>
      <c r="H12" s="410">
        <v>0</v>
      </c>
    </row>
    <row r="13" spans="1:9" ht="13" customHeight="1">
      <c r="A13" s="141" t="s">
        <v>26</v>
      </c>
      <c r="B13" s="410">
        <f>('C 8'!B13/'C 7'!B13)*1000</f>
        <v>2.0907680508228239</v>
      </c>
      <c r="C13" s="410">
        <f>('C 8'!C13/'C 7'!C13)*1000</f>
        <v>12.088913820910175</v>
      </c>
      <c r="D13" s="410">
        <f>('C 8'!D13/'C 7'!D13)*1000</f>
        <v>36.164054561689817</v>
      </c>
      <c r="E13" s="410">
        <f>('C 8'!E13/'C 7'!E13)*1000</f>
        <v>113.30812173599857</v>
      </c>
      <c r="F13" s="410">
        <f>('C 8'!F13/'C 7'!F13)*1000</f>
        <v>10.135336552793179</v>
      </c>
      <c r="G13" s="410">
        <v>0</v>
      </c>
      <c r="H13" s="410">
        <v>0</v>
      </c>
    </row>
    <row r="14" spans="1:9" ht="13" customHeight="1">
      <c r="A14" s="141" t="s">
        <v>27</v>
      </c>
      <c r="B14" s="410">
        <f>('C 8'!B14/'C 7'!B14)*1000</f>
        <v>2.0358013476155308</v>
      </c>
      <c r="C14" s="410">
        <f>('C 8'!C14/'C 7'!C14)*1000</f>
        <v>12.821083559631393</v>
      </c>
      <c r="D14" s="410">
        <f>('C 8'!D14/'C 7'!D14)*1000</f>
        <v>47.654260126530275</v>
      </c>
      <c r="E14" s="410">
        <f>('C 8'!E14/'C 7'!E14)*1000</f>
        <v>135.11730205278593</v>
      </c>
      <c r="F14" s="410">
        <f>('C 8'!F14/'C 7'!F14)*1000</f>
        <v>11.605415860735009</v>
      </c>
      <c r="G14" s="410">
        <v>0</v>
      </c>
      <c r="H14" s="410">
        <v>0</v>
      </c>
    </row>
    <row r="15" spans="1:9" ht="13" customHeight="1">
      <c r="A15" s="141" t="s">
        <v>28</v>
      </c>
      <c r="B15" s="410">
        <f>('C 8'!B15/'C 7'!B15)*1000</f>
        <v>2.0491164160111781</v>
      </c>
      <c r="C15" s="410">
        <f>('C 8'!C15/'C 7'!C15)*1000</f>
        <v>10.046113306982871</v>
      </c>
      <c r="D15" s="410">
        <f>('C 8'!D15/'C 7'!D15)*1000</f>
        <v>48.753626302782848</v>
      </c>
      <c r="E15" s="410">
        <f>('C 8'!E15/'C 7'!E15)*1000</f>
        <v>151.47513527441382</v>
      </c>
      <c r="F15" s="410">
        <f>('C 8'!F15/'C 7'!F15)*1000</f>
        <v>10.188679245283019</v>
      </c>
      <c r="G15" s="410">
        <v>0</v>
      </c>
      <c r="H15" s="410">
        <v>0</v>
      </c>
    </row>
    <row r="16" spans="1:9" ht="13" customHeight="1">
      <c r="A16" s="141" t="s">
        <v>29</v>
      </c>
      <c r="B16" s="410">
        <f>('C 8'!B16/'C 7'!B16)*1000</f>
        <v>7.9744816586921843</v>
      </c>
      <c r="C16" s="410">
        <f>('C 8'!C16/'C 7'!C16)*1000</f>
        <v>15.855039637599093</v>
      </c>
      <c r="D16" s="410">
        <f>('C 8'!D16/'C 7'!D16)*1000</f>
        <v>53.052112096821567</v>
      </c>
      <c r="E16" s="410">
        <f>('C 8'!E16/'C 7'!E16)*1000</f>
        <v>147.65446408448437</v>
      </c>
      <c r="F16" s="410">
        <f>('C 8'!F16/'C 7'!F16)*1000</f>
        <v>12.458471760797343</v>
      </c>
      <c r="G16" s="410">
        <v>0</v>
      </c>
      <c r="H16" s="410">
        <v>0</v>
      </c>
    </row>
    <row r="17" spans="1:8" ht="13" customHeight="1">
      <c r="A17" s="141" t="s">
        <v>30</v>
      </c>
      <c r="B17" s="410">
        <f>('C 8'!B17/'C 7'!B17)*1000</f>
        <v>2.2349921094479304</v>
      </c>
      <c r="C17" s="410">
        <f>('C 8'!C17/'C 7'!C17)*1000</f>
        <v>10.578061266803887</v>
      </c>
      <c r="D17" s="410">
        <f>('C 8'!D17/'C 7'!D17)*1000</f>
        <v>32.146100292604174</v>
      </c>
      <c r="E17" s="410">
        <f>('C 8'!E17/'C 7'!E17)*1000</f>
        <v>135.10987727278976</v>
      </c>
      <c r="F17" s="410">
        <f>('C 8'!F17/'C 7'!F17)*1000</f>
        <v>10.678238821980594</v>
      </c>
      <c r="G17" s="410">
        <f>('C 8'!G17/'C 7'!G17)*1000</f>
        <v>28.205128205128204</v>
      </c>
      <c r="H17" s="410">
        <v>0</v>
      </c>
    </row>
    <row r="18" spans="1:8" ht="13" customHeight="1">
      <c r="A18" s="141" t="s">
        <v>31</v>
      </c>
      <c r="B18" s="410">
        <f>('C 8'!B18/'C 7'!B18)*1000</f>
        <v>2.2620392530040352</v>
      </c>
      <c r="C18" s="410">
        <f>('C 8'!C18/'C 7'!C18)*1000</f>
        <v>12.372645998783018</v>
      </c>
      <c r="D18" s="410">
        <f>('C 8'!D18/'C 7'!D18)*1000</f>
        <v>63.484830356089702</v>
      </c>
      <c r="E18" s="410">
        <f>('C 8'!E18/'C 7'!E18)*1000</f>
        <v>190.41072954943999</v>
      </c>
      <c r="F18" s="410">
        <f>('C 8'!F18/'C 7'!F18)*1000</f>
        <v>13.083286285868578</v>
      </c>
      <c r="G18" s="410">
        <f>('C 8'!G18/'C 7'!G18)*1000</f>
        <v>26.845637583892618</v>
      </c>
      <c r="H18" s="410">
        <f>('C 8'!H18/'C 7'!H18)*1000</f>
        <v>31.03448275862069</v>
      </c>
    </row>
    <row r="19" spans="1:8" ht="13" customHeight="1">
      <c r="A19" s="141" t="s">
        <v>32</v>
      </c>
      <c r="B19" s="410">
        <f>('C 8'!B19/'C 7'!B19)*1000</f>
        <v>2.1019457783531443</v>
      </c>
      <c r="C19" s="410">
        <f>('C 8'!C19/'C 7'!C19)*1000</f>
        <v>14.153029632905795</v>
      </c>
      <c r="D19" s="410">
        <f>('C 8'!D19/'C 7'!D19)*1000</f>
        <v>54.149377593360995</v>
      </c>
      <c r="E19" s="410">
        <f>('C 8'!E19/'C 7'!E19)*1000</f>
        <v>152.5501608209527</v>
      </c>
      <c r="F19" s="410">
        <f>('C 8'!F19/'C 7'!F19)*1000</f>
        <v>14.225652249035305</v>
      </c>
      <c r="G19" s="410">
        <v>0</v>
      </c>
      <c r="H19" s="410">
        <v>0</v>
      </c>
    </row>
    <row r="20" spans="1:8" ht="13" customHeight="1">
      <c r="A20" s="141" t="s">
        <v>33</v>
      </c>
      <c r="B20" s="410">
        <f>('C 8'!B20/'C 7'!B20)*1000</f>
        <v>2.0431222622935592</v>
      </c>
      <c r="C20" s="410">
        <f>('C 8'!C20/'C 7'!C20)*1000</f>
        <v>11.425922044598568</v>
      </c>
      <c r="D20" s="410">
        <f>('C 8'!D20/'C 7'!D20)*1000</f>
        <v>38.76233063370821</v>
      </c>
      <c r="E20" s="410">
        <f>('C 8'!E20/'C 7'!E20)*1000</f>
        <v>153.87501591279121</v>
      </c>
      <c r="F20" s="410">
        <f>('C 8'!F20/'C 7'!F20)*1000</f>
        <v>10.159900544433489</v>
      </c>
      <c r="G20" s="410">
        <f>('C 8'!G20/'C 7'!G20)*1000</f>
        <v>27.070063694267517</v>
      </c>
      <c r="H20" s="410">
        <v>0</v>
      </c>
    </row>
    <row r="21" spans="1:8" ht="13" customHeight="1">
      <c r="A21" s="141" t="s">
        <v>34</v>
      </c>
      <c r="B21" s="410">
        <f>('C 8'!B21/'C 7'!B21)*1000</f>
        <v>2.1394009677290358</v>
      </c>
      <c r="C21" s="410">
        <f>('C 8'!C21/'C 7'!C21)*1000</f>
        <v>12.49078128063182</v>
      </c>
      <c r="D21" s="410">
        <f>('C 8'!D21/'C 7'!D21)*1000</f>
        <v>36.656729601413275</v>
      </c>
      <c r="E21" s="410">
        <f>('C 8'!E21/'C 7'!E21)*1000</f>
        <v>158.4635921284933</v>
      </c>
      <c r="F21" s="410">
        <f>('C 8'!F21/'C 7'!F21)*1000</f>
        <v>11.3314447592068</v>
      </c>
      <c r="G21" s="410">
        <f>('C 8'!G21/'C 7'!G21)*1000</f>
        <v>22.992166104069803</v>
      </c>
      <c r="H21" s="410">
        <f>('C 8'!H21/'C 7'!H21)*1000</f>
        <v>28.966597077244259</v>
      </c>
    </row>
    <row r="22" spans="1:8" ht="13" customHeight="1">
      <c r="A22" s="141" t="s">
        <v>35</v>
      </c>
      <c r="B22" s="410">
        <f>('C 8'!B22/'C 7'!B22)*1000</f>
        <v>2.1899126042264516</v>
      </c>
      <c r="C22" s="410">
        <f>('C 8'!C22/'C 7'!C22)*1000</f>
        <v>10.810650712318218</v>
      </c>
      <c r="D22" s="410">
        <f>('C 8'!D22/'C 7'!D22)*1000</f>
        <v>42.449572006889859</v>
      </c>
      <c r="E22" s="410">
        <f>('C 8'!E22/'C 7'!E22)*1000</f>
        <v>130.41912835703647</v>
      </c>
      <c r="F22" s="410">
        <f>('C 8'!F22/'C 7'!F22)*1000</f>
        <v>12.273361227336123</v>
      </c>
      <c r="G22" s="410">
        <f>('C 8'!G22/'C 7'!G22)*1000</f>
        <v>22.0374872559015</v>
      </c>
      <c r="H22" s="410">
        <f>('C 8'!H22/'C 7'!H22)*1000</f>
        <v>27.790643816581749</v>
      </c>
    </row>
    <row r="23" spans="1:8" ht="13" customHeight="1">
      <c r="A23" s="141" t="s">
        <v>36</v>
      </c>
      <c r="B23" s="410">
        <f>('C 8'!B23/'C 7'!B23)*1000</f>
        <v>1.9840099416791528</v>
      </c>
      <c r="C23" s="410">
        <f>('C 8'!C23/'C 7'!C23)*1000</f>
        <v>12.998024588907029</v>
      </c>
      <c r="D23" s="410">
        <f>('C 8'!D23/'C 7'!D23)*1000</f>
        <v>36.746174617461747</v>
      </c>
      <c r="E23" s="410">
        <f>('C 8'!E23/'C 7'!E23)*1000</f>
        <v>117.58770307086878</v>
      </c>
      <c r="F23" s="410">
        <f>('C 8'!F23/'C 7'!F23)*1000</f>
        <v>13.021339448828078</v>
      </c>
      <c r="G23" s="410">
        <f>('C 8'!G23/'C 7'!G23)*1000</f>
        <v>25.236028457649109</v>
      </c>
      <c r="H23" s="410">
        <f>('C 8'!H23/'C 7'!H23)*1000</f>
        <v>34.054943663754905</v>
      </c>
    </row>
    <row r="24" spans="1:8" ht="13" customHeight="1">
      <c r="A24" s="141" t="s">
        <v>37</v>
      </c>
      <c r="B24" s="410">
        <f>('C 8'!B24/'C 7'!B24)*1000</f>
        <v>2.2414992136423093</v>
      </c>
      <c r="C24" s="410">
        <f>('C 8'!C24/'C 7'!C24)*1000</f>
        <v>14.631454903376543</v>
      </c>
      <c r="D24" s="410">
        <f>('C 8'!D24/'C 7'!D24)*1000</f>
        <v>55.711695376246603</v>
      </c>
      <c r="E24" s="410">
        <f>('C 8'!E24/'C 7'!E24)*1000</f>
        <v>156.42808297241851</v>
      </c>
      <c r="F24" s="410">
        <f>('C 8'!F24/'C 7'!F24)*1000</f>
        <v>12.578616352201259</v>
      </c>
      <c r="G24" s="410">
        <f>('C 8'!G24/'C 7'!G24)*1000</f>
        <v>24.635521975098438</v>
      </c>
      <c r="H24" s="410">
        <f>('C 8'!H24/'C 7'!H24)*1000</f>
        <v>34.545260688772792</v>
      </c>
    </row>
    <row r="25" spans="1:8" ht="13" customHeight="1">
      <c r="A25" s="141" t="s">
        <v>38</v>
      </c>
      <c r="B25" s="410">
        <f>('C 8'!B25/'C 7'!B25)*1000</f>
        <v>2.0720400175809455</v>
      </c>
      <c r="C25" s="410">
        <f>('C 8'!C25/'C 7'!C25)*1000</f>
        <v>20.332258864368956</v>
      </c>
      <c r="D25" s="410">
        <f>('C 8'!D25/'C 7'!D25)*1000</f>
        <v>44.711852677713274</v>
      </c>
      <c r="E25" s="410">
        <f>('C 8'!E25/'C 7'!E25)*1000</f>
        <v>214.30615164520745</v>
      </c>
      <c r="F25" s="410">
        <f>('C 8'!F25/'C 7'!F25)*1000</f>
        <v>14.513788098693759</v>
      </c>
      <c r="G25" s="410">
        <f>('C 8'!G25/'C 7'!G25)*1000</f>
        <v>30.84770463930046</v>
      </c>
      <c r="H25" s="410">
        <f>('C 8'!H25/'C 7'!H25)*1000</f>
        <v>43.606799704360682</v>
      </c>
    </row>
    <row r="26" spans="1:8" ht="13" customHeight="1">
      <c r="A26" s="141" t="s">
        <v>39</v>
      </c>
      <c r="B26" s="410">
        <f>('C 8'!B26/'C 7'!B26)*1000</f>
        <v>2.2762368168560587</v>
      </c>
      <c r="C26" s="410">
        <f>('C 8'!C26/'C 7'!C26)*1000</f>
        <v>23.046586147399555</v>
      </c>
      <c r="D26" s="410">
        <f>('C 8'!D26/'C 7'!D26)*1000</f>
        <v>39.299661735456802</v>
      </c>
      <c r="E26" s="410">
        <f>('C 8'!E26/'C 7'!E26)*1000</f>
        <v>192.65873015873018</v>
      </c>
      <c r="F26" s="410">
        <f>('C 8'!F26/'C 7'!F26)*1000</f>
        <v>14.224218603780647</v>
      </c>
      <c r="G26" s="410">
        <f>('C 8'!G26/'C 7'!G26)*1000</f>
        <v>28.406234288587228</v>
      </c>
      <c r="H26" s="410">
        <f>('C 8'!H26/'C 7'!H26)*1000</f>
        <v>29.462365591397848</v>
      </c>
    </row>
    <row r="27" spans="1:8" ht="13" customHeight="1">
      <c r="A27" s="141" t="s">
        <v>40</v>
      </c>
      <c r="B27" s="410">
        <f>('C 8'!B27/'C 7'!B27)*1000</f>
        <v>2.0275109731685368</v>
      </c>
      <c r="C27" s="410">
        <f>('C 8'!C27/'C 7'!C27)*1000</f>
        <v>11.780490593055648</v>
      </c>
      <c r="D27" s="410">
        <f>('C 8'!D27/'C 7'!D27)*1000</f>
        <v>44.24011938574111</v>
      </c>
      <c r="E27" s="410">
        <f>('C 8'!E27/'C 7'!E27)*1000</f>
        <v>126.18741316317606</v>
      </c>
      <c r="F27" s="410">
        <f>('C 8'!F27/'C 7'!F27)*1000</f>
        <v>12.071651090342678</v>
      </c>
      <c r="G27" s="410">
        <f>('C 8'!G27/'C 7'!G27)*1000</f>
        <v>26.640762823518905</v>
      </c>
      <c r="H27" s="410">
        <f>('C 8'!H27/'C 7'!H27)*1000</f>
        <v>29.818956336528224</v>
      </c>
    </row>
    <row r="28" spans="1:8" ht="13" customHeight="1">
      <c r="A28" s="141" t="s">
        <v>41</v>
      </c>
      <c r="B28" s="410">
        <f>('C 8'!B28/'C 7'!B28)*1000</f>
        <v>2.0066164108682685</v>
      </c>
      <c r="C28" s="410">
        <f>('C 8'!C28/'C 7'!C28)*1000</f>
        <v>11.604293588627792</v>
      </c>
      <c r="D28" s="410">
        <f>('C 8'!D28/'C 7'!D28)*1000</f>
        <v>38.896598124553215</v>
      </c>
      <c r="E28" s="410">
        <f>('C 8'!E28/'C 7'!E28)*1000</f>
        <v>109.89269578313252</v>
      </c>
      <c r="F28" s="410">
        <f>('C 8'!F28/'C 7'!F28)*1000</f>
        <v>10.603588907014682</v>
      </c>
      <c r="G28" s="410">
        <f>('C 8'!G28/'C 7'!G28)*1000</f>
        <v>24.321959755030623</v>
      </c>
      <c r="H28" s="410">
        <f>('C 8'!H28/'C 7'!H28)*1000</f>
        <v>28.620376902146528</v>
      </c>
    </row>
    <row r="29" spans="1:8" ht="13" customHeight="1">
      <c r="A29" s="141" t="s">
        <v>42</v>
      </c>
      <c r="B29" s="410">
        <f>('C 8'!B29/'C 7'!B29)*1000</f>
        <v>2.0156856996261818</v>
      </c>
      <c r="C29" s="410">
        <f>('C 8'!C29/'C 7'!C29)*1000</f>
        <v>12.303891290920321</v>
      </c>
      <c r="D29" s="410">
        <f>('C 8'!D29/'C 7'!D29)*1000</f>
        <v>36.598077442767249</v>
      </c>
      <c r="E29" s="410">
        <f>('C 8'!E29/'C 7'!E29)*1000</f>
        <v>113.14841667056457</v>
      </c>
      <c r="F29" s="410">
        <f>('C 8'!F29/'C 7'!F29)*1000</f>
        <v>10.684883517253459</v>
      </c>
      <c r="G29" s="410">
        <f>('C 8'!G29/'C 7'!G29)*1000</f>
        <v>24.890095681406777</v>
      </c>
      <c r="H29" s="410">
        <f>('C 8'!H29/'C 7'!H29)*1000</f>
        <v>30.347734457323501</v>
      </c>
    </row>
    <row r="30" spans="1:8" ht="13" customHeight="1">
      <c r="A30" s="141" t="s">
        <v>43</v>
      </c>
      <c r="B30" s="410">
        <f>('C 8'!B30/'C 7'!B30)*1000</f>
        <v>1.9927038304889932</v>
      </c>
      <c r="C30" s="410">
        <f>('C 8'!C30/'C 7'!C30)*1000</f>
        <v>10.874607019533062</v>
      </c>
      <c r="D30" s="410">
        <f>('C 8'!D30/'C 7'!D30)*1000</f>
        <v>40.206866197183096</v>
      </c>
      <c r="E30" s="410">
        <f>('C 8'!E30/'C 7'!E30)*1000</f>
        <v>106.59658095373396</v>
      </c>
      <c r="F30" s="410">
        <f>('C 8'!F30/'C 7'!F30)*1000</f>
        <v>10.566989985016955</v>
      </c>
      <c r="G30" s="410">
        <f>('C 8'!G30/'C 7'!G30)*1000</f>
        <v>22.997835497835496</v>
      </c>
      <c r="H30" s="410">
        <f>('C 8'!H30/'C 7'!H30)*1000</f>
        <v>27.037466203167245</v>
      </c>
    </row>
    <row r="31" spans="1:8" ht="13" customHeight="1">
      <c r="A31" s="141" t="s">
        <v>44</v>
      </c>
      <c r="B31" s="410">
        <f>('C 8'!B31/'C 7'!B31)*1000</f>
        <v>2.1363280532302618</v>
      </c>
      <c r="C31" s="410">
        <f>('C 8'!C31/'C 7'!C31)*1000</f>
        <v>11.987494181228726</v>
      </c>
      <c r="D31" s="410">
        <f>('C 8'!D31/'C 7'!D31)*1000</f>
        <v>41.064045298307953</v>
      </c>
      <c r="E31" s="410">
        <f>('C 8'!E31/'C 7'!E31)*1000</f>
        <v>148.83357762222434</v>
      </c>
      <c r="F31" s="410">
        <f>('C 8'!F31/'C 7'!F31)*1000</f>
        <v>12.81722635221738</v>
      </c>
      <c r="G31" s="410">
        <f>('C 8'!G31/'C 7'!G31)*1000</f>
        <v>26.595803699224426</v>
      </c>
      <c r="H31" s="410">
        <f>('C 8'!H31/'C 7'!H31)*1000</f>
        <v>29.071537290715373</v>
      </c>
    </row>
    <row r="32" spans="1:8" ht="13" customHeight="1">
      <c r="A32" s="141" t="s">
        <v>45</v>
      </c>
      <c r="B32" s="410">
        <f>('C 8'!B32/'C 7'!B32)*1000</f>
        <v>1.9828146223350853</v>
      </c>
      <c r="C32" s="410">
        <f>('C 8'!C32/'C 7'!C32)*1000</f>
        <v>13.793377462393618</v>
      </c>
      <c r="D32" s="410">
        <f>('C 8'!D32/'C 7'!D32)*1000</f>
        <v>33.432719730360382</v>
      </c>
      <c r="E32" s="410">
        <f>('C 8'!E32/'C 7'!E32)*1000</f>
        <v>143.66245302357365</v>
      </c>
      <c r="F32" s="410">
        <v>0</v>
      </c>
      <c r="G32" s="410">
        <f>('C 8'!G32/'C 7'!G32)*1000</f>
        <v>27.64831571852638</v>
      </c>
      <c r="H32" s="410">
        <f>('C 8'!H32/'C 7'!H32)*1000</f>
        <v>38.495253838254811</v>
      </c>
    </row>
    <row r="33" spans="1:8" ht="13" customHeight="1">
      <c r="A33" s="141" t="s">
        <v>46</v>
      </c>
      <c r="B33" s="410">
        <f>('C 8'!B33/'C 7'!B33)*1000</f>
        <v>2.1950136085304743</v>
      </c>
      <c r="C33" s="410">
        <f>('C 8'!C33/'C 7'!C33)*1000</f>
        <v>10.358914502480305</v>
      </c>
      <c r="D33" s="410">
        <f>('C 8'!D33/'C 7'!D33)*1000</f>
        <v>42.905830611061617</v>
      </c>
      <c r="E33" s="410">
        <f>('C 8'!E33/'C 7'!E33)*1000</f>
        <v>110.34470592386127</v>
      </c>
      <c r="F33" s="410">
        <v>0</v>
      </c>
      <c r="G33" s="410">
        <v>0</v>
      </c>
      <c r="H33" s="410">
        <v>0</v>
      </c>
    </row>
    <row r="34" spans="1:8" ht="13" customHeight="1">
      <c r="A34" s="141" t="s">
        <v>47</v>
      </c>
      <c r="B34" s="410">
        <f>('C 8'!B34/'C 7'!B34)*1000</f>
        <v>2.2314166660162207</v>
      </c>
      <c r="C34" s="410">
        <f>('C 8'!C34/'C 7'!C34)*1000</f>
        <v>12.293344637558286</v>
      </c>
      <c r="D34" s="410">
        <f>('C 8'!D34/'C 7'!D34)*1000</f>
        <v>45.058187725871164</v>
      </c>
      <c r="E34" s="410">
        <f>('C 8'!E34/'C 7'!E34)*1000</f>
        <v>117.14429361488185</v>
      </c>
      <c r="F34" s="410">
        <v>0</v>
      </c>
      <c r="G34" s="410">
        <v>0</v>
      </c>
      <c r="H34" s="410">
        <v>0</v>
      </c>
    </row>
    <row r="35" spans="1:8" ht="13" customHeight="1">
      <c r="A35" s="141" t="s">
        <v>48</v>
      </c>
      <c r="B35" s="410">
        <f>('C 8'!B35/'C 7'!B35)*1000</f>
        <v>2.1492616501580626</v>
      </c>
      <c r="C35" s="410">
        <f>('C 8'!C35/'C 7'!C35)*1000</f>
        <v>12.237762237762238</v>
      </c>
      <c r="D35" s="410">
        <f>('C 8'!D35/'C 7'!D35)*1000</f>
        <v>39.008234049404294</v>
      </c>
      <c r="E35" s="410">
        <f>('C 8'!E35/'C 7'!E35)*1000</f>
        <v>128.21161878243259</v>
      </c>
      <c r="F35" s="410">
        <v>0</v>
      </c>
      <c r="G35" s="410">
        <v>0</v>
      </c>
      <c r="H35" s="410">
        <v>0</v>
      </c>
    </row>
    <row r="36" spans="1:8" ht="13" customHeight="1" thickBot="1">
      <c r="A36" s="398" t="s">
        <v>49</v>
      </c>
      <c r="B36" s="411">
        <f>('C 8'!B36/'C 7'!B36)*1000</f>
        <v>2.2453785954589707</v>
      </c>
      <c r="C36" s="411">
        <f>('C 8'!C36/'C 7'!C36)*1000</f>
        <v>17.374517374517374</v>
      </c>
      <c r="D36" s="411">
        <f>('C 8'!D36/'C 7'!D36)*1000</f>
        <v>59.941770851173146</v>
      </c>
      <c r="E36" s="411">
        <f>('C 8'!E36/'C 7'!E36)*1000</f>
        <v>161.94635910735002</v>
      </c>
      <c r="F36" s="411">
        <v>0</v>
      </c>
      <c r="G36" s="411">
        <v>0</v>
      </c>
      <c r="H36" s="411">
        <v>0</v>
      </c>
    </row>
    <row r="37" spans="1:8" ht="10" customHeight="1">
      <c r="A37" s="28" t="s">
        <v>238</v>
      </c>
      <c r="B37" s="392"/>
      <c r="C37" s="392"/>
      <c r="D37" s="392"/>
      <c r="E37" s="392"/>
      <c r="F37" s="392"/>
      <c r="G37" s="392"/>
      <c r="H37" s="298"/>
    </row>
    <row r="38" spans="1:8" ht="10" customHeight="1">
      <c r="A38" s="28" t="s">
        <v>192</v>
      </c>
      <c r="B38" s="367"/>
      <c r="C38" s="367"/>
      <c r="D38" s="367"/>
      <c r="E38" s="367"/>
      <c r="F38" s="367"/>
      <c r="G38" s="367"/>
      <c r="H38" s="145"/>
    </row>
    <row r="39" spans="1:8" ht="10" customHeight="1">
      <c r="A39" s="40" t="s">
        <v>261</v>
      </c>
      <c r="B39" s="365"/>
      <c r="C39" s="365"/>
      <c r="D39" s="365"/>
      <c r="E39" s="365"/>
      <c r="F39" s="365"/>
      <c r="G39" s="365"/>
    </row>
    <row r="40" spans="1:8" ht="13" customHeight="1">
      <c r="A40" s="12"/>
    </row>
  </sheetData>
  <printOptions horizontalCentered="1" verticalCentered="1"/>
  <pageMargins left="0" right="0" top="0" bottom="0" header="0" footer="0"/>
  <pageSetup paperSize="9" orientation="portrait" copies="9"/>
  <headerFooter scaleWithDoc="0"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theme="9" tint="0.59999389629810485"/>
  </sheetPr>
  <dimension ref="A2:F45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2" style="141" customWidth="1"/>
    <col min="2" max="6" width="14" style="141" customWidth="1"/>
    <col min="7" max="16384" width="7" style="141"/>
  </cols>
  <sheetData>
    <row r="2" spans="1:6" ht="13" customHeight="1">
      <c r="A2" s="388" t="s">
        <v>323</v>
      </c>
    </row>
    <row r="3" spans="1:6" ht="13" customHeight="1">
      <c r="A3" s="389" t="s">
        <v>312</v>
      </c>
    </row>
    <row r="4" spans="1:6" ht="5" customHeight="1" thickBot="1">
      <c r="A4" s="191"/>
      <c r="B4" s="191"/>
      <c r="C4" s="191"/>
      <c r="D4" s="191"/>
      <c r="E4" s="191"/>
      <c r="F4" s="191"/>
    </row>
    <row r="5" spans="1:6" ht="15" customHeight="1">
      <c r="A5" s="394" t="s">
        <v>18</v>
      </c>
      <c r="B5" s="394" t="s">
        <v>206</v>
      </c>
      <c r="C5" s="394" t="s">
        <v>82</v>
      </c>
      <c r="D5" s="395" t="s">
        <v>77</v>
      </c>
      <c r="E5" s="395" t="s">
        <v>83</v>
      </c>
      <c r="F5" s="395" t="s">
        <v>84</v>
      </c>
    </row>
    <row r="6" spans="1:6" ht="15" customHeight="1">
      <c r="A6" s="401" t="s">
        <v>100</v>
      </c>
      <c r="B6" s="417">
        <f>(B8+B9+B10+B11+B12+B16++B17+B18+B19+B20+B21+B22+B23+B24+B25+B26+B27+B28+B31+B32+B33+B34+B35+B36)</f>
        <v>29468987</v>
      </c>
      <c r="C6" s="417">
        <f>(C8+C9+C10+C11+C12+C16++C17+C18+C19+C20+C21+C22+C23+C24+C25+C26+C27+C28+C31+C32+C33+C34+C35+C36)</f>
        <v>905818</v>
      </c>
      <c r="D6" s="417">
        <f>(D8+D9+D10+D11+D12+D16++D17+D18+D19+D20+D21+D22+D23+D24+D25+D26+D27+D28+D31+D32+D33+D34+D35+D36)</f>
        <v>2254980</v>
      </c>
      <c r="E6" s="417">
        <f>(E8+E9+E10+E11+E12+E16++E17+E18+E19+E20+E21+E22+E23+E24+E25+E26+E27+E28+E31+E32+E33+E34+E35+E36)</f>
        <v>340347</v>
      </c>
      <c r="F6" s="417">
        <f>(F8+F9+F10+F11+F12+F16++F17+F18+F19+F20+F21+F22+F23+F24+F25+F26+F27+F28+F31+F32+F33+F34+F35+F36)</f>
        <v>4304515</v>
      </c>
    </row>
    <row r="7" spans="1:6" ht="3" customHeight="1">
      <c r="A7" s="297"/>
      <c r="B7" s="418"/>
      <c r="C7" s="418"/>
      <c r="D7" s="418"/>
      <c r="E7" s="418"/>
      <c r="F7" s="418"/>
    </row>
    <row r="8" spans="1:6" ht="13" customHeight="1">
      <c r="A8" s="141" t="s">
        <v>21</v>
      </c>
      <c r="B8" s="419">
        <v>15503</v>
      </c>
      <c r="C8" s="419">
        <v>362</v>
      </c>
      <c r="D8" s="419">
        <v>0</v>
      </c>
      <c r="E8" s="420">
        <v>0</v>
      </c>
      <c r="F8" s="420">
        <v>0</v>
      </c>
    </row>
    <row r="9" spans="1:6" ht="13" customHeight="1">
      <c r="A9" s="141" t="s">
        <v>22</v>
      </c>
      <c r="B9" s="421">
        <v>394729</v>
      </c>
      <c r="C9" s="421">
        <v>24072</v>
      </c>
      <c r="D9" s="421">
        <v>53</v>
      </c>
      <c r="E9" s="422">
        <v>0</v>
      </c>
      <c r="F9" s="422">
        <v>18515</v>
      </c>
    </row>
    <row r="10" spans="1:6" ht="13" customHeight="1">
      <c r="A10" s="141" t="s">
        <v>23</v>
      </c>
      <c r="B10" s="421">
        <v>498472</v>
      </c>
      <c r="C10" s="421">
        <v>17837</v>
      </c>
      <c r="D10" s="421">
        <v>0</v>
      </c>
      <c r="E10" s="422">
        <v>0</v>
      </c>
      <c r="F10" s="422">
        <v>0</v>
      </c>
    </row>
    <row r="11" spans="1:6" ht="13" customHeight="1">
      <c r="A11" s="141" t="s">
        <v>24</v>
      </c>
      <c r="B11" s="421">
        <v>4838790</v>
      </c>
      <c r="C11" s="421">
        <v>48823</v>
      </c>
      <c r="D11" s="421">
        <v>6520</v>
      </c>
      <c r="E11" s="422">
        <v>0</v>
      </c>
      <c r="F11" s="422">
        <v>249612</v>
      </c>
    </row>
    <row r="12" spans="1:6" ht="13" customHeight="1">
      <c r="A12" s="141" t="s">
        <v>25</v>
      </c>
      <c r="B12" s="421">
        <v>429010</v>
      </c>
      <c r="C12" s="421">
        <v>164222</v>
      </c>
      <c r="D12" s="421">
        <v>0</v>
      </c>
      <c r="E12" s="422">
        <v>0</v>
      </c>
      <c r="F12" s="422">
        <v>165750</v>
      </c>
    </row>
    <row r="13" spans="1:6" ht="13" customHeight="1">
      <c r="A13" s="141" t="s">
        <v>26</v>
      </c>
      <c r="B13" s="421">
        <v>209563</v>
      </c>
      <c r="C13" s="421">
        <v>97194</v>
      </c>
      <c r="D13" s="421">
        <v>0</v>
      </c>
      <c r="E13" s="422">
        <v>0</v>
      </c>
      <c r="F13" s="422">
        <v>126012</v>
      </c>
    </row>
    <row r="14" spans="1:6" ht="13" customHeight="1">
      <c r="A14" s="141" t="s">
        <v>27</v>
      </c>
      <c r="B14" s="421">
        <v>145201</v>
      </c>
      <c r="C14" s="421">
        <v>61574</v>
      </c>
      <c r="D14" s="421">
        <v>0</v>
      </c>
      <c r="E14" s="422">
        <v>0</v>
      </c>
      <c r="F14" s="422">
        <v>39738</v>
      </c>
    </row>
    <row r="15" spans="1:6" ht="13" customHeight="1">
      <c r="A15" s="141" t="s">
        <v>28</v>
      </c>
      <c r="B15" s="421">
        <v>74246</v>
      </c>
      <c r="C15" s="421">
        <v>5454</v>
      </c>
      <c r="D15" s="421">
        <v>0</v>
      </c>
      <c r="E15" s="422">
        <v>0</v>
      </c>
      <c r="F15" s="422">
        <v>0</v>
      </c>
    </row>
    <row r="16" spans="1:6" ht="13" customHeight="1">
      <c r="A16" s="141" t="s">
        <v>29</v>
      </c>
      <c r="B16" s="421">
        <v>137753</v>
      </c>
      <c r="C16" s="421">
        <v>79623</v>
      </c>
      <c r="D16" s="421">
        <v>0</v>
      </c>
      <c r="E16" s="422">
        <v>0</v>
      </c>
      <c r="F16" s="422">
        <v>5255</v>
      </c>
    </row>
    <row r="17" spans="1:6" ht="13" customHeight="1">
      <c r="A17" s="141" t="s">
        <v>30</v>
      </c>
      <c r="B17" s="421">
        <v>206001</v>
      </c>
      <c r="C17" s="421">
        <v>14847</v>
      </c>
      <c r="D17" s="421">
        <v>0</v>
      </c>
      <c r="E17" s="422">
        <v>0</v>
      </c>
      <c r="F17" s="422">
        <v>7076</v>
      </c>
    </row>
    <row r="18" spans="1:6" ht="13" customHeight="1">
      <c r="A18" s="141" t="s">
        <v>31</v>
      </c>
      <c r="B18" s="421">
        <v>7383051</v>
      </c>
      <c r="C18" s="421">
        <v>71092</v>
      </c>
      <c r="D18" s="421">
        <v>18461</v>
      </c>
      <c r="E18" s="422">
        <v>1325</v>
      </c>
      <c r="F18" s="422">
        <v>91432</v>
      </c>
    </row>
    <row r="19" spans="1:6" ht="13" customHeight="1">
      <c r="A19" s="141" t="s">
        <v>32</v>
      </c>
      <c r="B19" s="421">
        <v>10940573</v>
      </c>
      <c r="C19" s="421">
        <v>12537</v>
      </c>
      <c r="D19" s="421">
        <v>0</v>
      </c>
      <c r="E19" s="422">
        <v>0</v>
      </c>
      <c r="F19" s="422">
        <v>0</v>
      </c>
    </row>
    <row r="20" spans="1:6" ht="13" customHeight="1">
      <c r="A20" s="141" t="s">
        <v>33</v>
      </c>
      <c r="B20" s="421">
        <v>202676</v>
      </c>
      <c r="C20" s="421">
        <v>34916</v>
      </c>
      <c r="D20" s="421">
        <v>1457</v>
      </c>
      <c r="E20" s="422">
        <v>0</v>
      </c>
      <c r="F20" s="422">
        <v>140446</v>
      </c>
    </row>
    <row r="21" spans="1:6" ht="13" customHeight="1">
      <c r="A21" s="141" t="s">
        <v>34</v>
      </c>
      <c r="B21" s="421">
        <v>38809</v>
      </c>
      <c r="C21" s="421">
        <v>29614</v>
      </c>
      <c r="D21" s="421">
        <v>85162</v>
      </c>
      <c r="E21" s="422">
        <v>8496</v>
      </c>
      <c r="F21" s="422">
        <v>367427</v>
      </c>
    </row>
    <row r="22" spans="1:6" ht="13" customHeight="1">
      <c r="A22" s="141" t="s">
        <v>35</v>
      </c>
      <c r="B22" s="421">
        <v>170103</v>
      </c>
      <c r="C22" s="421">
        <v>40669</v>
      </c>
      <c r="D22" s="421">
        <v>55889</v>
      </c>
      <c r="E22" s="422">
        <v>33535</v>
      </c>
      <c r="F22" s="422">
        <v>723937</v>
      </c>
    </row>
    <row r="23" spans="1:6" ht="13" customHeight="1">
      <c r="A23" s="141" t="s">
        <v>36</v>
      </c>
      <c r="B23" s="421">
        <v>142818</v>
      </c>
      <c r="C23" s="421">
        <v>12120</v>
      </c>
      <c r="D23" s="421">
        <v>57877</v>
      </c>
      <c r="E23" s="422">
        <v>7123</v>
      </c>
      <c r="F23" s="422">
        <v>149074</v>
      </c>
    </row>
    <row r="24" spans="1:6" ht="13" customHeight="1">
      <c r="A24" s="141" t="s">
        <v>37</v>
      </c>
      <c r="B24" s="421">
        <v>1050334</v>
      </c>
      <c r="C24" s="421">
        <v>75737</v>
      </c>
      <c r="D24" s="421">
        <v>94709</v>
      </c>
      <c r="E24" s="422">
        <v>17224</v>
      </c>
      <c r="F24" s="422">
        <v>35281</v>
      </c>
    </row>
    <row r="25" spans="1:6" ht="13" customHeight="1">
      <c r="A25" s="141" t="s">
        <v>38</v>
      </c>
      <c r="B25" s="421">
        <v>33140</v>
      </c>
      <c r="C25" s="421">
        <v>5671</v>
      </c>
      <c r="D25" s="421">
        <v>37844</v>
      </c>
      <c r="E25" s="422">
        <v>2596</v>
      </c>
      <c r="F25" s="422">
        <v>2550</v>
      </c>
    </row>
    <row r="26" spans="1:6" ht="13" customHeight="1">
      <c r="A26" s="141" t="s">
        <v>39</v>
      </c>
      <c r="B26" s="421">
        <v>333268</v>
      </c>
      <c r="C26" s="421">
        <v>5692</v>
      </c>
      <c r="D26" s="421">
        <v>53650</v>
      </c>
      <c r="E26" s="422">
        <v>0</v>
      </c>
      <c r="F26" s="422">
        <v>0</v>
      </c>
    </row>
    <row r="27" spans="1:6" ht="13" customHeight="1">
      <c r="A27" s="141" t="s">
        <v>40</v>
      </c>
      <c r="B27" s="421">
        <v>162891</v>
      </c>
      <c r="C27" s="421">
        <v>33695</v>
      </c>
      <c r="D27" s="421">
        <v>109742</v>
      </c>
      <c r="E27" s="422">
        <v>8975</v>
      </c>
      <c r="F27" s="422">
        <v>172759</v>
      </c>
    </row>
    <row r="28" spans="1:6" ht="13" customHeight="1">
      <c r="A28" s="141" t="s">
        <v>41</v>
      </c>
      <c r="B28" s="421">
        <v>114810</v>
      </c>
      <c r="C28" s="421">
        <v>31825</v>
      </c>
      <c r="D28" s="421">
        <v>40458</v>
      </c>
      <c r="E28" s="422">
        <v>17723</v>
      </c>
      <c r="F28" s="422">
        <v>78918</v>
      </c>
    </row>
    <row r="29" spans="1:6" ht="13" customHeight="1">
      <c r="A29" s="141" t="s">
        <v>42</v>
      </c>
      <c r="B29" s="421">
        <v>57140</v>
      </c>
      <c r="C29" s="421">
        <v>20027</v>
      </c>
      <c r="D29" s="421">
        <v>31596</v>
      </c>
      <c r="E29" s="422">
        <v>11049</v>
      </c>
      <c r="F29" s="422">
        <v>64567</v>
      </c>
    </row>
    <row r="30" spans="1:6" ht="13" customHeight="1">
      <c r="A30" s="141" t="s">
        <v>43</v>
      </c>
      <c r="B30" s="421">
        <v>57670</v>
      </c>
      <c r="C30" s="421">
        <v>11798</v>
      </c>
      <c r="D30" s="421">
        <v>8862</v>
      </c>
      <c r="E30" s="422">
        <v>6674</v>
      </c>
      <c r="F30" s="422">
        <v>14351</v>
      </c>
    </row>
    <row r="31" spans="1:6" ht="13" customHeight="1">
      <c r="A31" s="141" t="s">
        <v>44</v>
      </c>
      <c r="B31" s="421">
        <v>247387</v>
      </c>
      <c r="C31" s="421">
        <v>80570</v>
      </c>
      <c r="D31" s="421">
        <v>323548</v>
      </c>
      <c r="E31" s="422">
        <v>18675</v>
      </c>
      <c r="F31" s="422">
        <v>464593</v>
      </c>
    </row>
    <row r="32" spans="1:6" ht="13" customHeight="1">
      <c r="A32" s="141" t="s">
        <v>45</v>
      </c>
      <c r="B32" s="421">
        <v>382350</v>
      </c>
      <c r="C32" s="421">
        <v>95949</v>
      </c>
      <c r="D32" s="421">
        <v>1369610</v>
      </c>
      <c r="E32" s="422">
        <v>224675</v>
      </c>
      <c r="F32" s="422">
        <v>1631890</v>
      </c>
    </row>
    <row r="33" spans="1:6" ht="13" customHeight="1">
      <c r="A33" s="141" t="s">
        <v>46</v>
      </c>
      <c r="B33" s="421">
        <v>880527</v>
      </c>
      <c r="C33" s="421">
        <v>19732</v>
      </c>
      <c r="D33" s="421">
        <v>0</v>
      </c>
      <c r="E33" s="422">
        <v>0</v>
      </c>
      <c r="F33" s="422">
        <v>0</v>
      </c>
    </row>
    <row r="34" spans="1:6" ht="13" customHeight="1">
      <c r="A34" s="141" t="s">
        <v>47</v>
      </c>
      <c r="B34" s="421">
        <v>399744</v>
      </c>
      <c r="C34" s="421">
        <v>1228</v>
      </c>
      <c r="D34" s="421">
        <v>0</v>
      </c>
      <c r="E34" s="422">
        <v>0</v>
      </c>
      <c r="F34" s="422">
        <v>0</v>
      </c>
    </row>
    <row r="35" spans="1:6" ht="13" customHeight="1">
      <c r="A35" s="141" t="s">
        <v>48</v>
      </c>
      <c r="B35" s="421">
        <v>256342</v>
      </c>
      <c r="C35" s="421">
        <v>3631</v>
      </c>
      <c r="D35" s="421">
        <v>0</v>
      </c>
      <c r="E35" s="422">
        <v>0</v>
      </c>
      <c r="F35" s="422">
        <v>0</v>
      </c>
    </row>
    <row r="36" spans="1:6" ht="13" customHeight="1" thickBot="1">
      <c r="A36" s="398" t="s">
        <v>49</v>
      </c>
      <c r="B36" s="423">
        <v>209906</v>
      </c>
      <c r="C36" s="423">
        <v>1354</v>
      </c>
      <c r="D36" s="423">
        <v>0</v>
      </c>
      <c r="E36" s="424">
        <v>0</v>
      </c>
      <c r="F36" s="424">
        <v>0</v>
      </c>
    </row>
    <row r="37" spans="1:6" ht="10" customHeight="1">
      <c r="A37" s="28" t="s">
        <v>238</v>
      </c>
      <c r="B37" s="363"/>
      <c r="C37" s="363"/>
      <c r="D37" s="363"/>
      <c r="E37" s="363"/>
      <c r="F37" s="363"/>
    </row>
    <row r="38" spans="1:6" ht="10" customHeight="1">
      <c r="A38" s="28" t="s">
        <v>192</v>
      </c>
      <c r="B38" s="363"/>
      <c r="C38" s="363"/>
      <c r="D38" s="363"/>
      <c r="E38" s="363"/>
      <c r="F38" s="363"/>
    </row>
    <row r="39" spans="1:6" ht="10" customHeight="1">
      <c r="A39" s="40" t="s">
        <v>261</v>
      </c>
      <c r="B39" s="363"/>
      <c r="C39" s="363"/>
      <c r="D39" s="363"/>
      <c r="E39" s="363"/>
      <c r="F39" s="363"/>
    </row>
    <row r="40" spans="1:6" ht="13" customHeight="1">
      <c r="A40" s="12"/>
      <c r="B40" s="174"/>
      <c r="C40" s="174"/>
      <c r="D40" s="174"/>
      <c r="E40" s="174"/>
      <c r="F40" s="174"/>
    </row>
    <row r="41" spans="1:6" ht="13" customHeight="1">
      <c r="B41" s="174"/>
      <c r="C41" s="174"/>
      <c r="D41" s="174"/>
      <c r="E41" s="174"/>
      <c r="F41" s="174"/>
    </row>
    <row r="42" spans="1:6" ht="13" customHeight="1">
      <c r="A42" s="191"/>
      <c r="B42" s="191"/>
      <c r="C42" s="174"/>
      <c r="D42" s="300"/>
      <c r="E42" s="300"/>
      <c r="F42" s="300"/>
    </row>
    <row r="43" spans="1:6" ht="13" customHeight="1">
      <c r="A43" s="31"/>
      <c r="B43" s="184"/>
      <c r="C43" s="298"/>
      <c r="D43" s="298"/>
      <c r="E43" s="298"/>
      <c r="F43" s="298"/>
    </row>
    <row r="44" spans="1:6" ht="13" customHeight="1">
      <c r="A44" s="58"/>
      <c r="B44" s="184"/>
      <c r="C44" s="298"/>
      <c r="D44" s="298"/>
      <c r="E44" s="298"/>
      <c r="F44" s="298"/>
    </row>
    <row r="45" spans="1:6" ht="13" customHeight="1">
      <c r="A45" s="31"/>
      <c r="C45" s="145"/>
      <c r="D45" s="145"/>
      <c r="E45" s="145"/>
      <c r="F45" s="145"/>
    </row>
  </sheetData>
  <printOptions horizontalCentered="1" verticalCentered="1"/>
  <pageMargins left="0" right="0" top="0" bottom="0" header="0" footer="0"/>
  <pageSetup paperSize="9" orientation="landscape" horizontalDpi="120" verticalDpi="144"/>
  <headerFooter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theme="9" tint="0.59999389629810485"/>
  </sheetPr>
  <dimension ref="A2:F45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6" width="12" style="141" customWidth="1"/>
    <col min="7" max="16384" width="7" style="141"/>
  </cols>
  <sheetData>
    <row r="2" spans="1:6" ht="13" customHeight="1">
      <c r="A2" s="388" t="s">
        <v>313</v>
      </c>
    </row>
    <row r="3" spans="1:6" ht="13" customHeight="1">
      <c r="A3" s="389" t="s">
        <v>319</v>
      </c>
      <c r="B3" s="182"/>
    </row>
    <row r="4" spans="1:6" ht="5" customHeight="1" thickBot="1">
      <c r="A4" s="182"/>
      <c r="B4" s="182"/>
      <c r="C4" s="182"/>
      <c r="D4" s="182"/>
      <c r="E4" s="182"/>
      <c r="F4" s="182"/>
    </row>
    <row r="5" spans="1:6" ht="15" customHeight="1">
      <c r="A5" s="394" t="s">
        <v>18</v>
      </c>
      <c r="B5" s="394" t="s">
        <v>16</v>
      </c>
      <c r="C5" s="395" t="s">
        <v>85</v>
      </c>
      <c r="D5" s="395" t="s">
        <v>11</v>
      </c>
      <c r="E5" s="395" t="s">
        <v>12</v>
      </c>
      <c r="F5" s="394" t="s">
        <v>80</v>
      </c>
    </row>
    <row r="6" spans="1:6" ht="15" customHeight="1">
      <c r="A6" s="397" t="s">
        <v>100</v>
      </c>
      <c r="B6" s="417">
        <f>(B8+B9+B10+B11+B12+B16++B17+B18+B19+B20+B21+B22+B23+B24+B25+B26+B27+B28+B31+B32+B33+B34+B35+B36)</f>
        <v>488487</v>
      </c>
      <c r="C6" s="412">
        <f>(C8+C9+C10+C11+C12+C16++C17+C18+C19+C20+C21+C22+C23+C24+C25+C26+C27+C28+C31+C32+C33+C34+C35+C36)</f>
        <v>2129366</v>
      </c>
      <c r="D6" s="417">
        <f>(D8+D9+D10+D11+D12+D16++D17+D18+D19+D20+D21+D22+D23+D24+D25+D26+D27+D28+D31+D32+D33+D34+D35+D36)</f>
        <v>4453</v>
      </c>
      <c r="E6" s="417">
        <f>(E8+E9+E10+E11+E12+E16++E17+E18+E19+E20+E21+E22+E23+E24+E25+E26+E27+E28+E31+E32+E33+E34+E35+E36)</f>
        <v>656</v>
      </c>
      <c r="F6" s="417">
        <f>(F8+F9+F10+F11+F12+F16++F17+F18+F19+F20+F21+F22+F23+F24+F25+F26+F27+F28+F31+F32+F33+F34+F35+F36)</f>
        <v>7750</v>
      </c>
    </row>
    <row r="7" spans="1:6" ht="3" customHeight="1">
      <c r="A7" s="297"/>
      <c r="B7" s="418"/>
      <c r="C7" s="413"/>
      <c r="D7" s="418"/>
      <c r="E7" s="418"/>
      <c r="F7" s="418"/>
    </row>
    <row r="8" spans="1:6" ht="13" customHeight="1">
      <c r="A8" s="141" t="s">
        <v>21</v>
      </c>
      <c r="B8" s="419">
        <v>103</v>
      </c>
      <c r="C8" s="414">
        <v>374</v>
      </c>
      <c r="D8" s="419">
        <v>0</v>
      </c>
      <c r="E8" s="419">
        <v>0</v>
      </c>
      <c r="F8" s="419">
        <v>0</v>
      </c>
    </row>
    <row r="9" spans="1:6" ht="13" customHeight="1">
      <c r="A9" s="141" t="s">
        <v>22</v>
      </c>
      <c r="B9" s="421">
        <v>4739</v>
      </c>
      <c r="C9" s="415">
        <v>42122</v>
      </c>
      <c r="D9" s="421">
        <v>0</v>
      </c>
      <c r="E9" s="421">
        <v>0</v>
      </c>
      <c r="F9" s="421">
        <v>25</v>
      </c>
    </row>
    <row r="10" spans="1:6" ht="13" customHeight="1">
      <c r="A10" s="141" t="s">
        <v>23</v>
      </c>
      <c r="B10" s="421">
        <v>7663</v>
      </c>
      <c r="C10" s="415">
        <v>56665</v>
      </c>
      <c r="D10" s="421">
        <v>0</v>
      </c>
      <c r="E10" s="421">
        <v>0</v>
      </c>
      <c r="F10" s="421">
        <v>0</v>
      </c>
    </row>
    <row r="11" spans="1:6" ht="13" customHeight="1">
      <c r="A11" s="141" t="s">
        <v>24</v>
      </c>
      <c r="B11" s="421">
        <v>84438</v>
      </c>
      <c r="C11" s="415">
        <v>151171</v>
      </c>
      <c r="D11" s="421">
        <v>17</v>
      </c>
      <c r="E11" s="421">
        <v>0</v>
      </c>
      <c r="F11" s="421">
        <v>734</v>
      </c>
    </row>
    <row r="12" spans="1:6" ht="13" customHeight="1">
      <c r="A12" s="141" t="s">
        <v>25</v>
      </c>
      <c r="B12" s="421">
        <v>2392</v>
      </c>
      <c r="C12" s="415">
        <v>391136</v>
      </c>
      <c r="D12" s="421">
        <v>0</v>
      </c>
      <c r="E12" s="421">
        <v>0</v>
      </c>
      <c r="F12" s="421">
        <v>286</v>
      </c>
    </row>
    <row r="13" spans="1:6" ht="13" customHeight="1">
      <c r="A13" s="141" t="s">
        <v>26</v>
      </c>
      <c r="B13" s="421">
        <v>1364</v>
      </c>
      <c r="C13" s="415">
        <v>240341</v>
      </c>
      <c r="D13" s="421">
        <v>0</v>
      </c>
      <c r="E13" s="421">
        <v>0</v>
      </c>
      <c r="F13" s="421">
        <v>227</v>
      </c>
    </row>
    <row r="14" spans="1:6" ht="13" customHeight="1">
      <c r="A14" s="141" t="s">
        <v>27</v>
      </c>
      <c r="B14" s="421">
        <v>679</v>
      </c>
      <c r="C14" s="415">
        <v>141614</v>
      </c>
      <c r="D14" s="421">
        <v>0</v>
      </c>
      <c r="E14" s="421">
        <v>0</v>
      </c>
      <c r="F14" s="421">
        <v>59</v>
      </c>
    </row>
    <row r="15" spans="1:6" ht="13" customHeight="1">
      <c r="A15" s="141" t="s">
        <v>28</v>
      </c>
      <c r="B15" s="421">
        <v>349</v>
      </c>
      <c r="C15" s="415">
        <v>9180</v>
      </c>
      <c r="D15" s="421">
        <v>0</v>
      </c>
      <c r="E15" s="421">
        <v>0</v>
      </c>
      <c r="F15" s="421">
        <v>0</v>
      </c>
    </row>
    <row r="16" spans="1:6" ht="13" customHeight="1">
      <c r="A16" s="141" t="s">
        <v>29</v>
      </c>
      <c r="B16" s="421">
        <v>1458</v>
      </c>
      <c r="C16" s="415">
        <v>98574</v>
      </c>
      <c r="D16" s="421">
        <v>0</v>
      </c>
      <c r="E16" s="421">
        <v>0</v>
      </c>
      <c r="F16" s="421">
        <v>3</v>
      </c>
    </row>
    <row r="17" spans="1:6" ht="13" customHeight="1">
      <c r="A17" s="141" t="s">
        <v>30</v>
      </c>
      <c r="B17" s="421">
        <v>1324</v>
      </c>
      <c r="C17" s="415">
        <v>18181</v>
      </c>
      <c r="D17" s="421">
        <v>0</v>
      </c>
      <c r="E17" s="421">
        <v>0</v>
      </c>
      <c r="F17" s="421">
        <v>9</v>
      </c>
    </row>
    <row r="18" spans="1:6" ht="13" customHeight="1">
      <c r="A18" s="141" t="s">
        <v>31</v>
      </c>
      <c r="B18" s="421">
        <v>131293</v>
      </c>
      <c r="C18" s="415">
        <v>352868</v>
      </c>
      <c r="D18" s="421">
        <v>29</v>
      </c>
      <c r="E18" s="421">
        <v>2</v>
      </c>
      <c r="F18" s="421">
        <v>120</v>
      </c>
    </row>
    <row r="19" spans="1:6" ht="13" customHeight="1">
      <c r="A19" s="141" t="s">
        <v>32</v>
      </c>
      <c r="B19" s="421">
        <v>197407</v>
      </c>
      <c r="C19" s="415">
        <v>68271</v>
      </c>
      <c r="D19" s="421">
        <v>0</v>
      </c>
      <c r="E19" s="421">
        <v>0</v>
      </c>
      <c r="F19" s="421">
        <v>0</v>
      </c>
    </row>
    <row r="20" spans="1:6" ht="13" customHeight="1">
      <c r="A20" s="141" t="s">
        <v>33</v>
      </c>
      <c r="B20" s="421">
        <v>1376</v>
      </c>
      <c r="C20" s="415">
        <v>54682</v>
      </c>
      <c r="D20" s="421">
        <v>4</v>
      </c>
      <c r="E20" s="421">
        <v>0</v>
      </c>
      <c r="F20" s="421">
        <v>209</v>
      </c>
    </row>
    <row r="21" spans="1:6" ht="13" customHeight="1">
      <c r="A21" s="141" t="s">
        <v>34</v>
      </c>
      <c r="B21" s="421">
        <v>183</v>
      </c>
      <c r="C21" s="415">
        <v>34999</v>
      </c>
      <c r="D21" s="421">
        <v>188</v>
      </c>
      <c r="E21" s="421">
        <v>12</v>
      </c>
      <c r="F21" s="421">
        <v>646</v>
      </c>
    </row>
    <row r="22" spans="1:6" ht="13" customHeight="1">
      <c r="A22" s="141" t="s">
        <v>35</v>
      </c>
      <c r="B22" s="421">
        <v>1112</v>
      </c>
      <c r="C22" s="415">
        <v>57190</v>
      </c>
      <c r="D22" s="421">
        <v>149</v>
      </c>
      <c r="E22" s="421">
        <v>77</v>
      </c>
      <c r="F22" s="421">
        <v>1306</v>
      </c>
    </row>
    <row r="23" spans="1:6" ht="13" customHeight="1">
      <c r="A23" s="141" t="s">
        <v>36</v>
      </c>
      <c r="B23" s="421">
        <v>670</v>
      </c>
      <c r="C23" s="415">
        <v>23254</v>
      </c>
      <c r="D23" s="421">
        <v>104</v>
      </c>
      <c r="E23" s="421">
        <v>13</v>
      </c>
      <c r="F23" s="421">
        <v>280</v>
      </c>
    </row>
    <row r="24" spans="1:6" ht="13" customHeight="1">
      <c r="A24" s="141" t="s">
        <v>37</v>
      </c>
      <c r="B24" s="421">
        <v>17890</v>
      </c>
      <c r="C24" s="415">
        <v>357460</v>
      </c>
      <c r="D24" s="421">
        <v>183</v>
      </c>
      <c r="E24" s="421">
        <v>37</v>
      </c>
      <c r="F24" s="421">
        <v>54</v>
      </c>
    </row>
    <row r="25" spans="1:6" ht="13" customHeight="1">
      <c r="A25" s="141" t="s">
        <v>38</v>
      </c>
      <c r="B25" s="421">
        <v>355</v>
      </c>
      <c r="C25" s="415">
        <v>17576</v>
      </c>
      <c r="D25" s="421">
        <v>77</v>
      </c>
      <c r="E25" s="421">
        <v>6</v>
      </c>
      <c r="F25" s="421">
        <v>3</v>
      </c>
    </row>
    <row r="26" spans="1:6" ht="13" customHeight="1">
      <c r="A26" s="141" t="s">
        <v>39</v>
      </c>
      <c r="B26" s="421">
        <v>5674</v>
      </c>
      <c r="C26" s="415">
        <v>24451</v>
      </c>
      <c r="D26" s="421">
        <v>109</v>
      </c>
      <c r="E26" s="421">
        <v>0</v>
      </c>
      <c r="F26" s="421">
        <v>0</v>
      </c>
    </row>
    <row r="27" spans="1:6" ht="13" customHeight="1">
      <c r="A27" s="141" t="s">
        <v>40</v>
      </c>
      <c r="B27" s="421">
        <v>895</v>
      </c>
      <c r="C27" s="415">
        <v>66387</v>
      </c>
      <c r="D27" s="421">
        <v>219</v>
      </c>
      <c r="E27" s="421">
        <v>10</v>
      </c>
      <c r="F27" s="421">
        <v>238</v>
      </c>
    </row>
    <row r="28" spans="1:6" ht="13" customHeight="1">
      <c r="A28" s="141" t="s">
        <v>41</v>
      </c>
      <c r="B28" s="421">
        <v>587</v>
      </c>
      <c r="C28" s="415">
        <v>33400</v>
      </c>
      <c r="D28" s="421">
        <v>80</v>
      </c>
      <c r="E28" s="421">
        <v>31</v>
      </c>
      <c r="F28" s="421">
        <v>148</v>
      </c>
    </row>
    <row r="29" spans="1:6" ht="13" customHeight="1">
      <c r="A29" s="141" t="s">
        <v>42</v>
      </c>
      <c r="B29" s="421">
        <v>308</v>
      </c>
      <c r="C29" s="415">
        <v>18234</v>
      </c>
      <c r="D29" s="421">
        <v>65</v>
      </c>
      <c r="E29" s="421">
        <v>18</v>
      </c>
      <c r="F29" s="421">
        <v>122</v>
      </c>
    </row>
    <row r="30" spans="1:6" ht="13" customHeight="1">
      <c r="A30" s="141" t="s">
        <v>43</v>
      </c>
      <c r="B30" s="421">
        <v>278</v>
      </c>
      <c r="C30" s="415">
        <v>15165</v>
      </c>
      <c r="D30" s="421">
        <v>16</v>
      </c>
      <c r="E30" s="421">
        <v>13</v>
      </c>
      <c r="F30" s="421">
        <v>26</v>
      </c>
    </row>
    <row r="31" spans="1:6" ht="13" customHeight="1">
      <c r="A31" s="141" t="s">
        <v>44</v>
      </c>
      <c r="B31" s="421">
        <v>905</v>
      </c>
      <c r="C31" s="415">
        <v>110781</v>
      </c>
      <c r="D31" s="421">
        <v>634</v>
      </c>
      <c r="E31" s="421">
        <v>30</v>
      </c>
      <c r="F31" s="421">
        <v>673</v>
      </c>
    </row>
    <row r="32" spans="1:6" ht="13" customHeight="1">
      <c r="A32" s="141" t="s">
        <v>45</v>
      </c>
      <c r="B32" s="421">
        <v>1830</v>
      </c>
      <c r="C32" s="415">
        <v>127009</v>
      </c>
      <c r="D32" s="421">
        <v>2660</v>
      </c>
      <c r="E32" s="421">
        <v>438</v>
      </c>
      <c r="F32" s="421">
        <v>3016</v>
      </c>
    </row>
    <row r="33" spans="1:6" ht="13" customHeight="1">
      <c r="A33" s="141" t="s">
        <v>46</v>
      </c>
      <c r="B33" s="421">
        <v>13861</v>
      </c>
      <c r="C33" s="415">
        <v>33766</v>
      </c>
      <c r="D33" s="421">
        <v>0</v>
      </c>
      <c r="E33" s="421">
        <v>0</v>
      </c>
      <c r="F33" s="421">
        <v>0</v>
      </c>
    </row>
    <row r="34" spans="1:6" ht="13" customHeight="1">
      <c r="A34" s="141" t="s">
        <v>47</v>
      </c>
      <c r="B34" s="421">
        <v>5150</v>
      </c>
      <c r="C34" s="415">
        <v>1766</v>
      </c>
      <c r="D34" s="421">
        <v>0</v>
      </c>
      <c r="E34" s="421">
        <v>0</v>
      </c>
      <c r="F34" s="421">
        <v>0</v>
      </c>
    </row>
    <row r="35" spans="1:6" ht="13" customHeight="1">
      <c r="A35" s="141" t="s">
        <v>48</v>
      </c>
      <c r="B35" s="421">
        <v>3711</v>
      </c>
      <c r="C35" s="415">
        <v>5596</v>
      </c>
      <c r="D35" s="421">
        <v>0</v>
      </c>
      <c r="E35" s="421">
        <v>0</v>
      </c>
      <c r="F35" s="421">
        <v>0</v>
      </c>
    </row>
    <row r="36" spans="1:6" ht="13" customHeight="1" thickBot="1">
      <c r="A36" s="398" t="s">
        <v>49</v>
      </c>
      <c r="B36" s="423">
        <v>3471</v>
      </c>
      <c r="C36" s="416">
        <v>1687</v>
      </c>
      <c r="D36" s="423">
        <v>0</v>
      </c>
      <c r="E36" s="423">
        <v>0</v>
      </c>
      <c r="F36" s="423">
        <v>0</v>
      </c>
    </row>
    <row r="37" spans="1:6" ht="10" customHeight="1">
      <c r="A37" s="28" t="s">
        <v>238</v>
      </c>
      <c r="B37" s="391"/>
      <c r="C37" s="367"/>
      <c r="D37" s="367"/>
      <c r="E37" s="367"/>
      <c r="F37" s="367"/>
    </row>
    <row r="38" spans="1:6" ht="10" customHeight="1">
      <c r="A38" s="28" t="s">
        <v>192</v>
      </c>
      <c r="B38" s="391"/>
      <c r="C38" s="365"/>
      <c r="D38" s="365"/>
      <c r="E38" s="365"/>
      <c r="F38" s="365"/>
    </row>
    <row r="39" spans="1:6" ht="10" customHeight="1">
      <c r="A39" s="40" t="s">
        <v>261</v>
      </c>
      <c r="B39" s="393"/>
      <c r="C39" s="365"/>
      <c r="D39" s="365"/>
      <c r="E39" s="365"/>
      <c r="F39" s="365"/>
    </row>
    <row r="40" spans="1:6" ht="13" customHeight="1">
      <c r="A40" s="12"/>
    </row>
    <row r="42" spans="1:6" ht="13" customHeight="1">
      <c r="A42" s="191"/>
    </row>
    <row r="43" spans="1:6" ht="13" customHeight="1">
      <c r="A43" s="31"/>
    </row>
    <row r="44" spans="1:6" ht="13" customHeight="1">
      <c r="A44" s="58"/>
    </row>
    <row r="45" spans="1:6" ht="13" customHeight="1">
      <c r="A45" s="31"/>
    </row>
  </sheetData>
  <printOptions horizontalCentered="1" verticalCentered="1"/>
  <pageMargins left="0" right="0" top="0" bottom="0" header="0" footer="0"/>
  <pageSetup paperSize="9" orientation="landscape" horizontalDpi="120" verticalDpi="144"/>
  <headerFooter scaleWithDoc="0"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theme="9" tint="0.59999389629810485"/>
  </sheetPr>
  <dimension ref="A1:F45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6" width="12" style="141" customWidth="1"/>
    <col min="7" max="16384" width="7" style="141"/>
  </cols>
  <sheetData>
    <row r="1" spans="1:6" ht="13" customHeight="1">
      <c r="A1" s="189"/>
      <c r="B1" s="189"/>
    </row>
    <row r="2" spans="1:6" ht="13" customHeight="1">
      <c r="A2" s="388" t="s">
        <v>315</v>
      </c>
      <c r="B2" s="189"/>
    </row>
    <row r="3" spans="1:6" ht="13" customHeight="1">
      <c r="A3" s="400" t="s">
        <v>314</v>
      </c>
      <c r="B3" s="183"/>
      <c r="C3" s="182"/>
      <c r="D3" s="182"/>
      <c r="E3" s="182"/>
      <c r="F3" s="182"/>
    </row>
    <row r="4" spans="1:6" ht="5" customHeight="1" thickBot="1">
      <c r="A4" s="191"/>
      <c r="B4" s="191"/>
      <c r="C4" s="191"/>
      <c r="D4" s="191"/>
      <c r="E4" s="191"/>
      <c r="F4" s="191"/>
    </row>
    <row r="5" spans="1:6" ht="15" customHeight="1">
      <c r="A5" s="394" t="s">
        <v>18</v>
      </c>
      <c r="B5" s="394" t="s">
        <v>208</v>
      </c>
      <c r="C5" s="395" t="s">
        <v>86</v>
      </c>
      <c r="D5" s="395" t="s">
        <v>11</v>
      </c>
      <c r="E5" s="395" t="s">
        <v>12</v>
      </c>
      <c r="F5" s="394" t="s">
        <v>80</v>
      </c>
    </row>
    <row r="6" spans="1:6" ht="15" customHeight="1">
      <c r="A6" s="401" t="s">
        <v>100</v>
      </c>
      <c r="B6" s="426">
        <f>('C 11'!B6/'C 10'!B6)*1000</f>
        <v>16.5763078316876</v>
      </c>
      <c r="C6" s="426">
        <f>('C 11'!C6/'C 10'!C6)*1000</f>
        <v>2350.7658271308364</v>
      </c>
      <c r="D6" s="426">
        <f>('C 11'!D6/'C 10'!D6)*1000</f>
        <v>1.9747403524643234</v>
      </c>
      <c r="E6" s="426">
        <f>('C 11'!E6/'C 10'!E6)*1000</f>
        <v>1.9274446373847867</v>
      </c>
      <c r="F6" s="426">
        <f>('C 11'!F6/'C 10'!F6)*1000</f>
        <v>1.8004351245146084</v>
      </c>
    </row>
    <row r="7" spans="1:6" ht="3" customHeight="1">
      <c r="A7" s="297"/>
      <c r="B7" s="427"/>
      <c r="C7" s="427"/>
      <c r="D7" s="427"/>
      <c r="E7" s="427"/>
      <c r="F7" s="427"/>
    </row>
    <row r="8" spans="1:6" ht="13" customHeight="1">
      <c r="A8" s="141" t="s">
        <v>21</v>
      </c>
      <c r="B8" s="428">
        <f>('C 11'!B8/'C 10'!B8)*1000</f>
        <v>6.6438753789589118</v>
      </c>
      <c r="C8" s="428">
        <f>('C 11'!C8/'C 10'!C8)*1000</f>
        <v>1033.1491712707182</v>
      </c>
      <c r="D8" s="429">
        <v>0</v>
      </c>
      <c r="E8" s="429">
        <v>0</v>
      </c>
      <c r="F8" s="429">
        <v>0</v>
      </c>
    </row>
    <row r="9" spans="1:6" ht="13" customHeight="1">
      <c r="A9" s="141" t="s">
        <v>22</v>
      </c>
      <c r="B9" s="428">
        <f>('C 11'!B9/'C 10'!B9)*1000</f>
        <v>12.005705180009578</v>
      </c>
      <c r="C9" s="428">
        <f>('C 11'!C9/'C 10'!C9)*1000</f>
        <v>1749.8338318378198</v>
      </c>
      <c r="D9" s="429">
        <v>0</v>
      </c>
      <c r="E9" s="429">
        <v>0</v>
      </c>
      <c r="F9" s="428">
        <f>('C 11'!F9/'C 10'!F9)*1000</f>
        <v>1.3502565487442615</v>
      </c>
    </row>
    <row r="10" spans="1:6" ht="13" customHeight="1">
      <c r="A10" s="141" t="s">
        <v>23</v>
      </c>
      <c r="B10" s="428">
        <f>('C 11'!B10/'C 10'!B10)*1000</f>
        <v>15.372979826349324</v>
      </c>
      <c r="C10" s="428">
        <f>('C 11'!C10/'C 10'!C10)*1000</f>
        <v>3176.8234568593371</v>
      </c>
      <c r="D10" s="429">
        <v>0</v>
      </c>
      <c r="E10" s="429">
        <v>0</v>
      </c>
      <c r="F10" s="429">
        <v>0</v>
      </c>
    </row>
    <row r="11" spans="1:6" ht="13" customHeight="1">
      <c r="A11" s="141" t="s">
        <v>24</v>
      </c>
      <c r="B11" s="428">
        <f>('C 11'!B11/'C 10'!B11)*1000</f>
        <v>17.450230326176587</v>
      </c>
      <c r="C11" s="428">
        <f>('C 11'!C11/'C 10'!C11)*1000</f>
        <v>3096.3070683898982</v>
      </c>
      <c r="D11" s="428">
        <f>('C 11'!D11/'C 10'!D11)*1000</f>
        <v>2.6073619631901841</v>
      </c>
      <c r="E11" s="429">
        <v>0</v>
      </c>
      <c r="F11" s="428">
        <f>('C 11'!F11/'C 10'!F11)*1000</f>
        <v>2.9405637549476786</v>
      </c>
    </row>
    <row r="12" spans="1:6" ht="13" customHeight="1">
      <c r="A12" s="141" t="s">
        <v>25</v>
      </c>
      <c r="B12" s="428">
        <f>('C 11'!B12/'C 10'!B12)*1000</f>
        <v>5.5756276077480713</v>
      </c>
      <c r="C12" s="428">
        <f>('C 11'!C12/'C 10'!C12)*1000</f>
        <v>2381.751531463507</v>
      </c>
      <c r="D12" s="429">
        <v>0</v>
      </c>
      <c r="E12" s="429">
        <v>0</v>
      </c>
      <c r="F12" s="428">
        <f>('C 11'!F12/'C 10'!F12)*1000</f>
        <v>1.7254901960784315</v>
      </c>
    </row>
    <row r="13" spans="1:6" ht="13" customHeight="1">
      <c r="A13" s="141" t="s">
        <v>26</v>
      </c>
      <c r="B13" s="428">
        <f>('C 11'!B13/'C 10'!B13)*1000</f>
        <v>6.5087825618071893</v>
      </c>
      <c r="C13" s="428">
        <f>('C 11'!C13/'C 10'!C13)*1000</f>
        <v>2472.7966746918532</v>
      </c>
      <c r="D13" s="429">
        <v>0</v>
      </c>
      <c r="E13" s="429">
        <v>0</v>
      </c>
      <c r="F13" s="428">
        <f>('C 11'!F13/'C 10'!F13)*1000</f>
        <v>1.8014157381836651</v>
      </c>
    </row>
    <row r="14" spans="1:6" ht="13" customHeight="1">
      <c r="A14" s="141" t="s">
        <v>27</v>
      </c>
      <c r="B14" s="428">
        <f>('C 11'!B14/'C 10'!B14)*1000</f>
        <v>4.676276334185026</v>
      </c>
      <c r="C14" s="428">
        <f>('C 11'!C14/'C 10'!C14)*1000</f>
        <v>2299.8993081495437</v>
      </c>
      <c r="D14" s="429">
        <v>0</v>
      </c>
      <c r="E14" s="429">
        <v>0</v>
      </c>
      <c r="F14" s="428">
        <f>('C 11'!F14/'C 10'!F14)*1000</f>
        <v>1.4847249484120992</v>
      </c>
    </row>
    <row r="15" spans="1:6" ht="13" customHeight="1">
      <c r="A15" s="141" t="s">
        <v>28</v>
      </c>
      <c r="B15" s="428">
        <f>('C 11'!B15/'C 10'!B15)*1000</f>
        <v>4.7005899307706809</v>
      </c>
      <c r="C15" s="428">
        <f>('C 11'!C15/'C 10'!C15)*1000</f>
        <v>1683.1683168316831</v>
      </c>
      <c r="D15" s="429">
        <v>0</v>
      </c>
      <c r="E15" s="429">
        <v>0</v>
      </c>
      <c r="F15" s="429">
        <v>0</v>
      </c>
    </row>
    <row r="16" spans="1:6" ht="13" customHeight="1">
      <c r="A16" s="141" t="s">
        <v>29</v>
      </c>
      <c r="B16" s="428">
        <f>('C 11'!B16/'C 10'!B16)*1000</f>
        <v>10.584161506464469</v>
      </c>
      <c r="C16" s="428">
        <f>('C 11'!C16/'C 10'!C16)*1000</f>
        <v>1238.0091179684264</v>
      </c>
      <c r="D16" s="429">
        <v>0</v>
      </c>
      <c r="E16" s="429">
        <v>0</v>
      </c>
      <c r="F16" s="428">
        <f>('C 11'!F16/'C 10'!F16)*1000</f>
        <v>0.57088487155090395</v>
      </c>
    </row>
    <row r="17" spans="1:6" ht="13" customHeight="1">
      <c r="A17" s="141" t="s">
        <v>30</v>
      </c>
      <c r="B17" s="428">
        <f>('C 11'!B17/'C 10'!B17)*1000</f>
        <v>6.4271532662462807</v>
      </c>
      <c r="C17" s="428">
        <f>('C 11'!C17/'C 10'!C17)*1000</f>
        <v>1224.5571495925103</v>
      </c>
      <c r="D17" s="428">
        <v>0</v>
      </c>
      <c r="E17" s="429">
        <v>0</v>
      </c>
      <c r="F17" s="428">
        <f>('C 11'!F17/'C 10'!F17)*1000</f>
        <v>1.2719050310910121</v>
      </c>
    </row>
    <row r="18" spans="1:6" ht="13" customHeight="1">
      <c r="A18" s="141" t="s">
        <v>31</v>
      </c>
      <c r="B18" s="428">
        <f>('C 11'!B18/'C 10'!B18)*1000</f>
        <v>17.783027639928264</v>
      </c>
      <c r="C18" s="428">
        <f>('C 11'!C18/'C 10'!C18)*1000</f>
        <v>4963.540201429134</v>
      </c>
      <c r="D18" s="428">
        <f>('C 11'!D18/'C 10'!D18)*1000</f>
        <v>1.5708791506418938</v>
      </c>
      <c r="E18" s="428">
        <f>('C 11'!E18/'C 10'!E18)*1000</f>
        <v>1.5094339622641508</v>
      </c>
      <c r="F18" s="428">
        <f>('C 11'!F18/'C 10'!F18)*1000</f>
        <v>1.3124507830956338</v>
      </c>
    </row>
    <row r="19" spans="1:6" ht="13" customHeight="1">
      <c r="A19" s="141" t="s">
        <v>32</v>
      </c>
      <c r="B19" s="428">
        <f>('C 11'!B19/'C 10'!B19)*1000</f>
        <v>18.043570478438376</v>
      </c>
      <c r="C19" s="428">
        <f>('C 11'!C19/'C 10'!C19)*1000</f>
        <v>5445.5611390284757</v>
      </c>
      <c r="D19" s="429">
        <v>0</v>
      </c>
      <c r="E19" s="429">
        <v>0</v>
      </c>
      <c r="F19" s="429">
        <v>0</v>
      </c>
    </row>
    <row r="20" spans="1:6" ht="13" customHeight="1">
      <c r="A20" s="141" t="s">
        <v>33</v>
      </c>
      <c r="B20" s="428">
        <f>('C 11'!B20/'C 10'!B20)*1000</f>
        <v>6.7891610254790891</v>
      </c>
      <c r="C20" s="428">
        <f>('C 11'!C20/'C 10'!C20)*1000</f>
        <v>1566.1015007446445</v>
      </c>
      <c r="D20" s="428">
        <f>('C 11'!D20/'C 10'!D20)*1000</f>
        <v>2.7453671928620453</v>
      </c>
      <c r="E20" s="429">
        <v>0</v>
      </c>
      <c r="F20" s="428">
        <f>('C 11'!F20/'C 10'!F20)*1000</f>
        <v>1.4881164290901843</v>
      </c>
    </row>
    <row r="21" spans="1:6" ht="13" customHeight="1">
      <c r="A21" s="141" t="s">
        <v>34</v>
      </c>
      <c r="B21" s="428">
        <f>('C 11'!B21/'C 10'!B21)*1000</f>
        <v>4.7154010667628645</v>
      </c>
      <c r="C21" s="428">
        <f>('C 11'!C21/'C 10'!C21)*1000</f>
        <v>1181.8396704261497</v>
      </c>
      <c r="D21" s="428">
        <f>('C 11'!D21/'C 10'!D21)*1000</f>
        <v>2.2075573612644135</v>
      </c>
      <c r="E21" s="428">
        <f>('C 11'!E21/'C 10'!E21)*1000</f>
        <v>1.4124293785310735</v>
      </c>
      <c r="F21" s="428">
        <f>('C 11'!F21/'C 10'!F21)*1000</f>
        <v>1.7581723716547777</v>
      </c>
    </row>
    <row r="22" spans="1:6" ht="13" customHeight="1">
      <c r="A22" s="141" t="s">
        <v>35</v>
      </c>
      <c r="B22" s="428">
        <f>('C 11'!B22/'C 10'!B22)*1000</f>
        <v>6.5372156869661326</v>
      </c>
      <c r="C22" s="428">
        <f>('C 11'!C22/'C 10'!C22)*1000</f>
        <v>1406.2307900366372</v>
      </c>
      <c r="D22" s="428">
        <f>('C 11'!D22/'C 10'!D22)*1000</f>
        <v>2.6659986759469665</v>
      </c>
      <c r="E22" s="428">
        <f>('C 11'!E22/'C 10'!E22)*1000</f>
        <v>2.2961085433129567</v>
      </c>
      <c r="F22" s="428">
        <f>('C 11'!F22/'C 10'!F22)*1000</f>
        <v>1.8040243833372243</v>
      </c>
    </row>
    <row r="23" spans="1:6" ht="13" customHeight="1">
      <c r="A23" s="141" t="s">
        <v>36</v>
      </c>
      <c r="B23" s="428">
        <f>('C 11'!B23/'C 10'!B23)*1000</f>
        <v>4.6912854122029435</v>
      </c>
      <c r="C23" s="428">
        <f>('C 11'!C23/'C 10'!C23)*1000</f>
        <v>1918.6468646864687</v>
      </c>
      <c r="D23" s="428">
        <f>('C 11'!D23/'C 10'!D23)*1000</f>
        <v>1.7969141455154898</v>
      </c>
      <c r="E23" s="428">
        <f>('C 11'!E23/'C 10'!E23)*1000</f>
        <v>1.8250737048996208</v>
      </c>
      <c r="F23" s="428">
        <f>('C 11'!F23/'C 10'!F23)*1000</f>
        <v>1.8782618028630076</v>
      </c>
    </row>
    <row r="24" spans="1:6" ht="13" customHeight="1">
      <c r="A24" s="141" t="s">
        <v>37</v>
      </c>
      <c r="B24" s="428">
        <f>('C 11'!B24/'C 10'!B24)*1000</f>
        <v>17.032677224578087</v>
      </c>
      <c r="C24" s="428">
        <f>('C 11'!C24/'C 10'!C24)*1000</f>
        <v>4719.753885155209</v>
      </c>
      <c r="D24" s="428">
        <f>('C 11'!D24/'C 10'!D24)*1000</f>
        <v>1.9322345289254452</v>
      </c>
      <c r="E24" s="428">
        <f>('C 11'!E24/'C 10'!E24)*1000</f>
        <v>2.1481653506734792</v>
      </c>
      <c r="F24" s="428">
        <f>('C 11'!F24/'C 10'!F24)*1000</f>
        <v>1.5305688614268302</v>
      </c>
    </row>
    <row r="25" spans="1:6" ht="13" customHeight="1">
      <c r="A25" s="141" t="s">
        <v>38</v>
      </c>
      <c r="B25" s="428">
        <f>('C 11'!B25/'C 10'!B25)*1000</f>
        <v>10.712130356065177</v>
      </c>
      <c r="C25" s="428">
        <f>('C 11'!C25/'C 10'!C25)*1000</f>
        <v>3099.2770234526538</v>
      </c>
      <c r="D25" s="428">
        <f>('C 11'!D25/'C 10'!D25)*1000</f>
        <v>2.0346686396786811</v>
      </c>
      <c r="E25" s="428">
        <f>('C 11'!E25/'C 10'!E25)*1000</f>
        <v>2.3112480739599386</v>
      </c>
      <c r="F25" s="428">
        <f>('C 11'!F25/'C 10'!F25)*1000</f>
        <v>1.1764705882352939</v>
      </c>
    </row>
    <row r="26" spans="1:6" ht="13" customHeight="1">
      <c r="A26" s="141" t="s">
        <v>39</v>
      </c>
      <c r="B26" s="428">
        <f>('C 11'!B26/'C 10'!B26)*1000</f>
        <v>17.025336966045348</v>
      </c>
      <c r="C26" s="428">
        <f>('C 11'!C26/'C 10'!C26)*1000</f>
        <v>4295.6781447645826</v>
      </c>
      <c r="D26" s="428">
        <f>('C 11'!D26/'C 10'!D26)*1000</f>
        <v>2.0316868592730661</v>
      </c>
      <c r="E26" s="428">
        <v>0</v>
      </c>
      <c r="F26" s="429">
        <v>0</v>
      </c>
    </row>
    <row r="27" spans="1:6" ht="13" customHeight="1">
      <c r="A27" s="141" t="s">
        <v>40</v>
      </c>
      <c r="B27" s="428">
        <f>('C 11'!B27/'C 10'!B27)*1000</f>
        <v>5.4944717633263958</v>
      </c>
      <c r="C27" s="428">
        <f>('C 11'!C27/'C 10'!C27)*1000</f>
        <v>1970.2329722510758</v>
      </c>
      <c r="D27" s="428">
        <f>('C 11'!D27/'C 10'!D27)*1000</f>
        <v>1.9955896557380037</v>
      </c>
      <c r="E27" s="428">
        <f>('C 11'!E27/'C 10'!E27)*1000</f>
        <v>1.1142061281337048</v>
      </c>
      <c r="F27" s="428">
        <f>('C 11'!F27/'C 10'!F27)*1000</f>
        <v>1.3776416858166578</v>
      </c>
    </row>
    <row r="28" spans="1:6" ht="13" customHeight="1">
      <c r="A28" s="141" t="s">
        <v>41</v>
      </c>
      <c r="B28" s="428">
        <f>('C 11'!B28/'C 10'!B28)*1000</f>
        <v>5.1127950526957582</v>
      </c>
      <c r="C28" s="428">
        <f>('C 11'!C28/'C 10'!C28)*1000</f>
        <v>1049.4893951296151</v>
      </c>
      <c r="D28" s="428">
        <f>('C 11'!D28/'C 10'!D28)*1000</f>
        <v>1.9773592367393344</v>
      </c>
      <c r="E28" s="428">
        <f>('C 11'!E28/'C 10'!E28)*1000</f>
        <v>1.7491395361959037</v>
      </c>
      <c r="F28" s="428">
        <f>('C 11'!F28/'C 10'!F28)*1000</f>
        <v>1.8753643021870803</v>
      </c>
    </row>
    <row r="29" spans="1:6" ht="13" customHeight="1">
      <c r="A29" s="141" t="s">
        <v>42</v>
      </c>
      <c r="B29" s="428">
        <f>('C 11'!B29/'C 10'!B29)*1000</f>
        <v>5.3902695134756735</v>
      </c>
      <c r="C29" s="428">
        <f>('C 11'!C29/'C 10'!C29)*1000</f>
        <v>910.4708643331503</v>
      </c>
      <c r="D29" s="428">
        <f>('C 11'!D29/'C 10'!D29)*1000</f>
        <v>2.0572224332193949</v>
      </c>
      <c r="E29" s="428">
        <f>('C 11'!E29/'C 10'!E29)*1000</f>
        <v>1.629106706489275</v>
      </c>
      <c r="F29" s="428">
        <f>('C 11'!F29/'C 10'!F29)*1000</f>
        <v>1.8895101212693792</v>
      </c>
    </row>
    <row r="30" spans="1:6" ht="13" customHeight="1">
      <c r="A30" s="141" t="s">
        <v>43</v>
      </c>
      <c r="B30" s="428">
        <f>('C 11'!B30/'C 10'!B30)*1000</f>
        <v>4.8205306051673311</v>
      </c>
      <c r="C30" s="428">
        <f>('C 11'!C30/'C 10'!C30)*1000</f>
        <v>1285.3873537887778</v>
      </c>
      <c r="D30" s="428">
        <f>('C 11'!D30/'C 10'!D30)*1000</f>
        <v>1.8054615211013316</v>
      </c>
      <c r="E30" s="428">
        <f>('C 11'!E30/'C 10'!E30)*1000</f>
        <v>1.947857356907402</v>
      </c>
      <c r="F30" s="428">
        <f>('C 11'!F30/'C 10'!F30)*1000</f>
        <v>1.8117204376001672</v>
      </c>
    </row>
    <row r="31" spans="1:6" ht="13" customHeight="1">
      <c r="A31" s="141" t="s">
        <v>44</v>
      </c>
      <c r="B31" s="428">
        <f>('C 11'!B31/'C 10'!B31)*1000</f>
        <v>3.6582358814327351</v>
      </c>
      <c r="C31" s="428">
        <f>('C 11'!C31/'C 10'!C31)*1000</f>
        <v>1374.9658681891524</v>
      </c>
      <c r="D31" s="428">
        <f>('C 11'!D31/'C 10'!D31)*1000</f>
        <v>1.9595237800882712</v>
      </c>
      <c r="E31" s="428">
        <f>('C 11'!E31/'C 10'!E31)*1000</f>
        <v>1.606425702811245</v>
      </c>
      <c r="F31" s="428">
        <f>('C 11'!F31/'C 10'!F31)*1000</f>
        <v>1.4485797246191827</v>
      </c>
    </row>
    <row r="32" spans="1:6" ht="13" customHeight="1">
      <c r="A32" s="141" t="s">
        <v>45</v>
      </c>
      <c r="B32" s="428">
        <f>('C 11'!B32/'C 10'!B32)*1000</f>
        <v>4.7861906630051001</v>
      </c>
      <c r="C32" s="428">
        <f>('C 11'!C32/'C 10'!C32)*1000</f>
        <v>1323.713639537671</v>
      </c>
      <c r="D32" s="428">
        <f>('C 11'!D32/'C 10'!D32)*1000</f>
        <v>1.9421587167149774</v>
      </c>
      <c r="E32" s="428">
        <f>('C 11'!E32/'C 10'!E32)*1000</f>
        <v>1.949482585957494</v>
      </c>
      <c r="F32" s="428">
        <f>('C 11'!F32/'C 10'!F32)*1000</f>
        <v>1.8481637855492712</v>
      </c>
    </row>
    <row r="33" spans="1:6" ht="13" customHeight="1">
      <c r="A33" s="141" t="s">
        <v>46</v>
      </c>
      <c r="B33" s="428">
        <f>('C 11'!B33/'C 10'!B33)*1000</f>
        <v>15.74170922640646</v>
      </c>
      <c r="C33" s="428">
        <f>('C 11'!C33/'C 10'!C33)*1000</f>
        <v>1711.2304885465235</v>
      </c>
      <c r="D33" s="429">
        <v>0</v>
      </c>
      <c r="E33" s="429">
        <v>0</v>
      </c>
      <c r="F33" s="429">
        <v>0</v>
      </c>
    </row>
    <row r="34" spans="1:6" ht="13" customHeight="1">
      <c r="A34" s="141" t="s">
        <v>47</v>
      </c>
      <c r="B34" s="428">
        <f>('C 11'!B34/'C 10'!B34)*1000</f>
        <v>12.883245276977265</v>
      </c>
      <c r="C34" s="428">
        <f>('C 11'!C34/'C 10'!C34)*1000</f>
        <v>1438.1107491856678</v>
      </c>
      <c r="D34" s="429">
        <v>0</v>
      </c>
      <c r="E34" s="429">
        <v>0</v>
      </c>
      <c r="F34" s="429">
        <v>0</v>
      </c>
    </row>
    <row r="35" spans="1:6" ht="13" customHeight="1">
      <c r="A35" s="141" t="s">
        <v>48</v>
      </c>
      <c r="B35" s="428">
        <f>('C 11'!B35/'C 10'!B35)*1000</f>
        <v>14.476753711838093</v>
      </c>
      <c r="C35" s="428">
        <f>('C 11'!C35/'C 10'!C35)*1000</f>
        <v>1541.1732305150097</v>
      </c>
      <c r="D35" s="429">
        <v>0</v>
      </c>
      <c r="E35" s="429">
        <v>0</v>
      </c>
      <c r="F35" s="429">
        <v>0</v>
      </c>
    </row>
    <row r="36" spans="1:6" ht="13" customHeight="1" thickBot="1">
      <c r="A36" s="398" t="s">
        <v>49</v>
      </c>
      <c r="B36" s="430">
        <f>('C 11'!B36/'C 10'!B36)*1000</f>
        <v>16.535973245166886</v>
      </c>
      <c r="C36" s="430">
        <f>('C 11'!C36/'C 10'!C36)*1000</f>
        <v>1245.9379615952732</v>
      </c>
      <c r="D36" s="431">
        <v>0</v>
      </c>
      <c r="E36" s="431">
        <v>0</v>
      </c>
      <c r="F36" s="431">
        <v>0</v>
      </c>
    </row>
    <row r="37" spans="1:6" ht="10" customHeight="1">
      <c r="A37" s="28" t="s">
        <v>238</v>
      </c>
      <c r="B37" s="393"/>
      <c r="C37" s="392"/>
      <c r="D37" s="392"/>
      <c r="E37" s="392"/>
      <c r="F37" s="392"/>
    </row>
    <row r="38" spans="1:6" ht="10" customHeight="1">
      <c r="A38" s="28" t="s">
        <v>192</v>
      </c>
      <c r="B38" s="365"/>
      <c r="C38" s="367"/>
      <c r="D38" s="367"/>
      <c r="E38" s="367"/>
      <c r="F38" s="367"/>
    </row>
    <row r="39" spans="1:6" ht="10" customHeight="1">
      <c r="A39" s="40" t="s">
        <v>261</v>
      </c>
      <c r="B39" s="365"/>
      <c r="C39" s="365"/>
      <c r="D39" s="365"/>
      <c r="E39" s="365"/>
    </row>
    <row r="40" spans="1:6" ht="13" customHeight="1">
      <c r="A40" s="12"/>
    </row>
    <row r="42" spans="1:6" ht="13" customHeight="1">
      <c r="A42" s="191"/>
    </row>
    <row r="43" spans="1:6" ht="13" customHeight="1">
      <c r="A43" s="31"/>
    </row>
    <row r="44" spans="1:6" ht="13" customHeight="1">
      <c r="A44" s="58"/>
    </row>
    <row r="45" spans="1:6" ht="13" customHeight="1">
      <c r="A45" s="3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tabColor theme="9" tint="0.59999389629810485"/>
  </sheetPr>
  <dimension ref="A2:O35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2.19921875" style="141" customWidth="1"/>
    <col min="2" max="2" width="11.796875" style="141" customWidth="1"/>
    <col min="3" max="3" width="7.19921875" style="141" customWidth="1"/>
    <col min="4" max="15" width="7" style="141" customWidth="1"/>
    <col min="16" max="16384" width="7" style="141"/>
  </cols>
  <sheetData>
    <row r="2" spans="1:15" ht="13" customHeight="1">
      <c r="A2" s="425" t="s">
        <v>320</v>
      </c>
      <c r="B2" s="387"/>
      <c r="C2" s="387"/>
    </row>
    <row r="3" spans="1:15" ht="13" customHeight="1">
      <c r="A3" s="389" t="s">
        <v>319</v>
      </c>
      <c r="B3" s="387"/>
      <c r="C3" s="387"/>
    </row>
    <row r="4" spans="1:15" ht="5" customHeight="1" thickBot="1">
      <c r="A4" s="191"/>
      <c r="B4" s="191"/>
      <c r="C4" s="191"/>
      <c r="D4" s="191"/>
      <c r="E4" s="191"/>
      <c r="F4" s="191"/>
      <c r="G4" s="191"/>
      <c r="H4" s="191"/>
      <c r="I4" s="142"/>
      <c r="J4" s="142"/>
      <c r="K4" s="142"/>
      <c r="L4" s="142"/>
      <c r="M4" s="142"/>
      <c r="N4" s="142"/>
      <c r="O4" s="142"/>
    </row>
    <row r="5" spans="1:15" ht="15" customHeight="1">
      <c r="A5" s="1100" t="s">
        <v>87</v>
      </c>
      <c r="B5" s="1100"/>
      <c r="C5" s="394" t="s">
        <v>56</v>
      </c>
      <c r="D5" s="374" t="s">
        <v>57</v>
      </c>
      <c r="E5" s="374" t="s">
        <v>58</v>
      </c>
      <c r="F5" s="374" t="s">
        <v>59</v>
      </c>
      <c r="G5" s="374" t="s">
        <v>60</v>
      </c>
      <c r="H5" s="374" t="s">
        <v>61</v>
      </c>
      <c r="I5" s="374" t="s">
        <v>62</v>
      </c>
      <c r="J5" s="374" t="s">
        <v>63</v>
      </c>
      <c r="K5" s="374" t="s">
        <v>64</v>
      </c>
      <c r="L5" s="374" t="s">
        <v>65</v>
      </c>
      <c r="M5" s="374" t="s">
        <v>66</v>
      </c>
      <c r="N5" s="374" t="s">
        <v>67</v>
      </c>
      <c r="O5" s="374" t="s">
        <v>68</v>
      </c>
    </row>
    <row r="6" spans="1:15" ht="14" customHeight="1">
      <c r="A6" s="189" t="s">
        <v>210</v>
      </c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</row>
    <row r="7" spans="1:15" ht="14" customHeight="1">
      <c r="A7" s="189"/>
      <c r="B7" s="141" t="s">
        <v>69</v>
      </c>
      <c r="C7" s="377">
        <f t="shared" ref="C7:C13" si="0">SUM(D7:O7)</f>
        <v>1762857</v>
      </c>
      <c r="D7" s="145">
        <v>139841</v>
      </c>
      <c r="E7" s="145">
        <v>125499</v>
      </c>
      <c r="F7" s="145">
        <v>141111</v>
      </c>
      <c r="G7" s="145">
        <v>145604</v>
      </c>
      <c r="H7" s="145">
        <v>149321</v>
      </c>
      <c r="I7" s="145">
        <v>149264</v>
      </c>
      <c r="J7" s="145">
        <v>154342</v>
      </c>
      <c r="K7" s="145">
        <v>156728</v>
      </c>
      <c r="L7" s="145">
        <v>150536</v>
      </c>
      <c r="M7" s="145">
        <v>152033</v>
      </c>
      <c r="N7" s="145">
        <v>144887</v>
      </c>
      <c r="O7" s="145">
        <v>153691</v>
      </c>
    </row>
    <row r="8" spans="1:15" ht="14" customHeight="1">
      <c r="A8" s="189"/>
      <c r="B8" s="141" t="s">
        <v>5</v>
      </c>
      <c r="C8" s="377">
        <f t="shared" si="0"/>
        <v>33782</v>
      </c>
      <c r="D8" s="145">
        <v>2331</v>
      </c>
      <c r="E8" s="145">
        <v>2548</v>
      </c>
      <c r="F8" s="145">
        <v>2727</v>
      </c>
      <c r="G8" s="145">
        <v>3082</v>
      </c>
      <c r="H8" s="145">
        <v>3211</v>
      </c>
      <c r="I8" s="145">
        <v>3209</v>
      </c>
      <c r="J8" s="145">
        <v>3121</v>
      </c>
      <c r="K8" s="145">
        <v>2961</v>
      </c>
      <c r="L8" s="145">
        <v>2806</v>
      </c>
      <c r="M8" s="145">
        <v>2613</v>
      </c>
      <c r="N8" s="145">
        <v>2572</v>
      </c>
      <c r="O8" s="145">
        <v>2601</v>
      </c>
    </row>
    <row r="9" spans="1:15" ht="14" customHeight="1">
      <c r="A9" s="189"/>
      <c r="B9" s="141" t="s">
        <v>6</v>
      </c>
      <c r="C9" s="377">
        <f t="shared" si="0"/>
        <v>173259</v>
      </c>
      <c r="D9" s="145">
        <v>13622</v>
      </c>
      <c r="E9" s="145">
        <v>13370</v>
      </c>
      <c r="F9" s="145">
        <v>13687</v>
      </c>
      <c r="G9" s="145">
        <v>13794</v>
      </c>
      <c r="H9" s="145">
        <v>14008</v>
      </c>
      <c r="I9" s="145">
        <v>14959</v>
      </c>
      <c r="J9" s="145">
        <v>16019</v>
      </c>
      <c r="K9" s="145">
        <v>14759</v>
      </c>
      <c r="L9" s="145">
        <v>14337</v>
      </c>
      <c r="M9" s="145">
        <v>14208</v>
      </c>
      <c r="N9" s="145">
        <v>14073</v>
      </c>
      <c r="O9" s="145">
        <v>16423</v>
      </c>
    </row>
    <row r="10" spans="1:15" ht="14" customHeight="1">
      <c r="A10" s="189"/>
      <c r="B10" s="141" t="s">
        <v>7</v>
      </c>
      <c r="C10" s="377">
        <f t="shared" si="0"/>
        <v>192920</v>
      </c>
      <c r="D10" s="145">
        <v>14436</v>
      </c>
      <c r="E10" s="145">
        <v>15165</v>
      </c>
      <c r="F10" s="145">
        <v>15698</v>
      </c>
      <c r="G10" s="145">
        <v>16742</v>
      </c>
      <c r="H10" s="145">
        <v>17211</v>
      </c>
      <c r="I10" s="145">
        <v>17310</v>
      </c>
      <c r="J10" s="145">
        <v>16979</v>
      </c>
      <c r="K10" s="145">
        <v>16417</v>
      </c>
      <c r="L10" s="145">
        <v>15835</v>
      </c>
      <c r="M10" s="145">
        <v>15544</v>
      </c>
      <c r="N10" s="145">
        <v>15493</v>
      </c>
      <c r="O10" s="145">
        <v>16090</v>
      </c>
    </row>
    <row r="11" spans="1:15" ht="14" customHeight="1">
      <c r="A11" s="189"/>
      <c r="B11" s="141" t="s">
        <v>8</v>
      </c>
      <c r="C11" s="377">
        <f t="shared" si="0"/>
        <v>5102</v>
      </c>
      <c r="D11" s="145">
        <v>373</v>
      </c>
      <c r="E11" s="145">
        <v>404</v>
      </c>
      <c r="F11" s="145">
        <v>421</v>
      </c>
      <c r="G11" s="145">
        <v>432</v>
      </c>
      <c r="H11" s="145">
        <v>448</v>
      </c>
      <c r="I11" s="145">
        <v>472</v>
      </c>
      <c r="J11" s="145">
        <v>465</v>
      </c>
      <c r="K11" s="145">
        <v>444</v>
      </c>
      <c r="L11" s="145">
        <v>405</v>
      </c>
      <c r="M11" s="145">
        <v>386</v>
      </c>
      <c r="N11" s="145">
        <v>407</v>
      </c>
      <c r="O11" s="145">
        <v>445</v>
      </c>
    </row>
    <row r="12" spans="1:15" ht="14" customHeight="1">
      <c r="A12" s="189"/>
      <c r="B12" s="141" t="s">
        <v>9</v>
      </c>
      <c r="C12" s="377">
        <f t="shared" si="0"/>
        <v>12581</v>
      </c>
      <c r="D12" s="145">
        <v>821</v>
      </c>
      <c r="E12" s="145">
        <v>990</v>
      </c>
      <c r="F12" s="145">
        <v>1088</v>
      </c>
      <c r="G12" s="145">
        <v>1306</v>
      </c>
      <c r="H12" s="145">
        <v>1265</v>
      </c>
      <c r="I12" s="145">
        <v>1265</v>
      </c>
      <c r="J12" s="145">
        <v>1236</v>
      </c>
      <c r="K12" s="145">
        <v>1115</v>
      </c>
      <c r="L12" s="145">
        <v>952</v>
      </c>
      <c r="M12" s="145">
        <v>869</v>
      </c>
      <c r="N12" s="145">
        <v>866</v>
      </c>
      <c r="O12" s="145">
        <v>808</v>
      </c>
    </row>
    <row r="13" spans="1:15" ht="14" customHeight="1">
      <c r="A13" s="189"/>
      <c r="B13" s="141" t="s">
        <v>10</v>
      </c>
      <c r="C13" s="377">
        <f t="shared" si="0"/>
        <v>3849</v>
      </c>
      <c r="D13" s="145">
        <v>259</v>
      </c>
      <c r="E13" s="145">
        <v>302</v>
      </c>
      <c r="F13" s="145">
        <v>322</v>
      </c>
      <c r="G13" s="145">
        <v>373</v>
      </c>
      <c r="H13" s="145">
        <v>370</v>
      </c>
      <c r="I13" s="145">
        <v>381</v>
      </c>
      <c r="J13" s="145">
        <v>355</v>
      </c>
      <c r="K13" s="145">
        <v>327</v>
      </c>
      <c r="L13" s="145">
        <v>298</v>
      </c>
      <c r="M13" s="145">
        <v>271</v>
      </c>
      <c r="N13" s="145">
        <v>272</v>
      </c>
      <c r="O13" s="145">
        <v>319</v>
      </c>
    </row>
    <row r="14" spans="1:15" ht="5" customHeight="1">
      <c r="A14" s="189"/>
      <c r="C14" s="377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</row>
    <row r="15" spans="1:15" ht="14" customHeight="1">
      <c r="A15" s="189" t="s">
        <v>316</v>
      </c>
      <c r="C15" s="377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</row>
    <row r="16" spans="1:15" ht="14" customHeight="1">
      <c r="A16" s="189"/>
      <c r="B16" s="141" t="s">
        <v>5</v>
      </c>
      <c r="C16" s="377">
        <f>SUM(D16:O16)</f>
        <v>26274.888888888887</v>
      </c>
      <c r="D16" s="145">
        <f>(D8/0.45*0.35)</f>
        <v>1812.9999999999998</v>
      </c>
      <c r="E16" s="145">
        <f t="shared" ref="E16:O16" si="1">(E8/0.45*0.35)</f>
        <v>1981.7777777777774</v>
      </c>
      <c r="F16" s="145">
        <f t="shared" si="1"/>
        <v>2121</v>
      </c>
      <c r="G16" s="145">
        <f t="shared" si="1"/>
        <v>2397.1111111111109</v>
      </c>
      <c r="H16" s="145">
        <f t="shared" si="1"/>
        <v>2497.4444444444443</v>
      </c>
      <c r="I16" s="145">
        <f t="shared" si="1"/>
        <v>2495.8888888888887</v>
      </c>
      <c r="J16" s="145">
        <f t="shared" si="1"/>
        <v>2427.4444444444443</v>
      </c>
      <c r="K16" s="145">
        <f t="shared" si="1"/>
        <v>2303</v>
      </c>
      <c r="L16" s="145">
        <f t="shared" si="1"/>
        <v>2182.4444444444443</v>
      </c>
      <c r="M16" s="145">
        <f t="shared" si="1"/>
        <v>2032.3333333333333</v>
      </c>
      <c r="N16" s="145">
        <f t="shared" si="1"/>
        <v>2000.4444444444443</v>
      </c>
      <c r="O16" s="145">
        <f t="shared" si="1"/>
        <v>2022.9999999999998</v>
      </c>
    </row>
    <row r="17" spans="1:15" ht="14" customHeight="1">
      <c r="A17" s="189"/>
      <c r="B17" s="141" t="s">
        <v>6</v>
      </c>
      <c r="C17" s="377">
        <f>SUM(D17:O17)</f>
        <v>34651.799999999996</v>
      </c>
      <c r="D17" s="145">
        <f>(D9/0.75*0.15)</f>
        <v>2724.4</v>
      </c>
      <c r="E17" s="145">
        <f t="shared" ref="E17:O17" si="2">(E9/0.75*0.15)</f>
        <v>2674</v>
      </c>
      <c r="F17" s="145">
        <f t="shared" si="2"/>
        <v>2737.3999999999996</v>
      </c>
      <c r="G17" s="145">
        <f t="shared" si="2"/>
        <v>2758.7999999999997</v>
      </c>
      <c r="H17" s="145">
        <f t="shared" si="2"/>
        <v>2801.6</v>
      </c>
      <c r="I17" s="145">
        <f t="shared" si="2"/>
        <v>2991.7999999999997</v>
      </c>
      <c r="J17" s="145">
        <f t="shared" si="2"/>
        <v>3203.8</v>
      </c>
      <c r="K17" s="145">
        <f t="shared" si="2"/>
        <v>2951.8</v>
      </c>
      <c r="L17" s="145">
        <f t="shared" si="2"/>
        <v>2867.4</v>
      </c>
      <c r="M17" s="145">
        <f t="shared" si="2"/>
        <v>2841.6</v>
      </c>
      <c r="N17" s="145">
        <f t="shared" si="2"/>
        <v>2814.6</v>
      </c>
      <c r="O17" s="145">
        <f t="shared" si="2"/>
        <v>3284.6</v>
      </c>
    </row>
    <row r="18" spans="1:15" ht="14" customHeight="1">
      <c r="A18" s="189"/>
      <c r="B18" s="141" t="s">
        <v>7</v>
      </c>
      <c r="C18" s="377">
        <f>SUM(D18:O18)</f>
        <v>94568.627450980392</v>
      </c>
      <c r="D18" s="145">
        <f>(D10/0.51*0.25)</f>
        <v>7076.4705882352937</v>
      </c>
      <c r="E18" s="145">
        <f t="shared" ref="E18:O18" si="3">(E10/0.51*0.25)</f>
        <v>7433.8235294117649</v>
      </c>
      <c r="F18" s="145">
        <f t="shared" si="3"/>
        <v>7695.0980392156862</v>
      </c>
      <c r="G18" s="145">
        <f t="shared" si="3"/>
        <v>8206.8627450980384</v>
      </c>
      <c r="H18" s="145">
        <f t="shared" si="3"/>
        <v>8436.7647058823532</v>
      </c>
      <c r="I18" s="145">
        <f t="shared" si="3"/>
        <v>8485.2941176470595</v>
      </c>
      <c r="J18" s="145">
        <f t="shared" si="3"/>
        <v>8323.0392156862745</v>
      </c>
      <c r="K18" s="145">
        <f t="shared" si="3"/>
        <v>8047.5490196078426</v>
      </c>
      <c r="L18" s="145">
        <f t="shared" si="3"/>
        <v>7762.2549019607841</v>
      </c>
      <c r="M18" s="145">
        <f t="shared" si="3"/>
        <v>7619.6078431372543</v>
      </c>
      <c r="N18" s="145">
        <f t="shared" si="3"/>
        <v>7594.6078431372543</v>
      </c>
      <c r="O18" s="145">
        <f t="shared" si="3"/>
        <v>7887.2549019607841</v>
      </c>
    </row>
    <row r="19" spans="1:15" ht="14" customHeight="1">
      <c r="A19" s="189"/>
      <c r="B19" s="141" t="s">
        <v>8</v>
      </c>
      <c r="C19" s="377">
        <f>SUM(D19:O19)</f>
        <v>3968.2222222222217</v>
      </c>
      <c r="D19" s="145">
        <f>(D11/0.45*0.35)</f>
        <v>290.11111111111109</v>
      </c>
      <c r="E19" s="145">
        <f t="shared" ref="E19:O19" si="4">(E11/0.45*0.35)</f>
        <v>314.22222222222217</v>
      </c>
      <c r="F19" s="145">
        <f t="shared" si="4"/>
        <v>327.4444444444444</v>
      </c>
      <c r="G19" s="145">
        <f t="shared" si="4"/>
        <v>336</v>
      </c>
      <c r="H19" s="145">
        <f t="shared" si="4"/>
        <v>348.4444444444444</v>
      </c>
      <c r="I19" s="145">
        <f t="shared" si="4"/>
        <v>367.11111111111109</v>
      </c>
      <c r="J19" s="145">
        <f t="shared" si="4"/>
        <v>361.66666666666663</v>
      </c>
      <c r="K19" s="145">
        <f t="shared" si="4"/>
        <v>345.33333333333331</v>
      </c>
      <c r="L19" s="145">
        <f t="shared" si="4"/>
        <v>315</v>
      </c>
      <c r="M19" s="145">
        <f t="shared" si="4"/>
        <v>300.22222222222217</v>
      </c>
      <c r="N19" s="145">
        <f t="shared" si="4"/>
        <v>316.55555555555554</v>
      </c>
      <c r="O19" s="145">
        <f t="shared" si="4"/>
        <v>346.11111111111109</v>
      </c>
    </row>
    <row r="20" spans="1:15" ht="5" customHeight="1">
      <c r="A20" s="189"/>
      <c r="C20" s="377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</row>
    <row r="21" spans="1:15" ht="14" customHeight="1">
      <c r="A21" s="189" t="s">
        <v>317</v>
      </c>
      <c r="C21" s="377">
        <f>SUM(D21:O21)</f>
        <v>488482</v>
      </c>
      <c r="D21" s="145">
        <v>40058</v>
      </c>
      <c r="E21" s="145">
        <v>40248</v>
      </c>
      <c r="F21" s="145">
        <v>40240</v>
      </c>
      <c r="G21" s="145">
        <v>40299</v>
      </c>
      <c r="H21" s="145">
        <v>40688</v>
      </c>
      <c r="I21" s="145">
        <v>40523</v>
      </c>
      <c r="J21" s="145">
        <v>40408</v>
      </c>
      <c r="K21" s="145">
        <v>40433</v>
      </c>
      <c r="L21" s="145">
        <v>40549</v>
      </c>
      <c r="M21" s="145">
        <v>41134</v>
      </c>
      <c r="N21" s="145">
        <v>41845</v>
      </c>
      <c r="O21" s="145">
        <v>42057</v>
      </c>
    </row>
    <row r="22" spans="1:15" ht="5" customHeight="1">
      <c r="A22" s="189"/>
      <c r="C22" s="377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</row>
    <row r="23" spans="1:15" ht="14" customHeight="1">
      <c r="A23" s="189" t="s">
        <v>318</v>
      </c>
      <c r="C23" s="377">
        <f>SUM(D23:O23)</f>
        <v>2129366</v>
      </c>
      <c r="D23" s="145">
        <v>183746</v>
      </c>
      <c r="E23" s="145">
        <v>171137</v>
      </c>
      <c r="F23" s="145">
        <v>183859</v>
      </c>
      <c r="G23" s="145">
        <v>190048</v>
      </c>
      <c r="H23" s="145">
        <v>194641</v>
      </c>
      <c r="I23" s="145">
        <v>184681</v>
      </c>
      <c r="J23" s="145">
        <v>179033</v>
      </c>
      <c r="K23" s="145">
        <v>171442</v>
      </c>
      <c r="L23" s="145">
        <v>166239</v>
      </c>
      <c r="M23" s="145">
        <v>168249</v>
      </c>
      <c r="N23" s="145">
        <v>166490</v>
      </c>
      <c r="O23" s="145">
        <v>169801</v>
      </c>
    </row>
    <row r="24" spans="1:15" ht="5" customHeight="1">
      <c r="A24" s="189"/>
      <c r="C24" s="377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</row>
    <row r="25" spans="1:15" ht="14" customHeight="1">
      <c r="A25" s="189" t="s">
        <v>11</v>
      </c>
      <c r="C25" s="377">
        <f>SUM(D25:O25)</f>
        <v>4453</v>
      </c>
      <c r="D25" s="145">
        <v>331</v>
      </c>
      <c r="E25" s="145">
        <v>651</v>
      </c>
      <c r="F25" s="145">
        <v>655</v>
      </c>
      <c r="G25" s="145">
        <v>63</v>
      </c>
      <c r="H25" s="145">
        <v>55</v>
      </c>
      <c r="I25" s="145">
        <v>48</v>
      </c>
      <c r="J25" s="145">
        <v>2</v>
      </c>
      <c r="K25" s="145">
        <v>15</v>
      </c>
      <c r="L25" s="145">
        <v>6</v>
      </c>
      <c r="M25" s="145">
        <v>169</v>
      </c>
      <c r="N25" s="145">
        <v>1670</v>
      </c>
      <c r="O25" s="145">
        <v>788</v>
      </c>
    </row>
    <row r="26" spans="1:15" ht="5" customHeight="1">
      <c r="A26" s="189"/>
      <c r="C26" s="377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</row>
    <row r="27" spans="1:15" ht="14" customHeight="1">
      <c r="A27" s="189" t="s">
        <v>12</v>
      </c>
      <c r="B27" s="184"/>
      <c r="C27" s="377">
        <f>SUM(D27:O27)</f>
        <v>658</v>
      </c>
      <c r="D27" s="145">
        <v>29</v>
      </c>
      <c r="E27" s="145">
        <v>114</v>
      </c>
      <c r="F27" s="145">
        <v>103</v>
      </c>
      <c r="G27" s="145">
        <v>9</v>
      </c>
      <c r="H27" s="145">
        <v>5</v>
      </c>
      <c r="I27" s="145">
        <v>3</v>
      </c>
      <c r="J27" s="145">
        <v>0</v>
      </c>
      <c r="K27" s="145">
        <v>0</v>
      </c>
      <c r="L27" s="145">
        <v>0</v>
      </c>
      <c r="M27" s="145">
        <v>45</v>
      </c>
      <c r="N27" s="145">
        <v>290</v>
      </c>
      <c r="O27" s="145">
        <v>60</v>
      </c>
    </row>
    <row r="28" spans="1:15" ht="5" customHeight="1">
      <c r="A28" s="189"/>
      <c r="B28" s="184"/>
      <c r="C28" s="377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</row>
    <row r="29" spans="1:15" ht="14" customHeight="1" thickBot="1">
      <c r="A29" s="432" t="s">
        <v>283</v>
      </c>
      <c r="B29" s="398"/>
      <c r="C29" s="433">
        <f>SUM(D29:O29)</f>
        <v>7743</v>
      </c>
      <c r="D29" s="399">
        <v>655</v>
      </c>
      <c r="E29" s="399">
        <v>2691</v>
      </c>
      <c r="F29" s="399">
        <v>1941</v>
      </c>
      <c r="G29" s="399">
        <v>283</v>
      </c>
      <c r="H29" s="399">
        <v>455</v>
      </c>
      <c r="I29" s="399">
        <v>223</v>
      </c>
      <c r="J29" s="399">
        <v>196</v>
      </c>
      <c r="K29" s="399">
        <v>135</v>
      </c>
      <c r="L29" s="399">
        <v>180</v>
      </c>
      <c r="M29" s="399">
        <v>32</v>
      </c>
      <c r="N29" s="399">
        <v>555</v>
      </c>
      <c r="O29" s="399">
        <v>397</v>
      </c>
    </row>
    <row r="30" spans="1:15" ht="10" customHeight="1">
      <c r="A30" s="28" t="s">
        <v>238</v>
      </c>
      <c r="B30" s="365"/>
      <c r="C30" s="365"/>
      <c r="D30" s="365"/>
    </row>
    <row r="31" spans="1:15" ht="10" customHeight="1">
      <c r="A31" s="28" t="s">
        <v>192</v>
      </c>
      <c r="B31" s="365"/>
      <c r="C31" s="365"/>
      <c r="D31" s="365"/>
    </row>
    <row r="32" spans="1:15" ht="10" customHeight="1">
      <c r="A32" s="40" t="s">
        <v>261</v>
      </c>
      <c r="B32" s="365"/>
      <c r="C32" s="365"/>
      <c r="D32" s="365"/>
    </row>
    <row r="33" spans="1:5" ht="13" customHeight="1">
      <c r="A33" s="12"/>
    </row>
    <row r="35" spans="1:5" ht="13" customHeight="1">
      <c r="E35" s="145"/>
    </row>
  </sheetData>
  <mergeCells count="1">
    <mergeCell ref="A5:B5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tabColor theme="9" tint="0.59999389629810485"/>
  </sheetPr>
  <dimension ref="A2:S61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7" ht="13" customHeight="1">
      <c r="A2" s="452" t="s">
        <v>324</v>
      </c>
      <c r="B2" s="450"/>
      <c r="C2" s="450"/>
    </row>
    <row r="3" spans="1:17" ht="13" customHeight="1">
      <c r="A3" s="451" t="s">
        <v>325</v>
      </c>
      <c r="B3" s="451"/>
      <c r="C3" s="450"/>
    </row>
    <row r="4" spans="1:17" ht="4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7" ht="15" customHeight="1">
      <c r="A5" s="1101" t="s">
        <v>18</v>
      </c>
      <c r="B5" s="1101"/>
      <c r="C5" s="344">
        <v>2005</v>
      </c>
      <c r="D5" s="344">
        <v>2006</v>
      </c>
      <c r="E5" s="344">
        <v>2007</v>
      </c>
      <c r="F5" s="344">
        <v>2008</v>
      </c>
      <c r="G5" s="344">
        <v>2009</v>
      </c>
      <c r="H5" s="344">
        <v>2010</v>
      </c>
      <c r="I5" s="344">
        <v>2011</v>
      </c>
      <c r="J5" s="344">
        <v>2012</v>
      </c>
      <c r="K5" s="344">
        <v>2013</v>
      </c>
      <c r="L5" s="344">
        <v>2014</v>
      </c>
      <c r="M5" s="344">
        <v>2015</v>
      </c>
      <c r="N5" s="344">
        <v>2016</v>
      </c>
      <c r="O5" s="344">
        <v>2017</v>
      </c>
      <c r="P5" s="344" t="s">
        <v>221</v>
      </c>
      <c r="Q5" s="344" t="s">
        <v>239</v>
      </c>
    </row>
    <row r="6" spans="1:17" ht="15" customHeight="1">
      <c r="A6" s="1102" t="s">
        <v>106</v>
      </c>
      <c r="B6" s="1102"/>
      <c r="C6" s="460">
        <f t="shared" ref="C6:L6" si="0">(C8+C9+C10+C11+C12+C13+C14+C15+C16+C17+C18+C19+C20+C21+C22+C23+C24+C25+C26+C27+C28+C29+C30+C31)</f>
        <v>5249783</v>
      </c>
      <c r="D6" s="460">
        <f t="shared" si="0"/>
        <v>5241101</v>
      </c>
      <c r="E6" s="475">
        <f t="shared" si="0"/>
        <v>5420865</v>
      </c>
      <c r="F6" s="475">
        <f t="shared" si="0"/>
        <v>5442989</v>
      </c>
      <c r="G6" s="475">
        <f t="shared" si="0"/>
        <v>5459435</v>
      </c>
      <c r="H6" s="475">
        <f t="shared" si="0"/>
        <v>5520198</v>
      </c>
      <c r="I6" s="475">
        <f t="shared" si="0"/>
        <v>5589173</v>
      </c>
      <c r="J6" s="475">
        <f t="shared" si="0"/>
        <v>5660984</v>
      </c>
      <c r="K6" s="475">
        <f t="shared" si="0"/>
        <v>5555988</v>
      </c>
      <c r="L6" s="475">
        <f t="shared" si="0"/>
        <v>5577958</v>
      </c>
      <c r="M6" s="475">
        <f>(M8+M9+M10+M11+M12+M13+M14+M15+M16+M17+M18+M19+M20+M21+M22+M23+M24+M25+M26+M27+M28+M29+M30+M31)</f>
        <v>5553469</v>
      </c>
      <c r="N6" s="475">
        <f>(N8+N9+N10+N11+N12+N13+N14+N15+N16+N17+N18+N19+N20+N21+N22+N23+N24+N25+N26+N27+N28+N29+N30+N31)</f>
        <v>5525455</v>
      </c>
      <c r="O6" s="475">
        <f>(O8+O9+O10+O11+O12+O13+O14+O15+O16+O17+O18+O19+O20+O21+O22+O23+O24+O25+O26+O27+O28+O29+O30+O31)</f>
        <v>5535569</v>
      </c>
      <c r="P6" s="475">
        <f>(P8+P9+P10+P11+P12+P13+P14+P15+P16+P17+P18+P19+P20+P21+P22+P23+P24+P25+P26+P27+P28+P29+P30+P31)</f>
        <v>5575483</v>
      </c>
      <c r="Q6" s="475">
        <f>(Q8+Q9+Q10+Q11+Q12+Q13+Q14+Q15+Q16+Q17+Q18+Q19+Q20+Q21+Q22+Q23+Q24+Q25+Q26+Q27+Q28+Q29+Q30+Q31)</f>
        <v>5599893</v>
      </c>
    </row>
    <row r="7" spans="1:17" ht="5" customHeight="1">
      <c r="A7" s="151"/>
      <c r="B7" s="152"/>
      <c r="C7" s="461"/>
      <c r="D7" s="461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</row>
    <row r="8" spans="1:17" ht="13" customHeight="1">
      <c r="A8" s="151"/>
      <c r="B8" s="29" t="s">
        <v>21</v>
      </c>
      <c r="C8" s="455">
        <v>13800</v>
      </c>
      <c r="D8" s="455">
        <v>14000</v>
      </c>
      <c r="E8" s="477">
        <v>13890</v>
      </c>
      <c r="F8" s="477">
        <v>17461</v>
      </c>
      <c r="G8" s="477">
        <v>17100</v>
      </c>
      <c r="H8" s="477">
        <v>13729</v>
      </c>
      <c r="I8" s="477">
        <v>14447</v>
      </c>
      <c r="J8" s="477">
        <v>18070</v>
      </c>
      <c r="K8" s="477">
        <v>18447</v>
      </c>
      <c r="L8" s="477">
        <v>19414</v>
      </c>
      <c r="M8" s="478">
        <v>21346</v>
      </c>
      <c r="N8" s="478">
        <v>22427</v>
      </c>
      <c r="O8" s="478">
        <v>22350</v>
      </c>
      <c r="P8" s="478">
        <v>22050</v>
      </c>
      <c r="Q8" s="478">
        <v>22200</v>
      </c>
    </row>
    <row r="9" spans="1:17" ht="13" customHeight="1">
      <c r="A9" s="151"/>
      <c r="B9" s="29" t="s">
        <v>22</v>
      </c>
      <c r="C9" s="455">
        <v>234260</v>
      </c>
      <c r="D9" s="455">
        <v>234260</v>
      </c>
      <c r="E9" s="477">
        <v>237774</v>
      </c>
      <c r="F9" s="477">
        <v>227803</v>
      </c>
      <c r="G9" s="477">
        <v>230765</v>
      </c>
      <c r="H9" s="479">
        <v>302158</v>
      </c>
      <c r="I9" s="479">
        <v>310158</v>
      </c>
      <c r="J9" s="479">
        <v>324960</v>
      </c>
      <c r="K9" s="479">
        <v>308181</v>
      </c>
      <c r="L9" s="479">
        <v>301926</v>
      </c>
      <c r="M9" s="480">
        <v>298200</v>
      </c>
      <c r="N9" s="480">
        <v>290882</v>
      </c>
      <c r="O9" s="480">
        <v>276247</v>
      </c>
      <c r="P9" s="480">
        <v>268181</v>
      </c>
      <c r="Q9" s="480">
        <v>258181</v>
      </c>
    </row>
    <row r="10" spans="1:17" ht="13" customHeight="1">
      <c r="A10" s="151"/>
      <c r="B10" s="29" t="s">
        <v>23</v>
      </c>
      <c r="C10" s="455">
        <v>86000</v>
      </c>
      <c r="D10" s="455">
        <v>87500</v>
      </c>
      <c r="E10" s="477">
        <v>96479</v>
      </c>
      <c r="F10" s="477">
        <v>113725</v>
      </c>
      <c r="G10" s="477">
        <v>114210</v>
      </c>
      <c r="H10" s="479">
        <v>110583</v>
      </c>
      <c r="I10" s="479">
        <v>109540</v>
      </c>
      <c r="J10" s="479">
        <v>89795</v>
      </c>
      <c r="K10" s="479">
        <v>89530</v>
      </c>
      <c r="L10" s="479">
        <v>85995</v>
      </c>
      <c r="M10" s="479">
        <v>86120</v>
      </c>
      <c r="N10" s="479">
        <v>86344</v>
      </c>
      <c r="O10" s="479">
        <v>113514</v>
      </c>
      <c r="P10" s="479">
        <v>112040</v>
      </c>
      <c r="Q10" s="479">
        <v>113602</v>
      </c>
    </row>
    <row r="11" spans="1:17" ht="13" customHeight="1">
      <c r="A11" s="151"/>
      <c r="B11" s="29" t="s">
        <v>24</v>
      </c>
      <c r="C11" s="455">
        <v>253482</v>
      </c>
      <c r="D11" s="455">
        <v>253925</v>
      </c>
      <c r="E11" s="477">
        <v>254014</v>
      </c>
      <c r="F11" s="477">
        <v>253872</v>
      </c>
      <c r="G11" s="477">
        <v>253917</v>
      </c>
      <c r="H11" s="479">
        <v>254699</v>
      </c>
      <c r="I11" s="479">
        <v>259557</v>
      </c>
      <c r="J11" s="477">
        <v>262771</v>
      </c>
      <c r="K11" s="477">
        <v>262017</v>
      </c>
      <c r="L11" s="477">
        <v>259231</v>
      </c>
      <c r="M11" s="478">
        <v>246630</v>
      </c>
      <c r="N11" s="478">
        <v>245857</v>
      </c>
      <c r="O11" s="478">
        <v>237501</v>
      </c>
      <c r="P11" s="478">
        <v>233412</v>
      </c>
      <c r="Q11" s="478">
        <v>235457</v>
      </c>
    </row>
    <row r="12" spans="1:17" ht="13" customHeight="1">
      <c r="A12" s="151"/>
      <c r="B12" s="29" t="s">
        <v>25</v>
      </c>
      <c r="C12" s="455">
        <v>567252</v>
      </c>
      <c r="D12" s="455">
        <v>585191</v>
      </c>
      <c r="E12" s="477">
        <v>647924</v>
      </c>
      <c r="F12" s="477">
        <v>663444</v>
      </c>
      <c r="G12" s="477">
        <v>668400</v>
      </c>
      <c r="H12" s="477">
        <v>661441</v>
      </c>
      <c r="I12" s="477">
        <v>664574</v>
      </c>
      <c r="J12" s="477">
        <v>645466</v>
      </c>
      <c r="K12" s="477">
        <v>654160</v>
      </c>
      <c r="L12" s="477">
        <v>661156</v>
      </c>
      <c r="M12" s="478">
        <v>663500</v>
      </c>
      <c r="N12" s="478">
        <v>657561</v>
      </c>
      <c r="O12" s="478">
        <v>645182</v>
      </c>
      <c r="P12" s="478">
        <v>648080</v>
      </c>
      <c r="Q12" s="478">
        <v>655840</v>
      </c>
    </row>
    <row r="13" spans="1:17" ht="13" customHeight="1">
      <c r="A13" s="151"/>
      <c r="B13" s="29" t="s">
        <v>29</v>
      </c>
      <c r="C13" s="455">
        <v>201868</v>
      </c>
      <c r="D13" s="455">
        <v>203000</v>
      </c>
      <c r="E13" s="477">
        <v>232617</v>
      </c>
      <c r="F13" s="477">
        <v>239911</v>
      </c>
      <c r="G13" s="477">
        <v>238500</v>
      </c>
      <c r="H13" s="477">
        <v>231680</v>
      </c>
      <c r="I13" s="477">
        <v>230526</v>
      </c>
      <c r="J13" s="477">
        <v>230190</v>
      </c>
      <c r="K13" s="477">
        <v>231874</v>
      </c>
      <c r="L13" s="477">
        <v>240121</v>
      </c>
      <c r="M13" s="477">
        <v>250584</v>
      </c>
      <c r="N13" s="477">
        <v>246360</v>
      </c>
      <c r="O13" s="477">
        <v>247610</v>
      </c>
      <c r="P13" s="477">
        <v>248100</v>
      </c>
      <c r="Q13" s="477">
        <v>247855</v>
      </c>
    </row>
    <row r="14" spans="1:17" ht="13" customHeight="1">
      <c r="A14" s="151"/>
      <c r="B14" s="29" t="s">
        <v>30</v>
      </c>
      <c r="C14" s="455">
        <v>342051</v>
      </c>
      <c r="D14" s="455">
        <v>301166</v>
      </c>
      <c r="E14" s="477">
        <v>301783</v>
      </c>
      <c r="F14" s="477">
        <v>302411</v>
      </c>
      <c r="G14" s="477">
        <v>305711</v>
      </c>
      <c r="H14" s="479">
        <v>307624</v>
      </c>
      <c r="I14" s="479">
        <v>304367</v>
      </c>
      <c r="J14" s="479">
        <v>300992</v>
      </c>
      <c r="K14" s="479">
        <v>294294</v>
      </c>
      <c r="L14" s="479">
        <v>304127</v>
      </c>
      <c r="M14" s="478">
        <v>304262</v>
      </c>
      <c r="N14" s="478">
        <v>309475</v>
      </c>
      <c r="O14" s="478">
        <v>305720</v>
      </c>
      <c r="P14" s="478">
        <v>306410</v>
      </c>
      <c r="Q14" s="478">
        <v>306065</v>
      </c>
    </row>
    <row r="15" spans="1:17" ht="13" customHeight="1">
      <c r="A15" s="151"/>
      <c r="B15" s="29" t="s">
        <v>31</v>
      </c>
      <c r="C15" s="455">
        <v>263480</v>
      </c>
      <c r="D15" s="455">
        <v>258000</v>
      </c>
      <c r="E15" s="477">
        <v>254986</v>
      </c>
      <c r="F15" s="477">
        <v>228844</v>
      </c>
      <c r="G15" s="477">
        <v>226800</v>
      </c>
      <c r="H15" s="479">
        <v>230422</v>
      </c>
      <c r="I15" s="479">
        <v>232109</v>
      </c>
      <c r="J15" s="479">
        <v>225265</v>
      </c>
      <c r="K15" s="479">
        <v>226410</v>
      </c>
      <c r="L15" s="479">
        <v>232070</v>
      </c>
      <c r="M15" s="478">
        <v>265104</v>
      </c>
      <c r="N15" s="478">
        <v>257939</v>
      </c>
      <c r="O15" s="478">
        <v>245851</v>
      </c>
      <c r="P15" s="478">
        <v>255851</v>
      </c>
      <c r="Q15" s="478">
        <v>250851</v>
      </c>
    </row>
    <row r="16" spans="1:17" ht="13" customHeight="1">
      <c r="A16" s="151"/>
      <c r="B16" s="29" t="s">
        <v>32</v>
      </c>
      <c r="C16" s="455">
        <v>36448</v>
      </c>
      <c r="D16" s="457">
        <v>36595</v>
      </c>
      <c r="E16" s="481">
        <v>36877</v>
      </c>
      <c r="F16" s="481">
        <v>37296</v>
      </c>
      <c r="G16" s="481">
        <v>38100</v>
      </c>
      <c r="H16" s="479">
        <v>37063</v>
      </c>
      <c r="I16" s="479">
        <v>38362</v>
      </c>
      <c r="J16" s="479">
        <v>43823</v>
      </c>
      <c r="K16" s="479">
        <v>45315</v>
      </c>
      <c r="L16" s="479">
        <v>46324</v>
      </c>
      <c r="M16" s="479">
        <v>47838</v>
      </c>
      <c r="N16" s="479">
        <v>47321</v>
      </c>
      <c r="O16" s="479">
        <v>50124</v>
      </c>
      <c r="P16" s="479">
        <v>49144</v>
      </c>
      <c r="Q16" s="479">
        <v>50530</v>
      </c>
    </row>
    <row r="17" spans="1:17" ht="13" customHeight="1">
      <c r="A17" s="151"/>
      <c r="B17" s="29" t="s">
        <v>33</v>
      </c>
      <c r="C17" s="455">
        <v>269149</v>
      </c>
      <c r="D17" s="455">
        <v>293273</v>
      </c>
      <c r="E17" s="477">
        <v>324363</v>
      </c>
      <c r="F17" s="477">
        <v>323160</v>
      </c>
      <c r="G17" s="477">
        <v>324200</v>
      </c>
      <c r="H17" s="479">
        <v>319829</v>
      </c>
      <c r="I17" s="479">
        <v>305300</v>
      </c>
      <c r="J17" s="479">
        <v>246716</v>
      </c>
      <c r="K17" s="479">
        <v>273992</v>
      </c>
      <c r="L17" s="479">
        <v>295422</v>
      </c>
      <c r="M17" s="478">
        <v>290997</v>
      </c>
      <c r="N17" s="478">
        <v>290400</v>
      </c>
      <c r="O17" s="478">
        <v>292412</v>
      </c>
      <c r="P17" s="478">
        <v>293320</v>
      </c>
      <c r="Q17" s="478">
        <v>292866</v>
      </c>
    </row>
    <row r="18" spans="1:17" ht="13" customHeight="1">
      <c r="A18" s="151"/>
      <c r="B18" s="29" t="s">
        <v>34</v>
      </c>
      <c r="C18" s="455">
        <v>101588</v>
      </c>
      <c r="D18" s="455">
        <v>124095</v>
      </c>
      <c r="E18" s="477">
        <v>125933</v>
      </c>
      <c r="F18" s="477">
        <v>127193</v>
      </c>
      <c r="G18" s="477">
        <v>127367</v>
      </c>
      <c r="H18" s="479">
        <v>121506</v>
      </c>
      <c r="I18" s="479">
        <v>123433</v>
      </c>
      <c r="J18" s="479">
        <v>139412</v>
      </c>
      <c r="K18" s="479">
        <v>104710</v>
      </c>
      <c r="L18" s="479">
        <v>105754</v>
      </c>
      <c r="M18" s="478">
        <v>116831</v>
      </c>
      <c r="N18" s="478">
        <v>118002</v>
      </c>
      <c r="O18" s="478">
        <v>119663</v>
      </c>
      <c r="P18" s="478">
        <v>119420</v>
      </c>
      <c r="Q18" s="478">
        <v>119542</v>
      </c>
    </row>
    <row r="19" spans="1:17" ht="13" customHeight="1">
      <c r="A19" s="151"/>
      <c r="B19" s="29" t="s">
        <v>35</v>
      </c>
      <c r="C19" s="455">
        <v>222660</v>
      </c>
      <c r="D19" s="455">
        <v>221770</v>
      </c>
      <c r="E19" s="477">
        <v>222660</v>
      </c>
      <c r="F19" s="477">
        <v>234727</v>
      </c>
      <c r="G19" s="477">
        <v>230300</v>
      </c>
      <c r="H19" s="479">
        <v>225423</v>
      </c>
      <c r="I19" s="479">
        <v>226527</v>
      </c>
      <c r="J19" s="479">
        <v>308233</v>
      </c>
      <c r="K19" s="479">
        <v>312227</v>
      </c>
      <c r="L19" s="479">
        <v>288385</v>
      </c>
      <c r="M19" s="478">
        <v>298924</v>
      </c>
      <c r="N19" s="478">
        <v>296450</v>
      </c>
      <c r="O19" s="478">
        <v>321586</v>
      </c>
      <c r="P19" s="478">
        <v>331426</v>
      </c>
      <c r="Q19" s="478">
        <v>326506</v>
      </c>
    </row>
    <row r="20" spans="1:17" ht="13" customHeight="1">
      <c r="A20" s="151"/>
      <c r="B20" s="29" t="s">
        <v>36</v>
      </c>
      <c r="C20" s="455">
        <v>190580</v>
      </c>
      <c r="D20" s="455">
        <v>192967</v>
      </c>
      <c r="E20" s="477">
        <v>192922</v>
      </c>
      <c r="F20" s="477">
        <v>192479</v>
      </c>
      <c r="G20" s="477">
        <v>196315</v>
      </c>
      <c r="H20" s="479">
        <v>193053</v>
      </c>
      <c r="I20" s="479">
        <v>190420</v>
      </c>
      <c r="J20" s="479">
        <v>181736</v>
      </c>
      <c r="K20" s="479">
        <v>192332</v>
      </c>
      <c r="L20" s="479">
        <v>210565</v>
      </c>
      <c r="M20" s="478">
        <v>178817</v>
      </c>
      <c r="N20" s="478">
        <v>175772</v>
      </c>
      <c r="O20" s="478">
        <v>174439</v>
      </c>
      <c r="P20" s="478">
        <v>173620</v>
      </c>
      <c r="Q20" s="478">
        <v>182010</v>
      </c>
    </row>
    <row r="21" spans="1:17" ht="13" customHeight="1">
      <c r="A21" s="151"/>
      <c r="B21" s="29" t="s">
        <v>37</v>
      </c>
      <c r="C21" s="455">
        <v>268845</v>
      </c>
      <c r="D21" s="455">
        <v>263905</v>
      </c>
      <c r="E21" s="477">
        <v>258328</v>
      </c>
      <c r="F21" s="477">
        <v>248526</v>
      </c>
      <c r="G21" s="477">
        <v>215164</v>
      </c>
      <c r="H21" s="479">
        <v>204164</v>
      </c>
      <c r="I21" s="479">
        <v>201854</v>
      </c>
      <c r="J21" s="479">
        <v>201589</v>
      </c>
      <c r="K21" s="479">
        <v>234323</v>
      </c>
      <c r="L21" s="479">
        <v>230560</v>
      </c>
      <c r="M21" s="478">
        <v>230298</v>
      </c>
      <c r="N21" s="478">
        <v>222440</v>
      </c>
      <c r="O21" s="478">
        <v>205693</v>
      </c>
      <c r="P21" s="478">
        <v>218640</v>
      </c>
      <c r="Q21" s="478">
        <v>212744</v>
      </c>
    </row>
    <row r="22" spans="1:17" ht="13" customHeight="1">
      <c r="A22" s="151"/>
      <c r="B22" s="29" t="s">
        <v>38</v>
      </c>
      <c r="C22" s="455">
        <v>31022</v>
      </c>
      <c r="D22" s="455">
        <v>30221</v>
      </c>
      <c r="E22" s="477">
        <v>29637</v>
      </c>
      <c r="F22" s="477">
        <v>30050</v>
      </c>
      <c r="G22" s="477">
        <v>31200</v>
      </c>
      <c r="H22" s="479">
        <v>30426</v>
      </c>
      <c r="I22" s="479">
        <v>28624</v>
      </c>
      <c r="J22" s="479">
        <v>27380</v>
      </c>
      <c r="K22" s="479">
        <v>26180</v>
      </c>
      <c r="L22" s="479">
        <v>22631</v>
      </c>
      <c r="M22" s="478">
        <v>22850</v>
      </c>
      <c r="N22" s="478">
        <v>23993</v>
      </c>
      <c r="O22" s="478">
        <v>23870</v>
      </c>
      <c r="P22" s="478">
        <v>23571</v>
      </c>
      <c r="Q22" s="478">
        <v>23721</v>
      </c>
    </row>
    <row r="23" spans="1:17" ht="13" customHeight="1">
      <c r="A23" s="151"/>
      <c r="B23" s="29" t="s">
        <v>39</v>
      </c>
      <c r="C23" s="455">
        <v>29706</v>
      </c>
      <c r="D23" s="455">
        <v>29250</v>
      </c>
      <c r="E23" s="477">
        <v>29024</v>
      </c>
      <c r="F23" s="477">
        <v>28788</v>
      </c>
      <c r="G23" s="477">
        <v>26821</v>
      </c>
      <c r="H23" s="479">
        <v>26781</v>
      </c>
      <c r="I23" s="479">
        <v>27859</v>
      </c>
      <c r="J23" s="479">
        <v>26406</v>
      </c>
      <c r="K23" s="479">
        <v>23033</v>
      </c>
      <c r="L23" s="479">
        <v>21768</v>
      </c>
      <c r="M23" s="478">
        <v>19372</v>
      </c>
      <c r="N23" s="478">
        <v>20570</v>
      </c>
      <c r="O23" s="478">
        <v>18884</v>
      </c>
      <c r="P23" s="478">
        <v>18884</v>
      </c>
      <c r="Q23" s="478">
        <v>18884</v>
      </c>
    </row>
    <row r="24" spans="1:17" ht="13" customHeight="1">
      <c r="A24" s="151"/>
      <c r="B24" s="29" t="s">
        <v>40</v>
      </c>
      <c r="C24" s="455">
        <v>445510</v>
      </c>
      <c r="D24" s="455">
        <v>402448</v>
      </c>
      <c r="E24" s="477">
        <v>414853</v>
      </c>
      <c r="F24" s="477">
        <v>422321</v>
      </c>
      <c r="G24" s="477">
        <v>433280</v>
      </c>
      <c r="H24" s="479">
        <v>457628</v>
      </c>
      <c r="I24" s="479">
        <v>502428</v>
      </c>
      <c r="J24" s="479">
        <v>523715</v>
      </c>
      <c r="K24" s="479">
        <v>534820</v>
      </c>
      <c r="L24" s="479">
        <v>496410</v>
      </c>
      <c r="M24" s="478">
        <v>447647</v>
      </c>
      <c r="N24" s="478">
        <v>430076</v>
      </c>
      <c r="O24" s="478">
        <v>431096</v>
      </c>
      <c r="P24" s="478">
        <v>438152</v>
      </c>
      <c r="Q24" s="478">
        <v>453426</v>
      </c>
    </row>
    <row r="25" spans="1:17" ht="13" customHeight="1">
      <c r="A25" s="151"/>
      <c r="B25" s="29" t="s">
        <v>41</v>
      </c>
      <c r="C25" s="455">
        <v>323150</v>
      </c>
      <c r="D25" s="455">
        <v>324950</v>
      </c>
      <c r="E25" s="477">
        <v>332040</v>
      </c>
      <c r="F25" s="477">
        <v>336476</v>
      </c>
      <c r="G25" s="477">
        <v>338610</v>
      </c>
      <c r="H25" s="477">
        <v>333045</v>
      </c>
      <c r="I25" s="477">
        <v>340719</v>
      </c>
      <c r="J25" s="477">
        <v>346088</v>
      </c>
      <c r="K25" s="477">
        <v>294610</v>
      </c>
      <c r="L25" s="477">
        <v>300975</v>
      </c>
      <c r="M25" s="478">
        <v>304190</v>
      </c>
      <c r="N25" s="478">
        <v>295400</v>
      </c>
      <c r="O25" s="478">
        <v>296290</v>
      </c>
      <c r="P25" s="478">
        <v>296843</v>
      </c>
      <c r="Q25" s="478">
        <v>296567</v>
      </c>
    </row>
    <row r="26" spans="1:17" ht="13" customHeight="1">
      <c r="A26" s="151"/>
      <c r="B26" s="29" t="s">
        <v>44</v>
      </c>
      <c r="C26" s="455">
        <v>511848</v>
      </c>
      <c r="D26" s="455">
        <v>513739</v>
      </c>
      <c r="E26" s="477">
        <v>515430</v>
      </c>
      <c r="F26" s="477">
        <v>503610</v>
      </c>
      <c r="G26" s="477">
        <v>504329</v>
      </c>
      <c r="H26" s="479">
        <v>503311</v>
      </c>
      <c r="I26" s="479">
        <v>507051</v>
      </c>
      <c r="J26" s="479">
        <v>517772</v>
      </c>
      <c r="K26" s="479">
        <v>413459</v>
      </c>
      <c r="L26" s="479">
        <v>416924</v>
      </c>
      <c r="M26" s="478">
        <v>418637</v>
      </c>
      <c r="N26" s="478">
        <v>417960</v>
      </c>
      <c r="O26" s="478">
        <v>423941</v>
      </c>
      <c r="P26" s="478">
        <v>429684</v>
      </c>
      <c r="Q26" s="478">
        <v>439168</v>
      </c>
    </row>
    <row r="27" spans="1:17" ht="13" customHeight="1">
      <c r="A27" s="151"/>
      <c r="B27" s="29" t="s">
        <v>45</v>
      </c>
      <c r="C27" s="455">
        <v>608200</v>
      </c>
      <c r="D27" s="455">
        <v>617340</v>
      </c>
      <c r="E27" s="477">
        <v>627310</v>
      </c>
      <c r="F27" s="477">
        <v>634530</v>
      </c>
      <c r="G27" s="477">
        <v>652210</v>
      </c>
      <c r="H27" s="479">
        <v>669200</v>
      </c>
      <c r="I27" s="479">
        <v>680050</v>
      </c>
      <c r="J27" s="479">
        <v>691610</v>
      </c>
      <c r="K27" s="479">
        <v>694240</v>
      </c>
      <c r="L27" s="479">
        <v>708700</v>
      </c>
      <c r="M27" s="478">
        <v>702340</v>
      </c>
      <c r="N27" s="478">
        <v>726080</v>
      </c>
      <c r="O27" s="478">
        <v>721050</v>
      </c>
      <c r="P27" s="478">
        <v>729965</v>
      </c>
      <c r="Q27" s="478">
        <v>733260</v>
      </c>
    </row>
    <row r="28" spans="1:17" ht="13" customHeight="1">
      <c r="A28" s="151"/>
      <c r="B28" s="150" t="s">
        <v>46</v>
      </c>
      <c r="C28" s="455">
        <v>128598</v>
      </c>
      <c r="D28" s="455">
        <v>135292</v>
      </c>
      <c r="E28" s="477">
        <v>149779</v>
      </c>
      <c r="F28" s="477">
        <v>155033</v>
      </c>
      <c r="G28" s="477">
        <v>158060</v>
      </c>
      <c r="H28" s="479">
        <v>155352</v>
      </c>
      <c r="I28" s="479">
        <v>162423</v>
      </c>
      <c r="J28" s="479">
        <v>180040</v>
      </c>
      <c r="K28" s="479">
        <v>181450</v>
      </c>
      <c r="L28" s="479">
        <v>185986</v>
      </c>
      <c r="M28" s="480">
        <v>196470</v>
      </c>
      <c r="N28" s="480">
        <v>193965</v>
      </c>
      <c r="O28" s="480">
        <v>213566</v>
      </c>
      <c r="P28" s="480">
        <v>210120</v>
      </c>
      <c r="Q28" s="480">
        <v>211843</v>
      </c>
    </row>
    <row r="29" spans="1:17" ht="13" customHeight="1">
      <c r="A29" s="151"/>
      <c r="B29" s="30" t="s">
        <v>47</v>
      </c>
      <c r="C29" s="455">
        <v>31586</v>
      </c>
      <c r="D29" s="455">
        <v>31586</v>
      </c>
      <c r="E29" s="477">
        <v>31318</v>
      </c>
      <c r="F29" s="477">
        <v>30598</v>
      </c>
      <c r="G29" s="477">
        <v>30790</v>
      </c>
      <c r="H29" s="479">
        <v>35486</v>
      </c>
      <c r="I29" s="479">
        <v>36670</v>
      </c>
      <c r="J29" s="479">
        <v>35080</v>
      </c>
      <c r="K29" s="479">
        <v>42824</v>
      </c>
      <c r="L29" s="479">
        <v>43860</v>
      </c>
      <c r="M29" s="480">
        <v>43342</v>
      </c>
      <c r="N29" s="480">
        <v>46053</v>
      </c>
      <c r="O29" s="480">
        <v>46870</v>
      </c>
      <c r="P29" s="480">
        <v>45510</v>
      </c>
      <c r="Q29" s="480">
        <v>46190</v>
      </c>
    </row>
    <row r="30" spans="1:17" ht="13" customHeight="1">
      <c r="A30" s="151"/>
      <c r="B30" s="29" t="s">
        <v>48</v>
      </c>
      <c r="C30" s="455">
        <v>44500</v>
      </c>
      <c r="D30" s="455">
        <v>41400</v>
      </c>
      <c r="E30" s="477">
        <v>44016</v>
      </c>
      <c r="F30" s="477">
        <v>42475</v>
      </c>
      <c r="G30" s="477">
        <v>44280</v>
      </c>
      <c r="H30" s="479">
        <v>43334</v>
      </c>
      <c r="I30" s="479">
        <v>41105</v>
      </c>
      <c r="J30" s="479">
        <v>42210</v>
      </c>
      <c r="K30" s="479">
        <v>43180</v>
      </c>
      <c r="L30" s="479">
        <v>45194</v>
      </c>
      <c r="M30" s="480">
        <v>44187</v>
      </c>
      <c r="N30" s="480">
        <v>46396</v>
      </c>
      <c r="O30" s="480">
        <v>45690</v>
      </c>
      <c r="P30" s="480">
        <v>45720</v>
      </c>
      <c r="Q30" s="480">
        <v>45705</v>
      </c>
    </row>
    <row r="31" spans="1:17" ht="13" customHeight="1" thickBot="1">
      <c r="A31" s="453"/>
      <c r="B31" s="454" t="s">
        <v>49</v>
      </c>
      <c r="C31" s="458">
        <v>44200</v>
      </c>
      <c r="D31" s="458">
        <v>45228</v>
      </c>
      <c r="E31" s="482">
        <v>46908</v>
      </c>
      <c r="F31" s="482">
        <v>48256</v>
      </c>
      <c r="G31" s="482">
        <v>53006</v>
      </c>
      <c r="H31" s="482">
        <v>52261</v>
      </c>
      <c r="I31" s="482">
        <v>51070</v>
      </c>
      <c r="J31" s="482">
        <v>51665</v>
      </c>
      <c r="K31" s="482">
        <v>54380</v>
      </c>
      <c r="L31" s="482">
        <v>54460</v>
      </c>
      <c r="M31" s="483">
        <v>54983</v>
      </c>
      <c r="N31" s="483">
        <v>57732</v>
      </c>
      <c r="O31" s="483">
        <v>56420</v>
      </c>
      <c r="P31" s="483">
        <v>57340</v>
      </c>
      <c r="Q31" s="483">
        <v>56880</v>
      </c>
    </row>
    <row r="32" spans="1:17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9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9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  <row r="36" spans="1:19" ht="13" customHeight="1">
      <c r="S36" s="128"/>
    </row>
    <row r="37" spans="1:19" ht="13" customHeight="1">
      <c r="S37" s="128"/>
    </row>
    <row r="38" spans="1:19" ht="13" customHeight="1">
      <c r="S38" s="128"/>
    </row>
    <row r="39" spans="1:19" ht="13" customHeight="1">
      <c r="S39" s="134"/>
    </row>
    <row r="40" spans="1:19" ht="13" customHeight="1">
      <c r="S40" s="128"/>
    </row>
    <row r="41" spans="1:19" ht="13" customHeight="1">
      <c r="S41" s="128"/>
    </row>
    <row r="42" spans="1:19" ht="13" customHeight="1">
      <c r="S42" s="134"/>
    </row>
    <row r="43" spans="1:19" ht="13" customHeight="1">
      <c r="S43" s="134"/>
    </row>
    <row r="44" spans="1:19" ht="13" customHeight="1">
      <c r="S44" s="128"/>
    </row>
    <row r="45" spans="1:19" ht="13" customHeight="1">
      <c r="S45" s="128"/>
    </row>
    <row r="46" spans="1:19" ht="13" customHeight="1">
      <c r="S46" s="128"/>
    </row>
    <row r="47" spans="1:19" ht="13" customHeight="1">
      <c r="S47" s="128"/>
    </row>
    <row r="48" spans="1:19" ht="13" customHeight="1">
      <c r="S48" s="128"/>
    </row>
    <row r="49" spans="19:19" ht="13" customHeight="1">
      <c r="S49" s="134"/>
    </row>
    <row r="50" spans="19:19" ht="13" customHeight="1">
      <c r="S50" s="128"/>
    </row>
    <row r="51" spans="19:19" ht="13" customHeight="1">
      <c r="S51" s="128"/>
    </row>
    <row r="52" spans="19:19" ht="13" customHeight="1">
      <c r="S52" s="128"/>
    </row>
    <row r="53" spans="19:19" ht="13" customHeight="1">
      <c r="S53" s="134"/>
    </row>
    <row r="54" spans="19:19" ht="13" customHeight="1">
      <c r="S54" s="128"/>
    </row>
    <row r="55" spans="19:19" ht="13" customHeight="1">
      <c r="S55" s="128"/>
    </row>
    <row r="56" spans="19:19" ht="13" customHeight="1">
      <c r="S56" s="12"/>
    </row>
    <row r="57" spans="19:19" ht="13" customHeight="1">
      <c r="S57" s="35"/>
    </row>
    <row r="58" spans="19:19" ht="13" customHeight="1">
      <c r="S58" s="134"/>
    </row>
    <row r="59" spans="19:19" ht="13" customHeight="1">
      <c r="S59" s="134"/>
    </row>
    <row r="60" spans="19:19" ht="13" customHeight="1">
      <c r="S60" s="134"/>
    </row>
    <row r="61" spans="19:19" ht="13" customHeight="1">
      <c r="S61" s="13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tabColor theme="9" tint="0.59999389629810485"/>
  </sheetPr>
  <dimension ref="A2:T3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.3984375" style="150" customWidth="1"/>
    <col min="3" max="4" width="8" style="150" hidden="1" customWidth="1"/>
    <col min="5" max="17" width="9" style="150" customWidth="1"/>
    <col min="18" max="16384" width="7" style="150"/>
  </cols>
  <sheetData>
    <row r="2" spans="1:20" ht="13" customHeight="1">
      <c r="A2" s="452" t="s">
        <v>327</v>
      </c>
      <c r="B2" s="450"/>
    </row>
    <row r="3" spans="1:20" ht="13" customHeight="1">
      <c r="A3" s="451" t="s">
        <v>325</v>
      </c>
      <c r="B3" s="451"/>
    </row>
    <row r="4" spans="1:20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20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20" ht="15" customHeight="1">
      <c r="A6" s="1102" t="s">
        <v>106</v>
      </c>
      <c r="B6" s="1102"/>
      <c r="C6" s="460">
        <f t="shared" ref="C6:N6" si="0">(C8+C9+C10+C11+C12+C13+C14+C15+C16+C17+C18+C19+C20+C21+C22+C23+C24+C25+C26+C27+C28+C29+C30+C31)</f>
        <v>1074578</v>
      </c>
      <c r="D6" s="460">
        <f t="shared" si="0"/>
        <v>1127320</v>
      </c>
      <c r="E6" s="475">
        <f t="shared" si="0"/>
        <v>1138578</v>
      </c>
      <c r="F6" s="475">
        <f t="shared" si="0"/>
        <v>1151906</v>
      </c>
      <c r="G6" s="475">
        <f t="shared" si="0"/>
        <v>1168497</v>
      </c>
      <c r="H6" s="475">
        <f t="shared" si="0"/>
        <v>1218722</v>
      </c>
      <c r="I6" s="475">
        <f t="shared" si="0"/>
        <v>1266710</v>
      </c>
      <c r="J6" s="475">
        <f t="shared" si="0"/>
        <v>1319404</v>
      </c>
      <c r="K6" s="475">
        <f t="shared" si="0"/>
        <v>1375095</v>
      </c>
      <c r="L6" s="475">
        <f t="shared" si="0"/>
        <v>1376390</v>
      </c>
      <c r="M6" s="475">
        <f>(M8+M9+M10+M11+M12+M13+M14+M15+M16+M17+M18+M19+M20+M21+M22+M23+M24+M25+M26+M27+M28+M29+M30+M31)</f>
        <v>1367797</v>
      </c>
      <c r="N6" s="475">
        <f t="shared" si="0"/>
        <v>1364230</v>
      </c>
      <c r="O6" s="475">
        <f>(O8+O9+O10+O11+O12+O13+O14+O15+O16+O17+O18+O19+O20+O21+O22+O23+O24+O25+O26+O27+O28+O29+O30+O31)</f>
        <v>1331223</v>
      </c>
      <c r="P6" s="475">
        <f>(P8+P9+P10+P11+P12+P13+P14+P15+P16+P17+P18+P19+P20+P21+P22+P23+P24+P25+P26+P27+P28+P29+P30+P31)</f>
        <v>1348165</v>
      </c>
      <c r="Q6" s="475">
        <f>(Q8+Q9+Q10+Q11+Q12+Q13+Q14+Q15+Q16+Q17+Q18+Q19+Q20+Q21+Q22+Q23+Q24+Q25+Q26+Q27+Q28+Q29+Q30+Q31)</f>
        <v>1357067</v>
      </c>
    </row>
    <row r="7" spans="1:20" ht="5" customHeight="1">
      <c r="A7" s="151"/>
      <c r="B7" s="152"/>
      <c r="C7" s="461"/>
      <c r="D7" s="461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</row>
    <row r="8" spans="1:20" ht="13" customHeight="1">
      <c r="A8" s="151"/>
      <c r="B8" s="29" t="s">
        <v>21</v>
      </c>
      <c r="C8" s="455">
        <v>2573</v>
      </c>
      <c r="D8" s="455">
        <v>2418</v>
      </c>
      <c r="E8" s="477">
        <v>2930</v>
      </c>
      <c r="F8" s="477">
        <v>3894</v>
      </c>
      <c r="G8" s="477">
        <v>5335</v>
      </c>
      <c r="H8" s="477">
        <v>5461</v>
      </c>
      <c r="I8" s="477">
        <v>5844</v>
      </c>
      <c r="J8" s="477">
        <v>6574</v>
      </c>
      <c r="K8" s="477">
        <v>7212</v>
      </c>
      <c r="L8" s="477">
        <v>8084</v>
      </c>
      <c r="M8" s="477">
        <v>7723</v>
      </c>
      <c r="N8" s="478">
        <v>3812</v>
      </c>
      <c r="O8" s="478">
        <v>5673</v>
      </c>
      <c r="P8" s="478">
        <v>4958</v>
      </c>
      <c r="Q8" s="478">
        <v>4510</v>
      </c>
      <c r="T8" s="130"/>
    </row>
    <row r="9" spans="1:20" ht="13" customHeight="1">
      <c r="A9" s="151"/>
      <c r="B9" s="29" t="s">
        <v>22</v>
      </c>
      <c r="C9" s="455">
        <v>67649</v>
      </c>
      <c r="D9" s="455">
        <v>70283</v>
      </c>
      <c r="E9" s="477">
        <v>65745</v>
      </c>
      <c r="F9" s="477">
        <v>65730</v>
      </c>
      <c r="G9" s="477">
        <v>59431</v>
      </c>
      <c r="H9" s="477">
        <v>58172</v>
      </c>
      <c r="I9" s="479">
        <v>55889</v>
      </c>
      <c r="J9" s="479">
        <v>60264</v>
      </c>
      <c r="K9" s="479">
        <v>56967</v>
      </c>
      <c r="L9" s="479">
        <v>51654</v>
      </c>
      <c r="M9" s="479">
        <v>48938</v>
      </c>
      <c r="N9" s="480">
        <v>47065</v>
      </c>
      <c r="O9" s="480">
        <v>45661</v>
      </c>
      <c r="P9" s="480">
        <v>45440</v>
      </c>
      <c r="Q9" s="480">
        <v>47805</v>
      </c>
      <c r="T9" s="132"/>
    </row>
    <row r="10" spans="1:20" ht="13" customHeight="1">
      <c r="A10" s="151"/>
      <c r="B10" s="29" t="s">
        <v>23</v>
      </c>
      <c r="C10" s="455">
        <v>22582</v>
      </c>
      <c r="D10" s="455">
        <v>22280</v>
      </c>
      <c r="E10" s="477">
        <v>22069</v>
      </c>
      <c r="F10" s="477">
        <v>19767</v>
      </c>
      <c r="G10" s="477">
        <v>19385</v>
      </c>
      <c r="H10" s="477">
        <v>18682</v>
      </c>
      <c r="I10" s="479">
        <v>17423</v>
      </c>
      <c r="J10" s="479">
        <v>18996</v>
      </c>
      <c r="K10" s="479">
        <v>20641</v>
      </c>
      <c r="L10" s="479">
        <v>23846</v>
      </c>
      <c r="M10" s="479">
        <v>23209</v>
      </c>
      <c r="N10" s="479">
        <v>23032</v>
      </c>
      <c r="O10" s="479">
        <v>22198</v>
      </c>
      <c r="P10" s="479">
        <v>22165</v>
      </c>
      <c r="Q10" s="479">
        <v>21454</v>
      </c>
      <c r="S10" s="159"/>
      <c r="T10" s="130"/>
    </row>
    <row r="11" spans="1:20" ht="13" customHeight="1">
      <c r="A11" s="151"/>
      <c r="B11" s="29" t="s">
        <v>24</v>
      </c>
      <c r="C11" s="455">
        <v>38590</v>
      </c>
      <c r="D11" s="455">
        <v>39984</v>
      </c>
      <c r="E11" s="477">
        <v>41125</v>
      </c>
      <c r="F11" s="477">
        <v>42224</v>
      </c>
      <c r="G11" s="477">
        <v>42848</v>
      </c>
      <c r="H11" s="477">
        <v>43307</v>
      </c>
      <c r="I11" s="479">
        <v>45452</v>
      </c>
      <c r="J11" s="479">
        <v>45649</v>
      </c>
      <c r="K11" s="477">
        <v>48278</v>
      </c>
      <c r="L11" s="477">
        <v>49237</v>
      </c>
      <c r="M11" s="477">
        <v>50755</v>
      </c>
      <c r="N11" s="478">
        <v>51726</v>
      </c>
      <c r="O11" s="478">
        <v>54880</v>
      </c>
      <c r="P11" s="478">
        <v>55173</v>
      </c>
      <c r="Q11" s="478">
        <v>58195</v>
      </c>
      <c r="S11" s="159"/>
      <c r="T11" s="130"/>
    </row>
    <row r="12" spans="1:20" ht="13" customHeight="1">
      <c r="A12" s="151"/>
      <c r="B12" s="29" t="s">
        <v>25</v>
      </c>
      <c r="C12" s="455">
        <v>137225</v>
      </c>
      <c r="D12" s="455">
        <v>159044</v>
      </c>
      <c r="E12" s="477">
        <v>173505</v>
      </c>
      <c r="F12" s="477">
        <v>168102</v>
      </c>
      <c r="G12" s="477">
        <v>172901</v>
      </c>
      <c r="H12" s="477">
        <v>192200</v>
      </c>
      <c r="I12" s="477">
        <v>204853</v>
      </c>
      <c r="J12" s="477">
        <v>200959</v>
      </c>
      <c r="K12" s="477">
        <v>215540</v>
      </c>
      <c r="L12" s="477">
        <v>223400</v>
      </c>
      <c r="M12" s="477">
        <v>217543</v>
      </c>
      <c r="N12" s="478">
        <v>214187</v>
      </c>
      <c r="O12" s="478">
        <v>210048</v>
      </c>
      <c r="P12" s="478">
        <v>192900</v>
      </c>
      <c r="Q12" s="478">
        <v>196668</v>
      </c>
      <c r="S12" s="159"/>
      <c r="T12" s="123"/>
    </row>
    <row r="13" spans="1:20" ht="13" customHeight="1">
      <c r="A13" s="151"/>
      <c r="B13" s="29" t="s">
        <v>29</v>
      </c>
      <c r="C13" s="455">
        <v>38436</v>
      </c>
      <c r="D13" s="455">
        <v>41714</v>
      </c>
      <c r="E13" s="477">
        <v>41250</v>
      </c>
      <c r="F13" s="477">
        <v>48751</v>
      </c>
      <c r="G13" s="477">
        <v>46747</v>
      </c>
      <c r="H13" s="477">
        <v>52759</v>
      </c>
      <c r="I13" s="477">
        <v>51187</v>
      </c>
      <c r="J13" s="477">
        <v>56188</v>
      </c>
      <c r="K13" s="477">
        <v>56942</v>
      </c>
      <c r="L13" s="477">
        <v>57637</v>
      </c>
      <c r="M13" s="477">
        <v>57779</v>
      </c>
      <c r="N13" s="477">
        <v>58697</v>
      </c>
      <c r="O13" s="477">
        <v>59675</v>
      </c>
      <c r="P13" s="477">
        <v>61709</v>
      </c>
      <c r="Q13" s="477">
        <v>62118</v>
      </c>
      <c r="S13" s="159"/>
      <c r="T13" s="130"/>
    </row>
    <row r="14" spans="1:20" ht="13" customHeight="1">
      <c r="A14" s="151"/>
      <c r="B14" s="29" t="s">
        <v>30</v>
      </c>
      <c r="C14" s="455">
        <v>50607</v>
      </c>
      <c r="D14" s="455">
        <v>52411</v>
      </c>
      <c r="E14" s="477">
        <v>52497</v>
      </c>
      <c r="F14" s="477">
        <v>55602</v>
      </c>
      <c r="G14" s="477">
        <v>56224</v>
      </c>
      <c r="H14" s="477">
        <v>56350</v>
      </c>
      <c r="I14" s="479">
        <v>61256</v>
      </c>
      <c r="J14" s="479">
        <v>63253</v>
      </c>
      <c r="K14" s="479">
        <v>65763</v>
      </c>
      <c r="L14" s="479">
        <v>67129</v>
      </c>
      <c r="M14" s="479">
        <v>69381</v>
      </c>
      <c r="N14" s="478">
        <v>72348</v>
      </c>
      <c r="O14" s="478">
        <v>70685</v>
      </c>
      <c r="P14" s="478">
        <v>71244</v>
      </c>
      <c r="Q14" s="478">
        <v>72763</v>
      </c>
      <c r="S14" s="159"/>
      <c r="T14" s="130"/>
    </row>
    <row r="15" spans="1:20" ht="13" customHeight="1">
      <c r="A15" s="151"/>
      <c r="B15" s="29" t="s">
        <v>31</v>
      </c>
      <c r="C15" s="455">
        <v>106742</v>
      </c>
      <c r="D15" s="455">
        <v>110598</v>
      </c>
      <c r="E15" s="477">
        <v>111846</v>
      </c>
      <c r="F15" s="477">
        <v>106946</v>
      </c>
      <c r="G15" s="477">
        <v>106932</v>
      </c>
      <c r="H15" s="477">
        <v>110315</v>
      </c>
      <c r="I15" s="479">
        <v>112788</v>
      </c>
      <c r="J15" s="479">
        <v>114785</v>
      </c>
      <c r="K15" s="479">
        <v>113303</v>
      </c>
      <c r="L15" s="479">
        <v>113750</v>
      </c>
      <c r="M15" s="479">
        <v>113823</v>
      </c>
      <c r="N15" s="478">
        <v>114444</v>
      </c>
      <c r="O15" s="478">
        <v>116208</v>
      </c>
      <c r="P15" s="478">
        <v>115837</v>
      </c>
      <c r="Q15" s="478">
        <v>113481</v>
      </c>
      <c r="S15" s="159"/>
      <c r="T15" s="130"/>
    </row>
    <row r="16" spans="1:20" ht="13" customHeight="1">
      <c r="A16" s="151"/>
      <c r="B16" s="29" t="s">
        <v>32</v>
      </c>
      <c r="C16" s="455">
        <v>7578</v>
      </c>
      <c r="D16" s="455">
        <v>7754</v>
      </c>
      <c r="E16" s="481">
        <v>8014</v>
      </c>
      <c r="F16" s="481">
        <v>8724</v>
      </c>
      <c r="G16" s="481">
        <v>9240</v>
      </c>
      <c r="H16" s="481">
        <v>10332</v>
      </c>
      <c r="I16" s="479">
        <v>11597</v>
      </c>
      <c r="J16" s="479">
        <v>11731</v>
      </c>
      <c r="K16" s="479">
        <v>12686</v>
      </c>
      <c r="L16" s="479">
        <v>13112</v>
      </c>
      <c r="M16" s="479">
        <v>12407</v>
      </c>
      <c r="N16" s="479">
        <v>13999</v>
      </c>
      <c r="O16" s="479">
        <v>12350</v>
      </c>
      <c r="P16" s="479">
        <v>11880</v>
      </c>
      <c r="Q16" s="479">
        <v>13058</v>
      </c>
      <c r="S16" s="159"/>
      <c r="T16" s="130"/>
    </row>
    <row r="17" spans="1:20" ht="13" customHeight="1">
      <c r="A17" s="151"/>
      <c r="B17" s="29" t="s">
        <v>33</v>
      </c>
      <c r="C17" s="455">
        <v>59649</v>
      </c>
      <c r="D17" s="455">
        <v>63816</v>
      </c>
      <c r="E17" s="477">
        <v>72114</v>
      </c>
      <c r="F17" s="477">
        <v>76355</v>
      </c>
      <c r="G17" s="477">
        <v>79585</v>
      </c>
      <c r="H17" s="477">
        <v>85815</v>
      </c>
      <c r="I17" s="479">
        <v>94930</v>
      </c>
      <c r="J17" s="479">
        <v>114520</v>
      </c>
      <c r="K17" s="479">
        <v>140057</v>
      </c>
      <c r="L17" s="479">
        <v>141250</v>
      </c>
      <c r="M17" s="479">
        <v>144125</v>
      </c>
      <c r="N17" s="478">
        <v>144071</v>
      </c>
      <c r="O17" s="478">
        <v>120539</v>
      </c>
      <c r="P17" s="478">
        <v>146932</v>
      </c>
      <c r="Q17" s="478">
        <v>149251</v>
      </c>
      <c r="S17" s="159"/>
      <c r="T17" s="130"/>
    </row>
    <row r="18" spans="1:20" ht="13" customHeight="1">
      <c r="A18" s="151"/>
      <c r="B18" s="29" t="s">
        <v>34</v>
      </c>
      <c r="C18" s="455">
        <v>24789</v>
      </c>
      <c r="D18" s="455">
        <v>21165</v>
      </c>
      <c r="E18" s="477">
        <v>21528</v>
      </c>
      <c r="F18" s="477">
        <v>21968</v>
      </c>
      <c r="G18" s="477">
        <v>22677</v>
      </c>
      <c r="H18" s="477">
        <v>23684</v>
      </c>
      <c r="I18" s="479">
        <v>23161</v>
      </c>
      <c r="J18" s="479">
        <v>23312</v>
      </c>
      <c r="K18" s="479">
        <v>24007</v>
      </c>
      <c r="L18" s="479">
        <v>22792</v>
      </c>
      <c r="M18" s="479">
        <v>22998</v>
      </c>
      <c r="N18" s="478">
        <v>21400</v>
      </c>
      <c r="O18" s="478">
        <v>21814</v>
      </c>
      <c r="P18" s="478">
        <v>22594</v>
      </c>
      <c r="Q18" s="478">
        <v>23223</v>
      </c>
      <c r="S18" s="159"/>
      <c r="T18" s="130"/>
    </row>
    <row r="19" spans="1:20" ht="13" customHeight="1">
      <c r="A19" s="151"/>
      <c r="B19" s="29" t="s">
        <v>35</v>
      </c>
      <c r="C19" s="455">
        <v>38200</v>
      </c>
      <c r="D19" s="455">
        <v>37880</v>
      </c>
      <c r="E19" s="477">
        <v>39227</v>
      </c>
      <c r="F19" s="477">
        <v>39152</v>
      </c>
      <c r="G19" s="477">
        <v>44461</v>
      </c>
      <c r="H19" s="477">
        <v>49775</v>
      </c>
      <c r="I19" s="479">
        <v>53811</v>
      </c>
      <c r="J19" s="479">
        <v>58536</v>
      </c>
      <c r="K19" s="479">
        <v>61110</v>
      </c>
      <c r="L19" s="479">
        <v>63524</v>
      </c>
      <c r="M19" s="479">
        <v>71403</v>
      </c>
      <c r="N19" s="478">
        <v>72302</v>
      </c>
      <c r="O19" s="478">
        <v>77250</v>
      </c>
      <c r="P19" s="478">
        <v>75790</v>
      </c>
      <c r="Q19" s="478">
        <v>61103</v>
      </c>
      <c r="S19" s="159"/>
      <c r="T19" s="130"/>
    </row>
    <row r="20" spans="1:20" ht="13" customHeight="1">
      <c r="A20" s="151"/>
      <c r="B20" s="29" t="s">
        <v>36</v>
      </c>
      <c r="C20" s="455">
        <v>26421</v>
      </c>
      <c r="D20" s="455">
        <v>24031</v>
      </c>
      <c r="E20" s="477">
        <v>25261</v>
      </c>
      <c r="F20" s="477">
        <v>29845</v>
      </c>
      <c r="G20" s="477">
        <v>31300</v>
      </c>
      <c r="H20" s="477">
        <v>30058</v>
      </c>
      <c r="I20" s="479">
        <v>32977</v>
      </c>
      <c r="J20" s="479">
        <v>34203</v>
      </c>
      <c r="K20" s="479">
        <v>39321</v>
      </c>
      <c r="L20" s="479">
        <v>39774</v>
      </c>
      <c r="M20" s="479">
        <v>38160</v>
      </c>
      <c r="N20" s="478">
        <v>33336</v>
      </c>
      <c r="O20" s="478">
        <v>33790</v>
      </c>
      <c r="P20" s="478">
        <v>31298</v>
      </c>
      <c r="Q20" s="478">
        <v>29731</v>
      </c>
      <c r="S20" s="159"/>
      <c r="T20" s="130"/>
    </row>
    <row r="21" spans="1:20" ht="13" customHeight="1">
      <c r="A21" s="151"/>
      <c r="B21" s="29" t="s">
        <v>37</v>
      </c>
      <c r="C21" s="455">
        <v>55525</v>
      </c>
      <c r="D21" s="455">
        <v>55736</v>
      </c>
      <c r="E21" s="477">
        <v>40546</v>
      </c>
      <c r="F21" s="477">
        <v>39625</v>
      </c>
      <c r="G21" s="477">
        <v>33291</v>
      </c>
      <c r="H21" s="477">
        <v>33050</v>
      </c>
      <c r="I21" s="479">
        <v>33713</v>
      </c>
      <c r="J21" s="479">
        <v>35916</v>
      </c>
      <c r="K21" s="479">
        <v>45090</v>
      </c>
      <c r="L21" s="479">
        <v>45436</v>
      </c>
      <c r="M21" s="479">
        <v>43383</v>
      </c>
      <c r="N21" s="478">
        <v>40991</v>
      </c>
      <c r="O21" s="478">
        <v>34053</v>
      </c>
      <c r="P21" s="478">
        <v>34646</v>
      </c>
      <c r="Q21" s="478">
        <v>35096</v>
      </c>
      <c r="S21" s="159"/>
      <c r="T21" s="130"/>
    </row>
    <row r="22" spans="1:20" ht="13" customHeight="1">
      <c r="A22" s="151"/>
      <c r="B22" s="29" t="s">
        <v>38</v>
      </c>
      <c r="C22" s="455">
        <v>6677</v>
      </c>
      <c r="D22" s="455">
        <v>7103</v>
      </c>
      <c r="E22" s="477">
        <v>7311</v>
      </c>
      <c r="F22" s="477">
        <v>6445</v>
      </c>
      <c r="G22" s="477">
        <v>5763</v>
      </c>
      <c r="H22" s="477">
        <v>5342</v>
      </c>
      <c r="I22" s="479">
        <v>5306</v>
      </c>
      <c r="J22" s="479">
        <v>4637</v>
      </c>
      <c r="K22" s="479">
        <v>5008</v>
      </c>
      <c r="L22" s="479">
        <v>5354</v>
      </c>
      <c r="M22" s="479">
        <v>5329</v>
      </c>
      <c r="N22" s="478">
        <v>5114</v>
      </c>
      <c r="O22" s="478">
        <v>4227</v>
      </c>
      <c r="P22" s="478">
        <v>3536</v>
      </c>
      <c r="Q22" s="478">
        <v>3495</v>
      </c>
      <c r="S22" s="159"/>
      <c r="T22" s="130"/>
    </row>
    <row r="23" spans="1:20" ht="13" customHeight="1">
      <c r="A23" s="151"/>
      <c r="B23" s="29" t="s">
        <v>39</v>
      </c>
      <c r="C23" s="455">
        <v>6140</v>
      </c>
      <c r="D23" s="455">
        <v>5963</v>
      </c>
      <c r="E23" s="477">
        <v>6056</v>
      </c>
      <c r="F23" s="477">
        <v>6208</v>
      </c>
      <c r="G23" s="477">
        <v>5910</v>
      </c>
      <c r="H23" s="477">
        <v>5982</v>
      </c>
      <c r="I23" s="479">
        <v>6016</v>
      </c>
      <c r="J23" s="479">
        <v>6451</v>
      </c>
      <c r="K23" s="479">
        <v>5996</v>
      </c>
      <c r="L23" s="479">
        <v>5897</v>
      </c>
      <c r="M23" s="479">
        <v>5465</v>
      </c>
      <c r="N23" s="478">
        <v>5253</v>
      </c>
      <c r="O23" s="478">
        <v>5042</v>
      </c>
      <c r="P23" s="478">
        <v>4960</v>
      </c>
      <c r="Q23" s="478">
        <v>5040</v>
      </c>
      <c r="S23" s="159"/>
      <c r="T23" s="130"/>
    </row>
    <row r="24" spans="1:20" ht="13" customHeight="1">
      <c r="A24" s="151"/>
      <c r="B24" s="29" t="s">
        <v>40</v>
      </c>
      <c r="C24" s="455">
        <v>85922</v>
      </c>
      <c r="D24" s="455">
        <v>79926</v>
      </c>
      <c r="E24" s="477">
        <v>80728</v>
      </c>
      <c r="F24" s="477">
        <v>80999</v>
      </c>
      <c r="G24" s="477">
        <v>86714</v>
      </c>
      <c r="H24" s="477">
        <v>92190</v>
      </c>
      <c r="I24" s="479">
        <v>97108</v>
      </c>
      <c r="J24" s="479">
        <v>102265</v>
      </c>
      <c r="K24" s="479">
        <v>109025</v>
      </c>
      <c r="L24" s="479">
        <v>92924</v>
      </c>
      <c r="M24" s="479">
        <v>93051</v>
      </c>
      <c r="N24" s="478">
        <v>94861</v>
      </c>
      <c r="O24" s="478">
        <v>88827</v>
      </c>
      <c r="P24" s="478">
        <v>89704</v>
      </c>
      <c r="Q24" s="478">
        <v>97165</v>
      </c>
      <c r="S24" s="159"/>
      <c r="T24" s="130"/>
    </row>
    <row r="25" spans="1:20" ht="13" customHeight="1">
      <c r="A25" s="151"/>
      <c r="B25" s="29" t="s">
        <v>41</v>
      </c>
      <c r="C25" s="455">
        <v>33857</v>
      </c>
      <c r="D25" s="455">
        <v>41333</v>
      </c>
      <c r="E25" s="477">
        <v>46278</v>
      </c>
      <c r="F25" s="477">
        <v>47821</v>
      </c>
      <c r="G25" s="477">
        <v>48703</v>
      </c>
      <c r="H25" s="477">
        <v>45601</v>
      </c>
      <c r="I25" s="477">
        <v>45634</v>
      </c>
      <c r="J25" s="477">
        <v>45250</v>
      </c>
      <c r="K25" s="477">
        <v>44459</v>
      </c>
      <c r="L25" s="477">
        <v>45263</v>
      </c>
      <c r="M25" s="477">
        <v>45361</v>
      </c>
      <c r="N25" s="478">
        <v>45260</v>
      </c>
      <c r="O25" s="478">
        <v>42914</v>
      </c>
      <c r="P25" s="478">
        <v>42220</v>
      </c>
      <c r="Q25" s="478">
        <v>42496</v>
      </c>
      <c r="S25" s="159"/>
      <c r="T25" s="130"/>
    </row>
    <row r="26" spans="1:20" ht="13" customHeight="1">
      <c r="A26" s="151"/>
      <c r="B26" s="29" t="s">
        <v>44</v>
      </c>
      <c r="C26" s="455">
        <v>84508</v>
      </c>
      <c r="D26" s="455">
        <v>95765</v>
      </c>
      <c r="E26" s="477">
        <v>89029</v>
      </c>
      <c r="F26" s="477">
        <v>86572</v>
      </c>
      <c r="G26" s="477">
        <v>86166</v>
      </c>
      <c r="H26" s="477">
        <v>86957</v>
      </c>
      <c r="I26" s="479">
        <v>88230</v>
      </c>
      <c r="J26" s="479">
        <v>90008</v>
      </c>
      <c r="K26" s="479">
        <v>75147</v>
      </c>
      <c r="L26" s="479">
        <v>71466</v>
      </c>
      <c r="M26" s="479">
        <v>68524</v>
      </c>
      <c r="N26" s="478">
        <v>68618</v>
      </c>
      <c r="O26" s="478">
        <v>68573</v>
      </c>
      <c r="P26" s="478">
        <v>69027</v>
      </c>
      <c r="Q26" s="478">
        <v>73001</v>
      </c>
      <c r="S26" s="159"/>
      <c r="T26" s="130"/>
    </row>
    <row r="27" spans="1:20" ht="13" customHeight="1">
      <c r="A27" s="151"/>
      <c r="B27" s="29" t="s">
        <v>45</v>
      </c>
      <c r="C27" s="455">
        <v>119310</v>
      </c>
      <c r="D27" s="455">
        <v>121140</v>
      </c>
      <c r="E27" s="477">
        <v>122560</v>
      </c>
      <c r="F27" s="477">
        <v>127060</v>
      </c>
      <c r="G27" s="477">
        <v>129320</v>
      </c>
      <c r="H27" s="477">
        <v>133250</v>
      </c>
      <c r="I27" s="479">
        <v>137128</v>
      </c>
      <c r="J27" s="479">
        <v>140660</v>
      </c>
      <c r="K27" s="479">
        <v>142495</v>
      </c>
      <c r="L27" s="479">
        <v>146126</v>
      </c>
      <c r="M27" s="479">
        <v>137402</v>
      </c>
      <c r="N27" s="478">
        <v>140346</v>
      </c>
      <c r="O27" s="478">
        <v>142455</v>
      </c>
      <c r="P27" s="478">
        <v>145300</v>
      </c>
      <c r="Q27" s="478">
        <v>146350</v>
      </c>
      <c r="S27" s="159"/>
      <c r="T27" s="130"/>
    </row>
    <row r="28" spans="1:20" ht="13" customHeight="1">
      <c r="A28" s="151"/>
      <c r="B28" s="150" t="s">
        <v>46</v>
      </c>
      <c r="C28" s="455">
        <v>40306</v>
      </c>
      <c r="D28" s="455">
        <v>44465</v>
      </c>
      <c r="E28" s="477">
        <v>45660</v>
      </c>
      <c r="F28" s="477">
        <v>44067</v>
      </c>
      <c r="G28" s="477">
        <v>48183</v>
      </c>
      <c r="H28" s="477">
        <v>51140</v>
      </c>
      <c r="I28" s="479">
        <v>52503</v>
      </c>
      <c r="J28" s="479">
        <v>53694</v>
      </c>
      <c r="K28" s="479">
        <v>53288</v>
      </c>
      <c r="L28" s="479">
        <v>54583</v>
      </c>
      <c r="M28" s="479">
        <v>54676</v>
      </c>
      <c r="N28" s="480">
        <v>55061</v>
      </c>
      <c r="O28" s="480">
        <v>53557</v>
      </c>
      <c r="P28" s="480">
        <v>57922</v>
      </c>
      <c r="Q28" s="480">
        <v>56686</v>
      </c>
      <c r="S28" s="159"/>
      <c r="T28" s="123"/>
    </row>
    <row r="29" spans="1:20" ht="13" customHeight="1">
      <c r="A29" s="151"/>
      <c r="B29" s="30" t="s">
        <v>47</v>
      </c>
      <c r="C29" s="455">
        <v>4757</v>
      </c>
      <c r="D29" s="455">
        <v>5098</v>
      </c>
      <c r="E29" s="477">
        <v>5679</v>
      </c>
      <c r="F29" s="477">
        <v>5928</v>
      </c>
      <c r="G29" s="477">
        <v>6411</v>
      </c>
      <c r="H29" s="477">
        <v>6343</v>
      </c>
      <c r="I29" s="479">
        <v>7352</v>
      </c>
      <c r="J29" s="479">
        <v>9248</v>
      </c>
      <c r="K29" s="479">
        <v>10540</v>
      </c>
      <c r="L29" s="479">
        <v>11339</v>
      </c>
      <c r="M29" s="479">
        <v>11456</v>
      </c>
      <c r="N29" s="480">
        <v>10137</v>
      </c>
      <c r="O29" s="480">
        <v>10718</v>
      </c>
      <c r="P29" s="480">
        <v>13930</v>
      </c>
      <c r="Q29" s="480">
        <v>13923</v>
      </c>
      <c r="S29" s="159"/>
      <c r="T29" s="130"/>
    </row>
    <row r="30" spans="1:20" ht="13" customHeight="1">
      <c r="A30" s="151"/>
      <c r="B30" s="29" t="s">
        <v>48</v>
      </c>
      <c r="C30" s="455">
        <v>9699</v>
      </c>
      <c r="D30" s="455">
        <v>9643</v>
      </c>
      <c r="E30" s="477">
        <v>9590</v>
      </c>
      <c r="F30" s="477">
        <v>10234</v>
      </c>
      <c r="G30" s="477">
        <v>10803</v>
      </c>
      <c r="H30" s="477">
        <v>11449</v>
      </c>
      <c r="I30" s="479">
        <v>12338</v>
      </c>
      <c r="J30" s="479">
        <v>12029</v>
      </c>
      <c r="K30" s="479">
        <v>12208</v>
      </c>
      <c r="L30" s="479">
        <v>12212</v>
      </c>
      <c r="M30" s="479">
        <v>12803</v>
      </c>
      <c r="N30" s="480">
        <v>13871</v>
      </c>
      <c r="O30" s="480">
        <v>15677</v>
      </c>
      <c r="P30" s="480">
        <v>15092</v>
      </c>
      <c r="Q30" s="480">
        <v>15802</v>
      </c>
      <c r="S30" s="159"/>
      <c r="T30" s="130"/>
    </row>
    <row r="31" spans="1:20" ht="13" customHeight="1" thickBot="1">
      <c r="A31" s="453"/>
      <c r="B31" s="454" t="s">
        <v>49</v>
      </c>
      <c r="C31" s="458">
        <v>6836</v>
      </c>
      <c r="D31" s="458">
        <v>7770</v>
      </c>
      <c r="E31" s="482">
        <v>8030</v>
      </c>
      <c r="F31" s="482">
        <v>9887</v>
      </c>
      <c r="G31" s="482">
        <v>10167</v>
      </c>
      <c r="H31" s="482">
        <v>10508</v>
      </c>
      <c r="I31" s="482">
        <v>10214</v>
      </c>
      <c r="J31" s="482">
        <v>10276</v>
      </c>
      <c r="K31" s="482">
        <v>10012</v>
      </c>
      <c r="L31" s="482">
        <v>10601</v>
      </c>
      <c r="M31" s="482">
        <v>12103</v>
      </c>
      <c r="N31" s="483">
        <v>14299</v>
      </c>
      <c r="O31" s="483">
        <v>14409</v>
      </c>
      <c r="P31" s="483">
        <v>13908</v>
      </c>
      <c r="Q31" s="483">
        <v>14653</v>
      </c>
      <c r="S31" s="159"/>
      <c r="T31" s="130"/>
    </row>
    <row r="32" spans="1:20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  <c r="S32" s="159"/>
      <c r="T32" s="130"/>
    </row>
    <row r="33" spans="1:20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  <c r="T33" s="130"/>
    </row>
    <row r="34" spans="1:20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  <c r="T34" s="13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tabColor theme="9" tint="0.59999389629810485"/>
  </sheetPr>
  <dimension ref="A2:S3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374</v>
      </c>
      <c r="B2" s="469"/>
    </row>
    <row r="3" spans="1:19" ht="13" customHeight="1">
      <c r="A3" s="470" t="s">
        <v>319</v>
      </c>
      <c r="B3" s="470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9" ht="15" customHeight="1">
      <c r="A6" s="1102" t="s">
        <v>106</v>
      </c>
      <c r="B6" s="1102"/>
      <c r="C6" s="460">
        <f t="shared" ref="C6:N6" si="0">(C8+C9+C10+C11+C12+C13+C14+C15+C16+C17+C18+C19+C20+C21+C22+C23+C24+C25+C26+C27+C28+C29+C30+C31)</f>
        <v>152496</v>
      </c>
      <c r="D6" s="460">
        <f t="shared" si="0"/>
        <v>161580</v>
      </c>
      <c r="E6" s="475">
        <f t="shared" si="0"/>
        <v>163237</v>
      </c>
      <c r="F6" s="475">
        <f t="shared" si="0"/>
        <v>163316</v>
      </c>
      <c r="G6" s="475">
        <f t="shared" si="0"/>
        <v>164701</v>
      </c>
      <c r="H6" s="475">
        <f t="shared" si="0"/>
        <v>171872</v>
      </c>
      <c r="I6" s="475">
        <f t="shared" si="0"/>
        <v>179086</v>
      </c>
      <c r="J6" s="475">
        <f t="shared" si="0"/>
        <v>186619</v>
      </c>
      <c r="K6" s="475">
        <f t="shared" si="0"/>
        <v>193088</v>
      </c>
      <c r="L6" s="475">
        <f t="shared" si="0"/>
        <v>196233</v>
      </c>
      <c r="M6" s="475">
        <f t="shared" si="0"/>
        <v>196014</v>
      </c>
      <c r="N6" s="475">
        <f t="shared" si="0"/>
        <v>192705</v>
      </c>
      <c r="O6" s="475">
        <f>(O8+O9+O10+O11+O12+O13+O14+O15+O16+O17+O18+O19+O20+O21+O22+O23+O24+O25+O26+O27+O28+O29+O30+O31)</f>
        <v>188737</v>
      </c>
      <c r="P6" s="475">
        <f>(P8+P9+P10+P11+P12+P13+P14+P15+P16+P17+P18+P19+P20+P21+P22+P23+P24+P25+P26+P27+P28+P29+P30+P31)</f>
        <v>189702</v>
      </c>
      <c r="Q6" s="475">
        <f>(Q8+Q9+Q10+Q11+Q12+Q13+Q14+Q15+Q16+Q17+Q18+Q19+Q20+Q21+Q22+Q23+Q24+Q25+Q26+Q27+Q28+Q29+Q30+Q31)</f>
        <v>192919</v>
      </c>
    </row>
    <row r="7" spans="1:19" ht="5" customHeight="1">
      <c r="A7" s="151"/>
      <c r="B7" s="152"/>
      <c r="C7" s="461"/>
      <c r="D7" s="461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</row>
    <row r="8" spans="1:19" ht="13" customHeight="1">
      <c r="A8" s="151"/>
      <c r="B8" s="29" t="s">
        <v>21</v>
      </c>
      <c r="C8" s="455">
        <v>356</v>
      </c>
      <c r="D8" s="455">
        <v>336</v>
      </c>
      <c r="E8" s="477">
        <v>414</v>
      </c>
      <c r="F8" s="477">
        <v>602</v>
      </c>
      <c r="G8" s="477">
        <v>761</v>
      </c>
      <c r="H8" s="477">
        <v>844</v>
      </c>
      <c r="I8" s="477">
        <v>903</v>
      </c>
      <c r="J8" s="477">
        <v>1034</v>
      </c>
      <c r="K8" s="477">
        <v>1082</v>
      </c>
      <c r="L8" s="477">
        <v>1205</v>
      </c>
      <c r="M8" s="477">
        <v>1154</v>
      </c>
      <c r="N8" s="478">
        <v>590</v>
      </c>
      <c r="O8" s="478">
        <v>880</v>
      </c>
      <c r="P8" s="478">
        <v>766</v>
      </c>
      <c r="Q8" s="478">
        <v>685</v>
      </c>
    </row>
    <row r="9" spans="1:19" ht="13" customHeight="1">
      <c r="A9" s="151"/>
      <c r="B9" s="29" t="s">
        <v>22</v>
      </c>
      <c r="C9" s="455">
        <v>10238</v>
      </c>
      <c r="D9" s="455">
        <v>10778</v>
      </c>
      <c r="E9" s="477">
        <v>9985</v>
      </c>
      <c r="F9" s="477">
        <v>9473</v>
      </c>
      <c r="G9" s="477">
        <v>8744</v>
      </c>
      <c r="H9" s="477">
        <v>8810</v>
      </c>
      <c r="I9" s="479">
        <v>8666</v>
      </c>
      <c r="J9" s="479">
        <v>9323</v>
      </c>
      <c r="K9" s="479">
        <v>8970</v>
      </c>
      <c r="L9" s="479">
        <v>9053</v>
      </c>
      <c r="M9" s="479">
        <v>8958</v>
      </c>
      <c r="N9" s="480">
        <v>8460</v>
      </c>
      <c r="O9" s="480">
        <v>7680</v>
      </c>
      <c r="P9" s="480">
        <v>7147</v>
      </c>
      <c r="Q9" s="480">
        <v>7217</v>
      </c>
    </row>
    <row r="10" spans="1:19" ht="13" customHeight="1">
      <c r="A10" s="151"/>
      <c r="B10" s="29" t="s">
        <v>23</v>
      </c>
      <c r="C10" s="455">
        <v>2939</v>
      </c>
      <c r="D10" s="455">
        <v>3172</v>
      </c>
      <c r="E10" s="477">
        <v>3172</v>
      </c>
      <c r="F10" s="477">
        <v>2833</v>
      </c>
      <c r="G10" s="477">
        <v>2782</v>
      </c>
      <c r="H10" s="477">
        <v>2689</v>
      </c>
      <c r="I10" s="479">
        <v>2326</v>
      </c>
      <c r="J10" s="479">
        <v>2504</v>
      </c>
      <c r="K10" s="479">
        <v>2716</v>
      </c>
      <c r="L10" s="479">
        <v>3246</v>
      </c>
      <c r="M10" s="479">
        <v>3220</v>
      </c>
      <c r="N10" s="479">
        <v>3134</v>
      </c>
      <c r="O10" s="479">
        <v>3078</v>
      </c>
      <c r="P10" s="479">
        <v>3130</v>
      </c>
      <c r="Q10" s="479">
        <v>3101</v>
      </c>
      <c r="S10" s="159"/>
    </row>
    <row r="11" spans="1:19" ht="13" customHeight="1">
      <c r="A11" s="151"/>
      <c r="B11" s="29" t="s">
        <v>24</v>
      </c>
      <c r="C11" s="455">
        <v>5255</v>
      </c>
      <c r="D11" s="455">
        <v>5492</v>
      </c>
      <c r="E11" s="477">
        <v>5648</v>
      </c>
      <c r="F11" s="477">
        <v>5783</v>
      </c>
      <c r="G11" s="477">
        <v>5901</v>
      </c>
      <c r="H11" s="477">
        <v>5963</v>
      </c>
      <c r="I11" s="479">
        <v>6233</v>
      </c>
      <c r="J11" s="479">
        <v>6309</v>
      </c>
      <c r="K11" s="477">
        <v>6715</v>
      </c>
      <c r="L11" s="477">
        <v>6893</v>
      </c>
      <c r="M11" s="477">
        <v>7093</v>
      </c>
      <c r="N11" s="478">
        <v>7246</v>
      </c>
      <c r="O11" s="478">
        <v>7718</v>
      </c>
      <c r="P11" s="478">
        <v>7798</v>
      </c>
      <c r="Q11" s="478">
        <v>8227</v>
      </c>
      <c r="S11" s="159"/>
    </row>
    <row r="12" spans="1:19" ht="13" customHeight="1">
      <c r="A12" s="151"/>
      <c r="B12" s="29" t="s">
        <v>25</v>
      </c>
      <c r="C12" s="455">
        <v>20836</v>
      </c>
      <c r="D12" s="455">
        <v>24037</v>
      </c>
      <c r="E12" s="477">
        <v>25896</v>
      </c>
      <c r="F12" s="477">
        <v>23904</v>
      </c>
      <c r="G12" s="477">
        <v>24466</v>
      </c>
      <c r="H12" s="477">
        <v>27368</v>
      </c>
      <c r="I12" s="477">
        <v>29302</v>
      </c>
      <c r="J12" s="477">
        <v>28012</v>
      </c>
      <c r="K12" s="477">
        <v>29741</v>
      </c>
      <c r="L12" s="477">
        <v>31983</v>
      </c>
      <c r="M12" s="477">
        <v>31499</v>
      </c>
      <c r="N12" s="478">
        <v>28488</v>
      </c>
      <c r="O12" s="478">
        <v>26794</v>
      </c>
      <c r="P12" s="478">
        <v>24002</v>
      </c>
      <c r="Q12" s="478">
        <v>24659</v>
      </c>
      <c r="S12" s="159"/>
    </row>
    <row r="13" spans="1:19" ht="13" customHeight="1">
      <c r="A13" s="151"/>
      <c r="B13" s="29" t="s">
        <v>29</v>
      </c>
      <c r="C13" s="455">
        <v>5682</v>
      </c>
      <c r="D13" s="455">
        <v>6278</v>
      </c>
      <c r="E13" s="477">
        <v>6442</v>
      </c>
      <c r="F13" s="477">
        <v>7343</v>
      </c>
      <c r="G13" s="477">
        <v>7030</v>
      </c>
      <c r="H13" s="477">
        <v>7988</v>
      </c>
      <c r="I13" s="477">
        <v>7584</v>
      </c>
      <c r="J13" s="477">
        <v>8320</v>
      </c>
      <c r="K13" s="477">
        <v>8354</v>
      </c>
      <c r="L13" s="477">
        <v>8431</v>
      </c>
      <c r="M13" s="477">
        <v>8486</v>
      </c>
      <c r="N13" s="477">
        <v>8616</v>
      </c>
      <c r="O13" s="477">
        <v>8885</v>
      </c>
      <c r="P13" s="477">
        <v>9087</v>
      </c>
      <c r="Q13" s="477">
        <v>9172</v>
      </c>
      <c r="S13" s="159"/>
    </row>
    <row r="14" spans="1:19" ht="13" customHeight="1">
      <c r="A14" s="151"/>
      <c r="B14" s="29" t="s">
        <v>30</v>
      </c>
      <c r="C14" s="455">
        <v>6599</v>
      </c>
      <c r="D14" s="455">
        <v>6835</v>
      </c>
      <c r="E14" s="477">
        <v>6846</v>
      </c>
      <c r="F14" s="477">
        <v>7238</v>
      </c>
      <c r="G14" s="477">
        <v>7285</v>
      </c>
      <c r="H14" s="477">
        <v>7189</v>
      </c>
      <c r="I14" s="479">
        <v>7608</v>
      </c>
      <c r="J14" s="479">
        <v>7847</v>
      </c>
      <c r="K14" s="479">
        <v>8176</v>
      </c>
      <c r="L14" s="479">
        <v>8321</v>
      </c>
      <c r="M14" s="479">
        <v>8600</v>
      </c>
      <c r="N14" s="478">
        <v>8975</v>
      </c>
      <c r="O14" s="478">
        <v>9019</v>
      </c>
      <c r="P14" s="478">
        <v>9598</v>
      </c>
      <c r="Q14" s="478">
        <v>9831</v>
      </c>
      <c r="S14" s="159"/>
    </row>
    <row r="15" spans="1:19" ht="13" customHeight="1">
      <c r="A15" s="151"/>
      <c r="B15" s="29" t="s">
        <v>31</v>
      </c>
      <c r="C15" s="455">
        <v>19359</v>
      </c>
      <c r="D15" s="455">
        <v>20479</v>
      </c>
      <c r="E15" s="477">
        <v>20915</v>
      </c>
      <c r="F15" s="477">
        <v>19931</v>
      </c>
      <c r="G15" s="477">
        <v>20243</v>
      </c>
      <c r="H15" s="477">
        <v>20937</v>
      </c>
      <c r="I15" s="479">
        <v>21509</v>
      </c>
      <c r="J15" s="479">
        <v>21696</v>
      </c>
      <c r="K15" s="479">
        <v>21295</v>
      </c>
      <c r="L15" s="479">
        <v>21390</v>
      </c>
      <c r="M15" s="479">
        <v>21553</v>
      </c>
      <c r="N15" s="478">
        <v>21548</v>
      </c>
      <c r="O15" s="478">
        <v>21842</v>
      </c>
      <c r="P15" s="478">
        <v>21736</v>
      </c>
      <c r="Q15" s="478">
        <v>21608</v>
      </c>
      <c r="S15" s="159"/>
    </row>
    <row r="16" spans="1:19" ht="13" customHeight="1">
      <c r="A16" s="151"/>
      <c r="B16" s="29" t="s">
        <v>32</v>
      </c>
      <c r="C16" s="455">
        <v>1092</v>
      </c>
      <c r="D16" s="455">
        <v>1134</v>
      </c>
      <c r="E16" s="481">
        <v>1181</v>
      </c>
      <c r="F16" s="481">
        <v>1339</v>
      </c>
      <c r="G16" s="481">
        <v>1387</v>
      </c>
      <c r="H16" s="481">
        <v>1640</v>
      </c>
      <c r="I16" s="479">
        <v>1764</v>
      </c>
      <c r="J16" s="479">
        <v>1765</v>
      </c>
      <c r="K16" s="479">
        <v>1979</v>
      </c>
      <c r="L16" s="479">
        <v>2023</v>
      </c>
      <c r="M16" s="479">
        <v>2027</v>
      </c>
      <c r="N16" s="479">
        <v>2203</v>
      </c>
      <c r="O16" s="479">
        <v>2006</v>
      </c>
      <c r="P16" s="479">
        <v>1820</v>
      </c>
      <c r="Q16" s="479">
        <v>1992</v>
      </c>
      <c r="S16" s="159"/>
    </row>
    <row r="17" spans="1:19" ht="13" customHeight="1">
      <c r="A17" s="151"/>
      <c r="B17" s="29" t="s">
        <v>33</v>
      </c>
      <c r="C17" s="455">
        <v>9010</v>
      </c>
      <c r="D17" s="455">
        <v>10026</v>
      </c>
      <c r="E17" s="477">
        <v>11491</v>
      </c>
      <c r="F17" s="477">
        <v>11902</v>
      </c>
      <c r="G17" s="477">
        <v>11645</v>
      </c>
      <c r="H17" s="477">
        <v>11851</v>
      </c>
      <c r="I17" s="479">
        <v>13732</v>
      </c>
      <c r="J17" s="479">
        <v>16459</v>
      </c>
      <c r="K17" s="479">
        <v>19399</v>
      </c>
      <c r="L17" s="479">
        <v>19575</v>
      </c>
      <c r="M17" s="479">
        <v>20069</v>
      </c>
      <c r="N17" s="478">
        <v>20246</v>
      </c>
      <c r="O17" s="478">
        <v>18495</v>
      </c>
      <c r="P17" s="478">
        <v>21638</v>
      </c>
      <c r="Q17" s="478">
        <v>22966</v>
      </c>
      <c r="S17" s="159"/>
    </row>
    <row r="18" spans="1:19" ht="13" customHeight="1">
      <c r="A18" s="151"/>
      <c r="B18" s="29" t="s">
        <v>34</v>
      </c>
      <c r="C18" s="455">
        <v>3372</v>
      </c>
      <c r="D18" s="455">
        <v>3040</v>
      </c>
      <c r="E18" s="477">
        <v>3054</v>
      </c>
      <c r="F18" s="477">
        <v>3394</v>
      </c>
      <c r="G18" s="477">
        <v>3435</v>
      </c>
      <c r="H18" s="477">
        <v>3704</v>
      </c>
      <c r="I18" s="479">
        <v>3789</v>
      </c>
      <c r="J18" s="479">
        <v>3753</v>
      </c>
      <c r="K18" s="479">
        <v>3966</v>
      </c>
      <c r="L18" s="479">
        <v>3588</v>
      </c>
      <c r="M18" s="479">
        <v>3565</v>
      </c>
      <c r="N18" s="478">
        <v>3417</v>
      </c>
      <c r="O18" s="478">
        <v>3407</v>
      </c>
      <c r="P18" s="478">
        <v>3520</v>
      </c>
      <c r="Q18" s="478">
        <v>3680</v>
      </c>
      <c r="S18" s="159"/>
    </row>
    <row r="19" spans="1:19" ht="13" customHeight="1">
      <c r="A19" s="151"/>
      <c r="B19" s="29" t="s">
        <v>35</v>
      </c>
      <c r="C19" s="455">
        <v>4781</v>
      </c>
      <c r="D19" s="455">
        <v>4782</v>
      </c>
      <c r="E19" s="477">
        <v>4957</v>
      </c>
      <c r="F19" s="477">
        <v>5005</v>
      </c>
      <c r="G19" s="477">
        <v>5730</v>
      </c>
      <c r="H19" s="477">
        <v>6441</v>
      </c>
      <c r="I19" s="479">
        <v>6782</v>
      </c>
      <c r="J19" s="479">
        <v>7435</v>
      </c>
      <c r="K19" s="479">
        <v>7701</v>
      </c>
      <c r="L19" s="479">
        <v>8058</v>
      </c>
      <c r="M19" s="479">
        <v>9117</v>
      </c>
      <c r="N19" s="478">
        <v>8937</v>
      </c>
      <c r="O19" s="478">
        <v>9511</v>
      </c>
      <c r="P19" s="478">
        <v>9437</v>
      </c>
      <c r="Q19" s="478">
        <v>7969</v>
      </c>
      <c r="S19" s="159"/>
    </row>
    <row r="20" spans="1:19" ht="13" customHeight="1">
      <c r="A20" s="151"/>
      <c r="B20" s="29" t="s">
        <v>36</v>
      </c>
      <c r="C20" s="455">
        <v>2855</v>
      </c>
      <c r="D20" s="455">
        <v>2597</v>
      </c>
      <c r="E20" s="477">
        <v>2730</v>
      </c>
      <c r="F20" s="477">
        <v>3199</v>
      </c>
      <c r="G20" s="477">
        <v>3262</v>
      </c>
      <c r="H20" s="477">
        <v>3163</v>
      </c>
      <c r="I20" s="479">
        <v>3429</v>
      </c>
      <c r="J20" s="479">
        <v>3555</v>
      </c>
      <c r="K20" s="479">
        <v>4096</v>
      </c>
      <c r="L20" s="479">
        <v>4252</v>
      </c>
      <c r="M20" s="479">
        <v>4100</v>
      </c>
      <c r="N20" s="478">
        <v>3974</v>
      </c>
      <c r="O20" s="478">
        <v>3884</v>
      </c>
      <c r="P20" s="478">
        <v>3630</v>
      </c>
      <c r="Q20" s="478">
        <v>3496</v>
      </c>
      <c r="S20" s="159"/>
    </row>
    <row r="21" spans="1:19" ht="13" customHeight="1">
      <c r="A21" s="151"/>
      <c r="B21" s="29" t="s">
        <v>37</v>
      </c>
      <c r="C21" s="455">
        <v>8733</v>
      </c>
      <c r="D21" s="455">
        <v>8763</v>
      </c>
      <c r="E21" s="477">
        <v>6341</v>
      </c>
      <c r="F21" s="477">
        <v>6052</v>
      </c>
      <c r="G21" s="477">
        <v>5060</v>
      </c>
      <c r="H21" s="477">
        <v>4921</v>
      </c>
      <c r="I21" s="479">
        <v>5081</v>
      </c>
      <c r="J21" s="479">
        <v>6005</v>
      </c>
      <c r="K21" s="479">
        <v>7096</v>
      </c>
      <c r="L21" s="479">
        <v>7142</v>
      </c>
      <c r="M21" s="479">
        <v>7114</v>
      </c>
      <c r="N21" s="478">
        <v>6533</v>
      </c>
      <c r="O21" s="478">
        <v>5488</v>
      </c>
      <c r="P21" s="478">
        <v>5558</v>
      </c>
      <c r="Q21" s="478">
        <v>5490</v>
      </c>
      <c r="S21" s="159"/>
    </row>
    <row r="22" spans="1:19" ht="13" customHeight="1">
      <c r="A22" s="151"/>
      <c r="B22" s="29" t="s">
        <v>38</v>
      </c>
      <c r="C22" s="455">
        <v>1355</v>
      </c>
      <c r="D22" s="455">
        <v>1429</v>
      </c>
      <c r="E22" s="477">
        <v>1492</v>
      </c>
      <c r="F22" s="477">
        <v>1315</v>
      </c>
      <c r="G22" s="477">
        <v>1214</v>
      </c>
      <c r="H22" s="477">
        <v>1175</v>
      </c>
      <c r="I22" s="479">
        <v>1208</v>
      </c>
      <c r="J22" s="479">
        <v>1049</v>
      </c>
      <c r="K22" s="479">
        <v>1112</v>
      </c>
      <c r="L22" s="479">
        <v>1163</v>
      </c>
      <c r="M22" s="479">
        <v>1172</v>
      </c>
      <c r="N22" s="478">
        <v>1214</v>
      </c>
      <c r="O22" s="478">
        <v>986</v>
      </c>
      <c r="P22" s="478">
        <v>770</v>
      </c>
      <c r="Q22" s="478">
        <v>749</v>
      </c>
      <c r="S22" s="159"/>
    </row>
    <row r="23" spans="1:19" ht="13" customHeight="1">
      <c r="A23" s="151"/>
      <c r="B23" s="29" t="s">
        <v>39</v>
      </c>
      <c r="C23" s="455">
        <v>1093</v>
      </c>
      <c r="D23" s="455">
        <v>1071</v>
      </c>
      <c r="E23" s="477">
        <v>1099</v>
      </c>
      <c r="F23" s="477">
        <v>1156</v>
      </c>
      <c r="G23" s="477">
        <v>1062</v>
      </c>
      <c r="H23" s="477">
        <v>1069</v>
      </c>
      <c r="I23" s="479">
        <v>1069</v>
      </c>
      <c r="J23" s="479">
        <v>1181</v>
      </c>
      <c r="K23" s="479">
        <v>1140</v>
      </c>
      <c r="L23" s="479">
        <v>1112</v>
      </c>
      <c r="M23" s="479">
        <v>1039</v>
      </c>
      <c r="N23" s="478">
        <v>1001</v>
      </c>
      <c r="O23" s="478">
        <v>970</v>
      </c>
      <c r="P23" s="478">
        <v>956</v>
      </c>
      <c r="Q23" s="478">
        <v>971</v>
      </c>
      <c r="S23" s="159"/>
    </row>
    <row r="24" spans="1:19" ht="13" customHeight="1">
      <c r="A24" s="151"/>
      <c r="B24" s="29" t="s">
        <v>40</v>
      </c>
      <c r="C24" s="455">
        <v>9405</v>
      </c>
      <c r="D24" s="455">
        <v>8786</v>
      </c>
      <c r="E24" s="477">
        <v>8954</v>
      </c>
      <c r="F24" s="477">
        <v>9611</v>
      </c>
      <c r="G24" s="477">
        <v>10631</v>
      </c>
      <c r="H24" s="477">
        <v>11250</v>
      </c>
      <c r="I24" s="479">
        <v>11628</v>
      </c>
      <c r="J24" s="479">
        <v>12463</v>
      </c>
      <c r="K24" s="479">
        <v>13236</v>
      </c>
      <c r="L24" s="479">
        <v>11571</v>
      </c>
      <c r="M24" s="479">
        <v>11665</v>
      </c>
      <c r="N24" s="478">
        <v>11725</v>
      </c>
      <c r="O24" s="478">
        <v>11418</v>
      </c>
      <c r="P24" s="478">
        <v>11172</v>
      </c>
      <c r="Q24" s="478">
        <v>12261</v>
      </c>
      <c r="S24" s="159"/>
    </row>
    <row r="25" spans="1:19" ht="13" customHeight="1">
      <c r="A25" s="151"/>
      <c r="B25" s="29" t="s">
        <v>41</v>
      </c>
      <c r="C25" s="455">
        <v>3879</v>
      </c>
      <c r="D25" s="455">
        <v>4268</v>
      </c>
      <c r="E25" s="477">
        <v>4817</v>
      </c>
      <c r="F25" s="477">
        <v>5160</v>
      </c>
      <c r="G25" s="477">
        <v>4795</v>
      </c>
      <c r="H25" s="477">
        <v>4661</v>
      </c>
      <c r="I25" s="477">
        <v>4878</v>
      </c>
      <c r="J25" s="477">
        <v>4923</v>
      </c>
      <c r="K25" s="477">
        <v>4841</v>
      </c>
      <c r="L25" s="477">
        <v>4923</v>
      </c>
      <c r="M25" s="477">
        <v>4885</v>
      </c>
      <c r="N25" s="478">
        <v>4851</v>
      </c>
      <c r="O25" s="478">
        <v>4699</v>
      </c>
      <c r="P25" s="478">
        <v>4685</v>
      </c>
      <c r="Q25" s="478">
        <v>4670</v>
      </c>
      <c r="S25" s="159"/>
    </row>
    <row r="26" spans="1:19" ht="13" customHeight="1">
      <c r="A26" s="151"/>
      <c r="B26" s="29" t="s">
        <v>44</v>
      </c>
      <c r="C26" s="455">
        <v>10312</v>
      </c>
      <c r="D26" s="455">
        <v>11894</v>
      </c>
      <c r="E26" s="477">
        <v>11040</v>
      </c>
      <c r="F26" s="477">
        <v>11172</v>
      </c>
      <c r="G26" s="477">
        <v>11541</v>
      </c>
      <c r="H26" s="477">
        <v>11848</v>
      </c>
      <c r="I26" s="479">
        <v>12012</v>
      </c>
      <c r="J26" s="479">
        <v>12415</v>
      </c>
      <c r="K26" s="479">
        <v>10615</v>
      </c>
      <c r="L26" s="479">
        <v>10637</v>
      </c>
      <c r="M26" s="479">
        <v>10012</v>
      </c>
      <c r="N26" s="478">
        <v>9860</v>
      </c>
      <c r="O26" s="478">
        <v>9850</v>
      </c>
      <c r="P26" s="478">
        <v>10304</v>
      </c>
      <c r="Q26" s="478">
        <v>10865</v>
      </c>
      <c r="S26" s="159"/>
    </row>
    <row r="27" spans="1:19" ht="13" customHeight="1">
      <c r="A27" s="151"/>
      <c r="B27" s="29" t="s">
        <v>45</v>
      </c>
      <c r="C27" s="455">
        <v>17230</v>
      </c>
      <c r="D27" s="455">
        <v>17401</v>
      </c>
      <c r="E27" s="477">
        <v>17642</v>
      </c>
      <c r="F27" s="477">
        <v>18033</v>
      </c>
      <c r="G27" s="477">
        <v>18529</v>
      </c>
      <c r="H27" s="477">
        <v>19048</v>
      </c>
      <c r="I27" s="479">
        <v>19643</v>
      </c>
      <c r="J27" s="479">
        <v>20153</v>
      </c>
      <c r="K27" s="479">
        <v>20444</v>
      </c>
      <c r="L27" s="479">
        <v>20934</v>
      </c>
      <c r="M27" s="479">
        <v>19676</v>
      </c>
      <c r="N27" s="478">
        <v>20154</v>
      </c>
      <c r="O27" s="478">
        <v>20418</v>
      </c>
      <c r="P27" s="478">
        <v>20864</v>
      </c>
      <c r="Q27" s="478">
        <v>21025</v>
      </c>
      <c r="S27" s="159"/>
    </row>
    <row r="28" spans="1:19" ht="13" customHeight="1">
      <c r="A28" s="151"/>
      <c r="B28" s="150" t="s">
        <v>46</v>
      </c>
      <c r="C28" s="455">
        <v>4917</v>
      </c>
      <c r="D28" s="455">
        <v>5575</v>
      </c>
      <c r="E28" s="477">
        <v>5612</v>
      </c>
      <c r="F28" s="477">
        <v>5267</v>
      </c>
      <c r="G28" s="477">
        <v>5459</v>
      </c>
      <c r="H28" s="477">
        <v>5346</v>
      </c>
      <c r="I28" s="479">
        <v>5620</v>
      </c>
      <c r="J28" s="479">
        <v>5884</v>
      </c>
      <c r="K28" s="479">
        <v>5732</v>
      </c>
      <c r="L28" s="479">
        <v>5928</v>
      </c>
      <c r="M28" s="479">
        <v>5934</v>
      </c>
      <c r="N28" s="480">
        <v>6041</v>
      </c>
      <c r="O28" s="480">
        <v>5801</v>
      </c>
      <c r="P28" s="480">
        <v>6288</v>
      </c>
      <c r="Q28" s="480">
        <v>6255</v>
      </c>
      <c r="S28" s="159"/>
    </row>
    <row r="29" spans="1:19" ht="13" customHeight="1">
      <c r="A29" s="151"/>
      <c r="B29" s="30" t="s">
        <v>47</v>
      </c>
      <c r="C29" s="455">
        <v>520</v>
      </c>
      <c r="D29" s="455">
        <v>561</v>
      </c>
      <c r="E29" s="477">
        <v>625</v>
      </c>
      <c r="F29" s="477">
        <v>695</v>
      </c>
      <c r="G29" s="477">
        <v>757</v>
      </c>
      <c r="H29" s="477">
        <v>841</v>
      </c>
      <c r="I29" s="479">
        <v>978</v>
      </c>
      <c r="J29" s="479">
        <v>1266</v>
      </c>
      <c r="K29" s="479">
        <v>1410</v>
      </c>
      <c r="L29" s="479">
        <v>1524</v>
      </c>
      <c r="M29" s="479">
        <v>1517</v>
      </c>
      <c r="N29" s="480">
        <v>1344</v>
      </c>
      <c r="O29" s="480">
        <v>1503</v>
      </c>
      <c r="P29" s="480">
        <v>1573</v>
      </c>
      <c r="Q29" s="480">
        <v>1631</v>
      </c>
      <c r="S29" s="159"/>
    </row>
    <row r="30" spans="1:19" ht="13" customHeight="1">
      <c r="A30" s="151"/>
      <c r="B30" s="29" t="s">
        <v>48</v>
      </c>
      <c r="C30" s="455">
        <v>1585</v>
      </c>
      <c r="D30" s="455">
        <v>1581</v>
      </c>
      <c r="E30" s="477">
        <v>1596</v>
      </c>
      <c r="F30" s="477">
        <v>1280</v>
      </c>
      <c r="G30" s="477">
        <v>1346</v>
      </c>
      <c r="H30" s="477">
        <v>1451</v>
      </c>
      <c r="I30" s="479">
        <v>1622</v>
      </c>
      <c r="J30" s="479">
        <v>1561</v>
      </c>
      <c r="K30" s="479">
        <v>1606</v>
      </c>
      <c r="L30" s="479">
        <v>1557</v>
      </c>
      <c r="M30" s="479">
        <v>1630</v>
      </c>
      <c r="N30" s="480">
        <v>1775</v>
      </c>
      <c r="O30" s="480">
        <v>2016</v>
      </c>
      <c r="P30" s="480">
        <v>1967</v>
      </c>
      <c r="Q30" s="480">
        <v>2026</v>
      </c>
      <c r="S30" s="159"/>
    </row>
    <row r="31" spans="1:19" ht="13" customHeight="1" thickBot="1">
      <c r="A31" s="453"/>
      <c r="B31" s="454" t="s">
        <v>49</v>
      </c>
      <c r="C31" s="458">
        <v>1093</v>
      </c>
      <c r="D31" s="458">
        <v>1265</v>
      </c>
      <c r="E31" s="482">
        <v>1288</v>
      </c>
      <c r="F31" s="482">
        <v>1629</v>
      </c>
      <c r="G31" s="482">
        <v>1636</v>
      </c>
      <c r="H31" s="482">
        <v>1675</v>
      </c>
      <c r="I31" s="482">
        <v>1720</v>
      </c>
      <c r="J31" s="482">
        <v>1707</v>
      </c>
      <c r="K31" s="482">
        <v>1666</v>
      </c>
      <c r="L31" s="482">
        <v>1724</v>
      </c>
      <c r="M31" s="482">
        <v>1929</v>
      </c>
      <c r="N31" s="483">
        <v>2373</v>
      </c>
      <c r="O31" s="483">
        <v>2389</v>
      </c>
      <c r="P31" s="483">
        <v>2256</v>
      </c>
      <c r="Q31" s="483">
        <v>2373</v>
      </c>
      <c r="S31" s="159"/>
    </row>
    <row r="32" spans="1:19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  <c r="S32" s="15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tabColor theme="9" tint="0.59999389629810485"/>
  </sheetPr>
  <dimension ref="A2:Q36"/>
  <sheetViews>
    <sheetView showGridLines="0" topLeftCell="A2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7" ht="15" customHeight="1">
      <c r="A2" s="468" t="s">
        <v>373</v>
      </c>
      <c r="B2" s="469"/>
    </row>
    <row r="3" spans="1:17" ht="13" customHeight="1">
      <c r="A3" s="470" t="s">
        <v>384</v>
      </c>
      <c r="B3" s="470"/>
    </row>
    <row r="4" spans="1:17" ht="5" customHeight="1" thickBot="1">
      <c r="A4" s="294"/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</row>
    <row r="5" spans="1:17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7" ht="15" customHeight="1">
      <c r="A6" s="1102" t="s">
        <v>114</v>
      </c>
      <c r="B6" s="1102"/>
      <c r="C6" s="493">
        <v>3.36</v>
      </c>
      <c r="D6" s="493">
        <v>3.4</v>
      </c>
      <c r="E6" s="493">
        <v>3.5</v>
      </c>
      <c r="F6" s="493">
        <v>3.77</v>
      </c>
      <c r="G6" s="493">
        <v>4.08</v>
      </c>
      <c r="H6" s="493">
        <v>4.0999999999999996</v>
      </c>
      <c r="I6" s="493">
        <v>4.25</v>
      </c>
      <c r="J6" s="493">
        <v>4.6900000000000004</v>
      </c>
      <c r="K6" s="493">
        <v>4.84</v>
      </c>
      <c r="L6" s="493">
        <v>5.23</v>
      </c>
      <c r="M6" s="493">
        <v>5.42</v>
      </c>
      <c r="N6" s="493">
        <v>5.63</v>
      </c>
      <c r="O6" s="493">
        <v>5.53</v>
      </c>
      <c r="P6" s="493">
        <v>5.64</v>
      </c>
      <c r="Q6" s="493">
        <v>5.68</v>
      </c>
    </row>
    <row r="7" spans="1:17" ht="5" customHeight="1">
      <c r="A7" s="151"/>
      <c r="B7" s="152"/>
      <c r="C7" s="494"/>
      <c r="D7" s="494"/>
      <c r="E7" s="494"/>
      <c r="F7" s="494"/>
      <c r="G7" s="494"/>
      <c r="H7" s="494"/>
      <c r="I7" s="494"/>
      <c r="J7" s="494"/>
      <c r="K7" s="494"/>
      <c r="L7" s="494"/>
      <c r="M7" s="494"/>
      <c r="N7" s="494"/>
      <c r="O7" s="494"/>
      <c r="P7" s="494"/>
      <c r="Q7" s="494"/>
    </row>
    <row r="8" spans="1:17" ht="13" customHeight="1">
      <c r="A8" s="151"/>
      <c r="B8" s="29" t="s">
        <v>21</v>
      </c>
      <c r="C8" s="495">
        <v>3.57</v>
      </c>
      <c r="D8" s="495">
        <v>3.39</v>
      </c>
      <c r="E8" s="495">
        <v>3.62</v>
      </c>
      <c r="F8" s="495">
        <v>3.66</v>
      </c>
      <c r="G8" s="495">
        <v>3.69</v>
      </c>
      <c r="H8" s="495">
        <v>3.5</v>
      </c>
      <c r="I8" s="495">
        <v>3.58</v>
      </c>
      <c r="J8" s="495">
        <v>3.62</v>
      </c>
      <c r="K8" s="495">
        <v>3.51</v>
      </c>
      <c r="L8" s="495">
        <v>4.47</v>
      </c>
      <c r="M8" s="495">
        <v>5.74</v>
      </c>
      <c r="N8" s="495">
        <v>5.67</v>
      </c>
      <c r="O8" s="495">
        <v>5.41</v>
      </c>
      <c r="P8" s="495">
        <v>5.42</v>
      </c>
      <c r="Q8" s="495">
        <v>5.58</v>
      </c>
    </row>
    <row r="9" spans="1:17" ht="13" customHeight="1">
      <c r="A9" s="151"/>
      <c r="B9" s="29" t="s">
        <v>22</v>
      </c>
      <c r="C9" s="495">
        <v>3.4</v>
      </c>
      <c r="D9" s="495">
        <v>3.4</v>
      </c>
      <c r="E9" s="495">
        <v>3.75</v>
      </c>
      <c r="F9" s="495">
        <v>3.82</v>
      </c>
      <c r="G9" s="495">
        <v>4.0199999999999996</v>
      </c>
      <c r="H9" s="495">
        <v>3.92</v>
      </c>
      <c r="I9" s="495">
        <v>3.76</v>
      </c>
      <c r="J9" s="495">
        <v>4.01</v>
      </c>
      <c r="K9" s="495">
        <v>4.55</v>
      </c>
      <c r="L9" s="495">
        <v>4.7699999999999996</v>
      </c>
      <c r="M9" s="495">
        <v>5.0599999999999996</v>
      </c>
      <c r="N9" s="495">
        <v>5.56</v>
      </c>
      <c r="O9" s="495">
        <v>5.49</v>
      </c>
      <c r="P9" s="495">
        <v>5.65</v>
      </c>
      <c r="Q9" s="495">
        <v>5.67</v>
      </c>
    </row>
    <row r="10" spans="1:17" ht="13" customHeight="1">
      <c r="A10" s="151"/>
      <c r="B10" s="29" t="s">
        <v>23</v>
      </c>
      <c r="C10" s="495">
        <v>3.31</v>
      </c>
      <c r="D10" s="495">
        <v>3.54</v>
      </c>
      <c r="E10" s="495">
        <v>3.43</v>
      </c>
      <c r="F10" s="495">
        <v>3.62</v>
      </c>
      <c r="G10" s="495">
        <v>4.2300000000000004</v>
      </c>
      <c r="H10" s="495">
        <v>4.03</v>
      </c>
      <c r="I10" s="495">
        <v>3.97</v>
      </c>
      <c r="J10" s="495">
        <v>4.07</v>
      </c>
      <c r="K10" s="495">
        <v>4.34</v>
      </c>
      <c r="L10" s="495">
        <v>4.88</v>
      </c>
      <c r="M10" s="495">
        <v>5.18</v>
      </c>
      <c r="N10" s="495">
        <v>5.62</v>
      </c>
      <c r="O10" s="495">
        <v>5.52</v>
      </c>
      <c r="P10" s="495">
        <v>5.72</v>
      </c>
      <c r="Q10" s="495">
        <v>5.8</v>
      </c>
    </row>
    <row r="11" spans="1:17" ht="13" customHeight="1">
      <c r="A11" s="151"/>
      <c r="B11" s="29" t="s">
        <v>24</v>
      </c>
      <c r="C11" s="495">
        <v>3.1</v>
      </c>
      <c r="D11" s="495">
        <v>3.13</v>
      </c>
      <c r="E11" s="495">
        <v>3.67</v>
      </c>
      <c r="F11" s="495">
        <v>3.78</v>
      </c>
      <c r="G11" s="495">
        <v>4.4400000000000004</v>
      </c>
      <c r="H11" s="495">
        <v>4.2300000000000004</v>
      </c>
      <c r="I11" s="495">
        <v>4.05</v>
      </c>
      <c r="J11" s="495">
        <v>3.86</v>
      </c>
      <c r="K11" s="495">
        <v>4.05</v>
      </c>
      <c r="L11" s="495">
        <v>4.05</v>
      </c>
      <c r="M11" s="495">
        <v>5.98</v>
      </c>
      <c r="N11" s="495">
        <v>6.87</v>
      </c>
      <c r="O11" s="495">
        <v>6.11</v>
      </c>
      <c r="P11" s="495">
        <v>6.07</v>
      </c>
      <c r="Q11" s="495">
        <v>6.12</v>
      </c>
    </row>
    <row r="12" spans="1:17" ht="13" customHeight="1">
      <c r="A12" s="151"/>
      <c r="B12" s="29" t="s">
        <v>25</v>
      </c>
      <c r="C12" s="495">
        <v>3.81</v>
      </c>
      <c r="D12" s="495">
        <v>3.94</v>
      </c>
      <c r="E12" s="495">
        <v>3.7</v>
      </c>
      <c r="F12" s="495">
        <v>3.85</v>
      </c>
      <c r="G12" s="495">
        <v>4.1399999999999997</v>
      </c>
      <c r="H12" s="495">
        <v>4.0999999999999996</v>
      </c>
      <c r="I12" s="495">
        <v>4.0599999999999996</v>
      </c>
      <c r="J12" s="495">
        <v>5.21</v>
      </c>
      <c r="K12" s="495">
        <v>4.74</v>
      </c>
      <c r="L12" s="495">
        <v>5.16</v>
      </c>
      <c r="M12" s="495">
        <v>4.93</v>
      </c>
      <c r="N12" s="495">
        <v>5.08</v>
      </c>
      <c r="O12" s="495">
        <v>5.48</v>
      </c>
      <c r="P12" s="495">
        <v>5.4</v>
      </c>
      <c r="Q12" s="495">
        <v>5.6</v>
      </c>
    </row>
    <row r="13" spans="1:17" ht="13" customHeight="1">
      <c r="A13" s="151"/>
      <c r="B13" s="29" t="s">
        <v>29</v>
      </c>
      <c r="C13" s="495">
        <v>3.42</v>
      </c>
      <c r="D13" s="495">
        <v>3.55</v>
      </c>
      <c r="E13" s="495">
        <v>3.86</v>
      </c>
      <c r="F13" s="495">
        <v>3.82</v>
      </c>
      <c r="G13" s="495">
        <v>4</v>
      </c>
      <c r="H13" s="495">
        <v>4.08</v>
      </c>
      <c r="I13" s="495">
        <v>4.53</v>
      </c>
      <c r="J13" s="495">
        <v>4.5599999999999996</v>
      </c>
      <c r="K13" s="495">
        <v>5.58</v>
      </c>
      <c r="L13" s="495">
        <v>5.89</v>
      </c>
      <c r="M13" s="495">
        <v>5.04</v>
      </c>
      <c r="N13" s="495">
        <v>5.61</v>
      </c>
      <c r="O13" s="495">
        <v>5.47</v>
      </c>
      <c r="P13" s="495">
        <v>5.53</v>
      </c>
      <c r="Q13" s="495">
        <v>5.52</v>
      </c>
    </row>
    <row r="14" spans="1:17" ht="13" customHeight="1">
      <c r="A14" s="151"/>
      <c r="B14" s="29" t="s">
        <v>30</v>
      </c>
      <c r="C14" s="495">
        <v>3.88</v>
      </c>
      <c r="D14" s="495">
        <v>3.53</v>
      </c>
      <c r="E14" s="495">
        <v>3.55</v>
      </c>
      <c r="F14" s="495">
        <v>3.81</v>
      </c>
      <c r="G14" s="495">
        <v>4.0999999999999996</v>
      </c>
      <c r="H14" s="495">
        <v>3.43</v>
      </c>
      <c r="I14" s="495">
        <v>4.09</v>
      </c>
      <c r="J14" s="495">
        <v>4.21</v>
      </c>
      <c r="K14" s="495">
        <v>4.46</v>
      </c>
      <c r="L14" s="495">
        <v>5.24</v>
      </c>
      <c r="M14" s="495">
        <v>5.62</v>
      </c>
      <c r="N14" s="495">
        <v>5.57</v>
      </c>
      <c r="O14" s="495">
        <v>5</v>
      </c>
      <c r="P14" s="495">
        <v>5.16</v>
      </c>
      <c r="Q14" s="495">
        <v>5.1100000000000003</v>
      </c>
    </row>
    <row r="15" spans="1:17" ht="13" customHeight="1">
      <c r="A15" s="151"/>
      <c r="B15" s="29" t="s">
        <v>31</v>
      </c>
      <c r="C15" s="495">
        <v>3.4</v>
      </c>
      <c r="D15" s="495">
        <v>3.49</v>
      </c>
      <c r="E15" s="495">
        <v>3.46</v>
      </c>
      <c r="F15" s="495">
        <v>4</v>
      </c>
      <c r="G15" s="495">
        <v>4.34</v>
      </c>
      <c r="H15" s="495">
        <v>3.66</v>
      </c>
      <c r="I15" s="495">
        <v>3.73</v>
      </c>
      <c r="J15" s="495">
        <v>4.05</v>
      </c>
      <c r="K15" s="495">
        <v>4.26</v>
      </c>
      <c r="L15" s="495">
        <v>4.59</v>
      </c>
      <c r="M15" s="495">
        <v>4.8499999999999996</v>
      </c>
      <c r="N15" s="495">
        <v>5.65</v>
      </c>
      <c r="O15" s="495">
        <v>5.78</v>
      </c>
      <c r="P15" s="495">
        <v>5.72</v>
      </c>
      <c r="Q15" s="495">
        <v>5.9</v>
      </c>
    </row>
    <row r="16" spans="1:17" ht="13" customHeight="1">
      <c r="A16" s="151"/>
      <c r="B16" s="29" t="s">
        <v>32</v>
      </c>
      <c r="C16" s="495">
        <v>2.83</v>
      </c>
      <c r="D16" s="495">
        <v>3.05</v>
      </c>
      <c r="E16" s="495">
        <v>3.24</v>
      </c>
      <c r="F16" s="495">
        <v>3.84</v>
      </c>
      <c r="G16" s="495">
        <v>4.2300000000000004</v>
      </c>
      <c r="H16" s="495">
        <v>4.3899999999999997</v>
      </c>
      <c r="I16" s="495">
        <v>4.74</v>
      </c>
      <c r="J16" s="495">
        <v>4.9800000000000004</v>
      </c>
      <c r="K16" s="495">
        <v>5.1100000000000003</v>
      </c>
      <c r="L16" s="495">
        <v>5.57</v>
      </c>
      <c r="M16" s="495">
        <v>5.68</v>
      </c>
      <c r="N16" s="495">
        <v>5.18</v>
      </c>
      <c r="O16" s="495">
        <v>5.16</v>
      </c>
      <c r="P16" s="495">
        <v>5.28</v>
      </c>
      <c r="Q16" s="495">
        <v>5.23</v>
      </c>
    </row>
    <row r="17" spans="1:17" ht="13" customHeight="1">
      <c r="A17" s="151"/>
      <c r="B17" s="29" t="s">
        <v>33</v>
      </c>
      <c r="C17" s="495">
        <v>3.51</v>
      </c>
      <c r="D17" s="495">
        <v>3.54</v>
      </c>
      <c r="E17" s="495">
        <v>3.56</v>
      </c>
      <c r="F17" s="495">
        <v>3.65</v>
      </c>
      <c r="G17" s="495">
        <v>4.04</v>
      </c>
      <c r="H17" s="495">
        <v>4.4400000000000004</v>
      </c>
      <c r="I17" s="495">
        <v>4.5999999999999996</v>
      </c>
      <c r="J17" s="495">
        <v>4.47</v>
      </c>
      <c r="K17" s="495">
        <v>5.15</v>
      </c>
      <c r="L17" s="495">
        <v>5.09</v>
      </c>
      <c r="M17" s="495">
        <v>5.58</v>
      </c>
      <c r="N17" s="495">
        <v>5.42</v>
      </c>
      <c r="O17" s="495">
        <v>5.47</v>
      </c>
      <c r="P17" s="495">
        <v>5.6</v>
      </c>
      <c r="Q17" s="495">
        <v>5.56</v>
      </c>
    </row>
    <row r="18" spans="1:17" ht="13" customHeight="1">
      <c r="A18" s="151"/>
      <c r="B18" s="29" t="s">
        <v>34</v>
      </c>
      <c r="C18" s="495">
        <v>2.65</v>
      </c>
      <c r="D18" s="495">
        <v>2.84</v>
      </c>
      <c r="E18" s="495">
        <v>3.41</v>
      </c>
      <c r="F18" s="495">
        <v>3.66</v>
      </c>
      <c r="G18" s="495">
        <v>3.7</v>
      </c>
      <c r="H18" s="495">
        <v>4.12</v>
      </c>
      <c r="I18" s="495">
        <v>4.3899999999999997</v>
      </c>
      <c r="J18" s="495">
        <v>4.5</v>
      </c>
      <c r="K18" s="495">
        <v>4.79</v>
      </c>
      <c r="L18" s="495">
        <v>4.66</v>
      </c>
      <c r="M18" s="495">
        <v>4.79</v>
      </c>
      <c r="N18" s="495">
        <v>5.12</v>
      </c>
      <c r="O18" s="495">
        <v>5.01</v>
      </c>
      <c r="P18" s="495">
        <v>5.18</v>
      </c>
      <c r="Q18" s="495">
        <v>5.61</v>
      </c>
    </row>
    <row r="19" spans="1:17" ht="13" customHeight="1">
      <c r="A19" s="151"/>
      <c r="B19" s="29" t="s">
        <v>35</v>
      </c>
      <c r="C19" s="495">
        <v>3.15</v>
      </c>
      <c r="D19" s="495">
        <v>3.11</v>
      </c>
      <c r="E19" s="495">
        <v>3.12</v>
      </c>
      <c r="F19" s="495">
        <v>3.68</v>
      </c>
      <c r="G19" s="495">
        <v>3.74</v>
      </c>
      <c r="H19" s="495">
        <v>4.9000000000000004</v>
      </c>
      <c r="I19" s="495">
        <v>5.1100000000000003</v>
      </c>
      <c r="J19" s="495">
        <v>5.25</v>
      </c>
      <c r="K19" s="495">
        <v>5.49</v>
      </c>
      <c r="L19" s="495">
        <v>5.69</v>
      </c>
      <c r="M19" s="495">
        <v>6.1</v>
      </c>
      <c r="N19" s="495">
        <v>6.47</v>
      </c>
      <c r="O19" s="495">
        <v>6.05</v>
      </c>
      <c r="P19" s="495">
        <v>6.26</v>
      </c>
      <c r="Q19" s="495">
        <v>6.15</v>
      </c>
    </row>
    <row r="20" spans="1:17" ht="13" customHeight="1">
      <c r="A20" s="151"/>
      <c r="B20" s="29" t="s">
        <v>36</v>
      </c>
      <c r="C20" s="495">
        <v>3.59</v>
      </c>
      <c r="D20" s="495">
        <v>3.49</v>
      </c>
      <c r="E20" s="495">
        <v>3.48</v>
      </c>
      <c r="F20" s="495">
        <v>3.67</v>
      </c>
      <c r="G20" s="495">
        <v>3.69</v>
      </c>
      <c r="H20" s="495">
        <v>3.8</v>
      </c>
      <c r="I20" s="495">
        <v>3.92</v>
      </c>
      <c r="J20" s="495">
        <v>5.33</v>
      </c>
      <c r="K20" s="495">
        <v>4.7</v>
      </c>
      <c r="L20" s="495">
        <v>5.08</v>
      </c>
      <c r="M20" s="495">
        <v>5.7</v>
      </c>
      <c r="N20" s="495">
        <v>5.63</v>
      </c>
      <c r="O20" s="495">
        <v>5.45</v>
      </c>
      <c r="P20" s="495">
        <v>5.53</v>
      </c>
      <c r="Q20" s="495">
        <v>5.46</v>
      </c>
    </row>
    <row r="21" spans="1:17" ht="13" customHeight="1">
      <c r="A21" s="151"/>
      <c r="B21" s="29" t="s">
        <v>37</v>
      </c>
      <c r="C21" s="495">
        <v>3.14</v>
      </c>
      <c r="D21" s="495">
        <v>2.96</v>
      </c>
      <c r="E21" s="495">
        <v>3.02</v>
      </c>
      <c r="F21" s="495">
        <v>3.76</v>
      </c>
      <c r="G21" s="495">
        <v>4.1399999999999997</v>
      </c>
      <c r="H21" s="495">
        <v>4.42</v>
      </c>
      <c r="I21" s="495">
        <v>4.4400000000000004</v>
      </c>
      <c r="J21" s="495">
        <v>5.4</v>
      </c>
      <c r="K21" s="495">
        <v>5.45</v>
      </c>
      <c r="L21" s="495">
        <v>5.31</v>
      </c>
      <c r="M21" s="495">
        <v>5.57</v>
      </c>
      <c r="N21" s="495">
        <v>5.58</v>
      </c>
      <c r="O21" s="495">
        <v>5.5</v>
      </c>
      <c r="P21" s="495">
        <v>5.68</v>
      </c>
      <c r="Q21" s="495">
        <v>5.73</v>
      </c>
    </row>
    <row r="22" spans="1:17" ht="13" customHeight="1">
      <c r="A22" s="151"/>
      <c r="B22" s="29" t="s">
        <v>38</v>
      </c>
      <c r="C22" s="495">
        <v>3.8</v>
      </c>
      <c r="D22" s="495">
        <v>3.77</v>
      </c>
      <c r="E22" s="495">
        <v>3.65</v>
      </c>
      <c r="F22" s="495">
        <v>3.63</v>
      </c>
      <c r="G22" s="495">
        <v>3.82</v>
      </c>
      <c r="H22" s="495">
        <v>3.92</v>
      </c>
      <c r="I22" s="495">
        <v>3.86</v>
      </c>
      <c r="J22" s="495">
        <v>4.3099999999999996</v>
      </c>
      <c r="K22" s="495">
        <v>4.55</v>
      </c>
      <c r="L22" s="495">
        <v>4.95</v>
      </c>
      <c r="M22" s="495">
        <v>5.1100000000000003</v>
      </c>
      <c r="N22" s="495">
        <v>5.23</v>
      </c>
      <c r="O22" s="495">
        <v>5.1100000000000003</v>
      </c>
      <c r="P22" s="495">
        <v>5.47</v>
      </c>
      <c r="Q22" s="495">
        <v>5.46</v>
      </c>
    </row>
    <row r="23" spans="1:17" ht="13" customHeight="1">
      <c r="A23" s="151"/>
      <c r="B23" s="29" t="s">
        <v>39</v>
      </c>
      <c r="C23" s="495">
        <v>3.52</v>
      </c>
      <c r="D23" s="495">
        <v>3.54</v>
      </c>
      <c r="E23" s="495">
        <v>3.67</v>
      </c>
      <c r="F23" s="495">
        <v>3.7</v>
      </c>
      <c r="G23" s="495">
        <v>3.79</v>
      </c>
      <c r="H23" s="495">
        <v>3.59</v>
      </c>
      <c r="I23" s="495">
        <v>4.1399999999999997</v>
      </c>
      <c r="J23" s="495">
        <v>4.47</v>
      </c>
      <c r="K23" s="495">
        <v>4.7</v>
      </c>
      <c r="L23" s="495">
        <v>5.08</v>
      </c>
      <c r="M23" s="495">
        <v>5.82</v>
      </c>
      <c r="N23" s="495">
        <v>5.83</v>
      </c>
      <c r="O23" s="495">
        <v>5.68</v>
      </c>
      <c r="P23" s="495">
        <v>5.77</v>
      </c>
      <c r="Q23" s="495">
        <v>5.76</v>
      </c>
    </row>
    <row r="24" spans="1:17" ht="13" customHeight="1">
      <c r="A24" s="151"/>
      <c r="B24" s="29" t="s">
        <v>40</v>
      </c>
      <c r="C24" s="495">
        <v>3.56</v>
      </c>
      <c r="D24" s="495">
        <v>3.54</v>
      </c>
      <c r="E24" s="495">
        <v>3.61</v>
      </c>
      <c r="F24" s="495">
        <v>3.78</v>
      </c>
      <c r="G24" s="495">
        <v>4.04</v>
      </c>
      <c r="H24" s="495">
        <v>3.85</v>
      </c>
      <c r="I24" s="495">
        <v>4.3899999999999997</v>
      </c>
      <c r="J24" s="495">
        <v>5.16</v>
      </c>
      <c r="K24" s="495">
        <v>5.32</v>
      </c>
      <c r="L24" s="495">
        <v>5.27</v>
      </c>
      <c r="M24" s="495">
        <v>5.49</v>
      </c>
      <c r="N24" s="495">
        <v>5.29</v>
      </c>
      <c r="O24" s="495">
        <v>5.49</v>
      </c>
      <c r="P24" s="495">
        <v>5.65</v>
      </c>
      <c r="Q24" s="495">
        <v>5.67</v>
      </c>
    </row>
    <row r="25" spans="1:17" ht="13" customHeight="1">
      <c r="A25" s="151"/>
      <c r="B25" s="29" t="s">
        <v>41</v>
      </c>
      <c r="C25" s="495">
        <v>3.49</v>
      </c>
      <c r="D25" s="495">
        <v>3.5</v>
      </c>
      <c r="E25" s="495">
        <v>3.65</v>
      </c>
      <c r="F25" s="495">
        <v>3.41</v>
      </c>
      <c r="G25" s="495">
        <v>3.48</v>
      </c>
      <c r="H25" s="495">
        <v>3.58</v>
      </c>
      <c r="I25" s="495">
        <v>4.0999999999999996</v>
      </c>
      <c r="J25" s="495">
        <v>5.05</v>
      </c>
      <c r="K25" s="495">
        <v>4.8899999999999997</v>
      </c>
      <c r="L25" s="495">
        <v>5.31</v>
      </c>
      <c r="M25" s="495">
        <v>5.23</v>
      </c>
      <c r="N25" s="495">
        <v>5.08</v>
      </c>
      <c r="O25" s="495">
        <v>5.0599999999999996</v>
      </c>
      <c r="P25" s="495">
        <v>5.24</v>
      </c>
      <c r="Q25" s="495">
        <v>5.17</v>
      </c>
    </row>
    <row r="26" spans="1:17" ht="13" customHeight="1">
      <c r="A26" s="151"/>
      <c r="B26" s="29" t="s">
        <v>44</v>
      </c>
      <c r="C26" s="495">
        <v>3.45</v>
      </c>
      <c r="D26" s="495">
        <v>3.5</v>
      </c>
      <c r="E26" s="495">
        <v>3.57</v>
      </c>
      <c r="F26" s="495">
        <v>3.86</v>
      </c>
      <c r="G26" s="495">
        <v>4.1399999999999997</v>
      </c>
      <c r="H26" s="495">
        <v>4.1500000000000004</v>
      </c>
      <c r="I26" s="495">
        <v>4.3899999999999997</v>
      </c>
      <c r="J26" s="495">
        <v>4.6399999999999997</v>
      </c>
      <c r="K26" s="495">
        <v>4.8600000000000003</v>
      </c>
      <c r="L26" s="495">
        <v>5.07</v>
      </c>
      <c r="M26" s="495">
        <v>5.31</v>
      </c>
      <c r="N26" s="495">
        <v>5.49</v>
      </c>
      <c r="O26" s="495">
        <v>5.6</v>
      </c>
      <c r="P26" s="495">
        <v>5.77</v>
      </c>
      <c r="Q26" s="495">
        <v>5.88</v>
      </c>
    </row>
    <row r="27" spans="1:17" ht="13" customHeight="1">
      <c r="A27" s="151"/>
      <c r="B27" s="29" t="s">
        <v>45</v>
      </c>
      <c r="C27" s="495">
        <v>2.82</v>
      </c>
      <c r="D27" s="495">
        <v>2.86</v>
      </c>
      <c r="E27" s="495">
        <v>3.18</v>
      </c>
      <c r="F27" s="495">
        <v>3.62</v>
      </c>
      <c r="G27" s="495">
        <v>4.0599999999999996</v>
      </c>
      <c r="H27" s="495">
        <v>4.67</v>
      </c>
      <c r="I27" s="495">
        <v>4.07</v>
      </c>
      <c r="J27" s="495">
        <v>4.53</v>
      </c>
      <c r="K27" s="495">
        <v>4.49</v>
      </c>
      <c r="L27" s="495">
        <v>6.22</v>
      </c>
      <c r="M27" s="495">
        <v>5.8</v>
      </c>
      <c r="N27" s="495">
        <v>6.28</v>
      </c>
      <c r="O27" s="495">
        <v>5.4</v>
      </c>
      <c r="P27" s="495">
        <v>5.65</v>
      </c>
      <c r="Q27" s="495">
        <v>5.84</v>
      </c>
    </row>
    <row r="28" spans="1:17" ht="13" customHeight="1">
      <c r="A28" s="151"/>
      <c r="B28" s="150" t="s">
        <v>46</v>
      </c>
      <c r="C28" s="495">
        <v>2.88</v>
      </c>
      <c r="D28" s="495">
        <v>2.93</v>
      </c>
      <c r="E28" s="495">
        <v>3.19</v>
      </c>
      <c r="F28" s="495">
        <v>3.68</v>
      </c>
      <c r="G28" s="495">
        <v>4.16</v>
      </c>
      <c r="H28" s="495">
        <v>3.63</v>
      </c>
      <c r="I28" s="495">
        <v>5.8</v>
      </c>
      <c r="J28" s="495">
        <v>5.95</v>
      </c>
      <c r="K28" s="495">
        <v>6.04</v>
      </c>
      <c r="L28" s="495">
        <v>5.93</v>
      </c>
      <c r="M28" s="495">
        <v>5.46</v>
      </c>
      <c r="N28" s="495">
        <v>5.95</v>
      </c>
      <c r="O28" s="495">
        <v>5.63</v>
      </c>
      <c r="P28" s="495">
        <v>5.62</v>
      </c>
      <c r="Q28" s="495">
        <v>5.57</v>
      </c>
    </row>
    <row r="29" spans="1:17" ht="13" customHeight="1">
      <c r="A29" s="151"/>
      <c r="B29" s="30" t="s">
        <v>47</v>
      </c>
      <c r="C29" s="495">
        <v>3.55</v>
      </c>
      <c r="D29" s="495">
        <v>3.42</v>
      </c>
      <c r="E29" s="495">
        <v>3.67</v>
      </c>
      <c r="F29" s="495">
        <v>3.93</v>
      </c>
      <c r="G29" s="495">
        <v>4.3899999999999997</v>
      </c>
      <c r="H29" s="495">
        <v>4.51</v>
      </c>
      <c r="I29" s="495">
        <v>4.6500000000000004</v>
      </c>
      <c r="J29" s="495">
        <v>5.25</v>
      </c>
      <c r="K29" s="495">
        <v>5.45</v>
      </c>
      <c r="L29" s="495">
        <v>6.29</v>
      </c>
      <c r="M29" s="495">
        <v>6.63</v>
      </c>
      <c r="N29" s="495">
        <v>6.03</v>
      </c>
      <c r="O29" s="495">
        <v>5.32</v>
      </c>
      <c r="P29" s="495">
        <v>5.51</v>
      </c>
      <c r="Q29" s="495">
        <v>5.76</v>
      </c>
    </row>
    <row r="30" spans="1:17" ht="13" customHeight="1">
      <c r="A30" s="151"/>
      <c r="B30" s="29" t="s">
        <v>48</v>
      </c>
      <c r="C30" s="495">
        <v>2.94</v>
      </c>
      <c r="D30" s="495">
        <v>2.89</v>
      </c>
      <c r="E30" s="495">
        <v>3.44</v>
      </c>
      <c r="F30" s="495">
        <v>3.92</v>
      </c>
      <c r="G30" s="495">
        <v>4.26</v>
      </c>
      <c r="H30" s="495">
        <v>4.8499999999999996</v>
      </c>
      <c r="I30" s="495">
        <v>5.12</v>
      </c>
      <c r="J30" s="495">
        <v>5.47</v>
      </c>
      <c r="K30" s="495">
        <v>5.65</v>
      </c>
      <c r="L30" s="495">
        <v>5.83</v>
      </c>
      <c r="M30" s="495">
        <v>5.87</v>
      </c>
      <c r="N30" s="495">
        <v>6.08</v>
      </c>
      <c r="O30" s="495">
        <v>5.54</v>
      </c>
      <c r="P30" s="495">
        <v>5.35</v>
      </c>
      <c r="Q30" s="495">
        <v>5.43</v>
      </c>
    </row>
    <row r="31" spans="1:17" ht="13" customHeight="1" thickBot="1">
      <c r="A31" s="453"/>
      <c r="B31" s="454" t="s">
        <v>49</v>
      </c>
      <c r="C31" s="496">
        <v>3.28</v>
      </c>
      <c r="D31" s="496">
        <v>3.1</v>
      </c>
      <c r="E31" s="496">
        <v>3.25</v>
      </c>
      <c r="F31" s="496">
        <v>3.42</v>
      </c>
      <c r="G31" s="496">
        <v>3.93</v>
      </c>
      <c r="H31" s="496">
        <v>4.43</v>
      </c>
      <c r="I31" s="496">
        <v>4.8099999999999996</v>
      </c>
      <c r="J31" s="496">
        <v>4.25</v>
      </c>
      <c r="K31" s="496">
        <v>4.21</v>
      </c>
      <c r="L31" s="496">
        <v>5.2</v>
      </c>
      <c r="M31" s="496">
        <v>4.46</v>
      </c>
      <c r="N31" s="496">
        <v>4.57</v>
      </c>
      <c r="O31" s="496">
        <v>5.61</v>
      </c>
      <c r="P31" s="496">
        <v>5.52</v>
      </c>
      <c r="Q31" s="496">
        <v>5.57</v>
      </c>
    </row>
    <row r="32" spans="1:17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4"/>
      <c r="Q33" s="464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4"/>
      <c r="Q34" s="464"/>
    </row>
    <row r="36" spans="1:17" ht="13" customHeight="1"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tabColor theme="9" tint="0.59999389629810485"/>
  </sheetPr>
  <dimension ref="A2:Q3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7" ht="13" customHeight="1">
      <c r="A2" s="468" t="s">
        <v>372</v>
      </c>
      <c r="B2" s="469"/>
    </row>
    <row r="3" spans="1:17" ht="13" customHeight="1">
      <c r="A3" s="470"/>
      <c r="B3" s="470" t="s">
        <v>303</v>
      </c>
    </row>
    <row r="4" spans="1:17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7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7" ht="15" customHeight="1">
      <c r="A6" s="1102" t="s">
        <v>106</v>
      </c>
      <c r="B6" s="1102"/>
      <c r="C6" s="460">
        <f t="shared" ref="C6:N6" si="0">(C8+C9+C10+C11+C12+C13+C14+C15+C16+C17+C18+C19+C20+C21+C22+C23+C24+C25+C26+C27+C28+C29+C30+C31)</f>
        <v>708119</v>
      </c>
      <c r="D6" s="460">
        <f t="shared" si="0"/>
        <v>743672</v>
      </c>
      <c r="E6" s="475">
        <f t="shared" si="0"/>
        <v>753192</v>
      </c>
      <c r="F6" s="475">
        <f t="shared" si="0"/>
        <v>769582</v>
      </c>
      <c r="G6" s="475">
        <f t="shared" si="0"/>
        <v>787010</v>
      </c>
      <c r="H6" s="475">
        <f t="shared" si="0"/>
        <v>787601</v>
      </c>
      <c r="I6" s="475">
        <f t="shared" si="0"/>
        <v>815395</v>
      </c>
      <c r="J6" s="475">
        <f t="shared" si="0"/>
        <v>859630</v>
      </c>
      <c r="K6" s="475">
        <f t="shared" si="0"/>
        <v>859465</v>
      </c>
      <c r="L6" s="475">
        <f t="shared" si="0"/>
        <v>874940</v>
      </c>
      <c r="M6" s="475">
        <f t="shared" si="0"/>
        <v>886143</v>
      </c>
      <c r="N6" s="475">
        <f t="shared" si="0"/>
        <v>895718</v>
      </c>
      <c r="O6" s="475">
        <f>(O8+O9+O10+O11+O12+O13+O14+O15+O16+O17+O18+O19+O20+O21+O22+O23+O24+O25+O26+O27+O28+O29+O30+O31)</f>
        <v>890155</v>
      </c>
      <c r="P6" s="475">
        <f>(P8+P9+P10+P11+P12+P13+P14+P15+P16+P17+P18+P19+P20+P21+P22+P23+P24+P25+P26+P27+P28+P29+P30+P31)</f>
        <v>896708</v>
      </c>
      <c r="Q6" s="475">
        <f>(Q8+Q9+Q10+Q11+Q12+Q13+Q14+Q15+Q16+Q17+Q18+Q19+Q20+Q21+Q22+Q23+Q24+Q25+Q26+Q27+Q28+Q29+Q30+Q31)</f>
        <v>905818</v>
      </c>
    </row>
    <row r="7" spans="1:17" ht="5" customHeight="1">
      <c r="A7" s="151"/>
      <c r="B7" s="152"/>
      <c r="C7" s="461"/>
      <c r="D7" s="461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</row>
    <row r="8" spans="1:17" ht="13" customHeight="1">
      <c r="A8" s="151"/>
      <c r="B8" s="29" t="s">
        <v>21</v>
      </c>
      <c r="C8" s="455">
        <v>205</v>
      </c>
      <c r="D8" s="455">
        <v>274</v>
      </c>
      <c r="E8" s="477">
        <v>312</v>
      </c>
      <c r="F8" s="477">
        <v>386</v>
      </c>
      <c r="G8" s="477">
        <v>468</v>
      </c>
      <c r="H8" s="477">
        <v>503</v>
      </c>
      <c r="I8" s="477">
        <v>513</v>
      </c>
      <c r="J8" s="477">
        <v>548</v>
      </c>
      <c r="K8" s="477">
        <v>618</v>
      </c>
      <c r="L8" s="477">
        <v>638</v>
      </c>
      <c r="M8" s="478">
        <v>607</v>
      </c>
      <c r="N8" s="478">
        <v>422</v>
      </c>
      <c r="O8" s="478">
        <v>389</v>
      </c>
      <c r="P8" s="478">
        <v>373</v>
      </c>
      <c r="Q8" s="478">
        <v>362</v>
      </c>
    </row>
    <row r="9" spans="1:17" ht="13" customHeight="1">
      <c r="A9" s="151"/>
      <c r="B9" s="29" t="s">
        <v>22</v>
      </c>
      <c r="C9" s="455">
        <v>30800</v>
      </c>
      <c r="D9" s="455">
        <v>35139</v>
      </c>
      <c r="E9" s="477">
        <v>34728</v>
      </c>
      <c r="F9" s="477">
        <v>33772</v>
      </c>
      <c r="G9" s="477">
        <v>34191</v>
      </c>
      <c r="H9" s="479">
        <v>30208</v>
      </c>
      <c r="I9" s="479">
        <v>35419</v>
      </c>
      <c r="J9" s="479">
        <v>38995</v>
      </c>
      <c r="K9" s="479">
        <v>34915</v>
      </c>
      <c r="L9" s="479">
        <v>34685</v>
      </c>
      <c r="M9" s="480">
        <v>31861</v>
      </c>
      <c r="N9" s="480">
        <v>30915</v>
      </c>
      <c r="O9" s="480">
        <v>24275</v>
      </c>
      <c r="P9" s="480">
        <v>23642</v>
      </c>
      <c r="Q9" s="480">
        <v>24072</v>
      </c>
    </row>
    <row r="10" spans="1:17" ht="13" customHeight="1">
      <c r="A10" s="151"/>
      <c r="B10" s="29" t="s">
        <v>23</v>
      </c>
      <c r="C10" s="455">
        <v>11495</v>
      </c>
      <c r="D10" s="455">
        <v>13733</v>
      </c>
      <c r="E10" s="477">
        <v>11917</v>
      </c>
      <c r="F10" s="477">
        <v>12100</v>
      </c>
      <c r="G10" s="477">
        <v>12432</v>
      </c>
      <c r="H10" s="479">
        <v>13419</v>
      </c>
      <c r="I10" s="479">
        <v>15349</v>
      </c>
      <c r="J10" s="479">
        <v>16016</v>
      </c>
      <c r="K10" s="479">
        <v>15929</v>
      </c>
      <c r="L10" s="479">
        <v>18394</v>
      </c>
      <c r="M10" s="479">
        <v>18602</v>
      </c>
      <c r="N10" s="479">
        <v>20306</v>
      </c>
      <c r="O10" s="479">
        <v>18913</v>
      </c>
      <c r="P10" s="479">
        <v>18456</v>
      </c>
      <c r="Q10" s="479">
        <v>17837</v>
      </c>
    </row>
    <row r="11" spans="1:17" ht="13" customHeight="1">
      <c r="A11" s="151"/>
      <c r="B11" s="29" t="s">
        <v>24</v>
      </c>
      <c r="C11" s="455">
        <v>31910</v>
      </c>
      <c r="D11" s="455">
        <v>33386</v>
      </c>
      <c r="E11" s="477">
        <v>34127</v>
      </c>
      <c r="F11" s="477">
        <v>34893</v>
      </c>
      <c r="G11" s="477">
        <v>35121</v>
      </c>
      <c r="H11" s="479">
        <v>35989</v>
      </c>
      <c r="I11" s="479">
        <v>37489</v>
      </c>
      <c r="J11" s="477">
        <v>38090</v>
      </c>
      <c r="K11" s="477">
        <v>38786</v>
      </c>
      <c r="L11" s="477">
        <v>39057</v>
      </c>
      <c r="M11" s="478">
        <v>41974</v>
      </c>
      <c r="N11" s="478">
        <v>43042</v>
      </c>
      <c r="O11" s="478">
        <v>44082</v>
      </c>
      <c r="P11" s="478">
        <v>45118</v>
      </c>
      <c r="Q11" s="478">
        <v>48823</v>
      </c>
    </row>
    <row r="12" spans="1:17" ht="13" customHeight="1">
      <c r="A12" s="151"/>
      <c r="B12" s="29" t="s">
        <v>25</v>
      </c>
      <c r="C12" s="455">
        <v>110070</v>
      </c>
      <c r="D12" s="455">
        <v>111986</v>
      </c>
      <c r="E12" s="477">
        <v>122855</v>
      </c>
      <c r="F12" s="477">
        <v>123702</v>
      </c>
      <c r="G12" s="477">
        <v>133538</v>
      </c>
      <c r="H12" s="477">
        <v>131082</v>
      </c>
      <c r="I12" s="477">
        <v>136630</v>
      </c>
      <c r="J12" s="477">
        <v>140044</v>
      </c>
      <c r="K12" s="477">
        <v>142803</v>
      </c>
      <c r="L12" s="477">
        <v>146401</v>
      </c>
      <c r="M12" s="478">
        <v>152976</v>
      </c>
      <c r="N12" s="478">
        <v>159826</v>
      </c>
      <c r="O12" s="478">
        <v>162289</v>
      </c>
      <c r="P12" s="478">
        <v>162487</v>
      </c>
      <c r="Q12" s="478">
        <v>164222</v>
      </c>
    </row>
    <row r="13" spans="1:17" ht="13" customHeight="1">
      <c r="A13" s="151"/>
      <c r="B13" s="29" t="s">
        <v>29</v>
      </c>
      <c r="C13" s="455">
        <v>57182</v>
      </c>
      <c r="D13" s="455">
        <v>55010</v>
      </c>
      <c r="E13" s="477">
        <v>54898</v>
      </c>
      <c r="F13" s="477">
        <v>58893</v>
      </c>
      <c r="G13" s="477">
        <v>59729</v>
      </c>
      <c r="H13" s="477">
        <v>60701</v>
      </c>
      <c r="I13" s="477">
        <v>59696</v>
      </c>
      <c r="J13" s="477">
        <v>60572</v>
      </c>
      <c r="K13" s="477">
        <v>63081</v>
      </c>
      <c r="L13" s="477">
        <v>64800</v>
      </c>
      <c r="M13" s="477">
        <v>67566</v>
      </c>
      <c r="N13" s="477">
        <v>71212</v>
      </c>
      <c r="O13" s="477">
        <v>74885</v>
      </c>
      <c r="P13" s="477">
        <v>78673</v>
      </c>
      <c r="Q13" s="477">
        <v>79623</v>
      </c>
    </row>
    <row r="14" spans="1:17" ht="13" customHeight="1">
      <c r="A14" s="151"/>
      <c r="B14" s="29" t="s">
        <v>30</v>
      </c>
      <c r="C14" s="455">
        <v>15138</v>
      </c>
      <c r="D14" s="455">
        <v>15084</v>
      </c>
      <c r="E14" s="477">
        <v>15428</v>
      </c>
      <c r="F14" s="477">
        <v>15207</v>
      </c>
      <c r="G14" s="477">
        <v>14076</v>
      </c>
      <c r="H14" s="479">
        <v>14449</v>
      </c>
      <c r="I14" s="479">
        <v>14358</v>
      </c>
      <c r="J14" s="479">
        <v>14592</v>
      </c>
      <c r="K14" s="479">
        <v>13862</v>
      </c>
      <c r="L14" s="479">
        <v>14497</v>
      </c>
      <c r="M14" s="478">
        <v>12680</v>
      </c>
      <c r="N14" s="478">
        <v>13073</v>
      </c>
      <c r="O14" s="478">
        <v>13463</v>
      </c>
      <c r="P14" s="478">
        <v>14783</v>
      </c>
      <c r="Q14" s="478">
        <v>14847</v>
      </c>
    </row>
    <row r="15" spans="1:17" ht="13" customHeight="1">
      <c r="A15" s="151"/>
      <c r="B15" s="29" t="s">
        <v>31</v>
      </c>
      <c r="C15" s="455">
        <v>72396</v>
      </c>
      <c r="D15" s="455">
        <v>73854</v>
      </c>
      <c r="E15" s="477">
        <v>74318</v>
      </c>
      <c r="F15" s="477">
        <v>73291</v>
      </c>
      <c r="G15" s="477">
        <v>74109</v>
      </c>
      <c r="H15" s="479">
        <v>75086</v>
      </c>
      <c r="I15" s="479">
        <v>75684</v>
      </c>
      <c r="J15" s="479">
        <v>75347</v>
      </c>
      <c r="K15" s="479">
        <v>75768</v>
      </c>
      <c r="L15" s="479">
        <v>78501</v>
      </c>
      <c r="M15" s="478">
        <v>79149</v>
      </c>
      <c r="N15" s="478">
        <v>77763</v>
      </c>
      <c r="O15" s="478">
        <v>76070</v>
      </c>
      <c r="P15" s="478">
        <v>74764</v>
      </c>
      <c r="Q15" s="478">
        <v>71092</v>
      </c>
    </row>
    <row r="16" spans="1:17" ht="13" customHeight="1">
      <c r="A16" s="151"/>
      <c r="B16" s="29" t="s">
        <v>32</v>
      </c>
      <c r="C16" s="455">
        <v>6635</v>
      </c>
      <c r="D16" s="457">
        <v>6646</v>
      </c>
      <c r="E16" s="481">
        <v>6730</v>
      </c>
      <c r="F16" s="481">
        <v>7086</v>
      </c>
      <c r="G16" s="481">
        <v>7588</v>
      </c>
      <c r="H16" s="479">
        <v>7724</v>
      </c>
      <c r="I16" s="479">
        <v>7811</v>
      </c>
      <c r="J16" s="479">
        <v>8270</v>
      </c>
      <c r="K16" s="479">
        <v>8929</v>
      </c>
      <c r="L16" s="479">
        <v>9578</v>
      </c>
      <c r="M16" s="479">
        <v>9480</v>
      </c>
      <c r="N16" s="479">
        <v>10349</v>
      </c>
      <c r="O16" s="479">
        <v>11507</v>
      </c>
      <c r="P16" s="479">
        <v>11962</v>
      </c>
      <c r="Q16" s="479">
        <v>12537</v>
      </c>
    </row>
    <row r="17" spans="1:17" ht="13" customHeight="1">
      <c r="A17" s="151"/>
      <c r="B17" s="29" t="s">
        <v>33</v>
      </c>
      <c r="C17" s="455">
        <v>25270</v>
      </c>
      <c r="D17" s="455">
        <v>28936</v>
      </c>
      <c r="E17" s="477">
        <v>29011</v>
      </c>
      <c r="F17" s="477">
        <v>30504</v>
      </c>
      <c r="G17" s="477">
        <v>32688</v>
      </c>
      <c r="H17" s="479">
        <v>33823</v>
      </c>
      <c r="I17" s="479">
        <v>32902</v>
      </c>
      <c r="J17" s="479">
        <v>31689</v>
      </c>
      <c r="K17" s="479">
        <v>29252</v>
      </c>
      <c r="L17" s="479">
        <v>28250</v>
      </c>
      <c r="M17" s="478">
        <v>31466</v>
      </c>
      <c r="N17" s="478">
        <v>31905</v>
      </c>
      <c r="O17" s="478">
        <v>32349</v>
      </c>
      <c r="P17" s="478">
        <v>32464</v>
      </c>
      <c r="Q17" s="478">
        <v>34916</v>
      </c>
    </row>
    <row r="18" spans="1:17" ht="13" customHeight="1">
      <c r="A18" s="151"/>
      <c r="B18" s="29" t="s">
        <v>34</v>
      </c>
      <c r="C18" s="455">
        <v>21448</v>
      </c>
      <c r="D18" s="455">
        <v>28867</v>
      </c>
      <c r="E18" s="477">
        <v>28841</v>
      </c>
      <c r="F18" s="477">
        <v>24494</v>
      </c>
      <c r="G18" s="477">
        <v>25378</v>
      </c>
      <c r="H18" s="479">
        <v>25471</v>
      </c>
      <c r="I18" s="479">
        <v>24424</v>
      </c>
      <c r="J18" s="479">
        <v>25984</v>
      </c>
      <c r="K18" s="479">
        <v>25040</v>
      </c>
      <c r="L18" s="479">
        <v>24350</v>
      </c>
      <c r="M18" s="478">
        <v>26278</v>
      </c>
      <c r="N18" s="478">
        <v>26348</v>
      </c>
      <c r="O18" s="478">
        <v>28427</v>
      </c>
      <c r="P18" s="478">
        <v>29170</v>
      </c>
      <c r="Q18" s="478">
        <v>29614</v>
      </c>
    </row>
    <row r="19" spans="1:17" ht="13" customHeight="1">
      <c r="A19" s="151"/>
      <c r="B19" s="29" t="s">
        <v>35</v>
      </c>
      <c r="C19" s="455">
        <v>23080</v>
      </c>
      <c r="D19" s="455">
        <v>23360</v>
      </c>
      <c r="E19" s="477">
        <v>22937</v>
      </c>
      <c r="F19" s="477">
        <v>23588</v>
      </c>
      <c r="G19" s="477">
        <v>22699</v>
      </c>
      <c r="H19" s="479">
        <v>22013</v>
      </c>
      <c r="I19" s="479">
        <v>28327</v>
      </c>
      <c r="J19" s="479">
        <v>29927</v>
      </c>
      <c r="K19" s="479">
        <v>30607</v>
      </c>
      <c r="L19" s="479">
        <v>31721</v>
      </c>
      <c r="M19" s="478">
        <v>32903</v>
      </c>
      <c r="N19" s="478">
        <v>36691</v>
      </c>
      <c r="O19" s="478">
        <v>37386</v>
      </c>
      <c r="P19" s="478">
        <v>38296</v>
      </c>
      <c r="Q19" s="478">
        <v>40669</v>
      </c>
    </row>
    <row r="20" spans="1:17" ht="13" customHeight="1">
      <c r="A20" s="151"/>
      <c r="B20" s="29" t="s">
        <v>36</v>
      </c>
      <c r="C20" s="455">
        <v>14683</v>
      </c>
      <c r="D20" s="455">
        <v>16772</v>
      </c>
      <c r="E20" s="477">
        <v>16696</v>
      </c>
      <c r="F20" s="477">
        <v>13553</v>
      </c>
      <c r="G20" s="477">
        <v>12204</v>
      </c>
      <c r="H20" s="479">
        <v>13750</v>
      </c>
      <c r="I20" s="479">
        <v>16366</v>
      </c>
      <c r="J20" s="479">
        <v>18523</v>
      </c>
      <c r="K20" s="479">
        <v>20593</v>
      </c>
      <c r="L20" s="479">
        <v>20205</v>
      </c>
      <c r="M20" s="478">
        <v>19884</v>
      </c>
      <c r="N20" s="478">
        <v>16134</v>
      </c>
      <c r="O20" s="478">
        <v>12803</v>
      </c>
      <c r="P20" s="478">
        <v>12755</v>
      </c>
      <c r="Q20" s="478">
        <v>12120</v>
      </c>
    </row>
    <row r="21" spans="1:17" ht="13" customHeight="1">
      <c r="A21" s="151"/>
      <c r="B21" s="29" t="s">
        <v>37</v>
      </c>
      <c r="C21" s="455">
        <v>84419</v>
      </c>
      <c r="D21" s="455">
        <v>85869</v>
      </c>
      <c r="E21" s="477">
        <v>79079</v>
      </c>
      <c r="F21" s="477">
        <v>78782</v>
      </c>
      <c r="G21" s="477">
        <v>79665</v>
      </c>
      <c r="H21" s="479">
        <v>69701</v>
      </c>
      <c r="I21" s="479">
        <v>69147</v>
      </c>
      <c r="J21" s="479">
        <v>80214</v>
      </c>
      <c r="K21" s="479">
        <v>73334</v>
      </c>
      <c r="L21" s="479">
        <v>75738</v>
      </c>
      <c r="M21" s="478">
        <v>76215</v>
      </c>
      <c r="N21" s="478">
        <v>74287</v>
      </c>
      <c r="O21" s="478">
        <v>75027</v>
      </c>
      <c r="P21" s="478">
        <v>75377</v>
      </c>
      <c r="Q21" s="478">
        <v>75737</v>
      </c>
    </row>
    <row r="22" spans="1:17" ht="13" customHeight="1">
      <c r="A22" s="151"/>
      <c r="B22" s="29" t="s">
        <v>38</v>
      </c>
      <c r="C22" s="455">
        <v>6870</v>
      </c>
      <c r="D22" s="455">
        <v>6669</v>
      </c>
      <c r="E22" s="477">
        <v>6181</v>
      </c>
      <c r="F22" s="477">
        <v>5751</v>
      </c>
      <c r="G22" s="477">
        <v>5607</v>
      </c>
      <c r="H22" s="479">
        <v>5608</v>
      </c>
      <c r="I22" s="479">
        <v>5406</v>
      </c>
      <c r="J22" s="479">
        <v>5106</v>
      </c>
      <c r="K22" s="479">
        <v>5294</v>
      </c>
      <c r="L22" s="479">
        <v>5306</v>
      </c>
      <c r="M22" s="478">
        <v>5220</v>
      </c>
      <c r="N22" s="478">
        <v>5302</v>
      </c>
      <c r="O22" s="478">
        <v>5297</v>
      </c>
      <c r="P22" s="478">
        <v>5428</v>
      </c>
      <c r="Q22" s="478">
        <v>5671</v>
      </c>
    </row>
    <row r="23" spans="1:17" ht="13" customHeight="1">
      <c r="A23" s="151"/>
      <c r="B23" s="29" t="s">
        <v>39</v>
      </c>
      <c r="C23" s="455">
        <v>7044</v>
      </c>
      <c r="D23" s="455">
        <v>7115</v>
      </c>
      <c r="E23" s="477">
        <v>7516</v>
      </c>
      <c r="F23" s="477">
        <v>7336</v>
      </c>
      <c r="G23" s="477">
        <v>7311</v>
      </c>
      <c r="H23" s="479">
        <v>7154</v>
      </c>
      <c r="I23" s="479">
        <v>7075</v>
      </c>
      <c r="J23" s="479">
        <v>6168</v>
      </c>
      <c r="K23" s="479">
        <v>6027</v>
      </c>
      <c r="L23" s="479">
        <v>6061</v>
      </c>
      <c r="M23" s="478">
        <v>5831</v>
      </c>
      <c r="N23" s="478">
        <v>5702</v>
      </c>
      <c r="O23" s="478">
        <v>5666</v>
      </c>
      <c r="P23" s="478">
        <v>5647</v>
      </c>
      <c r="Q23" s="478">
        <v>5692</v>
      </c>
    </row>
    <row r="24" spans="1:17" ht="13" customHeight="1">
      <c r="A24" s="151"/>
      <c r="B24" s="29" t="s">
        <v>40</v>
      </c>
      <c r="C24" s="455">
        <v>25778</v>
      </c>
      <c r="D24" s="455">
        <v>22789</v>
      </c>
      <c r="E24" s="477">
        <v>24300</v>
      </c>
      <c r="F24" s="477">
        <v>24706</v>
      </c>
      <c r="G24" s="477">
        <v>26416</v>
      </c>
      <c r="H24" s="479">
        <v>31807</v>
      </c>
      <c r="I24" s="479">
        <v>33551</v>
      </c>
      <c r="J24" s="479">
        <v>34782</v>
      </c>
      <c r="K24" s="479">
        <v>34138</v>
      </c>
      <c r="L24" s="479">
        <v>34747</v>
      </c>
      <c r="M24" s="478">
        <v>32215</v>
      </c>
      <c r="N24" s="478">
        <v>30053</v>
      </c>
      <c r="O24" s="478">
        <v>29964</v>
      </c>
      <c r="P24" s="478">
        <v>30896</v>
      </c>
      <c r="Q24" s="478">
        <v>33695</v>
      </c>
    </row>
    <row r="25" spans="1:17" ht="13" customHeight="1">
      <c r="A25" s="151"/>
      <c r="B25" s="29" t="s">
        <v>41</v>
      </c>
      <c r="C25" s="455">
        <v>36043</v>
      </c>
      <c r="D25" s="455">
        <v>41675</v>
      </c>
      <c r="E25" s="477">
        <v>47110</v>
      </c>
      <c r="F25" s="477">
        <v>48083</v>
      </c>
      <c r="G25" s="477">
        <v>45615</v>
      </c>
      <c r="H25" s="477">
        <v>42573</v>
      </c>
      <c r="I25" s="477">
        <v>34656</v>
      </c>
      <c r="J25" s="477">
        <v>30971</v>
      </c>
      <c r="K25" s="477">
        <v>31026</v>
      </c>
      <c r="L25" s="477">
        <v>32875</v>
      </c>
      <c r="M25" s="478">
        <v>32395</v>
      </c>
      <c r="N25" s="478">
        <v>32542</v>
      </c>
      <c r="O25" s="478">
        <v>32433</v>
      </c>
      <c r="P25" s="478">
        <v>32126</v>
      </c>
      <c r="Q25" s="478">
        <v>31825</v>
      </c>
    </row>
    <row r="26" spans="1:17" ht="13" customHeight="1">
      <c r="A26" s="151"/>
      <c r="B26" s="29" t="s">
        <v>44</v>
      </c>
      <c r="C26" s="455">
        <v>29092</v>
      </c>
      <c r="D26" s="455">
        <v>35232</v>
      </c>
      <c r="E26" s="477">
        <v>30059</v>
      </c>
      <c r="F26" s="477">
        <v>35433</v>
      </c>
      <c r="G26" s="477">
        <v>35565</v>
      </c>
      <c r="H26" s="479">
        <v>40723</v>
      </c>
      <c r="I26" s="479">
        <v>53373</v>
      </c>
      <c r="J26" s="479">
        <v>77508</v>
      </c>
      <c r="K26" s="479">
        <v>82300</v>
      </c>
      <c r="L26" s="479">
        <v>84286</v>
      </c>
      <c r="M26" s="478">
        <v>84714</v>
      </c>
      <c r="N26" s="478">
        <v>80923</v>
      </c>
      <c r="O26" s="478">
        <v>79822</v>
      </c>
      <c r="P26" s="478">
        <v>79903</v>
      </c>
      <c r="Q26" s="478">
        <v>80570</v>
      </c>
    </row>
    <row r="27" spans="1:17" ht="13" customHeight="1">
      <c r="A27" s="151"/>
      <c r="B27" s="29" t="s">
        <v>45</v>
      </c>
      <c r="C27" s="455">
        <v>85930</v>
      </c>
      <c r="D27" s="455">
        <v>87943</v>
      </c>
      <c r="E27" s="477">
        <v>91148</v>
      </c>
      <c r="F27" s="477">
        <v>96740</v>
      </c>
      <c r="G27" s="477">
        <v>98240</v>
      </c>
      <c r="H27" s="479">
        <v>101723</v>
      </c>
      <c r="I27" s="479">
        <v>101006</v>
      </c>
      <c r="J27" s="479">
        <v>100734</v>
      </c>
      <c r="K27" s="479">
        <v>100971</v>
      </c>
      <c r="L27" s="479">
        <v>98742</v>
      </c>
      <c r="M27" s="478">
        <v>98288</v>
      </c>
      <c r="N27" s="478">
        <v>102805</v>
      </c>
      <c r="O27" s="478">
        <v>99130</v>
      </c>
      <c r="P27" s="478">
        <v>98100</v>
      </c>
      <c r="Q27" s="478">
        <v>95949</v>
      </c>
    </row>
    <row r="28" spans="1:17" ht="13" customHeight="1">
      <c r="A28" s="151"/>
      <c r="B28" s="150" t="s">
        <v>46</v>
      </c>
      <c r="C28" s="455">
        <v>7617</v>
      </c>
      <c r="D28" s="455">
        <v>7362</v>
      </c>
      <c r="E28" s="477">
        <v>8608</v>
      </c>
      <c r="F28" s="477">
        <v>14692</v>
      </c>
      <c r="G28" s="477">
        <v>17362</v>
      </c>
      <c r="H28" s="479">
        <v>17224</v>
      </c>
      <c r="I28" s="479">
        <v>18300</v>
      </c>
      <c r="J28" s="479">
        <v>17898</v>
      </c>
      <c r="K28" s="479">
        <v>17882</v>
      </c>
      <c r="L28" s="479">
        <v>17920</v>
      </c>
      <c r="M28" s="480">
        <v>17969</v>
      </c>
      <c r="N28" s="480">
        <v>18813</v>
      </c>
      <c r="O28" s="480">
        <v>19453</v>
      </c>
      <c r="P28" s="480">
        <v>19803</v>
      </c>
      <c r="Q28" s="480">
        <v>19732</v>
      </c>
    </row>
    <row r="29" spans="1:17" ht="13" customHeight="1">
      <c r="A29" s="151"/>
      <c r="B29" s="30" t="s">
        <v>47</v>
      </c>
      <c r="C29" s="455">
        <v>599</v>
      </c>
      <c r="D29" s="455">
        <v>949</v>
      </c>
      <c r="E29" s="477">
        <v>1112</v>
      </c>
      <c r="F29" s="477">
        <v>1281</v>
      </c>
      <c r="G29" s="477">
        <v>1475</v>
      </c>
      <c r="H29" s="479">
        <v>1465</v>
      </c>
      <c r="I29" s="479">
        <v>1741</v>
      </c>
      <c r="J29" s="479">
        <v>1452</v>
      </c>
      <c r="K29" s="479">
        <v>1479</v>
      </c>
      <c r="L29" s="479">
        <v>1434</v>
      </c>
      <c r="M29" s="480">
        <v>1347</v>
      </c>
      <c r="N29" s="480">
        <v>1254</v>
      </c>
      <c r="O29" s="480">
        <v>1253</v>
      </c>
      <c r="P29" s="480">
        <v>1269</v>
      </c>
      <c r="Q29" s="480">
        <v>1228</v>
      </c>
    </row>
    <row r="30" spans="1:17" ht="13" customHeight="1">
      <c r="A30" s="151"/>
      <c r="B30" s="29" t="s">
        <v>48</v>
      </c>
      <c r="C30" s="455">
        <v>3057</v>
      </c>
      <c r="D30" s="455">
        <v>3562</v>
      </c>
      <c r="E30" s="477">
        <v>3732</v>
      </c>
      <c r="F30" s="477">
        <v>3346</v>
      </c>
      <c r="G30" s="477">
        <v>3445</v>
      </c>
      <c r="H30" s="479">
        <v>3387</v>
      </c>
      <c r="I30" s="479">
        <v>3508</v>
      </c>
      <c r="J30" s="479">
        <v>3362</v>
      </c>
      <c r="K30" s="479">
        <v>3357</v>
      </c>
      <c r="L30" s="479">
        <v>3354</v>
      </c>
      <c r="M30" s="480">
        <v>3588</v>
      </c>
      <c r="N30" s="480">
        <v>4441</v>
      </c>
      <c r="O30" s="480">
        <v>3920</v>
      </c>
      <c r="P30" s="480">
        <v>3887</v>
      </c>
      <c r="Q30" s="480">
        <v>3631</v>
      </c>
    </row>
    <row r="31" spans="1:17" ht="13" customHeight="1" thickBot="1">
      <c r="A31" s="453"/>
      <c r="B31" s="454" t="s">
        <v>49</v>
      </c>
      <c r="C31" s="458">
        <v>1358</v>
      </c>
      <c r="D31" s="458">
        <v>1460</v>
      </c>
      <c r="E31" s="482">
        <v>1549</v>
      </c>
      <c r="F31" s="482">
        <v>1963</v>
      </c>
      <c r="G31" s="482">
        <v>2088</v>
      </c>
      <c r="H31" s="482">
        <v>2018</v>
      </c>
      <c r="I31" s="482">
        <v>2664</v>
      </c>
      <c r="J31" s="482">
        <v>2838</v>
      </c>
      <c r="K31" s="482">
        <v>3474</v>
      </c>
      <c r="L31" s="482">
        <v>3400</v>
      </c>
      <c r="M31" s="483">
        <v>2935</v>
      </c>
      <c r="N31" s="483">
        <v>1610</v>
      </c>
      <c r="O31" s="483">
        <v>1352</v>
      </c>
      <c r="P31" s="483">
        <v>1329</v>
      </c>
      <c r="Q31" s="483">
        <v>1354</v>
      </c>
    </row>
    <row r="32" spans="1:17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tabColor theme="9" tint="0.59999389629810485"/>
  </sheetPr>
  <dimension ref="A2:S62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371</v>
      </c>
      <c r="B2" s="469"/>
    </row>
    <row r="3" spans="1:19" ht="13" customHeight="1">
      <c r="A3" s="470" t="s">
        <v>319</v>
      </c>
      <c r="B3" s="470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9" ht="15" customHeight="1">
      <c r="A6" s="1104" t="s">
        <v>106</v>
      </c>
      <c r="B6" s="1104"/>
      <c r="C6" s="460">
        <f t="shared" ref="C6:N6" si="0">(C8+C9+C10+C11+C12+C13+C14+C15+C16+C17+C18+C19+C20+C21+C22+C23+C24+C25+C26+C27+C28+C29+C30+C31)</f>
        <v>1236833</v>
      </c>
      <c r="D6" s="460">
        <f t="shared" si="0"/>
        <v>1346991</v>
      </c>
      <c r="E6" s="475">
        <f t="shared" si="0"/>
        <v>1455814</v>
      </c>
      <c r="F6" s="475">
        <f t="shared" si="0"/>
        <v>1565531</v>
      </c>
      <c r="G6" s="475">
        <f t="shared" si="0"/>
        <v>1652112</v>
      </c>
      <c r="H6" s="475">
        <f t="shared" si="0"/>
        <v>1678373</v>
      </c>
      <c r="I6" s="475">
        <f t="shared" si="0"/>
        <v>1755528</v>
      </c>
      <c r="J6" s="475">
        <f t="shared" si="0"/>
        <v>1790672</v>
      </c>
      <c r="K6" s="475">
        <f t="shared" si="0"/>
        <v>1807808</v>
      </c>
      <c r="L6" s="475">
        <f t="shared" si="0"/>
        <v>1840227</v>
      </c>
      <c r="M6" s="475">
        <f t="shared" si="0"/>
        <v>1903176</v>
      </c>
      <c r="N6" s="475">
        <f t="shared" si="0"/>
        <v>1954231</v>
      </c>
      <c r="O6" s="475">
        <f>(O8+O9+O10+O11+O12+O13+O14+O15+O16+O17+O18+O19+O20+O21+O22+O23+O24+O25+O26+O27+O28+O29+O30+O31)</f>
        <v>2013674</v>
      </c>
      <c r="P6" s="475">
        <f>(P8+P9+P10+P11+P12+P13+P14+P15+P16+P17+P18+P19+P20+P21+P22+P23+P24+P25+P26+P27+P28+P29+P30+P31)</f>
        <v>2067144</v>
      </c>
      <c r="Q6" s="475">
        <f>(Q8+Q9+Q10+Q11+Q12+Q13+Q14+Q15+Q16+Q17+Q18+Q19+Q20+Q21+Q22+Q23+Q24+Q25+Q26+Q27+Q28+Q29+Q30+Q31)</f>
        <v>2129366</v>
      </c>
    </row>
    <row r="7" spans="1:19" ht="5" customHeight="1">
      <c r="A7" s="151"/>
      <c r="B7" s="152"/>
      <c r="C7" s="461"/>
      <c r="D7" s="461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</row>
    <row r="8" spans="1:19" ht="13" customHeight="1">
      <c r="A8" s="151"/>
      <c r="B8" s="29" t="s">
        <v>21</v>
      </c>
      <c r="C8" s="455">
        <v>362</v>
      </c>
      <c r="D8" s="455">
        <v>397</v>
      </c>
      <c r="E8" s="477">
        <v>421</v>
      </c>
      <c r="F8" s="477">
        <v>460</v>
      </c>
      <c r="G8" s="477">
        <v>517</v>
      </c>
      <c r="H8" s="477">
        <v>568</v>
      </c>
      <c r="I8" s="477">
        <v>601</v>
      </c>
      <c r="J8" s="477">
        <v>651</v>
      </c>
      <c r="K8" s="477">
        <v>790</v>
      </c>
      <c r="L8" s="477">
        <v>692</v>
      </c>
      <c r="M8" s="478">
        <v>659</v>
      </c>
      <c r="N8" s="478">
        <v>409</v>
      </c>
      <c r="O8" s="478">
        <v>412</v>
      </c>
      <c r="P8" s="478">
        <v>385</v>
      </c>
      <c r="Q8" s="478">
        <v>374</v>
      </c>
    </row>
    <row r="9" spans="1:19" ht="13" customHeight="1">
      <c r="A9" s="151"/>
      <c r="B9" s="29" t="s">
        <v>22</v>
      </c>
      <c r="C9" s="455">
        <v>29012</v>
      </c>
      <c r="D9" s="455">
        <v>33615</v>
      </c>
      <c r="E9" s="477">
        <v>35006</v>
      </c>
      <c r="F9" s="477">
        <v>36402</v>
      </c>
      <c r="G9" s="477">
        <v>37152</v>
      </c>
      <c r="H9" s="479">
        <v>31497</v>
      </c>
      <c r="I9" s="479">
        <v>43867</v>
      </c>
      <c r="J9" s="479">
        <v>47125</v>
      </c>
      <c r="K9" s="479">
        <v>47581</v>
      </c>
      <c r="L9" s="479">
        <v>50081</v>
      </c>
      <c r="M9" s="480">
        <v>41556</v>
      </c>
      <c r="N9" s="480">
        <v>42578</v>
      </c>
      <c r="O9" s="480">
        <v>37240</v>
      </c>
      <c r="P9" s="480">
        <v>41416</v>
      </c>
      <c r="Q9" s="480">
        <v>42122</v>
      </c>
      <c r="S9" s="159"/>
    </row>
    <row r="10" spans="1:19" ht="13" customHeight="1">
      <c r="A10" s="151"/>
      <c r="B10" s="29" t="s">
        <v>23</v>
      </c>
      <c r="C10" s="455">
        <v>29656</v>
      </c>
      <c r="D10" s="455">
        <v>28602</v>
      </c>
      <c r="E10" s="477">
        <v>30980</v>
      </c>
      <c r="F10" s="477">
        <v>33397</v>
      </c>
      <c r="G10" s="477">
        <v>36814</v>
      </c>
      <c r="H10" s="479">
        <v>39517</v>
      </c>
      <c r="I10" s="479">
        <v>37262</v>
      </c>
      <c r="J10" s="479">
        <v>39291</v>
      </c>
      <c r="K10" s="479">
        <v>45080</v>
      </c>
      <c r="L10" s="479">
        <v>49837</v>
      </c>
      <c r="M10" s="479">
        <v>53136</v>
      </c>
      <c r="N10" s="479">
        <v>59215</v>
      </c>
      <c r="O10" s="479">
        <v>55426</v>
      </c>
      <c r="P10" s="479">
        <v>56242</v>
      </c>
      <c r="Q10" s="479">
        <v>56665</v>
      </c>
      <c r="S10" s="159"/>
    </row>
    <row r="11" spans="1:19" ht="13" customHeight="1">
      <c r="A11" s="151"/>
      <c r="B11" s="29" t="s">
        <v>24</v>
      </c>
      <c r="C11" s="455">
        <v>79695</v>
      </c>
      <c r="D11" s="455">
        <v>90775</v>
      </c>
      <c r="E11" s="477">
        <v>94476</v>
      </c>
      <c r="F11" s="477">
        <v>99405</v>
      </c>
      <c r="G11" s="477">
        <v>98524</v>
      </c>
      <c r="H11" s="479">
        <v>100618</v>
      </c>
      <c r="I11" s="479">
        <v>113502</v>
      </c>
      <c r="J11" s="477">
        <v>116710</v>
      </c>
      <c r="K11" s="477">
        <v>118937</v>
      </c>
      <c r="L11" s="477">
        <v>121501</v>
      </c>
      <c r="M11" s="478">
        <v>125366</v>
      </c>
      <c r="N11" s="478">
        <v>129501</v>
      </c>
      <c r="O11" s="478">
        <v>132475</v>
      </c>
      <c r="P11" s="478">
        <v>135964</v>
      </c>
      <c r="Q11" s="478">
        <v>151171</v>
      </c>
      <c r="S11" s="159"/>
    </row>
    <row r="12" spans="1:19" ht="13" customHeight="1">
      <c r="A12" s="151"/>
      <c r="B12" s="29" t="s">
        <v>25</v>
      </c>
      <c r="C12" s="455">
        <v>225648</v>
      </c>
      <c r="D12" s="455">
        <v>239969</v>
      </c>
      <c r="E12" s="477">
        <v>262632</v>
      </c>
      <c r="F12" s="477">
        <v>277900</v>
      </c>
      <c r="G12" s="477">
        <v>304884</v>
      </c>
      <c r="H12" s="477">
        <v>303449</v>
      </c>
      <c r="I12" s="477">
        <v>310629</v>
      </c>
      <c r="J12" s="477">
        <v>318594</v>
      </c>
      <c r="K12" s="477">
        <v>324862</v>
      </c>
      <c r="L12" s="477">
        <v>323687</v>
      </c>
      <c r="M12" s="478">
        <v>345029</v>
      </c>
      <c r="N12" s="478">
        <v>352076</v>
      </c>
      <c r="O12" s="478">
        <v>360200</v>
      </c>
      <c r="P12" s="478">
        <v>367092</v>
      </c>
      <c r="Q12" s="478">
        <v>391136</v>
      </c>
      <c r="S12" s="159"/>
    </row>
    <row r="13" spans="1:19" ht="13" customHeight="1">
      <c r="A13" s="151"/>
      <c r="B13" s="29" t="s">
        <v>29</v>
      </c>
      <c r="C13" s="455">
        <v>58117</v>
      </c>
      <c r="D13" s="455">
        <v>59002</v>
      </c>
      <c r="E13" s="477">
        <v>62315</v>
      </c>
      <c r="F13" s="477">
        <v>65354</v>
      </c>
      <c r="G13" s="477">
        <v>75111</v>
      </c>
      <c r="H13" s="477">
        <v>75125</v>
      </c>
      <c r="I13" s="477">
        <v>74369</v>
      </c>
      <c r="J13" s="477">
        <v>76184</v>
      </c>
      <c r="K13" s="477">
        <v>80358</v>
      </c>
      <c r="L13" s="477">
        <v>76093</v>
      </c>
      <c r="M13" s="477">
        <v>79208</v>
      </c>
      <c r="N13" s="477">
        <v>83366</v>
      </c>
      <c r="O13" s="477">
        <v>93894</v>
      </c>
      <c r="P13" s="477">
        <v>97640</v>
      </c>
      <c r="Q13" s="477">
        <v>98574</v>
      </c>
      <c r="S13" s="159"/>
    </row>
    <row r="14" spans="1:19" ht="13" customHeight="1">
      <c r="A14" s="151"/>
      <c r="B14" s="29" t="s">
        <v>30</v>
      </c>
      <c r="C14" s="455">
        <v>17683</v>
      </c>
      <c r="D14" s="455">
        <v>17603</v>
      </c>
      <c r="E14" s="477">
        <v>18003</v>
      </c>
      <c r="F14" s="477">
        <v>17748</v>
      </c>
      <c r="G14" s="477">
        <v>16439</v>
      </c>
      <c r="H14" s="479">
        <v>16921</v>
      </c>
      <c r="I14" s="479">
        <v>16803</v>
      </c>
      <c r="J14" s="479">
        <v>17356</v>
      </c>
      <c r="K14" s="479">
        <v>16635</v>
      </c>
      <c r="L14" s="479">
        <v>17456</v>
      </c>
      <c r="M14" s="478">
        <v>15271</v>
      </c>
      <c r="N14" s="478">
        <v>15749</v>
      </c>
      <c r="O14" s="478">
        <v>16107</v>
      </c>
      <c r="P14" s="478">
        <v>18170</v>
      </c>
      <c r="Q14" s="478">
        <v>18181</v>
      </c>
      <c r="S14" s="159"/>
    </row>
    <row r="15" spans="1:19" ht="13" customHeight="1">
      <c r="A15" s="151"/>
      <c r="B15" s="29" t="s">
        <v>31</v>
      </c>
      <c r="C15" s="455">
        <v>222553</v>
      </c>
      <c r="D15" s="455">
        <v>238193</v>
      </c>
      <c r="E15" s="477">
        <v>245491</v>
      </c>
      <c r="F15" s="477">
        <v>272994</v>
      </c>
      <c r="G15" s="477">
        <v>286719</v>
      </c>
      <c r="H15" s="479">
        <v>306876</v>
      </c>
      <c r="I15" s="479">
        <v>322678</v>
      </c>
      <c r="J15" s="479">
        <v>318263</v>
      </c>
      <c r="K15" s="479">
        <v>329311</v>
      </c>
      <c r="L15" s="479">
        <v>335970</v>
      </c>
      <c r="M15" s="478">
        <v>342846</v>
      </c>
      <c r="N15" s="478">
        <v>348518</v>
      </c>
      <c r="O15" s="478">
        <v>354148</v>
      </c>
      <c r="P15" s="478">
        <v>362066</v>
      </c>
      <c r="Q15" s="478">
        <v>352868</v>
      </c>
      <c r="S15" s="159"/>
    </row>
    <row r="16" spans="1:19" ht="13" customHeight="1">
      <c r="A16" s="151"/>
      <c r="B16" s="29" t="s">
        <v>32</v>
      </c>
      <c r="C16" s="455">
        <v>17112</v>
      </c>
      <c r="D16" s="457">
        <v>18626</v>
      </c>
      <c r="E16" s="481">
        <v>20790</v>
      </c>
      <c r="F16" s="481">
        <v>23872</v>
      </c>
      <c r="G16" s="481">
        <v>27723</v>
      </c>
      <c r="H16" s="479">
        <v>30278</v>
      </c>
      <c r="I16" s="479">
        <v>32109</v>
      </c>
      <c r="J16" s="479">
        <v>35909</v>
      </c>
      <c r="K16" s="479">
        <v>43361</v>
      </c>
      <c r="L16" s="479">
        <v>48046</v>
      </c>
      <c r="M16" s="479">
        <v>51005</v>
      </c>
      <c r="N16" s="479">
        <v>57139</v>
      </c>
      <c r="O16" s="479">
        <v>64979</v>
      </c>
      <c r="P16" s="479">
        <v>66143</v>
      </c>
      <c r="Q16" s="479">
        <v>68271</v>
      </c>
      <c r="S16" s="159"/>
    </row>
    <row r="17" spans="1:19" ht="13" customHeight="1">
      <c r="A17" s="151"/>
      <c r="B17" s="29" t="s">
        <v>33</v>
      </c>
      <c r="C17" s="455">
        <v>21338</v>
      </c>
      <c r="D17" s="455">
        <v>25715</v>
      </c>
      <c r="E17" s="477">
        <v>30707</v>
      </c>
      <c r="F17" s="477">
        <v>35193</v>
      </c>
      <c r="G17" s="477">
        <v>35814</v>
      </c>
      <c r="H17" s="479">
        <v>39413</v>
      </c>
      <c r="I17" s="479">
        <v>40474</v>
      </c>
      <c r="J17" s="479">
        <v>44517</v>
      </c>
      <c r="K17" s="479">
        <v>39187</v>
      </c>
      <c r="L17" s="479">
        <v>38576</v>
      </c>
      <c r="M17" s="478">
        <v>42249</v>
      </c>
      <c r="N17" s="478">
        <v>44955</v>
      </c>
      <c r="O17" s="478">
        <v>48243</v>
      </c>
      <c r="P17" s="478">
        <v>49492</v>
      </c>
      <c r="Q17" s="478">
        <v>54682</v>
      </c>
      <c r="S17" s="159"/>
    </row>
    <row r="18" spans="1:19" ht="13" customHeight="1">
      <c r="A18" s="151"/>
      <c r="B18" s="29" t="s">
        <v>34</v>
      </c>
      <c r="C18" s="455">
        <v>18055</v>
      </c>
      <c r="D18" s="455">
        <v>18298</v>
      </c>
      <c r="E18" s="477">
        <v>18532</v>
      </c>
      <c r="F18" s="477">
        <v>18672</v>
      </c>
      <c r="G18" s="477">
        <v>18021</v>
      </c>
      <c r="H18" s="479">
        <v>18178</v>
      </c>
      <c r="I18" s="479">
        <v>18249</v>
      </c>
      <c r="J18" s="479">
        <v>25461</v>
      </c>
      <c r="K18" s="479">
        <v>24602</v>
      </c>
      <c r="L18" s="479">
        <v>24127</v>
      </c>
      <c r="M18" s="478">
        <v>26339</v>
      </c>
      <c r="N18" s="478">
        <v>25296</v>
      </c>
      <c r="O18" s="478">
        <v>32145</v>
      </c>
      <c r="P18" s="478">
        <v>31232</v>
      </c>
      <c r="Q18" s="478">
        <v>34999</v>
      </c>
      <c r="S18" s="159"/>
    </row>
    <row r="19" spans="1:19" ht="13" customHeight="1">
      <c r="A19" s="151"/>
      <c r="B19" s="29" t="s">
        <v>35</v>
      </c>
      <c r="C19" s="455">
        <v>18612</v>
      </c>
      <c r="D19" s="455">
        <v>19206</v>
      </c>
      <c r="E19" s="477">
        <v>20850</v>
      </c>
      <c r="F19" s="477">
        <v>23613</v>
      </c>
      <c r="G19" s="477">
        <v>27223</v>
      </c>
      <c r="H19" s="479">
        <v>31111</v>
      </c>
      <c r="I19" s="479">
        <v>39435</v>
      </c>
      <c r="J19" s="479">
        <v>42385</v>
      </c>
      <c r="K19" s="479">
        <v>46276</v>
      </c>
      <c r="L19" s="479">
        <v>46710</v>
      </c>
      <c r="M19" s="478">
        <v>47870</v>
      </c>
      <c r="N19" s="478">
        <v>51250</v>
      </c>
      <c r="O19" s="478">
        <v>52094</v>
      </c>
      <c r="P19" s="478">
        <v>53135</v>
      </c>
      <c r="Q19" s="478">
        <v>57190</v>
      </c>
      <c r="S19" s="159"/>
    </row>
    <row r="20" spans="1:19" ht="13" customHeight="1">
      <c r="A20" s="151"/>
      <c r="B20" s="29" t="s">
        <v>36</v>
      </c>
      <c r="C20" s="455">
        <v>13276</v>
      </c>
      <c r="D20" s="455">
        <v>14808</v>
      </c>
      <c r="E20" s="477">
        <v>15820</v>
      </c>
      <c r="F20" s="477">
        <v>16073</v>
      </c>
      <c r="G20" s="477">
        <v>15876</v>
      </c>
      <c r="H20" s="479">
        <v>17193</v>
      </c>
      <c r="I20" s="479">
        <v>20183</v>
      </c>
      <c r="J20" s="479">
        <v>24180</v>
      </c>
      <c r="K20" s="479">
        <v>22443</v>
      </c>
      <c r="L20" s="479">
        <v>22555</v>
      </c>
      <c r="M20" s="478">
        <v>24890</v>
      </c>
      <c r="N20" s="478">
        <v>20916</v>
      </c>
      <c r="O20" s="478">
        <v>21810</v>
      </c>
      <c r="P20" s="478">
        <v>23675</v>
      </c>
      <c r="Q20" s="478">
        <v>23254</v>
      </c>
      <c r="S20" s="159"/>
    </row>
    <row r="21" spans="1:19" ht="13" customHeight="1">
      <c r="A21" s="151"/>
      <c r="B21" s="29" t="s">
        <v>37</v>
      </c>
      <c r="C21" s="455">
        <v>296833</v>
      </c>
      <c r="D21" s="455">
        <v>328025</v>
      </c>
      <c r="E21" s="477">
        <v>365749</v>
      </c>
      <c r="F21" s="477">
        <v>379884</v>
      </c>
      <c r="G21" s="477">
        <v>387317</v>
      </c>
      <c r="H21" s="479">
        <v>355013</v>
      </c>
      <c r="I21" s="479">
        <v>363668</v>
      </c>
      <c r="J21" s="479">
        <v>352406</v>
      </c>
      <c r="K21" s="479">
        <v>315380</v>
      </c>
      <c r="L21" s="479">
        <v>325253</v>
      </c>
      <c r="M21" s="478">
        <v>335534</v>
      </c>
      <c r="N21" s="478">
        <v>348889</v>
      </c>
      <c r="O21" s="478">
        <v>353749</v>
      </c>
      <c r="P21" s="478">
        <v>363930</v>
      </c>
      <c r="Q21" s="478">
        <v>357460</v>
      </c>
      <c r="S21" s="159"/>
    </row>
    <row r="22" spans="1:19" ht="13" customHeight="1">
      <c r="A22" s="151"/>
      <c r="B22" s="29" t="s">
        <v>38</v>
      </c>
      <c r="C22" s="455">
        <v>16361</v>
      </c>
      <c r="D22" s="455">
        <v>16034</v>
      </c>
      <c r="E22" s="477">
        <v>15270</v>
      </c>
      <c r="F22" s="477">
        <v>15342</v>
      </c>
      <c r="G22" s="477">
        <v>15123</v>
      </c>
      <c r="H22" s="479">
        <v>15262</v>
      </c>
      <c r="I22" s="479">
        <v>15212</v>
      </c>
      <c r="J22" s="479">
        <v>14737</v>
      </c>
      <c r="K22" s="479">
        <v>17539</v>
      </c>
      <c r="L22" s="479">
        <v>16273</v>
      </c>
      <c r="M22" s="478">
        <v>15891</v>
      </c>
      <c r="N22" s="478">
        <v>16222</v>
      </c>
      <c r="O22" s="478">
        <v>16648</v>
      </c>
      <c r="P22" s="478">
        <v>16966</v>
      </c>
      <c r="Q22" s="478">
        <v>17576</v>
      </c>
      <c r="S22" s="159"/>
    </row>
    <row r="23" spans="1:19" ht="13" customHeight="1">
      <c r="A23" s="151"/>
      <c r="B23" s="29" t="s">
        <v>39</v>
      </c>
      <c r="C23" s="455">
        <v>21868</v>
      </c>
      <c r="D23" s="455">
        <v>22100</v>
      </c>
      <c r="E23" s="477">
        <v>22863</v>
      </c>
      <c r="F23" s="477">
        <v>23223</v>
      </c>
      <c r="G23" s="477">
        <v>25982</v>
      </c>
      <c r="H23" s="479">
        <v>26224</v>
      </c>
      <c r="I23" s="479">
        <v>26356</v>
      </c>
      <c r="J23" s="479">
        <v>24983</v>
      </c>
      <c r="K23" s="479">
        <v>25138</v>
      </c>
      <c r="L23" s="479">
        <v>25042</v>
      </c>
      <c r="M23" s="478">
        <v>23487</v>
      </c>
      <c r="N23" s="478">
        <v>23610</v>
      </c>
      <c r="O23" s="478">
        <v>23406</v>
      </c>
      <c r="P23" s="478">
        <v>23452</v>
      </c>
      <c r="Q23" s="478">
        <v>24451</v>
      </c>
      <c r="S23" s="159"/>
    </row>
    <row r="24" spans="1:19" ht="13" customHeight="1">
      <c r="A24" s="151"/>
      <c r="B24" s="29" t="s">
        <v>40</v>
      </c>
      <c r="C24" s="455">
        <v>22805</v>
      </c>
      <c r="D24" s="455">
        <v>22700</v>
      </c>
      <c r="E24" s="477">
        <v>24626</v>
      </c>
      <c r="F24" s="477">
        <v>33825</v>
      </c>
      <c r="G24" s="477">
        <v>40950</v>
      </c>
      <c r="H24" s="479">
        <v>43482</v>
      </c>
      <c r="I24" s="479">
        <v>50138</v>
      </c>
      <c r="J24" s="479">
        <v>51424</v>
      </c>
      <c r="K24" s="479">
        <v>50147</v>
      </c>
      <c r="L24" s="479">
        <v>51788</v>
      </c>
      <c r="M24" s="478">
        <v>47122</v>
      </c>
      <c r="N24" s="478">
        <v>45151</v>
      </c>
      <c r="O24" s="478">
        <v>57449</v>
      </c>
      <c r="P24" s="478">
        <v>56910</v>
      </c>
      <c r="Q24" s="478">
        <v>66387</v>
      </c>
      <c r="S24" s="159"/>
    </row>
    <row r="25" spans="1:19" ht="13" customHeight="1">
      <c r="A25" s="151"/>
      <c r="B25" s="29" t="s">
        <v>41</v>
      </c>
      <c r="C25" s="455">
        <v>29143</v>
      </c>
      <c r="D25" s="455">
        <v>34380</v>
      </c>
      <c r="E25" s="477">
        <v>39401</v>
      </c>
      <c r="F25" s="477">
        <v>43526</v>
      </c>
      <c r="G25" s="477">
        <v>42248</v>
      </c>
      <c r="H25" s="477">
        <v>42392</v>
      </c>
      <c r="I25" s="477">
        <v>40770</v>
      </c>
      <c r="J25" s="477">
        <v>33104</v>
      </c>
      <c r="K25" s="477">
        <v>32122</v>
      </c>
      <c r="L25" s="477">
        <v>32593</v>
      </c>
      <c r="M25" s="478">
        <v>32659</v>
      </c>
      <c r="N25" s="478">
        <v>32365</v>
      </c>
      <c r="O25" s="478">
        <v>32468</v>
      </c>
      <c r="P25" s="478">
        <v>32982</v>
      </c>
      <c r="Q25" s="478">
        <v>33400</v>
      </c>
      <c r="S25" s="159"/>
    </row>
    <row r="26" spans="1:19" ht="13" customHeight="1">
      <c r="A26" s="151"/>
      <c r="B26" s="29" t="s">
        <v>44</v>
      </c>
      <c r="C26" s="455">
        <v>30479</v>
      </c>
      <c r="D26" s="455">
        <v>35953</v>
      </c>
      <c r="E26" s="477">
        <v>41622</v>
      </c>
      <c r="F26" s="477">
        <v>47739</v>
      </c>
      <c r="G26" s="477">
        <v>50955</v>
      </c>
      <c r="H26" s="479">
        <v>68452</v>
      </c>
      <c r="I26" s="479">
        <v>65242</v>
      </c>
      <c r="J26" s="479">
        <v>77621</v>
      </c>
      <c r="K26" s="479">
        <v>93148</v>
      </c>
      <c r="L26" s="479">
        <v>95633</v>
      </c>
      <c r="M26" s="478">
        <v>104016</v>
      </c>
      <c r="N26" s="478">
        <v>102458</v>
      </c>
      <c r="O26" s="478">
        <v>102227</v>
      </c>
      <c r="P26" s="478">
        <v>106028</v>
      </c>
      <c r="Q26" s="478">
        <v>110781</v>
      </c>
      <c r="S26" s="159"/>
    </row>
    <row r="27" spans="1:19" ht="13" customHeight="1">
      <c r="A27" s="151"/>
      <c r="B27" s="29" t="s">
        <v>45</v>
      </c>
      <c r="C27" s="455">
        <v>49453</v>
      </c>
      <c r="D27" s="455">
        <v>62011</v>
      </c>
      <c r="E27" s="477">
        <v>66065</v>
      </c>
      <c r="F27" s="477">
        <v>67951</v>
      </c>
      <c r="G27" s="477">
        <v>71047</v>
      </c>
      <c r="H27" s="479">
        <v>76907</v>
      </c>
      <c r="I27" s="479">
        <v>79038</v>
      </c>
      <c r="J27" s="479">
        <v>85832</v>
      </c>
      <c r="K27" s="479">
        <v>91287</v>
      </c>
      <c r="L27" s="479">
        <v>95416</v>
      </c>
      <c r="M27" s="478">
        <v>106953</v>
      </c>
      <c r="N27" s="478">
        <v>110465</v>
      </c>
      <c r="O27" s="478">
        <v>114671</v>
      </c>
      <c r="P27" s="478">
        <v>119855</v>
      </c>
      <c r="Q27" s="478">
        <v>127009</v>
      </c>
      <c r="S27" s="159"/>
    </row>
    <row r="28" spans="1:19" ht="13" customHeight="1">
      <c r="A28" s="151"/>
      <c r="B28" s="150" t="s">
        <v>46</v>
      </c>
      <c r="C28" s="455">
        <v>12182</v>
      </c>
      <c r="D28" s="455">
        <v>13426</v>
      </c>
      <c r="E28" s="477">
        <v>15501</v>
      </c>
      <c r="F28" s="477">
        <v>23080</v>
      </c>
      <c r="G28" s="477">
        <v>27399</v>
      </c>
      <c r="H28" s="479">
        <v>29321</v>
      </c>
      <c r="I28" s="479">
        <v>32955</v>
      </c>
      <c r="J28" s="479">
        <v>32037</v>
      </c>
      <c r="K28" s="479">
        <v>31344</v>
      </c>
      <c r="L28" s="479">
        <v>31341</v>
      </c>
      <c r="M28" s="480">
        <v>31038</v>
      </c>
      <c r="N28" s="480">
        <v>32811</v>
      </c>
      <c r="O28" s="480">
        <v>33764</v>
      </c>
      <c r="P28" s="480">
        <v>34990</v>
      </c>
      <c r="Q28" s="480">
        <v>33766</v>
      </c>
      <c r="S28" s="159"/>
    </row>
    <row r="29" spans="1:19" ht="13" customHeight="1">
      <c r="A29" s="151"/>
      <c r="B29" s="30" t="s">
        <v>47</v>
      </c>
      <c r="C29" s="455">
        <v>1246</v>
      </c>
      <c r="D29" s="455">
        <v>1439</v>
      </c>
      <c r="E29" s="477">
        <v>1842</v>
      </c>
      <c r="F29" s="477">
        <v>2198</v>
      </c>
      <c r="G29" s="477">
        <v>2414</v>
      </c>
      <c r="H29" s="479">
        <v>2527</v>
      </c>
      <c r="I29" s="479">
        <v>3181</v>
      </c>
      <c r="J29" s="479">
        <v>2767</v>
      </c>
      <c r="K29" s="479">
        <v>2533</v>
      </c>
      <c r="L29" s="479">
        <v>2437</v>
      </c>
      <c r="M29" s="480">
        <v>2280</v>
      </c>
      <c r="N29" s="480">
        <v>2144</v>
      </c>
      <c r="O29" s="480">
        <v>2198</v>
      </c>
      <c r="P29" s="480">
        <v>2018</v>
      </c>
      <c r="Q29" s="480">
        <v>1766</v>
      </c>
      <c r="S29" s="159"/>
    </row>
    <row r="30" spans="1:19" ht="13" customHeight="1">
      <c r="A30" s="151"/>
      <c r="B30" s="29" t="s">
        <v>48</v>
      </c>
      <c r="C30" s="455">
        <v>3153</v>
      </c>
      <c r="D30" s="455">
        <v>3693</v>
      </c>
      <c r="E30" s="477">
        <v>4024</v>
      </c>
      <c r="F30" s="477">
        <v>4600</v>
      </c>
      <c r="G30" s="477">
        <v>4806</v>
      </c>
      <c r="H30" s="479">
        <v>4986</v>
      </c>
      <c r="I30" s="479">
        <v>5081</v>
      </c>
      <c r="J30" s="479">
        <v>4921</v>
      </c>
      <c r="K30" s="479">
        <v>4908</v>
      </c>
      <c r="L30" s="479">
        <v>4910</v>
      </c>
      <c r="M30" s="480">
        <v>5119</v>
      </c>
      <c r="N30" s="480">
        <v>7340</v>
      </c>
      <c r="O30" s="480">
        <v>6399</v>
      </c>
      <c r="P30" s="480">
        <v>5835</v>
      </c>
      <c r="Q30" s="480">
        <v>5596</v>
      </c>
      <c r="S30" s="159"/>
    </row>
    <row r="31" spans="1:19" ht="13" customHeight="1" thickBot="1">
      <c r="A31" s="453"/>
      <c r="B31" s="454" t="s">
        <v>49</v>
      </c>
      <c r="C31" s="458">
        <v>2191</v>
      </c>
      <c r="D31" s="458">
        <v>2421</v>
      </c>
      <c r="E31" s="482">
        <v>2828</v>
      </c>
      <c r="F31" s="482">
        <v>3080</v>
      </c>
      <c r="G31" s="482">
        <v>3054</v>
      </c>
      <c r="H31" s="482">
        <v>3063</v>
      </c>
      <c r="I31" s="482">
        <v>3726</v>
      </c>
      <c r="J31" s="482">
        <v>4214</v>
      </c>
      <c r="K31" s="482">
        <v>4839</v>
      </c>
      <c r="L31" s="482">
        <v>4210</v>
      </c>
      <c r="M31" s="483">
        <v>3653</v>
      </c>
      <c r="N31" s="483">
        <v>1808</v>
      </c>
      <c r="O31" s="483">
        <v>1522</v>
      </c>
      <c r="P31" s="483">
        <v>1526</v>
      </c>
      <c r="Q31" s="483">
        <v>1687</v>
      </c>
      <c r="S31" s="159"/>
    </row>
    <row r="32" spans="1:19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  <row r="35" spans="1:17" ht="13" customHeight="1">
      <c r="Q35" s="131">
        <v>362</v>
      </c>
    </row>
    <row r="36" spans="1:17" ht="13" customHeight="1">
      <c r="Q36" s="133">
        <v>24072</v>
      </c>
    </row>
    <row r="37" spans="1:17" ht="13" customHeight="1">
      <c r="Q37" s="131">
        <v>17837</v>
      </c>
    </row>
    <row r="38" spans="1:17" ht="13" customHeight="1">
      <c r="Q38" s="131">
        <v>48823</v>
      </c>
    </row>
    <row r="39" spans="1:17" ht="13" customHeight="1">
      <c r="Q39" s="123">
        <v>164222</v>
      </c>
    </row>
    <row r="40" spans="1:17" ht="13" customHeight="1">
      <c r="Q40" s="131">
        <v>79623</v>
      </c>
    </row>
    <row r="41" spans="1:17" ht="13" customHeight="1">
      <c r="Q41" s="131">
        <v>14847</v>
      </c>
    </row>
    <row r="42" spans="1:17" ht="13" customHeight="1">
      <c r="Q42" s="131">
        <v>71092</v>
      </c>
    </row>
    <row r="43" spans="1:17" ht="13" customHeight="1">
      <c r="Q43" s="131">
        <v>12537</v>
      </c>
    </row>
    <row r="44" spans="1:17" ht="13" customHeight="1">
      <c r="Q44" s="131">
        <v>34916</v>
      </c>
    </row>
    <row r="45" spans="1:17" ht="13" customHeight="1">
      <c r="Q45" s="131">
        <v>29614</v>
      </c>
    </row>
    <row r="46" spans="1:17" ht="13" customHeight="1">
      <c r="Q46" s="131">
        <v>40669</v>
      </c>
    </row>
    <row r="47" spans="1:17" ht="13" customHeight="1">
      <c r="Q47" s="131">
        <v>12120</v>
      </c>
    </row>
    <row r="48" spans="1:17" ht="13" customHeight="1">
      <c r="Q48" s="131">
        <v>75737</v>
      </c>
    </row>
    <row r="49" spans="17:17" ht="13" customHeight="1">
      <c r="Q49" s="131">
        <v>5671</v>
      </c>
    </row>
    <row r="50" spans="17:17" ht="13" customHeight="1">
      <c r="Q50" s="131">
        <v>5692</v>
      </c>
    </row>
    <row r="51" spans="17:17" ht="13" customHeight="1">
      <c r="Q51" s="131">
        <v>33695</v>
      </c>
    </row>
    <row r="52" spans="17:17" ht="13" customHeight="1">
      <c r="Q52" s="123">
        <v>31825</v>
      </c>
    </row>
    <row r="53" spans="17:17" ht="13" customHeight="1">
      <c r="Q53" s="131">
        <v>80570</v>
      </c>
    </row>
    <row r="54" spans="17:17" ht="13" customHeight="1">
      <c r="Q54" s="131">
        <v>95949</v>
      </c>
    </row>
    <row r="55" spans="17:17" ht="13" customHeight="1">
      <c r="Q55" s="131">
        <v>19732</v>
      </c>
    </row>
    <row r="56" spans="17:17" ht="13" customHeight="1">
      <c r="Q56" s="131">
        <v>1228</v>
      </c>
    </row>
    <row r="57" spans="17:17" ht="13" customHeight="1">
      <c r="Q57" s="131">
        <v>3631</v>
      </c>
    </row>
    <row r="58" spans="17:17" ht="13" customHeight="1" thickBot="1">
      <c r="Q58" s="137">
        <v>1354</v>
      </c>
    </row>
    <row r="59" spans="17:17" ht="13" customHeight="1">
      <c r="Q59" s="12"/>
    </row>
    <row r="60" spans="17:17" ht="13" customHeight="1">
      <c r="Q60" s="12"/>
    </row>
    <row r="61" spans="17:17" ht="13" customHeight="1">
      <c r="Q61" s="139"/>
    </row>
    <row r="62" spans="17:17" ht="13" customHeight="1">
      <c r="Q62" s="123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>
    <tabColor theme="9" tint="0.59999389629810485"/>
  </sheetPr>
  <dimension ref="A2:S36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370</v>
      </c>
      <c r="B2" s="469"/>
    </row>
    <row r="3" spans="1:19" ht="13" customHeight="1">
      <c r="A3" s="470" t="s">
        <v>384</v>
      </c>
      <c r="B3" s="470"/>
      <c r="O3" s="295"/>
      <c r="P3" s="295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  <c r="S5" s="296"/>
    </row>
    <row r="6" spans="1:19" ht="15" customHeight="1">
      <c r="A6" s="1102" t="s">
        <v>114</v>
      </c>
      <c r="B6" s="1102"/>
      <c r="C6" s="493">
        <v>0.84</v>
      </c>
      <c r="D6" s="493">
        <v>0.84</v>
      </c>
      <c r="E6" s="493">
        <v>0.83</v>
      </c>
      <c r="F6" s="493">
        <v>0.89</v>
      </c>
      <c r="G6" s="493">
        <v>0.94</v>
      </c>
      <c r="H6" s="493">
        <v>0.95</v>
      </c>
      <c r="I6" s="493">
        <v>0.98</v>
      </c>
      <c r="J6" s="493">
        <v>1.04</v>
      </c>
      <c r="K6" s="493">
        <v>1.1000000000000001</v>
      </c>
      <c r="L6" s="493">
        <v>1.1499999999999999</v>
      </c>
      <c r="M6" s="493">
        <v>1.18</v>
      </c>
      <c r="N6" s="493">
        <v>1.2</v>
      </c>
      <c r="O6" s="493">
        <v>1.24</v>
      </c>
      <c r="P6" s="493">
        <v>1.27</v>
      </c>
      <c r="Q6" s="493">
        <v>1.3</v>
      </c>
    </row>
    <row r="7" spans="1:19" ht="5" customHeight="1">
      <c r="A7" s="151"/>
      <c r="B7" s="152"/>
      <c r="C7" s="494"/>
      <c r="D7" s="494"/>
      <c r="E7" s="494"/>
      <c r="F7" s="494"/>
      <c r="G7" s="494"/>
      <c r="H7" s="494"/>
      <c r="I7" s="494"/>
      <c r="J7" s="494"/>
      <c r="K7" s="494"/>
      <c r="L7" s="494"/>
      <c r="M7" s="494"/>
      <c r="N7" s="494"/>
      <c r="O7" s="494"/>
      <c r="P7" s="494"/>
      <c r="Q7" s="494"/>
    </row>
    <row r="8" spans="1:19" ht="13" customHeight="1">
      <c r="A8" s="151"/>
      <c r="B8" s="29" t="s">
        <v>21</v>
      </c>
      <c r="C8" s="495">
        <v>1.41</v>
      </c>
      <c r="D8" s="495">
        <v>1.46</v>
      </c>
      <c r="E8" s="495">
        <v>1.56</v>
      </c>
      <c r="F8" s="495">
        <v>1.54</v>
      </c>
      <c r="G8" s="495">
        <v>1.53</v>
      </c>
      <c r="H8" s="495">
        <v>1.26</v>
      </c>
      <c r="I8" s="495">
        <v>1.25</v>
      </c>
      <c r="J8" s="495">
        <v>1.3</v>
      </c>
      <c r="K8" s="495">
        <v>1.61</v>
      </c>
      <c r="L8" s="495">
        <v>1.77</v>
      </c>
      <c r="M8" s="495">
        <v>1.87</v>
      </c>
      <c r="N8" s="495">
        <v>1.88</v>
      </c>
      <c r="O8" s="495">
        <v>1.75</v>
      </c>
      <c r="P8" s="495">
        <v>1.84</v>
      </c>
      <c r="Q8" s="495">
        <v>1.94</v>
      </c>
    </row>
    <row r="9" spans="1:19" ht="13" customHeight="1">
      <c r="A9" s="151"/>
      <c r="B9" s="29" t="s">
        <v>22</v>
      </c>
      <c r="C9" s="495">
        <v>1.03</v>
      </c>
      <c r="D9" s="495">
        <v>1.05</v>
      </c>
      <c r="E9" s="495">
        <v>1.03</v>
      </c>
      <c r="F9" s="495">
        <v>1.07</v>
      </c>
      <c r="G9" s="495">
        <v>1.18</v>
      </c>
      <c r="H9" s="495">
        <v>1.0900000000000001</v>
      </c>
      <c r="I9" s="495">
        <v>1.05</v>
      </c>
      <c r="J9" s="495">
        <v>1.27</v>
      </c>
      <c r="K9" s="495">
        <v>1.4</v>
      </c>
      <c r="L9" s="495">
        <v>1.46</v>
      </c>
      <c r="M9" s="495">
        <v>1.44</v>
      </c>
      <c r="N9" s="495">
        <v>1.54</v>
      </c>
      <c r="O9" s="495">
        <v>1.58</v>
      </c>
      <c r="P9" s="495">
        <v>1.64</v>
      </c>
      <c r="Q9" s="495">
        <v>1.74</v>
      </c>
    </row>
    <row r="10" spans="1:19" ht="13" customHeight="1">
      <c r="A10" s="151"/>
      <c r="B10" s="29" t="s">
        <v>23</v>
      </c>
      <c r="C10" s="495">
        <v>0.77</v>
      </c>
      <c r="D10" s="495">
        <v>0.7</v>
      </c>
      <c r="E10" s="495">
        <v>0.73</v>
      </c>
      <c r="F10" s="495">
        <v>0.9</v>
      </c>
      <c r="G10" s="495">
        <v>0.94</v>
      </c>
      <c r="H10" s="495">
        <v>0.94</v>
      </c>
      <c r="I10" s="495">
        <v>0.96</v>
      </c>
      <c r="J10" s="495">
        <v>1.01</v>
      </c>
      <c r="K10" s="495">
        <v>1.1599999999999999</v>
      </c>
      <c r="L10" s="495">
        <v>1.31</v>
      </c>
      <c r="M10" s="495">
        <v>1.19</v>
      </c>
      <c r="N10" s="495">
        <v>1.21</v>
      </c>
      <c r="O10" s="495">
        <v>1.19</v>
      </c>
      <c r="P10" s="495">
        <v>1.26</v>
      </c>
      <c r="Q10" s="495">
        <v>1.29</v>
      </c>
    </row>
    <row r="11" spans="1:19" ht="13" customHeight="1">
      <c r="A11" s="151"/>
      <c r="B11" s="29" t="s">
        <v>24</v>
      </c>
      <c r="C11" s="495">
        <v>0.88</v>
      </c>
      <c r="D11" s="495">
        <v>0.89</v>
      </c>
      <c r="E11" s="495">
        <v>0.82</v>
      </c>
      <c r="F11" s="495">
        <v>0.84</v>
      </c>
      <c r="G11" s="495">
        <v>0.83</v>
      </c>
      <c r="H11" s="495">
        <v>0.82</v>
      </c>
      <c r="I11" s="495">
        <v>0.84</v>
      </c>
      <c r="J11" s="495">
        <v>0.88</v>
      </c>
      <c r="K11" s="495">
        <v>1.1399999999999999</v>
      </c>
      <c r="L11" s="495">
        <v>1.1399999999999999</v>
      </c>
      <c r="M11" s="495">
        <v>1.1399999999999999</v>
      </c>
      <c r="N11" s="495">
        <v>1.1100000000000001</v>
      </c>
      <c r="O11" s="495">
        <v>1.1200000000000001</v>
      </c>
      <c r="P11" s="495">
        <v>1.1499999999999999</v>
      </c>
      <c r="Q11" s="495">
        <v>1.2</v>
      </c>
    </row>
    <row r="12" spans="1:19" ht="13" customHeight="1">
      <c r="A12" s="151"/>
      <c r="B12" s="29" t="s">
        <v>25</v>
      </c>
      <c r="C12" s="495">
        <v>0.69</v>
      </c>
      <c r="D12" s="495">
        <v>0.71</v>
      </c>
      <c r="E12" s="495">
        <v>0.71</v>
      </c>
      <c r="F12" s="495">
        <v>0.74</v>
      </c>
      <c r="G12" s="495">
        <v>0.81</v>
      </c>
      <c r="H12" s="495">
        <v>0.79</v>
      </c>
      <c r="I12" s="495">
        <v>0.84</v>
      </c>
      <c r="J12" s="495">
        <v>0.87</v>
      </c>
      <c r="K12" s="495">
        <v>0.91</v>
      </c>
      <c r="L12" s="495">
        <v>0.97</v>
      </c>
      <c r="M12" s="495">
        <v>1.02</v>
      </c>
      <c r="N12" s="495">
        <v>1.08</v>
      </c>
      <c r="O12" s="495">
        <v>1.2</v>
      </c>
      <c r="P12" s="495">
        <v>1.21</v>
      </c>
      <c r="Q12" s="495">
        <v>1.23</v>
      </c>
    </row>
    <row r="13" spans="1:19" ht="13" customHeight="1">
      <c r="A13" s="151"/>
      <c r="B13" s="29" t="s">
        <v>29</v>
      </c>
      <c r="C13" s="495">
        <v>0.92</v>
      </c>
      <c r="D13" s="495">
        <v>0.89</v>
      </c>
      <c r="E13" s="495">
        <v>0.86</v>
      </c>
      <c r="F13" s="495">
        <v>0.75</v>
      </c>
      <c r="G13" s="495">
        <v>0.8</v>
      </c>
      <c r="H13" s="495">
        <v>0.82</v>
      </c>
      <c r="I13" s="495">
        <v>0.99</v>
      </c>
      <c r="J13" s="495">
        <v>0.99</v>
      </c>
      <c r="K13" s="495">
        <v>1</v>
      </c>
      <c r="L13" s="495">
        <v>0.92</v>
      </c>
      <c r="M13" s="495">
        <v>0.97</v>
      </c>
      <c r="N13" s="495">
        <v>1.04</v>
      </c>
      <c r="O13" s="495">
        <v>1.1399999999999999</v>
      </c>
      <c r="P13" s="495">
        <v>1.19</v>
      </c>
      <c r="Q13" s="495">
        <v>1.29</v>
      </c>
    </row>
    <row r="14" spans="1:19" ht="13" customHeight="1">
      <c r="A14" s="151"/>
      <c r="B14" s="29" t="s">
        <v>30</v>
      </c>
      <c r="C14" s="495">
        <v>1.02</v>
      </c>
      <c r="D14" s="495">
        <v>1.08</v>
      </c>
      <c r="E14" s="495">
        <v>1</v>
      </c>
      <c r="F14" s="495">
        <v>0.96</v>
      </c>
      <c r="G14" s="495">
        <v>0.98</v>
      </c>
      <c r="H14" s="495">
        <v>1.01</v>
      </c>
      <c r="I14" s="495">
        <v>1</v>
      </c>
      <c r="J14" s="495">
        <v>1.02</v>
      </c>
      <c r="K14" s="495">
        <v>1.24</v>
      </c>
      <c r="L14" s="495">
        <v>1.3</v>
      </c>
      <c r="M14" s="495">
        <v>1.36</v>
      </c>
      <c r="N14" s="495">
        <v>1.45</v>
      </c>
      <c r="O14" s="495">
        <v>1.1599999999999999</v>
      </c>
      <c r="P14" s="495">
        <v>1.1499999999999999</v>
      </c>
      <c r="Q14" s="495">
        <v>1.26</v>
      </c>
    </row>
    <row r="15" spans="1:19" ht="13" customHeight="1">
      <c r="A15" s="151"/>
      <c r="B15" s="29" t="s">
        <v>31</v>
      </c>
      <c r="C15" s="495">
        <v>0.9</v>
      </c>
      <c r="D15" s="495">
        <v>0.89</v>
      </c>
      <c r="E15" s="495">
        <v>0.87</v>
      </c>
      <c r="F15" s="495">
        <v>0.9</v>
      </c>
      <c r="G15" s="495">
        <v>0.94</v>
      </c>
      <c r="H15" s="495">
        <v>1.01</v>
      </c>
      <c r="I15" s="495">
        <v>1.06</v>
      </c>
      <c r="J15" s="495">
        <v>1.0900000000000001</v>
      </c>
      <c r="K15" s="495">
        <v>1.17</v>
      </c>
      <c r="L15" s="495">
        <v>1.22</v>
      </c>
      <c r="M15" s="495">
        <v>1.26</v>
      </c>
      <c r="N15" s="495">
        <v>1.27</v>
      </c>
      <c r="O15" s="495">
        <v>1.3</v>
      </c>
      <c r="P15" s="495">
        <v>1.36</v>
      </c>
      <c r="Q15" s="495">
        <v>1.39</v>
      </c>
    </row>
    <row r="16" spans="1:19" ht="13" customHeight="1">
      <c r="A16" s="151"/>
      <c r="B16" s="29" t="s">
        <v>32</v>
      </c>
      <c r="C16" s="495">
        <v>0.92</v>
      </c>
      <c r="D16" s="495">
        <v>0.81</v>
      </c>
      <c r="E16" s="495">
        <v>0.74</v>
      </c>
      <c r="F16" s="495">
        <v>0.81</v>
      </c>
      <c r="G16" s="495">
        <v>0.89</v>
      </c>
      <c r="H16" s="495">
        <v>0.92</v>
      </c>
      <c r="I16" s="495">
        <v>0.89</v>
      </c>
      <c r="J16" s="495">
        <v>0.91</v>
      </c>
      <c r="K16" s="495">
        <v>1.05</v>
      </c>
      <c r="L16" s="495">
        <v>1.04</v>
      </c>
      <c r="M16" s="495">
        <v>1.0900000000000001</v>
      </c>
      <c r="N16" s="495">
        <v>1.18</v>
      </c>
      <c r="O16" s="495">
        <v>1.1399999999999999</v>
      </c>
      <c r="P16" s="495">
        <v>1.19</v>
      </c>
      <c r="Q16" s="495">
        <v>1.26</v>
      </c>
    </row>
    <row r="17" spans="1:17" ht="13" customHeight="1">
      <c r="A17" s="151"/>
      <c r="B17" s="29" t="s">
        <v>33</v>
      </c>
      <c r="C17" s="495">
        <v>1.29</v>
      </c>
      <c r="D17" s="495">
        <v>1.3</v>
      </c>
      <c r="E17" s="495">
        <v>1.28</v>
      </c>
      <c r="F17" s="495">
        <v>1.26</v>
      </c>
      <c r="G17" s="495">
        <v>1.26</v>
      </c>
      <c r="H17" s="495">
        <v>1.28</v>
      </c>
      <c r="I17" s="495">
        <v>1.1299999999999999</v>
      </c>
      <c r="J17" s="495">
        <v>1.1399999999999999</v>
      </c>
      <c r="K17" s="495">
        <v>1.57</v>
      </c>
      <c r="L17" s="495">
        <v>1.42</v>
      </c>
      <c r="M17" s="495">
        <v>1.33</v>
      </c>
      <c r="N17" s="495">
        <v>1.4</v>
      </c>
      <c r="O17" s="495">
        <v>1.41</v>
      </c>
      <c r="P17" s="495">
        <v>1.44</v>
      </c>
      <c r="Q17" s="495">
        <v>1.48</v>
      </c>
    </row>
    <row r="18" spans="1:17" ht="13" customHeight="1">
      <c r="A18" s="151"/>
      <c r="B18" s="29" t="s">
        <v>34</v>
      </c>
      <c r="C18" s="495">
        <v>1.19</v>
      </c>
      <c r="D18" s="495">
        <v>0.84</v>
      </c>
      <c r="E18" s="495">
        <v>1.24</v>
      </c>
      <c r="F18" s="495">
        <v>1.03</v>
      </c>
      <c r="G18" s="495">
        <v>1.07</v>
      </c>
      <c r="H18" s="495">
        <v>1.0900000000000001</v>
      </c>
      <c r="I18" s="495">
        <v>1.1100000000000001</v>
      </c>
      <c r="J18" s="495">
        <v>1.1499999999999999</v>
      </c>
      <c r="K18" s="495">
        <v>1.19</v>
      </c>
      <c r="L18" s="495">
        <v>1.18</v>
      </c>
      <c r="M18" s="495">
        <v>1.25</v>
      </c>
      <c r="N18" s="495">
        <v>1.29</v>
      </c>
      <c r="O18" s="495">
        <v>1.38</v>
      </c>
      <c r="P18" s="495">
        <v>1.45</v>
      </c>
      <c r="Q18" s="495">
        <v>1.46</v>
      </c>
    </row>
    <row r="19" spans="1:17" ht="13" customHeight="1">
      <c r="A19" s="151"/>
      <c r="B19" s="29" t="s">
        <v>35</v>
      </c>
      <c r="C19" s="495">
        <v>0.93</v>
      </c>
      <c r="D19" s="495">
        <v>0.96</v>
      </c>
      <c r="E19" s="495">
        <v>0.99</v>
      </c>
      <c r="F19" s="495">
        <v>1.05</v>
      </c>
      <c r="G19" s="495">
        <v>1.1200000000000001</v>
      </c>
      <c r="H19" s="495">
        <v>1.1100000000000001</v>
      </c>
      <c r="I19" s="495">
        <v>1.1000000000000001</v>
      </c>
      <c r="J19" s="495">
        <v>1.1200000000000001</v>
      </c>
      <c r="K19" s="495">
        <v>1.22</v>
      </c>
      <c r="L19" s="495">
        <v>1.25</v>
      </c>
      <c r="M19" s="495">
        <v>1.31</v>
      </c>
      <c r="N19" s="495">
        <v>1.29</v>
      </c>
      <c r="O19" s="495">
        <v>1.35</v>
      </c>
      <c r="P19" s="495">
        <v>1.37</v>
      </c>
      <c r="Q19" s="495">
        <v>1.31</v>
      </c>
    </row>
    <row r="20" spans="1:17" ht="13" customHeight="1">
      <c r="A20" s="151"/>
      <c r="B20" s="29" t="s">
        <v>36</v>
      </c>
      <c r="C20" s="495">
        <v>1</v>
      </c>
      <c r="D20" s="495">
        <v>1.08</v>
      </c>
      <c r="E20" s="495">
        <v>0.99</v>
      </c>
      <c r="F20" s="495">
        <v>1.08</v>
      </c>
      <c r="G20" s="495">
        <v>1.1100000000000001</v>
      </c>
      <c r="H20" s="495">
        <v>1.1399999999999999</v>
      </c>
      <c r="I20" s="495">
        <v>1.1200000000000001</v>
      </c>
      <c r="J20" s="495">
        <v>1.08</v>
      </c>
      <c r="K20" s="495">
        <v>1.1599999999999999</v>
      </c>
      <c r="L20" s="495">
        <v>1.21</v>
      </c>
      <c r="M20" s="495">
        <v>1.18</v>
      </c>
      <c r="N20" s="495">
        <v>1.2</v>
      </c>
      <c r="O20" s="495">
        <v>1.18</v>
      </c>
      <c r="P20" s="495">
        <v>1.19</v>
      </c>
      <c r="Q20" s="495">
        <v>1.22</v>
      </c>
    </row>
    <row r="21" spans="1:17" ht="13" customHeight="1">
      <c r="A21" s="151"/>
      <c r="B21" s="29" t="s">
        <v>37</v>
      </c>
      <c r="C21" s="495">
        <v>0.71</v>
      </c>
      <c r="D21" s="495">
        <v>0.73</v>
      </c>
      <c r="E21" s="495">
        <v>0.74</v>
      </c>
      <c r="F21" s="495">
        <v>0.9</v>
      </c>
      <c r="G21" s="495">
        <v>0.94</v>
      </c>
      <c r="H21" s="495">
        <v>0.95</v>
      </c>
      <c r="I21" s="495">
        <v>0.98</v>
      </c>
      <c r="J21" s="495">
        <v>1.05</v>
      </c>
      <c r="K21" s="495">
        <v>1.0900000000000001</v>
      </c>
      <c r="L21" s="495">
        <v>1.1200000000000001</v>
      </c>
      <c r="M21" s="495">
        <v>1.1100000000000001</v>
      </c>
      <c r="N21" s="495">
        <v>1.1200000000000001</v>
      </c>
      <c r="O21" s="495">
        <v>1.1399999999999999</v>
      </c>
      <c r="P21" s="495">
        <v>1.19</v>
      </c>
      <c r="Q21" s="495">
        <v>1.22</v>
      </c>
    </row>
    <row r="22" spans="1:17" ht="13" customHeight="1">
      <c r="A22" s="151"/>
      <c r="B22" s="29" t="s">
        <v>38</v>
      </c>
      <c r="C22" s="495">
        <v>0.85</v>
      </c>
      <c r="D22" s="495">
        <v>0.8</v>
      </c>
      <c r="E22" s="495">
        <v>0.8</v>
      </c>
      <c r="F22" s="495">
        <v>0.88</v>
      </c>
      <c r="G22" s="495">
        <v>0.94</v>
      </c>
      <c r="H22" s="495">
        <v>0.94</v>
      </c>
      <c r="I22" s="495">
        <v>0.97</v>
      </c>
      <c r="J22" s="495">
        <v>1.01</v>
      </c>
      <c r="K22" s="495">
        <v>1.01</v>
      </c>
      <c r="L22" s="495">
        <v>1.03</v>
      </c>
      <c r="M22" s="495">
        <v>1.1000000000000001</v>
      </c>
      <c r="N22" s="495">
        <v>1.1399999999999999</v>
      </c>
      <c r="O22" s="495">
        <v>1.25</v>
      </c>
      <c r="P22" s="495">
        <v>1.27</v>
      </c>
      <c r="Q22" s="495">
        <v>1.33</v>
      </c>
    </row>
    <row r="23" spans="1:17" ht="13" customHeight="1">
      <c r="A23" s="151"/>
      <c r="B23" s="29" t="s">
        <v>39</v>
      </c>
      <c r="C23" s="495">
        <v>0.72</v>
      </c>
      <c r="D23" s="495">
        <v>0.83</v>
      </c>
      <c r="E23" s="495">
        <v>0.8</v>
      </c>
      <c r="F23" s="495">
        <v>0.85</v>
      </c>
      <c r="G23" s="495">
        <v>0.94</v>
      </c>
      <c r="H23" s="495">
        <v>0.89</v>
      </c>
      <c r="I23" s="495">
        <v>0.95</v>
      </c>
      <c r="J23" s="495">
        <v>1.0900000000000001</v>
      </c>
      <c r="K23" s="495">
        <v>1.06</v>
      </c>
      <c r="L23" s="495">
        <v>1.1100000000000001</v>
      </c>
      <c r="M23" s="495">
        <v>1.1000000000000001</v>
      </c>
      <c r="N23" s="495">
        <v>1.0900000000000001</v>
      </c>
      <c r="O23" s="495">
        <v>1.1499999999999999</v>
      </c>
      <c r="P23" s="495">
        <v>1.17</v>
      </c>
      <c r="Q23" s="495">
        <v>1.22</v>
      </c>
    </row>
    <row r="24" spans="1:17" ht="13" customHeight="1">
      <c r="A24" s="151"/>
      <c r="B24" s="29" t="s">
        <v>40</v>
      </c>
      <c r="C24" s="495">
        <v>1.06</v>
      </c>
      <c r="D24" s="495">
        <v>1.1399999999999999</v>
      </c>
      <c r="E24" s="495">
        <v>1.08</v>
      </c>
      <c r="F24" s="495">
        <v>1.1000000000000001</v>
      </c>
      <c r="G24" s="495">
        <v>1.21</v>
      </c>
      <c r="H24" s="495">
        <v>1.22</v>
      </c>
      <c r="I24" s="495">
        <v>1.1499999999999999</v>
      </c>
      <c r="J24" s="495">
        <v>1.38</v>
      </c>
      <c r="K24" s="495">
        <v>1.28</v>
      </c>
      <c r="L24" s="495">
        <v>1.35</v>
      </c>
      <c r="M24" s="495">
        <v>1.35</v>
      </c>
      <c r="N24" s="495">
        <v>1.47</v>
      </c>
      <c r="O24" s="495">
        <v>1.43</v>
      </c>
      <c r="P24" s="495">
        <v>1.45</v>
      </c>
      <c r="Q24" s="495">
        <v>1.51</v>
      </c>
    </row>
    <row r="25" spans="1:17" ht="13" customHeight="1">
      <c r="A25" s="151"/>
      <c r="B25" s="29" t="s">
        <v>41</v>
      </c>
      <c r="C25" s="495">
        <v>1.1100000000000001</v>
      </c>
      <c r="D25" s="495">
        <v>1.17</v>
      </c>
      <c r="E25" s="495">
        <v>1.1499999999999999</v>
      </c>
      <c r="F25" s="495">
        <v>1.24</v>
      </c>
      <c r="G25" s="495">
        <v>1.3</v>
      </c>
      <c r="H25" s="495">
        <v>1.18</v>
      </c>
      <c r="I25" s="495">
        <v>1.1599999999999999</v>
      </c>
      <c r="J25" s="495">
        <v>1.2</v>
      </c>
      <c r="K25" s="495">
        <v>1.2</v>
      </c>
      <c r="L25" s="495">
        <v>1.18</v>
      </c>
      <c r="M25" s="495">
        <v>1.25</v>
      </c>
      <c r="N25" s="495">
        <v>1.3</v>
      </c>
      <c r="O25" s="495">
        <v>1.3</v>
      </c>
      <c r="P25" s="495">
        <v>1.31</v>
      </c>
      <c r="Q25" s="495">
        <v>1.33</v>
      </c>
    </row>
    <row r="26" spans="1:17" ht="13" customHeight="1">
      <c r="A26" s="151"/>
      <c r="B26" s="29" t="s">
        <v>44</v>
      </c>
      <c r="C26" s="495">
        <v>1.05</v>
      </c>
      <c r="D26" s="495">
        <v>1.07</v>
      </c>
      <c r="E26" s="495">
        <v>1.05</v>
      </c>
      <c r="F26" s="495">
        <v>1.0900000000000001</v>
      </c>
      <c r="G26" s="495">
        <v>1.1200000000000001</v>
      </c>
      <c r="H26" s="495">
        <v>1.06</v>
      </c>
      <c r="I26" s="495">
        <v>1.07</v>
      </c>
      <c r="J26" s="495">
        <v>1.1100000000000001</v>
      </c>
      <c r="K26" s="495">
        <v>1.17</v>
      </c>
      <c r="L26" s="495">
        <v>1.24</v>
      </c>
      <c r="M26" s="495">
        <v>1.26</v>
      </c>
      <c r="N26" s="495">
        <v>1.27</v>
      </c>
      <c r="O26" s="495">
        <v>1.27</v>
      </c>
      <c r="P26" s="495">
        <v>1.3</v>
      </c>
      <c r="Q26" s="495">
        <v>1.35</v>
      </c>
    </row>
    <row r="27" spans="1:17" ht="13" customHeight="1">
      <c r="A27" s="151"/>
      <c r="B27" s="29" t="s">
        <v>45</v>
      </c>
      <c r="C27" s="495">
        <v>0.85</v>
      </c>
      <c r="D27" s="495">
        <v>0.75</v>
      </c>
      <c r="E27" s="495">
        <v>0.76</v>
      </c>
      <c r="F27" s="495">
        <v>0.86</v>
      </c>
      <c r="G27" s="495">
        <v>0.91</v>
      </c>
      <c r="H27" s="495">
        <v>0.95</v>
      </c>
      <c r="I27" s="495">
        <v>0.99</v>
      </c>
      <c r="J27" s="495">
        <v>1.1100000000000001</v>
      </c>
      <c r="K27" s="495">
        <v>1.03</v>
      </c>
      <c r="L27" s="495">
        <v>1.2</v>
      </c>
      <c r="M27" s="495">
        <v>1.38</v>
      </c>
      <c r="N27" s="495">
        <v>1.4</v>
      </c>
      <c r="O27" s="495">
        <v>1.47</v>
      </c>
      <c r="P27" s="495">
        <v>1.34</v>
      </c>
      <c r="Q27" s="495">
        <v>1.2</v>
      </c>
    </row>
    <row r="28" spans="1:17" ht="13" customHeight="1">
      <c r="A28" s="151"/>
      <c r="B28" s="150" t="s">
        <v>46</v>
      </c>
      <c r="C28" s="495">
        <v>0.93</v>
      </c>
      <c r="D28" s="495">
        <v>0.96</v>
      </c>
      <c r="E28" s="495">
        <v>0.96</v>
      </c>
      <c r="F28" s="495">
        <v>0.78</v>
      </c>
      <c r="G28" s="495">
        <v>0.81</v>
      </c>
      <c r="H28" s="495">
        <v>0.86</v>
      </c>
      <c r="I28" s="495">
        <v>0.85</v>
      </c>
      <c r="J28" s="495">
        <v>0.92</v>
      </c>
      <c r="K28" s="495">
        <v>0.83</v>
      </c>
      <c r="L28" s="495">
        <v>1.07</v>
      </c>
      <c r="M28" s="495">
        <v>1.1499999999999999</v>
      </c>
      <c r="N28" s="495">
        <v>1.26</v>
      </c>
      <c r="O28" s="495">
        <v>1.28</v>
      </c>
      <c r="P28" s="495">
        <v>1.3</v>
      </c>
      <c r="Q28" s="495">
        <v>1.31</v>
      </c>
    </row>
    <row r="29" spans="1:17" ht="13" customHeight="1">
      <c r="A29" s="151"/>
      <c r="B29" s="30" t="s">
        <v>47</v>
      </c>
      <c r="C29" s="495">
        <v>1.43</v>
      </c>
      <c r="D29" s="495">
        <v>1.32</v>
      </c>
      <c r="E29" s="495">
        <v>1.43</v>
      </c>
      <c r="F29" s="495">
        <v>1.29</v>
      </c>
      <c r="G29" s="495">
        <v>1.39</v>
      </c>
      <c r="H29" s="495">
        <v>1.42</v>
      </c>
      <c r="I29" s="495">
        <v>1.4</v>
      </c>
      <c r="J29" s="495">
        <v>1.5</v>
      </c>
      <c r="K29" s="495">
        <v>1.7</v>
      </c>
      <c r="L29" s="495">
        <v>1.87</v>
      </c>
      <c r="M29" s="495">
        <v>1.64</v>
      </c>
      <c r="N29" s="495">
        <v>1.78</v>
      </c>
      <c r="O29" s="495">
        <v>1.73</v>
      </c>
      <c r="P29" s="495">
        <v>1.76</v>
      </c>
      <c r="Q29" s="495">
        <v>1.85</v>
      </c>
    </row>
    <row r="30" spans="1:17" ht="13" customHeight="1">
      <c r="A30" s="151"/>
      <c r="B30" s="29" t="s">
        <v>48</v>
      </c>
      <c r="C30" s="495">
        <v>1.28</v>
      </c>
      <c r="D30" s="495">
        <v>1.21</v>
      </c>
      <c r="E30" s="495">
        <v>1.18</v>
      </c>
      <c r="F30" s="495">
        <v>0.94</v>
      </c>
      <c r="G30" s="495">
        <v>0.95</v>
      </c>
      <c r="H30" s="495">
        <v>0.94</v>
      </c>
      <c r="I30" s="495">
        <v>0.94</v>
      </c>
      <c r="J30" s="495">
        <v>0.97</v>
      </c>
      <c r="K30" s="495">
        <v>0.94</v>
      </c>
      <c r="L30" s="495">
        <v>0.94</v>
      </c>
      <c r="M30" s="495">
        <v>0.95</v>
      </c>
      <c r="N30" s="495">
        <v>1</v>
      </c>
      <c r="O30" s="495">
        <v>1.07</v>
      </c>
      <c r="P30" s="495">
        <v>1.42</v>
      </c>
      <c r="Q30" s="495">
        <v>1.53</v>
      </c>
    </row>
    <row r="31" spans="1:17" ht="13" customHeight="1" thickBot="1">
      <c r="A31" s="453"/>
      <c r="B31" s="454" t="s">
        <v>49</v>
      </c>
      <c r="C31" s="496">
        <v>1.41</v>
      </c>
      <c r="D31" s="496">
        <v>1.41</v>
      </c>
      <c r="E31" s="496">
        <v>1.38</v>
      </c>
      <c r="F31" s="496">
        <v>1.5</v>
      </c>
      <c r="G31" s="496">
        <v>1.58</v>
      </c>
      <c r="H31" s="496">
        <v>1.56</v>
      </c>
      <c r="I31" s="496">
        <v>1.44</v>
      </c>
      <c r="J31" s="496">
        <v>1.45</v>
      </c>
      <c r="K31" s="496">
        <v>1.63</v>
      </c>
      <c r="L31" s="496">
        <v>1.81</v>
      </c>
      <c r="M31" s="496">
        <v>1.5</v>
      </c>
      <c r="N31" s="496">
        <v>1.62</v>
      </c>
      <c r="O31" s="496">
        <v>1.53</v>
      </c>
      <c r="P31" s="496">
        <v>1.6</v>
      </c>
      <c r="Q31" s="496">
        <v>1.54</v>
      </c>
    </row>
    <row r="32" spans="1:17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  <row r="36" spans="1:17" ht="13" customHeight="1"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>
    <tabColor theme="9" tint="0.59999389629810485"/>
  </sheetPr>
  <dimension ref="A2:Q67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7" ht="13" customHeight="1">
      <c r="A2" s="468" t="s">
        <v>369</v>
      </c>
      <c r="B2" s="469"/>
    </row>
    <row r="3" spans="1:17" ht="13" customHeight="1">
      <c r="A3" s="470" t="s">
        <v>325</v>
      </c>
      <c r="B3" s="470"/>
    </row>
    <row r="4" spans="1:17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7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7" ht="15" customHeight="1">
      <c r="A6" s="1102" t="s">
        <v>106</v>
      </c>
      <c r="B6" s="1102"/>
      <c r="C6" s="460">
        <f t="shared" ref="C6:M6" si="0">(C8+C9+C10+C11+C12+C13+C14+C15+C16+C17+C18+C19+C20+C21+C22+C23+C24+C25+C26+C27+C28+C29+C30+C31)</f>
        <v>1946984</v>
      </c>
      <c r="D6" s="460">
        <f t="shared" si="0"/>
        <v>1930625</v>
      </c>
      <c r="E6" s="475">
        <f t="shared" si="0"/>
        <v>1925912</v>
      </c>
      <c r="F6" s="475">
        <f t="shared" si="0"/>
        <v>1904124</v>
      </c>
      <c r="G6" s="475">
        <f t="shared" si="0"/>
        <v>1928678</v>
      </c>
      <c r="H6" s="475">
        <f t="shared" si="0"/>
        <v>1968305</v>
      </c>
      <c r="I6" s="475">
        <f t="shared" si="0"/>
        <v>1946117</v>
      </c>
      <c r="J6" s="475">
        <f t="shared" si="0"/>
        <v>1949502</v>
      </c>
      <c r="K6" s="475">
        <f t="shared" si="0"/>
        <v>1928631</v>
      </c>
      <c r="L6" s="475">
        <f t="shared" si="0"/>
        <v>1905462</v>
      </c>
      <c r="M6" s="475">
        <f t="shared" si="0"/>
        <v>1882361</v>
      </c>
      <c r="N6" s="475">
        <f>(N8+N9+N10+N11+N12+N13+N14+N15+N16+N17+N18+N19+N20+N21+N22+N23+N24+N25+N26+N27+N28+N29+N30+N31)</f>
        <v>1865047</v>
      </c>
      <c r="O6" s="475">
        <f>(O8+O9+O10+O11+O12+O13+O14+O15+O16+O17+O18+O19+O20+O21+O22+O23+O24+O25+O26+O27+O28+O29+O30+O31)</f>
        <v>1814704</v>
      </c>
      <c r="P6" s="475">
        <f>(P8+P9+P10+P11+P12+P13+P14+P15+P16+P17+P18+P19+P20+P21+P22+P23+P24+P25+P26+P27+P28+P29+P30+P31)</f>
        <v>1807028</v>
      </c>
      <c r="Q6" s="475">
        <f>(Q8+Q9+Q10+Q11+Q12+Q13+Q14+Q15+Q16+Q17+Q18+Q19+Q20+Q21+Q22+Q23+Q24+Q25+Q26+Q27+Q28+Q29+Q30+Q31)</f>
        <v>1807961</v>
      </c>
    </row>
    <row r="7" spans="1:17" ht="5" customHeight="1">
      <c r="A7" s="151"/>
      <c r="B7" s="152"/>
      <c r="C7" s="461"/>
      <c r="D7" s="461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</row>
    <row r="8" spans="1:17" ht="13" customHeight="1">
      <c r="A8" s="151"/>
      <c r="B8" s="29" t="s">
        <v>21</v>
      </c>
      <c r="C8" s="455">
        <v>101220</v>
      </c>
      <c r="D8" s="455">
        <v>101000</v>
      </c>
      <c r="E8" s="477">
        <v>99100</v>
      </c>
      <c r="F8" s="477">
        <v>87027</v>
      </c>
      <c r="G8" s="477">
        <v>89050</v>
      </c>
      <c r="H8" s="477">
        <v>87290</v>
      </c>
      <c r="I8" s="477">
        <v>81400</v>
      </c>
      <c r="J8" s="477">
        <v>78900</v>
      </c>
      <c r="K8" s="477">
        <v>75000</v>
      </c>
      <c r="L8" s="477">
        <v>62600</v>
      </c>
      <c r="M8" s="478">
        <v>71620</v>
      </c>
      <c r="N8" s="478">
        <v>60648</v>
      </c>
      <c r="O8" s="478">
        <v>62430</v>
      </c>
      <c r="P8" s="478">
        <v>68210</v>
      </c>
      <c r="Q8" s="478">
        <v>65320</v>
      </c>
    </row>
    <row r="9" spans="1:17" ht="13" customHeight="1">
      <c r="A9" s="151"/>
      <c r="B9" s="29" t="s">
        <v>22</v>
      </c>
      <c r="C9" s="455">
        <v>335100</v>
      </c>
      <c r="D9" s="455">
        <v>341333</v>
      </c>
      <c r="E9" s="477">
        <v>342698</v>
      </c>
      <c r="F9" s="477">
        <v>343180</v>
      </c>
      <c r="G9" s="477">
        <v>359416</v>
      </c>
      <c r="H9" s="479">
        <v>415459</v>
      </c>
      <c r="I9" s="479">
        <v>412459</v>
      </c>
      <c r="J9" s="479">
        <v>417121</v>
      </c>
      <c r="K9" s="479">
        <v>395221</v>
      </c>
      <c r="L9" s="479">
        <v>396861</v>
      </c>
      <c r="M9" s="480">
        <v>391887</v>
      </c>
      <c r="N9" s="480">
        <v>382545</v>
      </c>
      <c r="O9" s="480">
        <v>345496</v>
      </c>
      <c r="P9" s="480">
        <v>346221</v>
      </c>
      <c r="Q9" s="480">
        <v>330221</v>
      </c>
    </row>
    <row r="10" spans="1:17" ht="13" customHeight="1">
      <c r="A10" s="151"/>
      <c r="B10" s="29" t="s">
        <v>23</v>
      </c>
      <c r="C10" s="455">
        <v>60000</v>
      </c>
      <c r="D10" s="455">
        <v>72700</v>
      </c>
      <c r="E10" s="477">
        <v>66341</v>
      </c>
      <c r="F10" s="477">
        <v>74724</v>
      </c>
      <c r="G10" s="477">
        <v>78420</v>
      </c>
      <c r="H10" s="479">
        <v>75437</v>
      </c>
      <c r="I10" s="479">
        <v>77230</v>
      </c>
      <c r="J10" s="479">
        <v>78198</v>
      </c>
      <c r="K10" s="479">
        <v>78098</v>
      </c>
      <c r="L10" s="479">
        <v>75598</v>
      </c>
      <c r="M10" s="479">
        <v>77150</v>
      </c>
      <c r="N10" s="479">
        <v>83968</v>
      </c>
      <c r="O10" s="479">
        <v>91548</v>
      </c>
      <c r="P10" s="479">
        <v>90560</v>
      </c>
      <c r="Q10" s="479">
        <v>106151</v>
      </c>
    </row>
    <row r="11" spans="1:17" ht="13" customHeight="1">
      <c r="A11" s="151"/>
      <c r="B11" s="29" t="s">
        <v>24</v>
      </c>
      <c r="C11" s="455">
        <v>130433</v>
      </c>
      <c r="D11" s="455">
        <v>130173</v>
      </c>
      <c r="E11" s="477">
        <v>130243</v>
      </c>
      <c r="F11" s="477">
        <v>130423</v>
      </c>
      <c r="G11" s="477">
        <v>130953</v>
      </c>
      <c r="H11" s="479">
        <v>131492</v>
      </c>
      <c r="I11" s="479">
        <v>131643</v>
      </c>
      <c r="J11" s="477">
        <v>131719</v>
      </c>
      <c r="K11" s="477">
        <v>128495</v>
      </c>
      <c r="L11" s="477">
        <v>116803</v>
      </c>
      <c r="M11" s="478">
        <v>103065</v>
      </c>
      <c r="N11" s="478">
        <v>100605</v>
      </c>
      <c r="O11" s="478">
        <v>98187</v>
      </c>
      <c r="P11" s="478">
        <v>84588</v>
      </c>
      <c r="Q11" s="478">
        <v>91388</v>
      </c>
    </row>
    <row r="12" spans="1:17" ht="13" customHeight="1">
      <c r="A12" s="151"/>
      <c r="B12" s="29" t="s">
        <v>25</v>
      </c>
      <c r="C12" s="455">
        <v>96690</v>
      </c>
      <c r="D12" s="455">
        <v>98238</v>
      </c>
      <c r="E12" s="477">
        <v>97950</v>
      </c>
      <c r="F12" s="477">
        <v>91315</v>
      </c>
      <c r="G12" s="477">
        <v>93900</v>
      </c>
      <c r="H12" s="477">
        <v>95518</v>
      </c>
      <c r="I12" s="477">
        <v>87325</v>
      </c>
      <c r="J12" s="477">
        <v>82835</v>
      </c>
      <c r="K12" s="477">
        <v>82206</v>
      </c>
      <c r="L12" s="477">
        <v>82910</v>
      </c>
      <c r="M12" s="478">
        <v>81616</v>
      </c>
      <c r="N12" s="478">
        <v>96193</v>
      </c>
      <c r="O12" s="478">
        <v>99202</v>
      </c>
      <c r="P12" s="478">
        <v>98335</v>
      </c>
      <c r="Q12" s="478">
        <v>107350</v>
      </c>
    </row>
    <row r="13" spans="1:17" ht="13" customHeight="1">
      <c r="A13" s="151"/>
      <c r="B13" s="29" t="s">
        <v>29</v>
      </c>
      <c r="C13" s="455">
        <v>7205</v>
      </c>
      <c r="D13" s="455">
        <v>7800</v>
      </c>
      <c r="E13" s="477">
        <v>10218</v>
      </c>
      <c r="F13" s="477">
        <v>9850</v>
      </c>
      <c r="G13" s="477">
        <v>9900</v>
      </c>
      <c r="H13" s="477">
        <v>8252</v>
      </c>
      <c r="I13" s="477">
        <v>9006</v>
      </c>
      <c r="J13" s="477">
        <v>11206</v>
      </c>
      <c r="K13" s="477">
        <v>12106</v>
      </c>
      <c r="L13" s="477">
        <v>12310</v>
      </c>
      <c r="M13" s="477">
        <v>12327</v>
      </c>
      <c r="N13" s="477">
        <v>12572</v>
      </c>
      <c r="O13" s="477">
        <v>12640</v>
      </c>
      <c r="P13" s="477">
        <v>12510</v>
      </c>
      <c r="Q13" s="477">
        <v>12575</v>
      </c>
    </row>
    <row r="14" spans="1:17" ht="13" customHeight="1">
      <c r="A14" s="151"/>
      <c r="B14" s="29" t="s">
        <v>30</v>
      </c>
      <c r="C14" s="455">
        <v>190443</v>
      </c>
      <c r="D14" s="455">
        <v>182297</v>
      </c>
      <c r="E14" s="477">
        <v>178521</v>
      </c>
      <c r="F14" s="477">
        <v>183422</v>
      </c>
      <c r="G14" s="477">
        <v>176458</v>
      </c>
      <c r="H14" s="479">
        <v>175228</v>
      </c>
      <c r="I14" s="479">
        <v>167112</v>
      </c>
      <c r="J14" s="479">
        <v>166175</v>
      </c>
      <c r="K14" s="479">
        <v>168200</v>
      </c>
      <c r="L14" s="479">
        <v>170142</v>
      </c>
      <c r="M14" s="478">
        <v>169145</v>
      </c>
      <c r="N14" s="478">
        <v>170602</v>
      </c>
      <c r="O14" s="478">
        <v>169610</v>
      </c>
      <c r="P14" s="478">
        <v>169785</v>
      </c>
      <c r="Q14" s="478">
        <v>169698</v>
      </c>
    </row>
    <row r="15" spans="1:17" ht="13" customHeight="1">
      <c r="A15" s="151"/>
      <c r="B15" s="29" t="s">
        <v>31</v>
      </c>
      <c r="C15" s="455">
        <v>183469</v>
      </c>
      <c r="D15" s="455">
        <v>187600</v>
      </c>
      <c r="E15" s="477">
        <v>186019</v>
      </c>
      <c r="F15" s="477">
        <v>187188</v>
      </c>
      <c r="G15" s="477">
        <v>188100</v>
      </c>
      <c r="H15" s="479">
        <v>186475</v>
      </c>
      <c r="I15" s="479">
        <v>189053</v>
      </c>
      <c r="J15" s="479">
        <v>187765</v>
      </c>
      <c r="K15" s="479">
        <v>180470</v>
      </c>
      <c r="L15" s="479">
        <v>184982</v>
      </c>
      <c r="M15" s="478">
        <v>185186</v>
      </c>
      <c r="N15" s="478">
        <v>175075</v>
      </c>
      <c r="O15" s="478">
        <v>167335</v>
      </c>
      <c r="P15" s="478">
        <v>165431</v>
      </c>
      <c r="Q15" s="478">
        <v>169383</v>
      </c>
    </row>
    <row r="16" spans="1:17" ht="13" customHeight="1">
      <c r="A16" s="151"/>
      <c r="B16" s="29" t="s">
        <v>32</v>
      </c>
      <c r="C16" s="455">
        <v>65037</v>
      </c>
      <c r="D16" s="457">
        <v>66362</v>
      </c>
      <c r="E16" s="481">
        <v>68978</v>
      </c>
      <c r="F16" s="481">
        <v>68172</v>
      </c>
      <c r="G16" s="481">
        <v>67350</v>
      </c>
      <c r="H16" s="479">
        <v>67180</v>
      </c>
      <c r="I16" s="479">
        <v>66788</v>
      </c>
      <c r="J16" s="479">
        <v>67724</v>
      </c>
      <c r="K16" s="479">
        <v>72324</v>
      </c>
      <c r="L16" s="479">
        <v>76527</v>
      </c>
      <c r="M16" s="479">
        <v>80148</v>
      </c>
      <c r="N16" s="479">
        <v>78936</v>
      </c>
      <c r="O16" s="479">
        <v>78925</v>
      </c>
      <c r="P16" s="479">
        <v>77013</v>
      </c>
      <c r="Q16" s="479">
        <v>75880</v>
      </c>
    </row>
    <row r="17" spans="1:17" ht="13" customHeight="1">
      <c r="A17" s="151"/>
      <c r="B17" s="29" t="s">
        <v>33</v>
      </c>
      <c r="C17" s="455">
        <v>72984</v>
      </c>
      <c r="D17" s="455">
        <v>79774</v>
      </c>
      <c r="E17" s="477">
        <v>78338</v>
      </c>
      <c r="F17" s="477">
        <v>81567</v>
      </c>
      <c r="G17" s="477">
        <v>80200</v>
      </c>
      <c r="H17" s="479">
        <v>78573</v>
      </c>
      <c r="I17" s="479">
        <v>85480</v>
      </c>
      <c r="J17" s="479">
        <v>97911</v>
      </c>
      <c r="K17" s="479">
        <v>101640</v>
      </c>
      <c r="L17" s="479">
        <v>101762</v>
      </c>
      <c r="M17" s="478">
        <v>102840</v>
      </c>
      <c r="N17" s="478">
        <v>102064</v>
      </c>
      <c r="O17" s="478">
        <v>102170</v>
      </c>
      <c r="P17" s="478">
        <v>102350</v>
      </c>
      <c r="Q17" s="478">
        <v>102260</v>
      </c>
    </row>
    <row r="18" spans="1:17" ht="13" customHeight="1">
      <c r="A18" s="151"/>
      <c r="B18" s="29" t="s">
        <v>34</v>
      </c>
      <c r="C18" s="455">
        <v>25049</v>
      </c>
      <c r="D18" s="455">
        <v>22586</v>
      </c>
      <c r="E18" s="477">
        <v>18694</v>
      </c>
      <c r="F18" s="477">
        <v>13049</v>
      </c>
      <c r="G18" s="477">
        <v>12271</v>
      </c>
      <c r="H18" s="479">
        <v>10520</v>
      </c>
      <c r="I18" s="479">
        <v>9471</v>
      </c>
      <c r="J18" s="479">
        <v>9626</v>
      </c>
      <c r="K18" s="479">
        <v>7543</v>
      </c>
      <c r="L18" s="479">
        <v>7547</v>
      </c>
      <c r="M18" s="478">
        <v>7168</v>
      </c>
      <c r="N18" s="478">
        <v>6810</v>
      </c>
      <c r="O18" s="478">
        <v>6173</v>
      </c>
      <c r="P18" s="478">
        <v>6517</v>
      </c>
      <c r="Q18" s="478">
        <v>6345</v>
      </c>
    </row>
    <row r="19" spans="1:17" ht="13" customHeight="1">
      <c r="A19" s="151"/>
      <c r="B19" s="29" t="s">
        <v>35</v>
      </c>
      <c r="C19" s="455">
        <v>8980</v>
      </c>
      <c r="D19" s="455">
        <v>8910</v>
      </c>
      <c r="E19" s="477">
        <v>8980</v>
      </c>
      <c r="F19" s="477">
        <v>8944</v>
      </c>
      <c r="G19" s="477">
        <v>8860</v>
      </c>
      <c r="H19" s="479">
        <v>8035</v>
      </c>
      <c r="I19" s="479">
        <v>7454</v>
      </c>
      <c r="J19" s="479">
        <v>9431</v>
      </c>
      <c r="K19" s="479">
        <v>10205</v>
      </c>
      <c r="L19" s="479">
        <v>9558</v>
      </c>
      <c r="M19" s="478">
        <v>9818</v>
      </c>
      <c r="N19" s="478">
        <v>10187</v>
      </c>
      <c r="O19" s="478">
        <v>10680</v>
      </c>
      <c r="P19" s="478">
        <v>10985</v>
      </c>
      <c r="Q19" s="478">
        <v>10833</v>
      </c>
    </row>
    <row r="20" spans="1:17" ht="13" customHeight="1">
      <c r="A20" s="151"/>
      <c r="B20" s="29" t="s">
        <v>36</v>
      </c>
      <c r="C20" s="455">
        <v>178863</v>
      </c>
      <c r="D20" s="455">
        <v>176054</v>
      </c>
      <c r="E20" s="477">
        <v>176052</v>
      </c>
      <c r="F20" s="477">
        <v>173841</v>
      </c>
      <c r="G20" s="477">
        <v>185072</v>
      </c>
      <c r="H20" s="479">
        <v>182976</v>
      </c>
      <c r="I20" s="479">
        <v>191885</v>
      </c>
      <c r="J20" s="479">
        <v>187431</v>
      </c>
      <c r="K20" s="479">
        <v>183763</v>
      </c>
      <c r="L20" s="479">
        <v>189918</v>
      </c>
      <c r="M20" s="478">
        <v>182850</v>
      </c>
      <c r="N20" s="478">
        <v>180188</v>
      </c>
      <c r="O20" s="478">
        <v>171566</v>
      </c>
      <c r="P20" s="478">
        <v>172240</v>
      </c>
      <c r="Q20" s="478">
        <v>181228</v>
      </c>
    </row>
    <row r="21" spans="1:17" ht="13" customHeight="1">
      <c r="A21" s="151"/>
      <c r="B21" s="29" t="s">
        <v>37</v>
      </c>
      <c r="C21" s="455">
        <v>34280</v>
      </c>
      <c r="D21" s="455">
        <v>29267</v>
      </c>
      <c r="E21" s="477">
        <v>30967</v>
      </c>
      <c r="F21" s="477">
        <v>26056</v>
      </c>
      <c r="G21" s="477">
        <v>24442</v>
      </c>
      <c r="H21" s="479">
        <v>22591</v>
      </c>
      <c r="I21" s="479">
        <v>20395</v>
      </c>
      <c r="J21" s="479">
        <v>16759</v>
      </c>
      <c r="K21" s="479">
        <v>20313</v>
      </c>
      <c r="L21" s="479">
        <v>20480</v>
      </c>
      <c r="M21" s="478">
        <v>19805</v>
      </c>
      <c r="N21" s="478">
        <v>19062</v>
      </c>
      <c r="O21" s="478">
        <v>20736</v>
      </c>
      <c r="P21" s="478">
        <v>22976</v>
      </c>
      <c r="Q21" s="478">
        <v>16611</v>
      </c>
    </row>
    <row r="22" spans="1:17" ht="13" customHeight="1">
      <c r="A22" s="151"/>
      <c r="B22" s="29" t="s">
        <v>38</v>
      </c>
      <c r="C22" s="455">
        <v>11297</v>
      </c>
      <c r="D22" s="455">
        <v>11805</v>
      </c>
      <c r="E22" s="477">
        <v>13285</v>
      </c>
      <c r="F22" s="477">
        <v>13850</v>
      </c>
      <c r="G22" s="477">
        <v>13520</v>
      </c>
      <c r="H22" s="479">
        <v>12751</v>
      </c>
      <c r="I22" s="479">
        <v>11522</v>
      </c>
      <c r="J22" s="479">
        <v>12130</v>
      </c>
      <c r="K22" s="479">
        <v>12480</v>
      </c>
      <c r="L22" s="479">
        <v>6862</v>
      </c>
      <c r="M22" s="478">
        <v>8106</v>
      </c>
      <c r="N22" s="478">
        <v>8511</v>
      </c>
      <c r="O22" s="478">
        <v>8347</v>
      </c>
      <c r="P22" s="478">
        <v>8319</v>
      </c>
      <c r="Q22" s="478">
        <v>8333</v>
      </c>
    </row>
    <row r="23" spans="1:17" ht="13" customHeight="1">
      <c r="A23" s="151"/>
      <c r="B23" s="29" t="s">
        <v>39</v>
      </c>
      <c r="C23" s="455">
        <v>13795</v>
      </c>
      <c r="D23" s="455">
        <v>15210</v>
      </c>
      <c r="E23" s="477">
        <v>15275</v>
      </c>
      <c r="F23" s="477">
        <v>17105</v>
      </c>
      <c r="G23" s="477">
        <v>18870</v>
      </c>
      <c r="H23" s="479">
        <v>18433</v>
      </c>
      <c r="I23" s="479">
        <v>20492</v>
      </c>
      <c r="J23" s="479">
        <v>20301</v>
      </c>
      <c r="K23" s="479">
        <v>19696</v>
      </c>
      <c r="L23" s="479">
        <v>17145</v>
      </c>
      <c r="M23" s="478">
        <v>17359</v>
      </c>
      <c r="N23" s="478">
        <v>18227</v>
      </c>
      <c r="O23" s="478">
        <v>17155</v>
      </c>
      <c r="P23" s="478">
        <v>17155</v>
      </c>
      <c r="Q23" s="478">
        <v>17080</v>
      </c>
    </row>
    <row r="24" spans="1:17" ht="13" customHeight="1">
      <c r="A24" s="151"/>
      <c r="B24" s="29" t="s">
        <v>40</v>
      </c>
      <c r="C24" s="455">
        <v>245589</v>
      </c>
      <c r="D24" s="455">
        <v>213196</v>
      </c>
      <c r="E24" s="477">
        <v>217816</v>
      </c>
      <c r="F24" s="477">
        <v>214034</v>
      </c>
      <c r="G24" s="477">
        <v>211965</v>
      </c>
      <c r="H24" s="479">
        <v>213910</v>
      </c>
      <c r="I24" s="479">
        <v>237522</v>
      </c>
      <c r="J24" s="479">
        <v>221616</v>
      </c>
      <c r="K24" s="479">
        <v>229707</v>
      </c>
      <c r="L24" s="479">
        <v>216976</v>
      </c>
      <c r="M24" s="478">
        <v>208087</v>
      </c>
      <c r="N24" s="478">
        <v>208978</v>
      </c>
      <c r="O24" s="478">
        <v>204583</v>
      </c>
      <c r="P24" s="478">
        <v>207710</v>
      </c>
      <c r="Q24" s="478">
        <v>192115</v>
      </c>
    </row>
    <row r="25" spans="1:17" ht="13" customHeight="1">
      <c r="A25" s="151"/>
      <c r="B25" s="29" t="s">
        <v>41</v>
      </c>
      <c r="C25" s="455">
        <v>90170</v>
      </c>
      <c r="D25" s="455">
        <v>87870</v>
      </c>
      <c r="E25" s="477">
        <v>87137</v>
      </c>
      <c r="F25" s="477">
        <v>89603</v>
      </c>
      <c r="G25" s="477">
        <v>89480</v>
      </c>
      <c r="H25" s="477">
        <v>88852</v>
      </c>
      <c r="I25" s="477">
        <v>90004</v>
      </c>
      <c r="J25" s="477">
        <v>104119</v>
      </c>
      <c r="K25" s="477">
        <v>104320</v>
      </c>
      <c r="L25" s="477">
        <v>106928</v>
      </c>
      <c r="M25" s="478">
        <v>106270</v>
      </c>
      <c r="N25" s="478">
        <v>111584</v>
      </c>
      <c r="O25" s="478">
        <v>109650</v>
      </c>
      <c r="P25" s="478">
        <v>109620</v>
      </c>
      <c r="Q25" s="478">
        <v>109518</v>
      </c>
    </row>
    <row r="26" spans="1:17" ht="13" customHeight="1">
      <c r="A26" s="151"/>
      <c r="B26" s="29" t="s">
        <v>44</v>
      </c>
      <c r="C26" s="455">
        <v>96380</v>
      </c>
      <c r="D26" s="455">
        <v>98450</v>
      </c>
      <c r="E26" s="477">
        <v>99300</v>
      </c>
      <c r="F26" s="477">
        <v>90774</v>
      </c>
      <c r="G26" s="477">
        <v>90451</v>
      </c>
      <c r="H26" s="479">
        <v>89333</v>
      </c>
      <c r="I26" s="479">
        <v>49876</v>
      </c>
      <c r="J26" s="479">
        <v>48535</v>
      </c>
      <c r="K26" s="479">
        <v>46844</v>
      </c>
      <c r="L26" s="479">
        <v>48964</v>
      </c>
      <c r="M26" s="478">
        <v>47285</v>
      </c>
      <c r="N26" s="478">
        <v>37608</v>
      </c>
      <c r="O26" s="478">
        <v>37566</v>
      </c>
      <c r="P26" s="478">
        <v>35775</v>
      </c>
      <c r="Q26" s="478">
        <v>34907</v>
      </c>
    </row>
    <row r="27" spans="1:17" ht="13" customHeight="1">
      <c r="A27" s="151"/>
      <c r="B27" s="29" t="s">
        <v>45</v>
      </c>
      <c r="C27" s="455">
        <v>0</v>
      </c>
      <c r="D27" s="455">
        <v>0</v>
      </c>
      <c r="E27" s="477">
        <v>0</v>
      </c>
      <c r="F27" s="477">
        <v>0</v>
      </c>
      <c r="G27" s="477">
        <v>0</v>
      </c>
      <c r="H27" s="479">
        <v>0</v>
      </c>
      <c r="I27" s="479">
        <v>0</v>
      </c>
      <c r="J27" s="479">
        <v>0</v>
      </c>
      <c r="K27" s="479">
        <v>0</v>
      </c>
      <c r="L27" s="479">
        <v>0</v>
      </c>
      <c r="M27" s="478">
        <v>0</v>
      </c>
      <c r="N27" s="478">
        <v>0</v>
      </c>
      <c r="O27" s="478">
        <v>0</v>
      </c>
      <c r="P27" s="478">
        <v>0</v>
      </c>
      <c r="Q27" s="478">
        <v>0</v>
      </c>
    </row>
    <row r="28" spans="1:17" ht="13" customHeight="1">
      <c r="A28" s="151"/>
      <c r="B28" s="150" t="s">
        <v>46</v>
      </c>
      <c r="C28" s="455">
        <v>0</v>
      </c>
      <c r="D28" s="455">
        <v>0</v>
      </c>
      <c r="E28" s="477">
        <v>0</v>
      </c>
      <c r="F28" s="477">
        <v>0</v>
      </c>
      <c r="G28" s="477">
        <v>0</v>
      </c>
      <c r="H28" s="479">
        <v>0</v>
      </c>
      <c r="I28" s="479">
        <v>0</v>
      </c>
      <c r="J28" s="479">
        <v>0</v>
      </c>
      <c r="K28" s="479">
        <v>0</v>
      </c>
      <c r="L28" s="479">
        <v>0</v>
      </c>
      <c r="M28" s="480">
        <v>0</v>
      </c>
      <c r="N28" s="480">
        <v>0</v>
      </c>
      <c r="O28" s="480">
        <v>0</v>
      </c>
      <c r="P28" s="480">
        <v>0</v>
      </c>
      <c r="Q28" s="480">
        <v>0</v>
      </c>
    </row>
    <row r="29" spans="1:17" ht="13" customHeight="1">
      <c r="A29" s="151"/>
      <c r="B29" s="30" t="s">
        <v>47</v>
      </c>
      <c r="C29" s="455">
        <v>0</v>
      </c>
      <c r="D29" s="455">
        <v>0</v>
      </c>
      <c r="E29" s="477">
        <v>0</v>
      </c>
      <c r="F29" s="477">
        <v>0</v>
      </c>
      <c r="G29" s="477">
        <v>0</v>
      </c>
      <c r="H29" s="479">
        <v>0</v>
      </c>
      <c r="I29" s="479">
        <v>0</v>
      </c>
      <c r="J29" s="479">
        <v>0</v>
      </c>
      <c r="K29" s="479">
        <v>0</v>
      </c>
      <c r="L29" s="479">
        <v>280</v>
      </c>
      <c r="M29" s="480">
        <v>310</v>
      </c>
      <c r="N29" s="480">
        <v>350</v>
      </c>
      <c r="O29" s="480">
        <v>360</v>
      </c>
      <c r="P29" s="480">
        <v>368</v>
      </c>
      <c r="Q29" s="480">
        <v>375</v>
      </c>
    </row>
    <row r="30" spans="1:17" ht="13" customHeight="1">
      <c r="A30" s="151"/>
      <c r="B30" s="29" t="s">
        <v>48</v>
      </c>
      <c r="C30" s="455">
        <v>0</v>
      </c>
      <c r="D30" s="455">
        <v>0</v>
      </c>
      <c r="E30" s="477">
        <v>0</v>
      </c>
      <c r="F30" s="477">
        <v>0</v>
      </c>
      <c r="G30" s="477">
        <v>0</v>
      </c>
      <c r="H30" s="479">
        <v>0</v>
      </c>
      <c r="I30" s="479">
        <v>0</v>
      </c>
      <c r="J30" s="479">
        <v>0</v>
      </c>
      <c r="K30" s="479">
        <v>0</v>
      </c>
      <c r="L30" s="479">
        <v>134</v>
      </c>
      <c r="M30" s="480">
        <v>140</v>
      </c>
      <c r="N30" s="480">
        <v>148</v>
      </c>
      <c r="O30" s="480">
        <v>150</v>
      </c>
      <c r="P30" s="480">
        <v>160</v>
      </c>
      <c r="Q30" s="480">
        <v>170</v>
      </c>
    </row>
    <row r="31" spans="1:17" ht="13" customHeight="1" thickBot="1">
      <c r="A31" s="453"/>
      <c r="B31" s="454" t="s">
        <v>49</v>
      </c>
      <c r="C31" s="458">
        <v>0</v>
      </c>
      <c r="D31" s="458">
        <v>0</v>
      </c>
      <c r="E31" s="482">
        <v>0</v>
      </c>
      <c r="F31" s="482">
        <v>0</v>
      </c>
      <c r="G31" s="482">
        <v>0</v>
      </c>
      <c r="H31" s="482">
        <v>0</v>
      </c>
      <c r="I31" s="482">
        <v>0</v>
      </c>
      <c r="J31" s="482">
        <v>0</v>
      </c>
      <c r="K31" s="482">
        <v>0</v>
      </c>
      <c r="L31" s="482">
        <v>175</v>
      </c>
      <c r="M31" s="483">
        <v>179</v>
      </c>
      <c r="N31" s="483">
        <v>186</v>
      </c>
      <c r="O31" s="483">
        <v>195</v>
      </c>
      <c r="P31" s="483">
        <v>200</v>
      </c>
      <c r="Q31" s="483">
        <v>220</v>
      </c>
    </row>
    <row r="32" spans="1:17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  <row r="35" spans="1:17" ht="13" customHeight="1">
      <c r="Q35" s="152"/>
    </row>
    <row r="36" spans="1:17" ht="13" customHeight="1">
      <c r="Q36" s="152"/>
    </row>
    <row r="37" spans="1:17" ht="13" customHeight="1">
      <c r="Q37" s="152"/>
    </row>
    <row r="38" spans="1:17" ht="13" customHeight="1">
      <c r="Q38" s="152"/>
    </row>
    <row r="39" spans="1:17" ht="13" customHeight="1">
      <c r="Q39" s="152"/>
    </row>
    <row r="40" spans="1:17" ht="13" customHeight="1">
      <c r="Q40" s="152"/>
    </row>
    <row r="41" spans="1:17" ht="13" customHeight="1">
      <c r="Q41" s="152"/>
    </row>
    <row r="42" spans="1:17" ht="13" customHeight="1">
      <c r="Q42" s="152"/>
    </row>
    <row r="43" spans="1:17" ht="13" customHeight="1">
      <c r="Q43" s="152"/>
    </row>
    <row r="44" spans="1:17" ht="13" customHeight="1">
      <c r="Q44" s="152"/>
    </row>
    <row r="45" spans="1:17" ht="13" customHeight="1">
      <c r="Q45" s="152"/>
    </row>
    <row r="46" spans="1:17" ht="13" customHeight="1">
      <c r="Q46" s="152"/>
    </row>
    <row r="47" spans="1:17" ht="13" customHeight="1">
      <c r="Q47" s="152"/>
    </row>
    <row r="48" spans="1:17" ht="13" customHeight="1">
      <c r="Q48" s="152"/>
    </row>
    <row r="49" spans="17:17" ht="13" customHeight="1">
      <c r="Q49" s="152"/>
    </row>
    <row r="50" spans="17:17" ht="13" customHeight="1">
      <c r="Q50" s="152"/>
    </row>
    <row r="51" spans="17:17" ht="13" customHeight="1">
      <c r="Q51" s="152"/>
    </row>
    <row r="52" spans="17:17" ht="13" customHeight="1">
      <c r="Q52" s="152"/>
    </row>
    <row r="53" spans="17:17" ht="13" customHeight="1">
      <c r="Q53" s="152"/>
    </row>
    <row r="54" spans="17:17" ht="13" customHeight="1">
      <c r="Q54" s="152"/>
    </row>
    <row r="55" spans="17:17" ht="13" customHeight="1">
      <c r="Q55" s="152"/>
    </row>
    <row r="56" spans="17:17" ht="13" customHeight="1">
      <c r="Q56" s="152"/>
    </row>
    <row r="57" spans="17:17" ht="13" customHeight="1">
      <c r="Q57" s="152"/>
    </row>
    <row r="58" spans="17:17" ht="13" customHeight="1">
      <c r="Q58" s="152"/>
    </row>
    <row r="59" spans="17:17" ht="13" customHeight="1">
      <c r="Q59" s="152"/>
    </row>
    <row r="60" spans="17:17" ht="13" customHeight="1">
      <c r="Q60" s="152"/>
    </row>
    <row r="61" spans="17:17" ht="13" customHeight="1">
      <c r="Q61" s="152"/>
    </row>
    <row r="62" spans="17:17" ht="13" customHeight="1">
      <c r="Q62" s="152"/>
    </row>
    <row r="63" spans="17:17" ht="13" customHeight="1">
      <c r="Q63" s="152"/>
    </row>
    <row r="64" spans="17:17" ht="13" customHeight="1">
      <c r="Q64" s="152"/>
    </row>
    <row r="65" spans="17:17" ht="13" customHeight="1">
      <c r="Q65" s="152"/>
    </row>
    <row r="66" spans="17:17" ht="13" customHeight="1">
      <c r="Q66" s="152"/>
    </row>
    <row r="67" spans="17:17" ht="13" customHeight="1">
      <c r="Q67" s="15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>
    <tabColor theme="9" tint="0.59999389629810485"/>
  </sheetPr>
  <dimension ref="A2:S3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368</v>
      </c>
      <c r="B2" s="469"/>
    </row>
    <row r="3" spans="1:19" ht="13" customHeight="1">
      <c r="A3" s="470" t="s">
        <v>325</v>
      </c>
      <c r="B3" s="470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9" ht="15" customHeight="1">
      <c r="A6" s="1102" t="s">
        <v>106</v>
      </c>
      <c r="B6" s="1102"/>
      <c r="C6" s="475">
        <f t="shared" ref="C6:N6" si="0">(C8+C9+C10+C11+C12+C13+C14+C15+C16+C17+C18+C19+C20+C21+C22+C23+C24+C25+C26+C27+C28+C29+C30+C31)</f>
        <v>527096</v>
      </c>
      <c r="D6" s="475">
        <f t="shared" si="0"/>
        <v>518663</v>
      </c>
      <c r="E6" s="475">
        <f t="shared" si="0"/>
        <v>506927</v>
      </c>
      <c r="F6" s="475">
        <f t="shared" si="0"/>
        <v>496706</v>
      </c>
      <c r="G6" s="475">
        <f t="shared" si="0"/>
        <v>505880</v>
      </c>
      <c r="H6" s="475">
        <f t="shared" si="0"/>
        <v>499447</v>
      </c>
      <c r="I6" s="475">
        <f t="shared" si="0"/>
        <v>489915</v>
      </c>
      <c r="J6" s="475">
        <f t="shared" si="0"/>
        <v>496626</v>
      </c>
      <c r="K6" s="475">
        <f t="shared" si="0"/>
        <v>505262</v>
      </c>
      <c r="L6" s="475">
        <f t="shared" si="0"/>
        <v>489956</v>
      </c>
      <c r="M6" s="475">
        <f t="shared" si="0"/>
        <v>464018</v>
      </c>
      <c r="N6" s="475">
        <f t="shared" si="0"/>
        <v>458811</v>
      </c>
      <c r="O6" s="475">
        <f>(O8+O9+O10+O11+O12+O13+O14+O15+O16+O17+O18+O19+O20+O21+O22+O23+O24+O25+O26+O27+O28+O29+O30+O31)</f>
        <v>444799</v>
      </c>
      <c r="P6" s="475">
        <f>(P8+P9+P10+P11+P12+P13+P14+P15+P16+P17+P18+P19+P20+P21+P22+P23+P24+P25+P26+P27+P28+P29+P30+P31)</f>
        <v>410567</v>
      </c>
      <c r="Q6" s="475">
        <f>(Q8+Q9+Q10+Q11+Q12+Q13+Q14+Q15+Q16+Q17+Q18+Q19+Q20+Q21+Q22+Q23+Q24+Q25+Q26+Q27+Q28+Q29+Q30+Q31)</f>
        <v>411441</v>
      </c>
    </row>
    <row r="7" spans="1:19" ht="5" customHeight="1">
      <c r="A7" s="151"/>
      <c r="B7" s="152"/>
      <c r="C7" s="476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</row>
    <row r="8" spans="1:19" ht="13" customHeight="1">
      <c r="A8" s="151"/>
      <c r="B8" s="29" t="s">
        <v>21</v>
      </c>
      <c r="C8" s="477">
        <v>22914</v>
      </c>
      <c r="D8" s="477">
        <v>20617</v>
      </c>
      <c r="E8" s="477">
        <v>17664</v>
      </c>
      <c r="F8" s="477">
        <v>16080</v>
      </c>
      <c r="G8" s="477">
        <v>19470</v>
      </c>
      <c r="H8" s="477">
        <v>20921</v>
      </c>
      <c r="I8" s="477">
        <v>21074</v>
      </c>
      <c r="J8" s="477">
        <v>21403</v>
      </c>
      <c r="K8" s="477">
        <v>21022</v>
      </c>
      <c r="L8" s="477">
        <v>25563</v>
      </c>
      <c r="M8" s="478">
        <v>21596</v>
      </c>
      <c r="N8" s="478">
        <v>18127</v>
      </c>
      <c r="O8" s="478">
        <v>32867</v>
      </c>
      <c r="P8" s="478">
        <v>25750</v>
      </c>
      <c r="Q8" s="478">
        <v>22337</v>
      </c>
    </row>
    <row r="9" spans="1:19" ht="13" customHeight="1">
      <c r="A9" s="151"/>
      <c r="B9" s="29" t="s">
        <v>22</v>
      </c>
      <c r="C9" s="477">
        <v>149460</v>
      </c>
      <c r="D9" s="477">
        <v>159867</v>
      </c>
      <c r="E9" s="477">
        <v>145635</v>
      </c>
      <c r="F9" s="477">
        <v>149857</v>
      </c>
      <c r="G9" s="477">
        <v>139553</v>
      </c>
      <c r="H9" s="479">
        <v>137022</v>
      </c>
      <c r="I9" s="479">
        <v>129182</v>
      </c>
      <c r="J9" s="479">
        <v>134568</v>
      </c>
      <c r="K9" s="479">
        <v>127787</v>
      </c>
      <c r="L9" s="479">
        <v>124725</v>
      </c>
      <c r="M9" s="480">
        <v>117178</v>
      </c>
      <c r="N9" s="480">
        <v>110964</v>
      </c>
      <c r="O9" s="480">
        <v>94622</v>
      </c>
      <c r="P9" s="480">
        <v>86591</v>
      </c>
      <c r="Q9" s="480">
        <v>93286</v>
      </c>
      <c r="S9" s="159"/>
    </row>
    <row r="10" spans="1:19" ht="13" customHeight="1">
      <c r="A10" s="151"/>
      <c r="B10" s="29" t="s">
        <v>23</v>
      </c>
      <c r="C10" s="477">
        <v>41274</v>
      </c>
      <c r="D10" s="477">
        <v>38081</v>
      </c>
      <c r="E10" s="477">
        <v>38353</v>
      </c>
      <c r="F10" s="477">
        <v>32319</v>
      </c>
      <c r="G10" s="477">
        <v>39267</v>
      </c>
      <c r="H10" s="479">
        <v>34248</v>
      </c>
      <c r="I10" s="479">
        <v>32953</v>
      </c>
      <c r="J10" s="479">
        <v>24637</v>
      </c>
      <c r="K10" s="479">
        <v>24143</v>
      </c>
      <c r="L10" s="479">
        <v>26199</v>
      </c>
      <c r="M10" s="479">
        <v>20821</v>
      </c>
      <c r="N10" s="479">
        <v>19370</v>
      </c>
      <c r="O10" s="479">
        <v>30600</v>
      </c>
      <c r="P10" s="479">
        <v>27998</v>
      </c>
      <c r="Q10" s="479">
        <v>26996</v>
      </c>
      <c r="S10" s="159"/>
    </row>
    <row r="11" spans="1:19" ht="13" customHeight="1">
      <c r="A11" s="151"/>
      <c r="B11" s="29" t="s">
        <v>24</v>
      </c>
      <c r="C11" s="477">
        <v>41250</v>
      </c>
      <c r="D11" s="477">
        <v>42572</v>
      </c>
      <c r="E11" s="477">
        <v>42758</v>
      </c>
      <c r="F11" s="477">
        <v>43874</v>
      </c>
      <c r="G11" s="477">
        <v>44198</v>
      </c>
      <c r="H11" s="479">
        <v>44529</v>
      </c>
      <c r="I11" s="479">
        <v>44768</v>
      </c>
      <c r="J11" s="477">
        <v>44998</v>
      </c>
      <c r="K11" s="477">
        <v>45374</v>
      </c>
      <c r="L11" s="477">
        <v>45895</v>
      </c>
      <c r="M11" s="478">
        <v>47182</v>
      </c>
      <c r="N11" s="478">
        <v>47693</v>
      </c>
      <c r="O11" s="478">
        <v>37209</v>
      </c>
      <c r="P11" s="478">
        <v>36726</v>
      </c>
      <c r="Q11" s="478">
        <v>35654</v>
      </c>
      <c r="S11" s="159"/>
    </row>
    <row r="12" spans="1:19" ht="13" customHeight="1">
      <c r="A12" s="151"/>
      <c r="B12" s="29" t="s">
        <v>25</v>
      </c>
      <c r="C12" s="477">
        <v>27525</v>
      </c>
      <c r="D12" s="477">
        <v>28734</v>
      </c>
      <c r="E12" s="477">
        <v>29177</v>
      </c>
      <c r="F12" s="477">
        <v>27350</v>
      </c>
      <c r="G12" s="477">
        <v>27705</v>
      </c>
      <c r="H12" s="477">
        <v>29810</v>
      </c>
      <c r="I12" s="477">
        <v>30574</v>
      </c>
      <c r="J12" s="477">
        <v>28576</v>
      </c>
      <c r="K12" s="477">
        <v>28313</v>
      </c>
      <c r="L12" s="477">
        <v>27139</v>
      </c>
      <c r="M12" s="478">
        <v>28125</v>
      </c>
      <c r="N12" s="478">
        <v>32585</v>
      </c>
      <c r="O12" s="478">
        <v>28609</v>
      </c>
      <c r="P12" s="478">
        <v>28894</v>
      </c>
      <c r="Q12" s="478">
        <v>29102</v>
      </c>
      <c r="S12" s="159"/>
    </row>
    <row r="13" spans="1:19" ht="13" customHeight="1">
      <c r="A13" s="151"/>
      <c r="B13" s="29" t="s">
        <v>29</v>
      </c>
      <c r="C13" s="477">
        <v>2346</v>
      </c>
      <c r="D13" s="477">
        <v>2380</v>
      </c>
      <c r="E13" s="477">
        <v>2699</v>
      </c>
      <c r="F13" s="477">
        <v>2298</v>
      </c>
      <c r="G13" s="477">
        <v>2738</v>
      </c>
      <c r="H13" s="477">
        <v>3728</v>
      </c>
      <c r="I13" s="477">
        <v>3946</v>
      </c>
      <c r="J13" s="477">
        <v>4013</v>
      </c>
      <c r="K13" s="477">
        <v>3917</v>
      </c>
      <c r="L13" s="477">
        <v>4230</v>
      </c>
      <c r="M13" s="477">
        <v>4631</v>
      </c>
      <c r="N13" s="477">
        <v>4630</v>
      </c>
      <c r="O13" s="477">
        <v>4507</v>
      </c>
      <c r="P13" s="477">
        <v>4572</v>
      </c>
      <c r="Q13" s="477">
        <v>4816</v>
      </c>
      <c r="S13" s="159"/>
    </row>
    <row r="14" spans="1:19" ht="13" customHeight="1">
      <c r="A14" s="151"/>
      <c r="B14" s="29" t="s">
        <v>30</v>
      </c>
      <c r="C14" s="477">
        <v>19563</v>
      </c>
      <c r="D14" s="477">
        <v>19014</v>
      </c>
      <c r="E14" s="477">
        <v>16693</v>
      </c>
      <c r="F14" s="477">
        <v>16955</v>
      </c>
      <c r="G14" s="477">
        <v>13600</v>
      </c>
      <c r="H14" s="479">
        <v>15129</v>
      </c>
      <c r="I14" s="479">
        <v>13930</v>
      </c>
      <c r="J14" s="479">
        <v>14469</v>
      </c>
      <c r="K14" s="479">
        <v>14919</v>
      </c>
      <c r="L14" s="479">
        <v>14869</v>
      </c>
      <c r="M14" s="478">
        <v>16739</v>
      </c>
      <c r="N14" s="478">
        <v>20343</v>
      </c>
      <c r="O14" s="478">
        <v>20432</v>
      </c>
      <c r="P14" s="478">
        <v>20565</v>
      </c>
      <c r="Q14" s="478">
        <v>20509</v>
      </c>
      <c r="S14" s="159"/>
    </row>
    <row r="15" spans="1:19" ht="13" customHeight="1">
      <c r="A15" s="151"/>
      <c r="B15" s="29" t="s">
        <v>31</v>
      </c>
      <c r="C15" s="477">
        <v>55950</v>
      </c>
      <c r="D15" s="477">
        <v>54403</v>
      </c>
      <c r="E15" s="477">
        <v>53532</v>
      </c>
      <c r="F15" s="477">
        <v>53005</v>
      </c>
      <c r="G15" s="477">
        <v>53710</v>
      </c>
      <c r="H15" s="479">
        <v>52654</v>
      </c>
      <c r="I15" s="479">
        <v>55445</v>
      </c>
      <c r="J15" s="479">
        <v>57039</v>
      </c>
      <c r="K15" s="479">
        <v>59796</v>
      </c>
      <c r="L15" s="479">
        <v>60713</v>
      </c>
      <c r="M15" s="478">
        <v>56179</v>
      </c>
      <c r="N15" s="478">
        <v>52628</v>
      </c>
      <c r="O15" s="478">
        <v>48379</v>
      </c>
      <c r="P15" s="478">
        <v>40586</v>
      </c>
      <c r="Q15" s="478">
        <v>40739</v>
      </c>
      <c r="S15" s="159"/>
    </row>
    <row r="16" spans="1:19" ht="13" customHeight="1">
      <c r="A16" s="151"/>
      <c r="B16" s="29" t="s">
        <v>32</v>
      </c>
      <c r="C16" s="477">
        <v>17350</v>
      </c>
      <c r="D16" s="481">
        <v>17706</v>
      </c>
      <c r="E16" s="481">
        <v>17125</v>
      </c>
      <c r="F16" s="481">
        <v>16342</v>
      </c>
      <c r="G16" s="481">
        <v>15674</v>
      </c>
      <c r="H16" s="479">
        <v>15049</v>
      </c>
      <c r="I16" s="479">
        <v>14840</v>
      </c>
      <c r="J16" s="479">
        <v>15978</v>
      </c>
      <c r="K16" s="479">
        <v>16498</v>
      </c>
      <c r="L16" s="479">
        <v>17691</v>
      </c>
      <c r="M16" s="479">
        <v>16592</v>
      </c>
      <c r="N16" s="479">
        <v>16670</v>
      </c>
      <c r="O16" s="479">
        <v>14913</v>
      </c>
      <c r="P16" s="479">
        <v>14133</v>
      </c>
      <c r="Q16" s="479">
        <v>17363</v>
      </c>
      <c r="S16" s="159"/>
    </row>
    <row r="17" spans="1:19" ht="13" customHeight="1">
      <c r="A17" s="151"/>
      <c r="B17" s="29" t="s">
        <v>33</v>
      </c>
      <c r="C17" s="477">
        <v>15218</v>
      </c>
      <c r="D17" s="477">
        <v>16580</v>
      </c>
      <c r="E17" s="477">
        <v>19147</v>
      </c>
      <c r="F17" s="477">
        <v>20484</v>
      </c>
      <c r="G17" s="477">
        <v>24021</v>
      </c>
      <c r="H17" s="479">
        <v>23936</v>
      </c>
      <c r="I17" s="479">
        <v>22276</v>
      </c>
      <c r="J17" s="479">
        <v>22265</v>
      </c>
      <c r="K17" s="479">
        <v>23407</v>
      </c>
      <c r="L17" s="479">
        <v>25115</v>
      </c>
      <c r="M17" s="478">
        <v>23243</v>
      </c>
      <c r="N17" s="478">
        <v>24427</v>
      </c>
      <c r="O17" s="478">
        <v>26502</v>
      </c>
      <c r="P17" s="478">
        <v>25971</v>
      </c>
      <c r="Q17" s="478">
        <v>23327</v>
      </c>
      <c r="S17" s="159"/>
    </row>
    <row r="18" spans="1:19" ht="13" customHeight="1">
      <c r="A18" s="151"/>
      <c r="B18" s="29" t="s">
        <v>34</v>
      </c>
      <c r="C18" s="477">
        <v>1054</v>
      </c>
      <c r="D18" s="477">
        <v>1389</v>
      </c>
      <c r="E18" s="477">
        <v>2906</v>
      </c>
      <c r="F18" s="477">
        <v>2403</v>
      </c>
      <c r="G18" s="477">
        <v>2225</v>
      </c>
      <c r="H18" s="479">
        <v>2348</v>
      </c>
      <c r="I18" s="479">
        <v>2561</v>
      </c>
      <c r="J18" s="479">
        <v>2932</v>
      </c>
      <c r="K18" s="479">
        <v>1867</v>
      </c>
      <c r="L18" s="479">
        <v>1771</v>
      </c>
      <c r="M18" s="478">
        <v>1485</v>
      </c>
      <c r="N18" s="478">
        <v>1281</v>
      </c>
      <c r="O18" s="478">
        <v>1189</v>
      </c>
      <c r="P18" s="478">
        <v>1109</v>
      </c>
      <c r="Q18" s="478">
        <v>1059</v>
      </c>
      <c r="S18" s="159"/>
    </row>
    <row r="19" spans="1:19" ht="13" customHeight="1">
      <c r="A19" s="151"/>
      <c r="B19" s="29" t="s">
        <v>35</v>
      </c>
      <c r="C19" s="477">
        <v>1420</v>
      </c>
      <c r="D19" s="477">
        <v>1280</v>
      </c>
      <c r="E19" s="477">
        <v>1373</v>
      </c>
      <c r="F19" s="477">
        <v>1501</v>
      </c>
      <c r="G19" s="477">
        <v>1351</v>
      </c>
      <c r="H19" s="479">
        <v>1619</v>
      </c>
      <c r="I19" s="479">
        <v>1894</v>
      </c>
      <c r="J19" s="479">
        <v>2373</v>
      </c>
      <c r="K19" s="479">
        <v>2418</v>
      </c>
      <c r="L19" s="479">
        <v>2938</v>
      </c>
      <c r="M19" s="478">
        <v>3651</v>
      </c>
      <c r="N19" s="478">
        <v>3905</v>
      </c>
      <c r="O19" s="478">
        <v>4659</v>
      </c>
      <c r="P19" s="478">
        <v>5357</v>
      </c>
      <c r="Q19" s="478">
        <v>3585</v>
      </c>
      <c r="S19" s="159"/>
    </row>
    <row r="20" spans="1:19" ht="13" customHeight="1">
      <c r="A20" s="151"/>
      <c r="B20" s="29" t="s">
        <v>36</v>
      </c>
      <c r="C20" s="477">
        <v>47510</v>
      </c>
      <c r="D20" s="477">
        <v>34795</v>
      </c>
      <c r="E20" s="477">
        <v>34292</v>
      </c>
      <c r="F20" s="477">
        <v>33169</v>
      </c>
      <c r="G20" s="477">
        <v>40800</v>
      </c>
      <c r="H20" s="479">
        <v>35925</v>
      </c>
      <c r="I20" s="479">
        <v>30234</v>
      </c>
      <c r="J20" s="479">
        <v>34362</v>
      </c>
      <c r="K20" s="479">
        <v>43834</v>
      </c>
      <c r="L20" s="479">
        <v>42600</v>
      </c>
      <c r="M20" s="478">
        <v>36463</v>
      </c>
      <c r="N20" s="478">
        <v>30127</v>
      </c>
      <c r="O20" s="478">
        <v>28698</v>
      </c>
      <c r="P20" s="478">
        <v>24103</v>
      </c>
      <c r="Q20" s="478">
        <v>25727</v>
      </c>
      <c r="S20" s="159"/>
    </row>
    <row r="21" spans="1:19" ht="13" customHeight="1">
      <c r="A21" s="151"/>
      <c r="B21" s="29" t="s">
        <v>37</v>
      </c>
      <c r="C21" s="477">
        <v>9620</v>
      </c>
      <c r="D21" s="477">
        <v>9123</v>
      </c>
      <c r="E21" s="477">
        <v>11626</v>
      </c>
      <c r="F21" s="477">
        <v>9382</v>
      </c>
      <c r="G21" s="477">
        <v>7198</v>
      </c>
      <c r="H21" s="479">
        <v>5668</v>
      </c>
      <c r="I21" s="479">
        <v>5295</v>
      </c>
      <c r="J21" s="479">
        <v>5597</v>
      </c>
      <c r="K21" s="479">
        <v>7157</v>
      </c>
      <c r="L21" s="479">
        <v>8161</v>
      </c>
      <c r="M21" s="478">
        <v>8951</v>
      </c>
      <c r="N21" s="478">
        <v>15265</v>
      </c>
      <c r="O21" s="478">
        <v>15642</v>
      </c>
      <c r="P21" s="478">
        <v>13680</v>
      </c>
      <c r="Q21" s="478">
        <v>10335</v>
      </c>
      <c r="S21" s="159"/>
    </row>
    <row r="22" spans="1:19" ht="13" customHeight="1">
      <c r="A22" s="151"/>
      <c r="B22" s="29" t="s">
        <v>38</v>
      </c>
      <c r="C22" s="477">
        <v>1660</v>
      </c>
      <c r="D22" s="477">
        <v>1469</v>
      </c>
      <c r="E22" s="477">
        <v>1718</v>
      </c>
      <c r="F22" s="477">
        <v>1387</v>
      </c>
      <c r="G22" s="477">
        <v>1494</v>
      </c>
      <c r="H22" s="479">
        <v>1329</v>
      </c>
      <c r="I22" s="479">
        <v>1018</v>
      </c>
      <c r="J22" s="479">
        <v>779</v>
      </c>
      <c r="K22" s="479">
        <v>848</v>
      </c>
      <c r="L22" s="479">
        <v>703</v>
      </c>
      <c r="M22" s="478">
        <v>710</v>
      </c>
      <c r="N22" s="478">
        <v>706</v>
      </c>
      <c r="O22" s="478">
        <v>861</v>
      </c>
      <c r="P22" s="478">
        <v>647</v>
      </c>
      <c r="Q22" s="478">
        <v>689</v>
      </c>
      <c r="S22" s="159"/>
    </row>
    <row r="23" spans="1:19" ht="13" customHeight="1">
      <c r="A23" s="151"/>
      <c r="B23" s="29" t="s">
        <v>39</v>
      </c>
      <c r="C23" s="477">
        <v>5288</v>
      </c>
      <c r="D23" s="477">
        <v>5591</v>
      </c>
      <c r="E23" s="477">
        <v>5403</v>
      </c>
      <c r="F23" s="477">
        <v>4772</v>
      </c>
      <c r="G23" s="477">
        <v>4794</v>
      </c>
      <c r="H23" s="479">
        <v>5060</v>
      </c>
      <c r="I23" s="479">
        <v>4954</v>
      </c>
      <c r="J23" s="479">
        <v>5369</v>
      </c>
      <c r="K23" s="479">
        <v>5322</v>
      </c>
      <c r="L23" s="479">
        <v>5201</v>
      </c>
      <c r="M23" s="478">
        <v>4994</v>
      </c>
      <c r="N23" s="478">
        <v>5031</v>
      </c>
      <c r="O23" s="478">
        <v>5022</v>
      </c>
      <c r="P23" s="478">
        <v>5170</v>
      </c>
      <c r="Q23" s="478">
        <v>5343</v>
      </c>
      <c r="S23" s="159"/>
    </row>
    <row r="24" spans="1:19" ht="13" customHeight="1">
      <c r="A24" s="151"/>
      <c r="B24" s="29" t="s">
        <v>40</v>
      </c>
      <c r="C24" s="477">
        <v>47054</v>
      </c>
      <c r="D24" s="477">
        <v>45061</v>
      </c>
      <c r="E24" s="477">
        <v>44279</v>
      </c>
      <c r="F24" s="477">
        <v>43408</v>
      </c>
      <c r="G24" s="477">
        <v>43673</v>
      </c>
      <c r="H24" s="479">
        <v>46079</v>
      </c>
      <c r="I24" s="479">
        <v>47883</v>
      </c>
      <c r="J24" s="479">
        <v>50162</v>
      </c>
      <c r="K24" s="479">
        <v>53248</v>
      </c>
      <c r="L24" s="479">
        <v>31848</v>
      </c>
      <c r="M24" s="478">
        <v>31730</v>
      </c>
      <c r="N24" s="478">
        <v>32986</v>
      </c>
      <c r="O24" s="478">
        <v>28342</v>
      </c>
      <c r="P24" s="478">
        <v>27672</v>
      </c>
      <c r="Q24" s="478">
        <v>28248</v>
      </c>
      <c r="S24" s="159"/>
    </row>
    <row r="25" spans="1:19" ht="13" customHeight="1">
      <c r="A25" s="151"/>
      <c r="B25" s="29" t="s">
        <v>41</v>
      </c>
      <c r="C25" s="477">
        <v>13635</v>
      </c>
      <c r="D25" s="477">
        <v>13355</v>
      </c>
      <c r="E25" s="477">
        <v>15390</v>
      </c>
      <c r="F25" s="477">
        <v>15324</v>
      </c>
      <c r="G25" s="477">
        <v>16928</v>
      </c>
      <c r="H25" s="477">
        <v>16685</v>
      </c>
      <c r="I25" s="477">
        <v>18161</v>
      </c>
      <c r="J25" s="477">
        <v>18141</v>
      </c>
      <c r="K25" s="477">
        <v>18383</v>
      </c>
      <c r="L25" s="477">
        <v>18234</v>
      </c>
      <c r="M25" s="478">
        <v>18313</v>
      </c>
      <c r="N25" s="478">
        <v>18280</v>
      </c>
      <c r="O25" s="478">
        <v>18043</v>
      </c>
      <c r="P25" s="478">
        <v>17431</v>
      </c>
      <c r="Q25" s="478">
        <v>18390</v>
      </c>
      <c r="S25" s="159"/>
    </row>
    <row r="26" spans="1:19" ht="13" customHeight="1">
      <c r="A26" s="151"/>
      <c r="B26" s="29" t="s">
        <v>44</v>
      </c>
      <c r="C26" s="477">
        <v>7005</v>
      </c>
      <c r="D26" s="477">
        <v>6646</v>
      </c>
      <c r="E26" s="477">
        <v>7157</v>
      </c>
      <c r="F26" s="477">
        <v>6796</v>
      </c>
      <c r="G26" s="477">
        <v>7481</v>
      </c>
      <c r="H26" s="479">
        <v>7708</v>
      </c>
      <c r="I26" s="479">
        <v>8927</v>
      </c>
      <c r="J26" s="479">
        <v>8965</v>
      </c>
      <c r="K26" s="479">
        <v>7009</v>
      </c>
      <c r="L26" s="479">
        <v>6361</v>
      </c>
      <c r="M26" s="478">
        <v>5435</v>
      </c>
      <c r="N26" s="478">
        <v>3776</v>
      </c>
      <c r="O26" s="478">
        <v>3693</v>
      </c>
      <c r="P26" s="478">
        <v>3524</v>
      </c>
      <c r="Q26" s="478">
        <v>3901</v>
      </c>
      <c r="S26" s="159"/>
    </row>
    <row r="27" spans="1:19" ht="13" customHeight="1">
      <c r="A27" s="151"/>
      <c r="B27" s="29" t="s">
        <v>45</v>
      </c>
      <c r="C27" s="477">
        <v>0</v>
      </c>
      <c r="D27" s="477">
        <v>0</v>
      </c>
      <c r="E27" s="477">
        <v>0</v>
      </c>
      <c r="F27" s="477">
        <v>0</v>
      </c>
      <c r="G27" s="477">
        <v>0</v>
      </c>
      <c r="H27" s="479">
        <v>0</v>
      </c>
      <c r="I27" s="479">
        <v>0</v>
      </c>
      <c r="J27" s="479">
        <v>0</v>
      </c>
      <c r="K27" s="479">
        <v>0</v>
      </c>
      <c r="L27" s="479">
        <v>0</v>
      </c>
      <c r="M27" s="478">
        <v>0</v>
      </c>
      <c r="N27" s="478">
        <v>0</v>
      </c>
      <c r="O27" s="478">
        <v>0</v>
      </c>
      <c r="P27" s="478">
        <v>0</v>
      </c>
      <c r="Q27" s="478">
        <v>0</v>
      </c>
      <c r="S27" s="159"/>
    </row>
    <row r="28" spans="1:19" ht="13" customHeight="1">
      <c r="A28" s="151"/>
      <c r="B28" s="150" t="s">
        <v>46</v>
      </c>
      <c r="C28" s="477">
        <v>0</v>
      </c>
      <c r="D28" s="477">
        <v>0</v>
      </c>
      <c r="E28" s="477">
        <v>0</v>
      </c>
      <c r="F28" s="477">
        <v>0</v>
      </c>
      <c r="G28" s="477">
        <v>0</v>
      </c>
      <c r="H28" s="479">
        <v>0</v>
      </c>
      <c r="I28" s="479">
        <v>0</v>
      </c>
      <c r="J28" s="479">
        <v>0</v>
      </c>
      <c r="K28" s="479">
        <v>0</v>
      </c>
      <c r="L28" s="479">
        <v>0</v>
      </c>
      <c r="M28" s="480">
        <v>0</v>
      </c>
      <c r="N28" s="480">
        <v>0</v>
      </c>
      <c r="O28" s="480">
        <v>0</v>
      </c>
      <c r="P28" s="480">
        <v>0</v>
      </c>
      <c r="Q28" s="480">
        <v>0</v>
      </c>
      <c r="S28" s="159"/>
    </row>
    <row r="29" spans="1:19" ht="13" customHeight="1">
      <c r="A29" s="151"/>
      <c r="B29" s="30" t="s">
        <v>47</v>
      </c>
      <c r="C29" s="477">
        <v>0</v>
      </c>
      <c r="D29" s="477">
        <v>0</v>
      </c>
      <c r="E29" s="477">
        <v>0</v>
      </c>
      <c r="F29" s="477">
        <v>0</v>
      </c>
      <c r="G29" s="477">
        <v>0</v>
      </c>
      <c r="H29" s="479">
        <v>0</v>
      </c>
      <c r="I29" s="479">
        <v>0</v>
      </c>
      <c r="J29" s="479">
        <v>0</v>
      </c>
      <c r="K29" s="479">
        <v>0</v>
      </c>
      <c r="L29" s="479">
        <v>0</v>
      </c>
      <c r="M29" s="480">
        <v>0</v>
      </c>
      <c r="N29" s="480">
        <v>17</v>
      </c>
      <c r="O29" s="480">
        <v>10</v>
      </c>
      <c r="P29" s="480">
        <v>88</v>
      </c>
      <c r="Q29" s="480">
        <v>35</v>
      </c>
      <c r="S29" s="159"/>
    </row>
    <row r="30" spans="1:19" ht="13" customHeight="1">
      <c r="A30" s="151"/>
      <c r="B30" s="29" t="s">
        <v>48</v>
      </c>
      <c r="C30" s="477">
        <v>0</v>
      </c>
      <c r="D30" s="477">
        <v>0</v>
      </c>
      <c r="E30" s="477">
        <v>0</v>
      </c>
      <c r="F30" s="477">
        <v>0</v>
      </c>
      <c r="G30" s="477">
        <v>0</v>
      </c>
      <c r="H30" s="479">
        <v>0</v>
      </c>
      <c r="I30" s="479">
        <v>0</v>
      </c>
      <c r="J30" s="479">
        <v>0</v>
      </c>
      <c r="K30" s="479">
        <v>0</v>
      </c>
      <c r="L30" s="479">
        <v>0</v>
      </c>
      <c r="M30" s="480">
        <v>0</v>
      </c>
      <c r="N30" s="480">
        <v>0</v>
      </c>
      <c r="O30" s="480">
        <v>0</v>
      </c>
      <c r="P30" s="480">
        <v>0</v>
      </c>
      <c r="Q30" s="480">
        <v>0</v>
      </c>
      <c r="S30" s="159"/>
    </row>
    <row r="31" spans="1:19" ht="13" customHeight="1" thickBot="1">
      <c r="A31" s="453"/>
      <c r="B31" s="454" t="s">
        <v>49</v>
      </c>
      <c r="C31" s="482">
        <v>0</v>
      </c>
      <c r="D31" s="482">
        <v>0</v>
      </c>
      <c r="E31" s="482">
        <v>0</v>
      </c>
      <c r="F31" s="482">
        <v>0</v>
      </c>
      <c r="G31" s="482">
        <v>0</v>
      </c>
      <c r="H31" s="482">
        <v>0</v>
      </c>
      <c r="I31" s="482">
        <v>0</v>
      </c>
      <c r="J31" s="482">
        <v>0</v>
      </c>
      <c r="K31" s="482">
        <v>0</v>
      </c>
      <c r="L31" s="482">
        <v>0</v>
      </c>
      <c r="M31" s="483">
        <v>0</v>
      </c>
      <c r="N31" s="483">
        <v>0</v>
      </c>
      <c r="O31" s="483">
        <v>0</v>
      </c>
      <c r="P31" s="483">
        <v>0</v>
      </c>
      <c r="Q31" s="483">
        <v>0</v>
      </c>
      <c r="S31" s="159"/>
    </row>
    <row r="32" spans="1:19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>
    <tabColor theme="9" tint="0.59999389629810485"/>
  </sheetPr>
  <dimension ref="A2:S3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367</v>
      </c>
      <c r="B2" s="469"/>
    </row>
    <row r="3" spans="1:19" ht="13" customHeight="1">
      <c r="A3" s="470" t="s">
        <v>319</v>
      </c>
      <c r="B3" s="470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9" ht="15" customHeight="1">
      <c r="A6" s="1102" t="s">
        <v>106</v>
      </c>
      <c r="B6" s="1102"/>
      <c r="C6" s="484">
        <f t="shared" ref="C6:N6" si="0">(C8+C9+C10+C11+C12+C13+C14+C15+C16+C17+C18+C19+C20+C21+C22+C23+C24+C25+C26+C27+C28+C29+C30+C31)</f>
        <v>6617</v>
      </c>
      <c r="D6" s="484">
        <f t="shared" si="0"/>
        <v>6771</v>
      </c>
      <c r="E6" s="484">
        <f t="shared" si="0"/>
        <v>6684</v>
      </c>
      <c r="F6" s="484">
        <f t="shared" si="0"/>
        <v>6420</v>
      </c>
      <c r="G6" s="484">
        <f t="shared" si="0"/>
        <v>6152</v>
      </c>
      <c r="H6" s="484">
        <f t="shared" si="0"/>
        <v>6133</v>
      </c>
      <c r="I6" s="484">
        <f t="shared" si="0"/>
        <v>6151</v>
      </c>
      <c r="J6" s="484">
        <f t="shared" si="0"/>
        <v>6245</v>
      </c>
      <c r="K6" s="484">
        <f t="shared" si="0"/>
        <v>6439</v>
      </c>
      <c r="L6" s="484">
        <f t="shared" si="0"/>
        <v>6167</v>
      </c>
      <c r="M6" s="484">
        <f t="shared" si="0"/>
        <v>5900</v>
      </c>
      <c r="N6" s="484">
        <f t="shared" si="0"/>
        <v>5827</v>
      </c>
      <c r="O6" s="484">
        <f>(O8+O9+O10+O11+O12+O13+O14+O15+O16+O17+O18+O19+O20+O21+O22+O23+O24+O25+O26+O27+O28+O29+O30+O31)</f>
        <v>5494</v>
      </c>
      <c r="P6" s="484">
        <f>(P8+P9+P10+P11+P12+P13+P14+P15+P16+P17+P18+P19+P20+P21+P22+P23+P24+P25+P26+P27+P28+P29+P30+P31)</f>
        <v>4966</v>
      </c>
      <c r="Q6" s="484">
        <f>(Q8+Q9+Q10+Q11+Q12+Q13+Q14+Q15+Q16+Q17+Q18+Q19+Q20+Q21+Q22+Q23+Q24+Q25+Q26+Q27+Q28+Q29+Q30+Q31)</f>
        <v>5100</v>
      </c>
    </row>
    <row r="7" spans="1:19" ht="5" customHeight="1">
      <c r="A7" s="151"/>
      <c r="B7" s="152"/>
      <c r="C7" s="485"/>
      <c r="D7" s="485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5"/>
      <c r="Q7" s="485"/>
    </row>
    <row r="8" spans="1:19" ht="13" customHeight="1">
      <c r="A8" s="151"/>
      <c r="B8" s="29" t="s">
        <v>21</v>
      </c>
      <c r="C8" s="486">
        <v>274</v>
      </c>
      <c r="D8" s="486">
        <v>261</v>
      </c>
      <c r="E8" s="486">
        <v>226</v>
      </c>
      <c r="F8" s="486">
        <v>215</v>
      </c>
      <c r="G8" s="486">
        <v>260</v>
      </c>
      <c r="H8" s="486">
        <v>283</v>
      </c>
      <c r="I8" s="486">
        <v>256</v>
      </c>
      <c r="J8" s="486">
        <v>266</v>
      </c>
      <c r="K8" s="486">
        <v>258</v>
      </c>
      <c r="L8" s="486">
        <v>292</v>
      </c>
      <c r="M8" s="487">
        <v>252</v>
      </c>
      <c r="N8" s="487">
        <v>205</v>
      </c>
      <c r="O8" s="487">
        <v>378</v>
      </c>
      <c r="P8" s="487">
        <v>273</v>
      </c>
      <c r="Q8" s="487">
        <v>220</v>
      </c>
    </row>
    <row r="9" spans="1:19" ht="13" customHeight="1">
      <c r="A9" s="151"/>
      <c r="B9" s="29" t="s">
        <v>22</v>
      </c>
      <c r="C9" s="486">
        <v>1970</v>
      </c>
      <c r="D9" s="486">
        <v>2250</v>
      </c>
      <c r="E9" s="486">
        <v>2114</v>
      </c>
      <c r="F9" s="486">
        <v>2190</v>
      </c>
      <c r="G9" s="486">
        <v>1819</v>
      </c>
      <c r="H9" s="488">
        <v>1854</v>
      </c>
      <c r="I9" s="488">
        <v>1833</v>
      </c>
      <c r="J9" s="488">
        <v>1923</v>
      </c>
      <c r="K9" s="488">
        <v>1990</v>
      </c>
      <c r="L9" s="488">
        <v>1895</v>
      </c>
      <c r="M9" s="489">
        <v>1781</v>
      </c>
      <c r="N9" s="489">
        <v>1666</v>
      </c>
      <c r="O9" s="489">
        <v>1377</v>
      </c>
      <c r="P9" s="489">
        <v>1128</v>
      </c>
      <c r="Q9" s="489">
        <v>1283</v>
      </c>
    </row>
    <row r="10" spans="1:19" ht="13" customHeight="1">
      <c r="A10" s="151"/>
      <c r="B10" s="29" t="s">
        <v>23</v>
      </c>
      <c r="C10" s="486">
        <v>569</v>
      </c>
      <c r="D10" s="486">
        <v>536</v>
      </c>
      <c r="E10" s="486">
        <v>564</v>
      </c>
      <c r="F10" s="486">
        <v>473</v>
      </c>
      <c r="G10" s="486">
        <v>481</v>
      </c>
      <c r="H10" s="488">
        <v>434</v>
      </c>
      <c r="I10" s="488">
        <v>491</v>
      </c>
      <c r="J10" s="488">
        <v>384</v>
      </c>
      <c r="K10" s="488">
        <v>353</v>
      </c>
      <c r="L10" s="488">
        <v>365</v>
      </c>
      <c r="M10" s="488">
        <v>310</v>
      </c>
      <c r="N10" s="488">
        <v>385</v>
      </c>
      <c r="O10" s="488">
        <v>456</v>
      </c>
      <c r="P10" s="488">
        <v>416</v>
      </c>
      <c r="Q10" s="488">
        <v>375</v>
      </c>
      <c r="S10" s="159"/>
    </row>
    <row r="11" spans="1:19" ht="13" customHeight="1">
      <c r="A11" s="151"/>
      <c r="B11" s="29" t="s">
        <v>24</v>
      </c>
      <c r="C11" s="486">
        <v>496</v>
      </c>
      <c r="D11" s="486">
        <v>516</v>
      </c>
      <c r="E11" s="486">
        <v>519</v>
      </c>
      <c r="F11" s="486">
        <v>531</v>
      </c>
      <c r="G11" s="486">
        <v>538</v>
      </c>
      <c r="H11" s="488">
        <v>543</v>
      </c>
      <c r="I11" s="488">
        <v>546</v>
      </c>
      <c r="J11" s="486">
        <v>548</v>
      </c>
      <c r="K11" s="486">
        <v>554</v>
      </c>
      <c r="L11" s="486">
        <v>560</v>
      </c>
      <c r="M11" s="487">
        <v>573</v>
      </c>
      <c r="N11" s="487">
        <v>579</v>
      </c>
      <c r="O11" s="487">
        <v>453</v>
      </c>
      <c r="P11" s="487">
        <v>451</v>
      </c>
      <c r="Q11" s="487">
        <v>437</v>
      </c>
      <c r="S11" s="159"/>
    </row>
    <row r="12" spans="1:19" ht="13" customHeight="1">
      <c r="A12" s="151"/>
      <c r="B12" s="29" t="s">
        <v>25</v>
      </c>
      <c r="C12" s="486">
        <v>339</v>
      </c>
      <c r="D12" s="486">
        <v>359</v>
      </c>
      <c r="E12" s="486">
        <v>366</v>
      </c>
      <c r="F12" s="486">
        <v>333</v>
      </c>
      <c r="G12" s="486">
        <v>333</v>
      </c>
      <c r="H12" s="486">
        <v>329</v>
      </c>
      <c r="I12" s="486">
        <v>324</v>
      </c>
      <c r="J12" s="486">
        <v>305</v>
      </c>
      <c r="K12" s="486">
        <v>323</v>
      </c>
      <c r="L12" s="486">
        <v>308</v>
      </c>
      <c r="M12" s="487">
        <v>299</v>
      </c>
      <c r="N12" s="487">
        <v>328</v>
      </c>
      <c r="O12" s="487">
        <v>234</v>
      </c>
      <c r="P12" s="487">
        <v>250</v>
      </c>
      <c r="Q12" s="487">
        <v>296</v>
      </c>
      <c r="S12" s="159"/>
    </row>
    <row r="13" spans="1:19" ht="13" customHeight="1">
      <c r="A13" s="151"/>
      <c r="B13" s="29" t="s">
        <v>29</v>
      </c>
      <c r="C13" s="486">
        <v>27</v>
      </c>
      <c r="D13" s="486">
        <v>27</v>
      </c>
      <c r="E13" s="486">
        <v>32</v>
      </c>
      <c r="F13" s="486">
        <v>25</v>
      </c>
      <c r="G13" s="486">
        <v>29</v>
      </c>
      <c r="H13" s="486">
        <v>39</v>
      </c>
      <c r="I13" s="486">
        <v>40</v>
      </c>
      <c r="J13" s="486">
        <v>46</v>
      </c>
      <c r="K13" s="486">
        <v>45</v>
      </c>
      <c r="L13" s="486">
        <v>54</v>
      </c>
      <c r="M13" s="486">
        <v>59</v>
      </c>
      <c r="N13" s="486">
        <v>58</v>
      </c>
      <c r="O13" s="486">
        <v>57</v>
      </c>
      <c r="P13" s="486">
        <v>57</v>
      </c>
      <c r="Q13" s="486">
        <v>60</v>
      </c>
      <c r="S13" s="159"/>
    </row>
    <row r="14" spans="1:19" ht="13" customHeight="1">
      <c r="A14" s="151"/>
      <c r="B14" s="29" t="s">
        <v>30</v>
      </c>
      <c r="C14" s="486">
        <v>198</v>
      </c>
      <c r="D14" s="486">
        <v>207</v>
      </c>
      <c r="E14" s="486">
        <v>171</v>
      </c>
      <c r="F14" s="486">
        <v>174</v>
      </c>
      <c r="G14" s="486">
        <v>140</v>
      </c>
      <c r="H14" s="488">
        <v>155</v>
      </c>
      <c r="I14" s="488">
        <v>144</v>
      </c>
      <c r="J14" s="488">
        <v>145</v>
      </c>
      <c r="K14" s="488">
        <v>153</v>
      </c>
      <c r="L14" s="488">
        <v>154</v>
      </c>
      <c r="M14" s="487">
        <v>174</v>
      </c>
      <c r="N14" s="487">
        <v>210</v>
      </c>
      <c r="O14" s="487">
        <v>214</v>
      </c>
      <c r="P14" s="487">
        <v>218</v>
      </c>
      <c r="Q14" s="487">
        <v>219</v>
      </c>
      <c r="S14" s="159"/>
    </row>
    <row r="15" spans="1:19" ht="13" customHeight="1">
      <c r="A15" s="151"/>
      <c r="B15" s="29" t="s">
        <v>31</v>
      </c>
      <c r="C15" s="486">
        <v>785</v>
      </c>
      <c r="D15" s="486">
        <v>769</v>
      </c>
      <c r="E15" s="486">
        <v>755</v>
      </c>
      <c r="F15" s="486">
        <v>743</v>
      </c>
      <c r="G15" s="486">
        <v>751</v>
      </c>
      <c r="H15" s="488">
        <v>709</v>
      </c>
      <c r="I15" s="488">
        <v>731</v>
      </c>
      <c r="J15" s="488">
        <v>719</v>
      </c>
      <c r="K15" s="488">
        <v>747</v>
      </c>
      <c r="L15" s="488">
        <v>758</v>
      </c>
      <c r="M15" s="487">
        <v>725</v>
      </c>
      <c r="N15" s="487">
        <v>659</v>
      </c>
      <c r="O15" s="487">
        <v>603</v>
      </c>
      <c r="P15" s="487">
        <v>533</v>
      </c>
      <c r="Q15" s="487">
        <v>533</v>
      </c>
      <c r="S15" s="159"/>
    </row>
    <row r="16" spans="1:19" ht="13" customHeight="1">
      <c r="A16" s="151"/>
      <c r="B16" s="29" t="s">
        <v>32</v>
      </c>
      <c r="C16" s="486">
        <v>229</v>
      </c>
      <c r="D16" s="490">
        <v>235</v>
      </c>
      <c r="E16" s="490">
        <v>231</v>
      </c>
      <c r="F16" s="490">
        <v>203</v>
      </c>
      <c r="G16" s="490">
        <v>186</v>
      </c>
      <c r="H16" s="488">
        <v>189</v>
      </c>
      <c r="I16" s="488">
        <v>196</v>
      </c>
      <c r="J16" s="488">
        <v>216</v>
      </c>
      <c r="K16" s="488">
        <v>231</v>
      </c>
      <c r="L16" s="488">
        <v>228</v>
      </c>
      <c r="M16" s="488">
        <v>223</v>
      </c>
      <c r="N16" s="488">
        <v>228</v>
      </c>
      <c r="O16" s="488">
        <v>211</v>
      </c>
      <c r="P16" s="488">
        <v>198</v>
      </c>
      <c r="Q16" s="488">
        <v>247</v>
      </c>
      <c r="S16" s="159"/>
    </row>
    <row r="17" spans="1:19" ht="13" customHeight="1">
      <c r="A17" s="151"/>
      <c r="B17" s="29" t="s">
        <v>33</v>
      </c>
      <c r="C17" s="486">
        <v>214</v>
      </c>
      <c r="D17" s="486">
        <v>233</v>
      </c>
      <c r="E17" s="486">
        <v>267</v>
      </c>
      <c r="F17" s="486">
        <v>246</v>
      </c>
      <c r="G17" s="486">
        <v>250</v>
      </c>
      <c r="H17" s="488">
        <v>240</v>
      </c>
      <c r="I17" s="488">
        <v>221</v>
      </c>
      <c r="J17" s="488">
        <v>211</v>
      </c>
      <c r="K17" s="488">
        <v>213</v>
      </c>
      <c r="L17" s="488">
        <v>232</v>
      </c>
      <c r="M17" s="487">
        <v>218</v>
      </c>
      <c r="N17" s="487">
        <v>222</v>
      </c>
      <c r="O17" s="487">
        <v>242</v>
      </c>
      <c r="P17" s="487">
        <v>251</v>
      </c>
      <c r="Q17" s="487">
        <v>237</v>
      </c>
      <c r="S17" s="159"/>
    </row>
    <row r="18" spans="1:19" ht="13" customHeight="1">
      <c r="A18" s="151"/>
      <c r="B18" s="29" t="s">
        <v>34</v>
      </c>
      <c r="C18" s="486">
        <v>11</v>
      </c>
      <c r="D18" s="486">
        <v>15</v>
      </c>
      <c r="E18" s="486">
        <v>30</v>
      </c>
      <c r="F18" s="486">
        <v>25</v>
      </c>
      <c r="G18" s="486">
        <v>21</v>
      </c>
      <c r="H18" s="488">
        <v>23</v>
      </c>
      <c r="I18" s="488">
        <v>27</v>
      </c>
      <c r="J18" s="488">
        <v>33</v>
      </c>
      <c r="K18" s="488">
        <v>21</v>
      </c>
      <c r="L18" s="488">
        <v>20</v>
      </c>
      <c r="M18" s="487">
        <v>18</v>
      </c>
      <c r="N18" s="487">
        <v>14</v>
      </c>
      <c r="O18" s="487">
        <v>14</v>
      </c>
      <c r="P18" s="487">
        <v>13</v>
      </c>
      <c r="Q18" s="487">
        <v>12</v>
      </c>
      <c r="S18" s="159"/>
    </row>
    <row r="19" spans="1:19" ht="13" customHeight="1">
      <c r="A19" s="151"/>
      <c r="B19" s="29" t="s">
        <v>35</v>
      </c>
      <c r="C19" s="486">
        <v>14</v>
      </c>
      <c r="D19" s="486">
        <v>13</v>
      </c>
      <c r="E19" s="486">
        <v>14</v>
      </c>
      <c r="F19" s="486">
        <v>15</v>
      </c>
      <c r="G19" s="486">
        <v>14</v>
      </c>
      <c r="H19" s="488">
        <v>18</v>
      </c>
      <c r="I19" s="488">
        <v>21</v>
      </c>
      <c r="J19" s="488">
        <v>26</v>
      </c>
      <c r="K19" s="488">
        <v>27</v>
      </c>
      <c r="L19" s="488">
        <v>33</v>
      </c>
      <c r="M19" s="487">
        <v>42</v>
      </c>
      <c r="N19" s="487">
        <v>41</v>
      </c>
      <c r="O19" s="487">
        <v>48</v>
      </c>
      <c r="P19" s="487">
        <v>56</v>
      </c>
      <c r="Q19" s="487">
        <v>44</v>
      </c>
      <c r="S19" s="159"/>
    </row>
    <row r="20" spans="1:19" ht="13" customHeight="1">
      <c r="A20" s="151"/>
      <c r="B20" s="29" t="s">
        <v>36</v>
      </c>
      <c r="C20" s="486">
        <v>532</v>
      </c>
      <c r="D20" s="486">
        <v>400</v>
      </c>
      <c r="E20" s="486">
        <v>395</v>
      </c>
      <c r="F20" s="486">
        <v>381</v>
      </c>
      <c r="G20" s="486">
        <v>450</v>
      </c>
      <c r="H20" s="488">
        <v>420</v>
      </c>
      <c r="I20" s="488">
        <v>393</v>
      </c>
      <c r="J20" s="488">
        <v>436</v>
      </c>
      <c r="K20" s="488">
        <v>499</v>
      </c>
      <c r="L20" s="488">
        <v>460</v>
      </c>
      <c r="M20" s="487">
        <v>420</v>
      </c>
      <c r="N20" s="487">
        <v>345</v>
      </c>
      <c r="O20" s="487">
        <v>369</v>
      </c>
      <c r="P20" s="487">
        <v>309</v>
      </c>
      <c r="Q20" s="487">
        <v>335</v>
      </c>
      <c r="S20" s="159"/>
    </row>
    <row r="21" spans="1:19" ht="13" customHeight="1">
      <c r="A21" s="151"/>
      <c r="B21" s="29" t="s">
        <v>37</v>
      </c>
      <c r="C21" s="486">
        <v>113</v>
      </c>
      <c r="D21" s="486">
        <v>115</v>
      </c>
      <c r="E21" s="486">
        <v>138</v>
      </c>
      <c r="F21" s="486">
        <v>111</v>
      </c>
      <c r="G21" s="486">
        <v>83</v>
      </c>
      <c r="H21" s="488">
        <v>67</v>
      </c>
      <c r="I21" s="488">
        <v>63</v>
      </c>
      <c r="J21" s="488">
        <v>68</v>
      </c>
      <c r="K21" s="488">
        <v>80</v>
      </c>
      <c r="L21" s="488">
        <v>86</v>
      </c>
      <c r="M21" s="487">
        <v>93</v>
      </c>
      <c r="N21" s="487">
        <v>181</v>
      </c>
      <c r="O21" s="487">
        <v>178</v>
      </c>
      <c r="P21" s="487">
        <v>169</v>
      </c>
      <c r="Q21" s="487">
        <v>130</v>
      </c>
      <c r="S21" s="159"/>
    </row>
    <row r="22" spans="1:19" ht="13" customHeight="1">
      <c r="A22" s="151"/>
      <c r="B22" s="29" t="s">
        <v>38</v>
      </c>
      <c r="C22" s="486">
        <v>28</v>
      </c>
      <c r="D22" s="486">
        <v>25</v>
      </c>
      <c r="E22" s="486">
        <v>27</v>
      </c>
      <c r="F22" s="486">
        <v>22</v>
      </c>
      <c r="G22" s="486">
        <v>25</v>
      </c>
      <c r="H22" s="488">
        <v>23</v>
      </c>
      <c r="I22" s="488">
        <v>20</v>
      </c>
      <c r="J22" s="488">
        <v>15</v>
      </c>
      <c r="K22" s="488">
        <v>17</v>
      </c>
      <c r="L22" s="488">
        <v>14</v>
      </c>
      <c r="M22" s="487">
        <v>14</v>
      </c>
      <c r="N22" s="487">
        <v>13</v>
      </c>
      <c r="O22" s="487">
        <v>13</v>
      </c>
      <c r="P22" s="487">
        <v>10</v>
      </c>
      <c r="Q22" s="487">
        <v>10</v>
      </c>
      <c r="S22" s="159"/>
    </row>
    <row r="23" spans="1:19" ht="13" customHeight="1">
      <c r="A23" s="151"/>
      <c r="B23" s="29" t="s">
        <v>39</v>
      </c>
      <c r="C23" s="486">
        <v>69</v>
      </c>
      <c r="D23" s="486">
        <v>71</v>
      </c>
      <c r="E23" s="486">
        <v>68</v>
      </c>
      <c r="F23" s="486">
        <v>60</v>
      </c>
      <c r="G23" s="486">
        <v>59</v>
      </c>
      <c r="H23" s="488">
        <v>60</v>
      </c>
      <c r="I23" s="488">
        <v>60</v>
      </c>
      <c r="J23" s="488">
        <v>67</v>
      </c>
      <c r="K23" s="488">
        <v>71</v>
      </c>
      <c r="L23" s="488">
        <v>73</v>
      </c>
      <c r="M23" s="487">
        <v>71</v>
      </c>
      <c r="N23" s="487">
        <v>71</v>
      </c>
      <c r="O23" s="487">
        <v>72</v>
      </c>
      <c r="P23" s="487">
        <v>74</v>
      </c>
      <c r="Q23" s="487">
        <v>76</v>
      </c>
      <c r="S23" s="159"/>
    </row>
    <row r="24" spans="1:19" ht="13" customHeight="1">
      <c r="A24" s="151"/>
      <c r="B24" s="29" t="s">
        <v>40</v>
      </c>
      <c r="C24" s="486">
        <v>525</v>
      </c>
      <c r="D24" s="486">
        <v>506</v>
      </c>
      <c r="E24" s="486">
        <v>503</v>
      </c>
      <c r="F24" s="486">
        <v>421</v>
      </c>
      <c r="G24" s="486">
        <v>443</v>
      </c>
      <c r="H24" s="488">
        <v>489</v>
      </c>
      <c r="I24" s="488">
        <v>510</v>
      </c>
      <c r="J24" s="488">
        <v>547</v>
      </c>
      <c r="K24" s="488">
        <v>586</v>
      </c>
      <c r="L24" s="488">
        <v>368</v>
      </c>
      <c r="M24" s="487">
        <v>365</v>
      </c>
      <c r="N24" s="487">
        <v>379</v>
      </c>
      <c r="O24" s="487">
        <v>336</v>
      </c>
      <c r="P24" s="487">
        <v>324</v>
      </c>
      <c r="Q24" s="487">
        <v>341</v>
      </c>
      <c r="S24" s="159"/>
    </row>
    <row r="25" spans="1:19" ht="13" customHeight="1">
      <c r="A25" s="151"/>
      <c r="B25" s="29" t="s">
        <v>41</v>
      </c>
      <c r="C25" s="486">
        <v>140</v>
      </c>
      <c r="D25" s="486">
        <v>155</v>
      </c>
      <c r="E25" s="486">
        <v>184</v>
      </c>
      <c r="F25" s="486">
        <v>176</v>
      </c>
      <c r="G25" s="486">
        <v>192</v>
      </c>
      <c r="H25" s="486">
        <v>181</v>
      </c>
      <c r="I25" s="486">
        <v>183</v>
      </c>
      <c r="J25" s="486">
        <v>192</v>
      </c>
      <c r="K25" s="486">
        <v>195</v>
      </c>
      <c r="L25" s="486">
        <v>196</v>
      </c>
      <c r="M25" s="487">
        <v>198</v>
      </c>
      <c r="N25" s="487">
        <v>196</v>
      </c>
      <c r="O25" s="487">
        <v>194</v>
      </c>
      <c r="P25" s="487">
        <v>191</v>
      </c>
      <c r="Q25" s="487">
        <v>195</v>
      </c>
      <c r="S25" s="159"/>
    </row>
    <row r="26" spans="1:19" ht="13" customHeight="1">
      <c r="A26" s="151"/>
      <c r="B26" s="29" t="s">
        <v>44</v>
      </c>
      <c r="C26" s="486">
        <v>84</v>
      </c>
      <c r="D26" s="486">
        <v>78</v>
      </c>
      <c r="E26" s="486">
        <v>80</v>
      </c>
      <c r="F26" s="486">
        <v>76</v>
      </c>
      <c r="G26" s="486">
        <v>78</v>
      </c>
      <c r="H26" s="488">
        <v>77</v>
      </c>
      <c r="I26" s="488">
        <v>92</v>
      </c>
      <c r="J26" s="488">
        <v>98</v>
      </c>
      <c r="K26" s="488">
        <v>76</v>
      </c>
      <c r="L26" s="488">
        <v>71</v>
      </c>
      <c r="M26" s="487">
        <v>65</v>
      </c>
      <c r="N26" s="487">
        <v>47</v>
      </c>
      <c r="O26" s="487">
        <v>45</v>
      </c>
      <c r="P26" s="487">
        <v>44</v>
      </c>
      <c r="Q26" s="487">
        <v>50</v>
      </c>
      <c r="S26" s="159"/>
    </row>
    <row r="27" spans="1:19" ht="13" customHeight="1">
      <c r="A27" s="151"/>
      <c r="B27" s="29" t="s">
        <v>45</v>
      </c>
      <c r="C27" s="486">
        <v>0</v>
      </c>
      <c r="D27" s="486">
        <v>0</v>
      </c>
      <c r="E27" s="486">
        <v>0</v>
      </c>
      <c r="F27" s="486">
        <v>0</v>
      </c>
      <c r="G27" s="486">
        <v>0</v>
      </c>
      <c r="H27" s="488">
        <v>0</v>
      </c>
      <c r="I27" s="488">
        <v>0</v>
      </c>
      <c r="J27" s="488">
        <v>0</v>
      </c>
      <c r="K27" s="488">
        <v>0</v>
      </c>
      <c r="L27" s="488">
        <v>0</v>
      </c>
      <c r="M27" s="487">
        <v>0</v>
      </c>
      <c r="N27" s="487">
        <v>0</v>
      </c>
      <c r="O27" s="487">
        <v>0</v>
      </c>
      <c r="P27" s="487">
        <v>0</v>
      </c>
      <c r="Q27" s="487">
        <v>0</v>
      </c>
      <c r="S27" s="159"/>
    </row>
    <row r="28" spans="1:19" ht="13" customHeight="1">
      <c r="A28" s="151"/>
      <c r="B28" s="150" t="s">
        <v>46</v>
      </c>
      <c r="C28" s="486">
        <v>0</v>
      </c>
      <c r="D28" s="486">
        <v>0</v>
      </c>
      <c r="E28" s="486">
        <v>0</v>
      </c>
      <c r="F28" s="486">
        <v>0</v>
      </c>
      <c r="G28" s="486">
        <v>0</v>
      </c>
      <c r="H28" s="488">
        <v>0</v>
      </c>
      <c r="I28" s="488">
        <v>0</v>
      </c>
      <c r="J28" s="488">
        <v>0</v>
      </c>
      <c r="K28" s="488">
        <v>0</v>
      </c>
      <c r="L28" s="488">
        <v>0</v>
      </c>
      <c r="M28" s="489">
        <v>0</v>
      </c>
      <c r="N28" s="489">
        <v>0</v>
      </c>
      <c r="O28" s="489">
        <v>0</v>
      </c>
      <c r="P28" s="489">
        <v>0</v>
      </c>
      <c r="Q28" s="489">
        <v>0</v>
      </c>
      <c r="S28" s="159"/>
    </row>
    <row r="29" spans="1:19" ht="13" customHeight="1">
      <c r="A29" s="151"/>
      <c r="B29" s="30" t="s">
        <v>47</v>
      </c>
      <c r="C29" s="486">
        <v>0</v>
      </c>
      <c r="D29" s="486">
        <v>0</v>
      </c>
      <c r="E29" s="486">
        <v>0</v>
      </c>
      <c r="F29" s="486">
        <v>0</v>
      </c>
      <c r="G29" s="486">
        <v>0</v>
      </c>
      <c r="H29" s="488">
        <v>0</v>
      </c>
      <c r="I29" s="488">
        <v>0</v>
      </c>
      <c r="J29" s="488">
        <v>0</v>
      </c>
      <c r="K29" s="488">
        <v>0</v>
      </c>
      <c r="L29" s="488">
        <v>0</v>
      </c>
      <c r="M29" s="489">
        <v>0</v>
      </c>
      <c r="N29" s="489">
        <v>0</v>
      </c>
      <c r="O29" s="489">
        <v>0</v>
      </c>
      <c r="P29" s="489">
        <v>1</v>
      </c>
      <c r="Q29" s="489">
        <v>0</v>
      </c>
      <c r="S29" s="159"/>
    </row>
    <row r="30" spans="1:19" ht="13" customHeight="1">
      <c r="A30" s="151"/>
      <c r="B30" s="29" t="s">
        <v>48</v>
      </c>
      <c r="C30" s="486">
        <v>0</v>
      </c>
      <c r="D30" s="486">
        <v>0</v>
      </c>
      <c r="E30" s="486">
        <v>0</v>
      </c>
      <c r="F30" s="486">
        <v>0</v>
      </c>
      <c r="G30" s="486">
        <v>0</v>
      </c>
      <c r="H30" s="488">
        <v>0</v>
      </c>
      <c r="I30" s="488">
        <v>0</v>
      </c>
      <c r="J30" s="488">
        <v>0</v>
      </c>
      <c r="K30" s="488">
        <v>0</v>
      </c>
      <c r="L30" s="488">
        <v>0</v>
      </c>
      <c r="M30" s="489">
        <v>0</v>
      </c>
      <c r="N30" s="489">
        <v>0</v>
      </c>
      <c r="O30" s="489">
        <v>0</v>
      </c>
      <c r="P30" s="489">
        <v>0</v>
      </c>
      <c r="Q30" s="489">
        <v>0</v>
      </c>
      <c r="S30" s="159"/>
    </row>
    <row r="31" spans="1:19" ht="13" customHeight="1" thickBot="1">
      <c r="A31" s="453"/>
      <c r="B31" s="454" t="s">
        <v>49</v>
      </c>
      <c r="C31" s="491">
        <v>0</v>
      </c>
      <c r="D31" s="491">
        <v>0</v>
      </c>
      <c r="E31" s="491">
        <v>0</v>
      </c>
      <c r="F31" s="491">
        <v>0</v>
      </c>
      <c r="G31" s="491">
        <v>0</v>
      </c>
      <c r="H31" s="491">
        <v>0</v>
      </c>
      <c r="I31" s="491">
        <v>0</v>
      </c>
      <c r="J31" s="491">
        <v>0</v>
      </c>
      <c r="K31" s="491">
        <v>0</v>
      </c>
      <c r="L31" s="491">
        <v>0</v>
      </c>
      <c r="M31" s="492">
        <v>0</v>
      </c>
      <c r="N31" s="492">
        <v>0</v>
      </c>
      <c r="O31" s="492">
        <v>0</v>
      </c>
      <c r="P31" s="492">
        <v>0</v>
      </c>
      <c r="Q31" s="492">
        <v>0</v>
      </c>
      <c r="S31" s="159"/>
    </row>
    <row r="32" spans="1:19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  <c r="S32" s="15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tabColor theme="9" tint="0.59999389629810485"/>
  </sheetPr>
  <dimension ref="A2:Q36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7" ht="13" customHeight="1">
      <c r="A2" s="468" t="s">
        <v>475</v>
      </c>
      <c r="B2" s="469"/>
    </row>
    <row r="3" spans="1:17" ht="13" customHeight="1">
      <c r="A3" s="470" t="s">
        <v>384</v>
      </c>
      <c r="B3" s="470"/>
    </row>
    <row r="4" spans="1:17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7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7" ht="15" customHeight="1">
      <c r="A6" s="1102" t="s">
        <v>114</v>
      </c>
      <c r="B6" s="1102"/>
      <c r="C6" s="493">
        <v>3.05</v>
      </c>
      <c r="D6" s="493">
        <v>3.01</v>
      </c>
      <c r="E6" s="493">
        <v>3.17</v>
      </c>
      <c r="F6" s="493">
        <v>3.41</v>
      </c>
      <c r="G6" s="493">
        <v>3.61</v>
      </c>
      <c r="H6" s="493">
        <v>3.38</v>
      </c>
      <c r="I6" s="493">
        <v>3.53</v>
      </c>
      <c r="J6" s="493">
        <v>3.68</v>
      </c>
      <c r="K6" s="493">
        <v>3.93</v>
      </c>
      <c r="L6" s="493">
        <v>4.04</v>
      </c>
      <c r="M6" s="493">
        <v>4.28</v>
      </c>
      <c r="N6" s="493">
        <v>4.66</v>
      </c>
      <c r="O6" s="493">
        <v>4.74</v>
      </c>
      <c r="P6" s="493">
        <v>4.79</v>
      </c>
      <c r="Q6" s="493">
        <v>4.8099999999999996</v>
      </c>
    </row>
    <row r="7" spans="1:17" ht="5" customHeight="1">
      <c r="A7" s="151"/>
      <c r="B7" s="152"/>
      <c r="C7" s="494"/>
      <c r="D7" s="494"/>
      <c r="E7" s="494"/>
      <c r="F7" s="494"/>
      <c r="G7" s="494"/>
      <c r="H7" s="494"/>
      <c r="I7" s="494"/>
      <c r="J7" s="494"/>
      <c r="K7" s="494"/>
      <c r="L7" s="494"/>
      <c r="M7" s="494"/>
      <c r="N7" s="494"/>
      <c r="O7" s="494"/>
      <c r="P7" s="494"/>
      <c r="Q7" s="494"/>
    </row>
    <row r="8" spans="1:17" ht="13" customHeight="1">
      <c r="A8" s="151"/>
      <c r="B8" s="29" t="s">
        <v>21</v>
      </c>
      <c r="C8" s="495">
        <v>3.01</v>
      </c>
      <c r="D8" s="495">
        <v>3.25</v>
      </c>
      <c r="E8" s="495">
        <v>3.2</v>
      </c>
      <c r="F8" s="495">
        <v>3.22</v>
      </c>
      <c r="G8" s="495">
        <v>3.35</v>
      </c>
      <c r="H8" s="495">
        <v>3.42</v>
      </c>
      <c r="I8" s="495">
        <v>3.43</v>
      </c>
      <c r="J8" s="495">
        <v>3.38</v>
      </c>
      <c r="K8" s="495">
        <v>3.6</v>
      </c>
      <c r="L8" s="495">
        <v>3.63</v>
      </c>
      <c r="M8" s="495">
        <v>4.45</v>
      </c>
      <c r="N8" s="495">
        <v>4.45</v>
      </c>
      <c r="O8" s="495">
        <v>4.47</v>
      </c>
      <c r="P8" s="495">
        <v>4.5999999999999996</v>
      </c>
      <c r="Q8" s="495">
        <v>4.58</v>
      </c>
    </row>
    <row r="9" spans="1:17" ht="13" customHeight="1">
      <c r="A9" s="151"/>
      <c r="B9" s="29" t="s">
        <v>22</v>
      </c>
      <c r="C9" s="495">
        <v>2.91</v>
      </c>
      <c r="D9" s="495">
        <v>2.95</v>
      </c>
      <c r="E9" s="495">
        <v>3.22</v>
      </c>
      <c r="F9" s="495">
        <v>3.3</v>
      </c>
      <c r="G9" s="495">
        <v>3.46</v>
      </c>
      <c r="H9" s="495">
        <v>3.27</v>
      </c>
      <c r="I9" s="495">
        <v>3.49</v>
      </c>
      <c r="J9" s="495">
        <v>3.52</v>
      </c>
      <c r="K9" s="495">
        <v>3.68</v>
      </c>
      <c r="L9" s="495">
        <v>3.73</v>
      </c>
      <c r="M9" s="495">
        <v>3.93</v>
      </c>
      <c r="N9" s="495">
        <v>4.53</v>
      </c>
      <c r="O9" s="495">
        <v>4.7699999999999996</v>
      </c>
      <c r="P9" s="495">
        <v>4.88</v>
      </c>
      <c r="Q9" s="495">
        <v>4.8499999999999996</v>
      </c>
    </row>
    <row r="10" spans="1:17" ht="13" customHeight="1">
      <c r="A10" s="151"/>
      <c r="B10" s="29" t="s">
        <v>23</v>
      </c>
      <c r="C10" s="495">
        <v>3.7</v>
      </c>
      <c r="D10" s="495">
        <v>3.49</v>
      </c>
      <c r="E10" s="495">
        <v>3.73</v>
      </c>
      <c r="F10" s="495">
        <v>3.77</v>
      </c>
      <c r="G10" s="495">
        <v>3.69</v>
      </c>
      <c r="H10" s="495">
        <v>3.47</v>
      </c>
      <c r="I10" s="495">
        <v>3.46</v>
      </c>
      <c r="J10" s="495">
        <v>3.55</v>
      </c>
      <c r="K10" s="495">
        <v>3.74</v>
      </c>
      <c r="L10" s="495">
        <v>3.9</v>
      </c>
      <c r="M10" s="495">
        <v>3.94</v>
      </c>
      <c r="N10" s="495">
        <v>4.66</v>
      </c>
      <c r="O10" s="495">
        <v>4.83</v>
      </c>
      <c r="P10" s="495">
        <v>4.63</v>
      </c>
      <c r="Q10" s="495">
        <v>4.5999999999999996</v>
      </c>
    </row>
    <row r="11" spans="1:17" ht="13" customHeight="1">
      <c r="A11" s="151"/>
      <c r="B11" s="29" t="s">
        <v>24</v>
      </c>
      <c r="C11" s="495">
        <v>3.1</v>
      </c>
      <c r="D11" s="495">
        <v>2.95</v>
      </c>
      <c r="E11" s="495">
        <v>3.23</v>
      </c>
      <c r="F11" s="495">
        <v>3.56</v>
      </c>
      <c r="G11" s="495">
        <v>3.68</v>
      </c>
      <c r="H11" s="495">
        <v>3.16</v>
      </c>
      <c r="I11" s="495">
        <v>3.16</v>
      </c>
      <c r="J11" s="495">
        <v>3.67</v>
      </c>
      <c r="K11" s="495">
        <v>5.1100000000000003</v>
      </c>
      <c r="L11" s="495">
        <v>5.1100000000000003</v>
      </c>
      <c r="M11" s="495">
        <v>5.59</v>
      </c>
      <c r="N11" s="495">
        <v>5.42</v>
      </c>
      <c r="O11" s="495">
        <v>5.43</v>
      </c>
      <c r="P11" s="495">
        <v>5.62</v>
      </c>
      <c r="Q11" s="495">
        <v>5.72</v>
      </c>
    </row>
    <row r="12" spans="1:17" ht="13" customHeight="1">
      <c r="A12" s="151"/>
      <c r="B12" s="29" t="s">
        <v>25</v>
      </c>
      <c r="C12" s="495">
        <v>3.64</v>
      </c>
      <c r="D12" s="495">
        <v>3.59</v>
      </c>
      <c r="E12" s="495">
        <v>3.33</v>
      </c>
      <c r="F12" s="495">
        <v>3.58</v>
      </c>
      <c r="G12" s="495">
        <v>3.84</v>
      </c>
      <c r="H12" s="495">
        <v>3.21</v>
      </c>
      <c r="I12" s="495">
        <v>3.46</v>
      </c>
      <c r="J12" s="495">
        <v>3.51</v>
      </c>
      <c r="K12" s="495">
        <v>3.55</v>
      </c>
      <c r="L12" s="495">
        <v>4.3099999999999996</v>
      </c>
      <c r="M12" s="495">
        <v>3.91</v>
      </c>
      <c r="N12" s="495">
        <v>3.99</v>
      </c>
      <c r="O12" s="495">
        <v>4.25</v>
      </c>
      <c r="P12" s="495">
        <v>4.42</v>
      </c>
      <c r="Q12" s="495">
        <v>4.45</v>
      </c>
    </row>
    <row r="13" spans="1:17" ht="13" customHeight="1">
      <c r="A13" s="151"/>
      <c r="B13" s="29" t="s">
        <v>29</v>
      </c>
      <c r="C13" s="495">
        <v>3.34</v>
      </c>
      <c r="D13" s="495">
        <v>3.39</v>
      </c>
      <c r="E13" s="495">
        <v>3.66</v>
      </c>
      <c r="F13" s="495">
        <v>3.77</v>
      </c>
      <c r="G13" s="495">
        <v>3.81</v>
      </c>
      <c r="H13" s="495">
        <v>3.55</v>
      </c>
      <c r="I13" s="495">
        <v>3.25</v>
      </c>
      <c r="J13" s="495">
        <v>3.18</v>
      </c>
      <c r="K13" s="495">
        <v>3.34</v>
      </c>
      <c r="L13" s="495">
        <v>3.92</v>
      </c>
      <c r="M13" s="495">
        <v>4.09</v>
      </c>
      <c r="N13" s="495">
        <v>4.46</v>
      </c>
      <c r="O13" s="495">
        <v>4.55</v>
      </c>
      <c r="P13" s="495">
        <v>4.68</v>
      </c>
      <c r="Q13" s="495">
        <v>4.71</v>
      </c>
    </row>
    <row r="14" spans="1:17" ht="13" customHeight="1">
      <c r="A14" s="151"/>
      <c r="B14" s="29" t="s">
        <v>30</v>
      </c>
      <c r="C14" s="495">
        <v>3.49</v>
      </c>
      <c r="D14" s="495">
        <v>3.33</v>
      </c>
      <c r="E14" s="495">
        <v>3.15</v>
      </c>
      <c r="F14" s="495">
        <v>3.78</v>
      </c>
      <c r="G14" s="495">
        <v>4.01</v>
      </c>
      <c r="H14" s="495">
        <v>3.13</v>
      </c>
      <c r="I14" s="495">
        <v>3.96</v>
      </c>
      <c r="J14" s="495">
        <v>3.65</v>
      </c>
      <c r="K14" s="495">
        <v>3.97</v>
      </c>
      <c r="L14" s="495">
        <v>4.0199999999999996</v>
      </c>
      <c r="M14" s="495">
        <v>4.18</v>
      </c>
      <c r="N14" s="495">
        <v>4.46</v>
      </c>
      <c r="O14" s="495">
        <v>4.2300000000000004</v>
      </c>
      <c r="P14" s="495">
        <v>4.3</v>
      </c>
      <c r="Q14" s="495">
        <v>4.54</v>
      </c>
    </row>
    <row r="15" spans="1:17" ht="13" customHeight="1">
      <c r="A15" s="151"/>
      <c r="B15" s="29" t="s">
        <v>31</v>
      </c>
      <c r="C15" s="495">
        <v>3.05</v>
      </c>
      <c r="D15" s="495">
        <v>3.14</v>
      </c>
      <c r="E15" s="495">
        <v>3.24</v>
      </c>
      <c r="F15" s="495">
        <v>3.88</v>
      </c>
      <c r="G15" s="495">
        <v>4.07</v>
      </c>
      <c r="H15" s="495">
        <v>3.34</v>
      </c>
      <c r="I15" s="495">
        <v>3.42</v>
      </c>
      <c r="J15" s="495">
        <v>3.54</v>
      </c>
      <c r="K15" s="495">
        <v>3.64</v>
      </c>
      <c r="L15" s="495">
        <v>3.82</v>
      </c>
      <c r="M15" s="495">
        <v>4.37</v>
      </c>
      <c r="N15" s="495">
        <v>5.2</v>
      </c>
      <c r="O15" s="495">
        <v>5.32</v>
      </c>
      <c r="P15" s="495">
        <v>5.12</v>
      </c>
      <c r="Q15" s="495">
        <v>5.26</v>
      </c>
    </row>
    <row r="16" spans="1:17" ht="13" customHeight="1">
      <c r="A16" s="151"/>
      <c r="B16" s="29" t="s">
        <v>32</v>
      </c>
      <c r="C16" s="495">
        <v>2.37</v>
      </c>
      <c r="D16" s="495">
        <v>2.5499999999999998</v>
      </c>
      <c r="E16" s="495">
        <v>2.98</v>
      </c>
      <c r="F16" s="495">
        <v>3.12</v>
      </c>
      <c r="G16" s="495">
        <v>3.68</v>
      </c>
      <c r="H16" s="495">
        <v>3.79</v>
      </c>
      <c r="I16" s="495">
        <v>3.96</v>
      </c>
      <c r="J16" s="495">
        <v>4.49</v>
      </c>
      <c r="K16" s="495">
        <v>3.62</v>
      </c>
      <c r="L16" s="495">
        <v>4.62</v>
      </c>
      <c r="M16" s="495">
        <v>4.37</v>
      </c>
      <c r="N16" s="495">
        <v>4.76</v>
      </c>
      <c r="O16" s="495">
        <v>5.08</v>
      </c>
      <c r="P16" s="495">
        <v>5.22</v>
      </c>
      <c r="Q16" s="495">
        <v>5.15</v>
      </c>
    </row>
    <row r="17" spans="1:17" ht="13" customHeight="1">
      <c r="A17" s="151"/>
      <c r="B17" s="29" t="s">
        <v>33</v>
      </c>
      <c r="C17" s="495">
        <v>2.89</v>
      </c>
      <c r="D17" s="495">
        <v>2.9</v>
      </c>
      <c r="E17" s="495">
        <v>2.99</v>
      </c>
      <c r="F17" s="495">
        <v>3.07</v>
      </c>
      <c r="G17" s="495">
        <v>3.78</v>
      </c>
      <c r="H17" s="495">
        <v>3.88</v>
      </c>
      <c r="I17" s="495">
        <v>4.09</v>
      </c>
      <c r="J17" s="495">
        <v>4.2300000000000004</v>
      </c>
      <c r="K17" s="495">
        <v>5.12</v>
      </c>
      <c r="L17" s="495">
        <v>4.5999999999999996</v>
      </c>
      <c r="M17" s="495">
        <v>4.8499999999999996</v>
      </c>
      <c r="N17" s="495">
        <v>5.08</v>
      </c>
      <c r="O17" s="495">
        <v>4.78</v>
      </c>
      <c r="P17" s="495">
        <v>4.88</v>
      </c>
      <c r="Q17" s="495">
        <v>4.9400000000000004</v>
      </c>
    </row>
    <row r="18" spans="1:17" ht="13" customHeight="1">
      <c r="A18" s="151"/>
      <c r="B18" s="29" t="s">
        <v>34</v>
      </c>
      <c r="C18" s="495">
        <v>2.19</v>
      </c>
      <c r="D18" s="495">
        <v>2.5</v>
      </c>
      <c r="E18" s="495">
        <v>2.81</v>
      </c>
      <c r="F18" s="495">
        <v>3.14</v>
      </c>
      <c r="G18" s="495">
        <v>3.7</v>
      </c>
      <c r="H18" s="495">
        <v>3.5</v>
      </c>
      <c r="I18" s="495">
        <v>3.59</v>
      </c>
      <c r="J18" s="495">
        <v>4.08</v>
      </c>
      <c r="K18" s="495">
        <v>4.25</v>
      </c>
      <c r="L18" s="495">
        <v>4.18</v>
      </c>
      <c r="M18" s="495">
        <v>4.12</v>
      </c>
      <c r="N18" s="495">
        <v>3.98</v>
      </c>
      <c r="O18" s="495">
        <v>4.0199999999999996</v>
      </c>
      <c r="P18" s="495">
        <v>4.12</v>
      </c>
      <c r="Q18" s="495">
        <v>4.03</v>
      </c>
    </row>
    <row r="19" spans="1:17" ht="13" customHeight="1">
      <c r="A19" s="151"/>
      <c r="B19" s="29" t="s">
        <v>35</v>
      </c>
      <c r="C19" s="495">
        <v>3.13</v>
      </c>
      <c r="D19" s="495">
        <v>3.1</v>
      </c>
      <c r="E19" s="495">
        <v>3.07</v>
      </c>
      <c r="F19" s="495">
        <v>3.35</v>
      </c>
      <c r="G19" s="495">
        <v>3.74</v>
      </c>
      <c r="H19" s="495">
        <v>4.03</v>
      </c>
      <c r="I19" s="495">
        <v>3.86</v>
      </c>
      <c r="J19" s="495">
        <v>4.4400000000000004</v>
      </c>
      <c r="K19" s="495">
        <v>4.3600000000000003</v>
      </c>
      <c r="L19" s="495">
        <v>4.3499999999999996</v>
      </c>
      <c r="M19" s="495">
        <v>4.7</v>
      </c>
      <c r="N19" s="495">
        <v>4.99</v>
      </c>
      <c r="O19" s="495">
        <v>4.82</v>
      </c>
      <c r="P19" s="495">
        <v>4.9800000000000004</v>
      </c>
      <c r="Q19" s="495">
        <v>4.95</v>
      </c>
    </row>
    <row r="20" spans="1:17" ht="13" customHeight="1">
      <c r="A20" s="151"/>
      <c r="B20" s="29" t="s">
        <v>36</v>
      </c>
      <c r="C20" s="495">
        <v>3.43</v>
      </c>
      <c r="D20" s="495">
        <v>2.76</v>
      </c>
      <c r="E20" s="495">
        <v>3.04</v>
      </c>
      <c r="F20" s="495">
        <v>3.66</v>
      </c>
      <c r="G20" s="495">
        <v>3.62</v>
      </c>
      <c r="H20" s="495">
        <v>3.55</v>
      </c>
      <c r="I20" s="495">
        <v>3.75</v>
      </c>
      <c r="J20" s="495">
        <v>3.89</v>
      </c>
      <c r="K20" s="495">
        <v>4.1399999999999997</v>
      </c>
      <c r="L20" s="495">
        <v>4.13</v>
      </c>
      <c r="M20" s="495">
        <v>4.3099999999999996</v>
      </c>
      <c r="N20" s="495">
        <v>4.5599999999999996</v>
      </c>
      <c r="O20" s="495">
        <v>4.46</v>
      </c>
      <c r="P20" s="495">
        <v>4.5</v>
      </c>
      <c r="Q20" s="495">
        <v>4.4400000000000004</v>
      </c>
    </row>
    <row r="21" spans="1:17" ht="13" customHeight="1">
      <c r="A21" s="151"/>
      <c r="B21" s="29" t="s">
        <v>37</v>
      </c>
      <c r="C21" s="495">
        <v>2.23</v>
      </c>
      <c r="D21" s="495">
        <v>2.2200000000000002</v>
      </c>
      <c r="E21" s="495">
        <v>2.36</v>
      </c>
      <c r="F21" s="495">
        <v>2.75</v>
      </c>
      <c r="G21" s="495">
        <v>3.06</v>
      </c>
      <c r="H21" s="495">
        <v>2.7</v>
      </c>
      <c r="I21" s="495">
        <v>3.25</v>
      </c>
      <c r="J21" s="495">
        <v>3.78</v>
      </c>
      <c r="K21" s="495">
        <v>4.2300000000000004</v>
      </c>
      <c r="L21" s="495">
        <v>4.18</v>
      </c>
      <c r="M21" s="495">
        <v>4.6399999999999997</v>
      </c>
      <c r="N21" s="495">
        <v>4.6900000000000004</v>
      </c>
      <c r="O21" s="495">
        <v>4.54</v>
      </c>
      <c r="P21" s="495">
        <v>4.71</v>
      </c>
      <c r="Q21" s="495">
        <v>4.8</v>
      </c>
    </row>
    <row r="22" spans="1:17" ht="13" customHeight="1">
      <c r="A22" s="151"/>
      <c r="B22" s="29" t="s">
        <v>38</v>
      </c>
      <c r="C22" s="495">
        <v>3.1</v>
      </c>
      <c r="D22" s="495">
        <v>3.4</v>
      </c>
      <c r="E22" s="495">
        <v>3.05</v>
      </c>
      <c r="F22" s="495">
        <v>3.06</v>
      </c>
      <c r="G22" s="495">
        <v>3.03</v>
      </c>
      <c r="H22" s="495">
        <v>3.07</v>
      </c>
      <c r="I22" s="495">
        <v>3.07</v>
      </c>
      <c r="J22" s="495">
        <v>3.39</v>
      </c>
      <c r="K22" s="495">
        <v>3.54</v>
      </c>
      <c r="L22" s="495">
        <v>3.68</v>
      </c>
      <c r="M22" s="495">
        <v>3.94</v>
      </c>
      <c r="N22" s="495">
        <v>4.16</v>
      </c>
      <c r="O22" s="495">
        <v>4.1500000000000004</v>
      </c>
      <c r="P22" s="495">
        <v>4.29</v>
      </c>
      <c r="Q22" s="495">
        <v>4.34</v>
      </c>
    </row>
    <row r="23" spans="1:17" ht="13" customHeight="1">
      <c r="A23" s="151"/>
      <c r="B23" s="29" t="s">
        <v>39</v>
      </c>
      <c r="C23" s="495">
        <v>3.31</v>
      </c>
      <c r="D23" s="495">
        <v>3.23</v>
      </c>
      <c r="E23" s="495">
        <v>3.14</v>
      </c>
      <c r="F23" s="495">
        <v>3.36</v>
      </c>
      <c r="G23" s="495">
        <v>3.39</v>
      </c>
      <c r="H23" s="495">
        <v>3.11</v>
      </c>
      <c r="I23" s="495">
        <v>3.18</v>
      </c>
      <c r="J23" s="495">
        <v>3.54</v>
      </c>
      <c r="K23" s="495">
        <v>3.63</v>
      </c>
      <c r="L23" s="495">
        <v>4.03</v>
      </c>
      <c r="M23" s="495">
        <v>4.17</v>
      </c>
      <c r="N23" s="495">
        <v>4.45</v>
      </c>
      <c r="O23" s="495">
        <v>4.33</v>
      </c>
      <c r="P23" s="495">
        <v>4.32</v>
      </c>
      <c r="Q23" s="495">
        <v>4.51</v>
      </c>
    </row>
    <row r="24" spans="1:17" ht="13" customHeight="1">
      <c r="A24" s="151"/>
      <c r="B24" s="29" t="s">
        <v>40</v>
      </c>
      <c r="C24" s="495">
        <v>2.77</v>
      </c>
      <c r="D24" s="495">
        <v>2.77</v>
      </c>
      <c r="E24" s="495">
        <v>2.77</v>
      </c>
      <c r="F24" s="495">
        <v>2.97</v>
      </c>
      <c r="G24" s="495">
        <v>3.47</v>
      </c>
      <c r="H24" s="495">
        <v>3.65</v>
      </c>
      <c r="I24" s="495">
        <v>3.63</v>
      </c>
      <c r="J24" s="495">
        <v>3.92</v>
      </c>
      <c r="K24" s="495">
        <v>4.03</v>
      </c>
      <c r="L24" s="495">
        <v>3.9</v>
      </c>
      <c r="M24" s="495">
        <v>4.04</v>
      </c>
      <c r="N24" s="495">
        <v>4.16</v>
      </c>
      <c r="O24" s="495">
        <v>4.29</v>
      </c>
      <c r="P24" s="495">
        <v>4.3</v>
      </c>
      <c r="Q24" s="495">
        <v>4.3499999999999996</v>
      </c>
    </row>
    <row r="25" spans="1:17" ht="13" customHeight="1">
      <c r="A25" s="151"/>
      <c r="B25" s="29" t="s">
        <v>41</v>
      </c>
      <c r="C25" s="495">
        <v>2.67</v>
      </c>
      <c r="D25" s="495">
        <v>2.72</v>
      </c>
      <c r="E25" s="495">
        <v>2.74</v>
      </c>
      <c r="F25" s="495">
        <v>2.73</v>
      </c>
      <c r="G25" s="495">
        <v>2.87</v>
      </c>
      <c r="H25" s="495">
        <v>3.55</v>
      </c>
      <c r="I25" s="495">
        <v>3.77</v>
      </c>
      <c r="J25" s="495">
        <v>3.83</v>
      </c>
      <c r="K25" s="495">
        <v>3.76</v>
      </c>
      <c r="L25" s="495">
        <v>3.75</v>
      </c>
      <c r="M25" s="495">
        <v>3.72</v>
      </c>
      <c r="N25" s="495">
        <v>3.82</v>
      </c>
      <c r="O25" s="495">
        <v>3.91</v>
      </c>
      <c r="P25" s="495">
        <v>3.97</v>
      </c>
      <c r="Q25" s="495">
        <v>3.93</v>
      </c>
    </row>
    <row r="26" spans="1:17" ht="13" customHeight="1">
      <c r="A26" s="151"/>
      <c r="B26" s="29" t="s">
        <v>44</v>
      </c>
      <c r="C26" s="495">
        <v>2.84</v>
      </c>
      <c r="D26" s="495">
        <v>2.71</v>
      </c>
      <c r="E26" s="495">
        <v>3.1</v>
      </c>
      <c r="F26" s="495">
        <v>3.72</v>
      </c>
      <c r="G26" s="495">
        <v>3.84</v>
      </c>
      <c r="H26" s="495">
        <v>3.51</v>
      </c>
      <c r="I26" s="495">
        <v>4.1100000000000003</v>
      </c>
      <c r="J26" s="495">
        <v>4.29</v>
      </c>
      <c r="K26" s="495">
        <v>4.55</v>
      </c>
      <c r="L26" s="495">
        <v>4.0999999999999996</v>
      </c>
      <c r="M26" s="495">
        <v>3.99</v>
      </c>
      <c r="N26" s="495">
        <v>4.99</v>
      </c>
      <c r="O26" s="495">
        <v>4.95</v>
      </c>
      <c r="P26" s="495">
        <v>4.95</v>
      </c>
      <c r="Q26" s="495">
        <v>4.9800000000000004</v>
      </c>
    </row>
    <row r="27" spans="1:17" ht="13" customHeight="1">
      <c r="A27" s="151"/>
      <c r="B27" s="29" t="s">
        <v>45</v>
      </c>
      <c r="C27" s="495" t="s">
        <v>81</v>
      </c>
      <c r="D27" s="495" t="s">
        <v>81</v>
      </c>
      <c r="E27" s="495" t="s">
        <v>81</v>
      </c>
      <c r="F27" s="495" t="s">
        <v>81</v>
      </c>
      <c r="G27" s="495" t="s">
        <v>81</v>
      </c>
      <c r="H27" s="495" t="s">
        <v>81</v>
      </c>
      <c r="I27" s="495" t="s">
        <v>81</v>
      </c>
      <c r="J27" s="495" t="s">
        <v>81</v>
      </c>
      <c r="K27" s="495" t="s">
        <v>81</v>
      </c>
      <c r="L27" s="495" t="s">
        <v>81</v>
      </c>
      <c r="M27" s="495" t="s">
        <v>81</v>
      </c>
      <c r="N27" s="495" t="s">
        <v>81</v>
      </c>
      <c r="O27" s="495" t="s">
        <v>81</v>
      </c>
      <c r="P27" s="495" t="s">
        <v>81</v>
      </c>
      <c r="Q27" s="495" t="s">
        <v>81</v>
      </c>
    </row>
    <row r="28" spans="1:17" ht="13" customHeight="1">
      <c r="A28" s="151"/>
      <c r="B28" s="150" t="s">
        <v>46</v>
      </c>
      <c r="C28" s="495" t="s">
        <v>81</v>
      </c>
      <c r="D28" s="495" t="s">
        <v>81</v>
      </c>
      <c r="E28" s="495" t="s">
        <v>81</v>
      </c>
      <c r="F28" s="495" t="s">
        <v>81</v>
      </c>
      <c r="G28" s="495" t="s">
        <v>81</v>
      </c>
      <c r="H28" s="495" t="s">
        <v>81</v>
      </c>
      <c r="I28" s="495" t="s">
        <v>81</v>
      </c>
      <c r="J28" s="495" t="s">
        <v>81</v>
      </c>
      <c r="K28" s="495" t="s">
        <v>81</v>
      </c>
      <c r="L28" s="495" t="s">
        <v>81</v>
      </c>
      <c r="M28" s="495" t="s">
        <v>81</v>
      </c>
      <c r="N28" s="495" t="s">
        <v>81</v>
      </c>
      <c r="O28" s="495" t="s">
        <v>81</v>
      </c>
      <c r="P28" s="495" t="s">
        <v>81</v>
      </c>
      <c r="Q28" s="495" t="s">
        <v>81</v>
      </c>
    </row>
    <row r="29" spans="1:17" ht="13" customHeight="1">
      <c r="A29" s="151"/>
      <c r="B29" s="30" t="s">
        <v>47</v>
      </c>
      <c r="C29" s="495" t="s">
        <v>81</v>
      </c>
      <c r="D29" s="495" t="s">
        <v>81</v>
      </c>
      <c r="E29" s="495" t="s">
        <v>81</v>
      </c>
      <c r="F29" s="495" t="s">
        <v>81</v>
      </c>
      <c r="G29" s="495" t="s">
        <v>81</v>
      </c>
      <c r="H29" s="495" t="s">
        <v>81</v>
      </c>
      <c r="I29" s="495" t="s">
        <v>81</v>
      </c>
      <c r="J29" s="495" t="s">
        <v>81</v>
      </c>
      <c r="K29" s="495" t="s">
        <v>81</v>
      </c>
      <c r="L29" s="495" t="s">
        <v>81</v>
      </c>
      <c r="M29" s="495" t="s">
        <v>81</v>
      </c>
      <c r="N29" s="495" t="s">
        <v>81</v>
      </c>
      <c r="O29" s="495" t="s">
        <v>81</v>
      </c>
      <c r="P29" s="495" t="s">
        <v>81</v>
      </c>
      <c r="Q29" s="495" t="s">
        <v>81</v>
      </c>
    </row>
    <row r="30" spans="1:17" ht="13" customHeight="1">
      <c r="A30" s="151"/>
      <c r="B30" s="29" t="s">
        <v>48</v>
      </c>
      <c r="C30" s="495" t="s">
        <v>81</v>
      </c>
      <c r="D30" s="495" t="s">
        <v>81</v>
      </c>
      <c r="E30" s="495" t="s">
        <v>81</v>
      </c>
      <c r="F30" s="495" t="s">
        <v>81</v>
      </c>
      <c r="G30" s="495" t="s">
        <v>81</v>
      </c>
      <c r="H30" s="495" t="s">
        <v>81</v>
      </c>
      <c r="I30" s="495" t="s">
        <v>81</v>
      </c>
      <c r="J30" s="495" t="s">
        <v>81</v>
      </c>
      <c r="K30" s="495" t="s">
        <v>81</v>
      </c>
      <c r="L30" s="495" t="s">
        <v>81</v>
      </c>
      <c r="M30" s="495" t="s">
        <v>81</v>
      </c>
      <c r="N30" s="495" t="s">
        <v>81</v>
      </c>
      <c r="O30" s="495" t="s">
        <v>81</v>
      </c>
      <c r="P30" s="495" t="s">
        <v>81</v>
      </c>
      <c r="Q30" s="495" t="s">
        <v>81</v>
      </c>
    </row>
    <row r="31" spans="1:17" ht="13" customHeight="1" thickBot="1">
      <c r="A31" s="453"/>
      <c r="B31" s="454" t="s">
        <v>49</v>
      </c>
      <c r="C31" s="496" t="s">
        <v>81</v>
      </c>
      <c r="D31" s="496" t="s">
        <v>81</v>
      </c>
      <c r="E31" s="496" t="s">
        <v>81</v>
      </c>
      <c r="F31" s="496" t="s">
        <v>81</v>
      </c>
      <c r="G31" s="496" t="s">
        <v>81</v>
      </c>
      <c r="H31" s="496" t="s">
        <v>81</v>
      </c>
      <c r="I31" s="496" t="s">
        <v>81</v>
      </c>
      <c r="J31" s="496" t="s">
        <v>81</v>
      </c>
      <c r="K31" s="496" t="s">
        <v>81</v>
      </c>
      <c r="L31" s="496" t="s">
        <v>81</v>
      </c>
      <c r="M31" s="496" t="s">
        <v>81</v>
      </c>
      <c r="N31" s="496" t="s">
        <v>81</v>
      </c>
      <c r="O31" s="496" t="s">
        <v>81</v>
      </c>
      <c r="P31" s="496" t="s">
        <v>81</v>
      </c>
      <c r="Q31" s="496" t="s">
        <v>81</v>
      </c>
    </row>
    <row r="32" spans="1:17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67"/>
      <c r="P32" s="467"/>
      <c r="Q32" s="467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7"/>
      <c r="Q33" s="467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7"/>
      <c r="Q34" s="467"/>
    </row>
    <row r="35" spans="1:17" ht="13" customHeight="1">
      <c r="P35" s="293"/>
      <c r="Q35" s="293"/>
    </row>
    <row r="36" spans="1:17" ht="13" customHeight="1"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293"/>
      <c r="Q36" s="293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tabColor theme="9" tint="0.59999389629810485"/>
  </sheetPr>
  <dimension ref="A2:Q62"/>
  <sheetViews>
    <sheetView showGridLines="0" zoomScaleNormal="100" workbookViewId="0">
      <selection activeCell="J18" sqref="J18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10" style="150" customWidth="1"/>
    <col min="18" max="16384" width="7" style="150"/>
  </cols>
  <sheetData>
    <row r="2" spans="1:17" ht="13" customHeight="1">
      <c r="A2" s="468" t="s">
        <v>366</v>
      </c>
      <c r="B2" s="469"/>
    </row>
    <row r="3" spans="1:17" ht="13" customHeight="1">
      <c r="A3" s="470" t="s">
        <v>325</v>
      </c>
      <c r="B3" s="470"/>
    </row>
    <row r="4" spans="1:17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</row>
    <row r="5" spans="1:17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7" ht="15" customHeight="1">
      <c r="A6" s="1102" t="s">
        <v>106</v>
      </c>
      <c r="B6" s="1102"/>
      <c r="C6" s="460">
        <f t="shared" ref="C6:M6" si="0">(C8+C9+C10+C11+C12+C13+C14+C15+C16+C17+C18+C19+C20+C21+C22+C23+C24+C25+C26+C27+C28+C29+C30+C31)</f>
        <v>14813786</v>
      </c>
      <c r="D6" s="460">
        <f t="shared" si="0"/>
        <v>14675255</v>
      </c>
      <c r="E6" s="475">
        <f t="shared" si="0"/>
        <v>14580166</v>
      </c>
      <c r="F6" s="475">
        <f t="shared" si="0"/>
        <v>14509628</v>
      </c>
      <c r="G6" s="475">
        <f t="shared" si="0"/>
        <v>14137690</v>
      </c>
      <c r="H6" s="475">
        <f t="shared" si="0"/>
        <v>14159719</v>
      </c>
      <c r="I6" s="475">
        <f t="shared" si="0"/>
        <v>14050173</v>
      </c>
      <c r="J6" s="475">
        <f t="shared" si="0"/>
        <v>12184143</v>
      </c>
      <c r="K6" s="475">
        <f t="shared" si="0"/>
        <v>11830977</v>
      </c>
      <c r="L6" s="475">
        <f t="shared" si="0"/>
        <v>11652272</v>
      </c>
      <c r="M6" s="475">
        <f t="shared" si="0"/>
        <v>11982580</v>
      </c>
      <c r="N6" s="475">
        <f>(N8+N9+N10+N11+N12+N13+N14+N15+N16+N17+N18+N19+N20+N21+N22+N23+N24+N25+N26+N27+N28+N29+N30+N31)</f>
        <v>11450659</v>
      </c>
      <c r="O6" s="475">
        <f>(O8+O9+O10+O11+O12+O13+O14+O15+O16+O17+O18+O19+O20+O21+O22+O23+O24+O25+O26+O27+O28+O29+O30+O31)</f>
        <v>11338424</v>
      </c>
      <c r="P6" s="475">
        <f>(P8+P9+P10+P11+P12+P13+P14+P15+P16+P17+P18+P19+P20+P21+P22+P23+P24+P25+P26+P27+P28+P29+P30+P31)</f>
        <v>11331908</v>
      </c>
      <c r="Q6" s="475">
        <f>(Q8+Q9+Q10+Q11+Q12+Q13+Q14+Q15+Q16+Q17+Q18+Q19+Q20+Q21+Q22+Q23+Q24+Q25+Q26+Q27+Q28+Q29+Q30+Q31)</f>
        <v>11261559</v>
      </c>
    </row>
    <row r="7" spans="1:17" ht="5" customHeight="1">
      <c r="A7" s="151"/>
      <c r="B7" s="152"/>
      <c r="C7" s="461"/>
      <c r="D7" s="461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</row>
    <row r="8" spans="1:17" ht="13" customHeight="1">
      <c r="A8" s="151"/>
      <c r="B8" s="29" t="s">
        <v>21</v>
      </c>
      <c r="C8" s="455">
        <v>10010</v>
      </c>
      <c r="D8" s="455">
        <v>8700</v>
      </c>
      <c r="E8" s="477">
        <v>8750</v>
      </c>
      <c r="F8" s="477">
        <v>7352</v>
      </c>
      <c r="G8" s="477">
        <v>7460</v>
      </c>
      <c r="H8" s="477">
        <v>8230</v>
      </c>
      <c r="I8" s="477">
        <v>9430</v>
      </c>
      <c r="J8" s="477">
        <v>8950</v>
      </c>
      <c r="K8" s="477">
        <v>8700</v>
      </c>
      <c r="L8" s="477">
        <v>7410</v>
      </c>
      <c r="M8" s="478">
        <v>8468</v>
      </c>
      <c r="N8" s="478">
        <v>6290</v>
      </c>
      <c r="O8" s="478">
        <v>7580</v>
      </c>
      <c r="P8" s="478">
        <v>7450</v>
      </c>
      <c r="Q8" s="478">
        <v>7515</v>
      </c>
    </row>
    <row r="9" spans="1:17" ht="13" customHeight="1">
      <c r="A9" s="151"/>
      <c r="B9" s="29" t="s">
        <v>22</v>
      </c>
      <c r="C9" s="455">
        <v>278876</v>
      </c>
      <c r="D9" s="455">
        <v>275000</v>
      </c>
      <c r="E9" s="477">
        <v>263896</v>
      </c>
      <c r="F9" s="477">
        <v>248203</v>
      </c>
      <c r="G9" s="477">
        <v>256830</v>
      </c>
      <c r="H9" s="479">
        <v>338970</v>
      </c>
      <c r="I9" s="479">
        <v>338702</v>
      </c>
      <c r="J9" s="479">
        <v>344798</v>
      </c>
      <c r="K9" s="479">
        <v>313119</v>
      </c>
      <c r="L9" s="479">
        <v>292109</v>
      </c>
      <c r="M9" s="480">
        <v>309339</v>
      </c>
      <c r="N9" s="480">
        <v>302540</v>
      </c>
      <c r="O9" s="480">
        <v>341213</v>
      </c>
      <c r="P9" s="480">
        <v>293119</v>
      </c>
      <c r="Q9" s="480">
        <v>274119</v>
      </c>
    </row>
    <row r="10" spans="1:17" ht="13" customHeight="1">
      <c r="A10" s="151"/>
      <c r="B10" s="29" t="s">
        <v>23</v>
      </c>
      <c r="C10" s="455">
        <v>72000</v>
      </c>
      <c r="D10" s="455">
        <v>70100</v>
      </c>
      <c r="E10" s="477">
        <v>77846</v>
      </c>
      <c r="F10" s="477">
        <v>95249</v>
      </c>
      <c r="G10" s="477">
        <v>93100</v>
      </c>
      <c r="H10" s="479">
        <v>87659</v>
      </c>
      <c r="I10" s="479">
        <v>86180</v>
      </c>
      <c r="J10" s="479">
        <v>77386</v>
      </c>
      <c r="K10" s="479">
        <v>85246</v>
      </c>
      <c r="L10" s="479">
        <v>84377</v>
      </c>
      <c r="M10" s="479">
        <v>84240</v>
      </c>
      <c r="N10" s="479">
        <v>82685</v>
      </c>
      <c r="O10" s="479">
        <v>68810</v>
      </c>
      <c r="P10" s="479">
        <v>67840</v>
      </c>
      <c r="Q10" s="479">
        <v>68325</v>
      </c>
    </row>
    <row r="11" spans="1:17" ht="13" customHeight="1">
      <c r="A11" s="151"/>
      <c r="B11" s="29" t="s">
        <v>24</v>
      </c>
      <c r="C11" s="455">
        <v>402413</v>
      </c>
      <c r="D11" s="455">
        <v>420429</v>
      </c>
      <c r="E11" s="477">
        <v>413495</v>
      </c>
      <c r="F11" s="477">
        <v>412886</v>
      </c>
      <c r="G11" s="477">
        <v>412338</v>
      </c>
      <c r="H11" s="479">
        <v>412672</v>
      </c>
      <c r="I11" s="479">
        <v>412407</v>
      </c>
      <c r="J11" s="477">
        <v>402621</v>
      </c>
      <c r="K11" s="477">
        <v>356517</v>
      </c>
      <c r="L11" s="477">
        <v>365201</v>
      </c>
      <c r="M11" s="478">
        <v>356682</v>
      </c>
      <c r="N11" s="478">
        <v>357814</v>
      </c>
      <c r="O11" s="478">
        <v>356486</v>
      </c>
      <c r="P11" s="478">
        <v>333412</v>
      </c>
      <c r="Q11" s="478">
        <v>344949</v>
      </c>
    </row>
    <row r="12" spans="1:17" ht="13" customHeight="1">
      <c r="A12" s="151"/>
      <c r="B12" s="29" t="s">
        <v>25</v>
      </c>
      <c r="C12" s="455">
        <v>375069</v>
      </c>
      <c r="D12" s="455">
        <v>391715</v>
      </c>
      <c r="E12" s="477">
        <v>426561</v>
      </c>
      <c r="F12" s="477">
        <v>434653</v>
      </c>
      <c r="G12" s="477">
        <v>441100</v>
      </c>
      <c r="H12" s="477">
        <v>413819</v>
      </c>
      <c r="I12" s="477">
        <v>434278</v>
      </c>
      <c r="J12" s="477">
        <v>421175</v>
      </c>
      <c r="K12" s="477">
        <v>417560</v>
      </c>
      <c r="L12" s="477">
        <v>411297</v>
      </c>
      <c r="M12" s="478">
        <v>409942</v>
      </c>
      <c r="N12" s="478">
        <v>465641</v>
      </c>
      <c r="O12" s="478">
        <v>455567</v>
      </c>
      <c r="P12" s="478">
        <v>484116</v>
      </c>
      <c r="Q12" s="478">
        <v>480072</v>
      </c>
    </row>
    <row r="13" spans="1:17" ht="13" customHeight="1">
      <c r="A13" s="151"/>
      <c r="B13" s="29" t="s">
        <v>29</v>
      </c>
      <c r="C13" s="455">
        <v>37993</v>
      </c>
      <c r="D13" s="455">
        <v>38000</v>
      </c>
      <c r="E13" s="477">
        <v>39571</v>
      </c>
      <c r="F13" s="477">
        <v>39215</v>
      </c>
      <c r="G13" s="477">
        <v>40120</v>
      </c>
      <c r="H13" s="477">
        <v>41072</v>
      </c>
      <c r="I13" s="477">
        <v>42510</v>
      </c>
      <c r="J13" s="477">
        <v>31131</v>
      </c>
      <c r="K13" s="477">
        <v>40939</v>
      </c>
      <c r="L13" s="477">
        <v>40606</v>
      </c>
      <c r="M13" s="477">
        <v>38822</v>
      </c>
      <c r="N13" s="477">
        <v>29054</v>
      </c>
      <c r="O13" s="477">
        <v>21744</v>
      </c>
      <c r="P13" s="477">
        <v>24350</v>
      </c>
      <c r="Q13" s="477">
        <v>23047</v>
      </c>
    </row>
    <row r="14" spans="1:17" ht="13" customHeight="1">
      <c r="A14" s="151"/>
      <c r="B14" s="29" t="s">
        <v>30</v>
      </c>
      <c r="C14" s="455">
        <v>847298</v>
      </c>
      <c r="D14" s="455">
        <v>807840</v>
      </c>
      <c r="E14" s="477">
        <v>793399</v>
      </c>
      <c r="F14" s="477">
        <v>814814</v>
      </c>
      <c r="G14" s="477">
        <v>806982</v>
      </c>
      <c r="H14" s="479">
        <v>814067</v>
      </c>
      <c r="I14" s="479">
        <v>808502</v>
      </c>
      <c r="J14" s="479">
        <v>650284</v>
      </c>
      <c r="K14" s="479">
        <v>640242</v>
      </c>
      <c r="L14" s="479">
        <v>602944</v>
      </c>
      <c r="M14" s="478">
        <v>694111</v>
      </c>
      <c r="N14" s="478">
        <v>672817</v>
      </c>
      <c r="O14" s="478">
        <v>672175</v>
      </c>
      <c r="P14" s="478">
        <v>671482</v>
      </c>
      <c r="Q14" s="478">
        <v>671829</v>
      </c>
    </row>
    <row r="15" spans="1:17" ht="13" customHeight="1">
      <c r="A15" s="151"/>
      <c r="B15" s="29" t="s">
        <v>31</v>
      </c>
      <c r="C15" s="455">
        <v>352067</v>
      </c>
      <c r="D15" s="455">
        <v>340000</v>
      </c>
      <c r="E15" s="477">
        <v>324238</v>
      </c>
      <c r="F15" s="477">
        <v>310789</v>
      </c>
      <c r="G15" s="477">
        <v>309200</v>
      </c>
      <c r="H15" s="479">
        <v>312259</v>
      </c>
      <c r="I15" s="479">
        <v>330004</v>
      </c>
      <c r="J15" s="479">
        <v>321131</v>
      </c>
      <c r="K15" s="479">
        <v>319450</v>
      </c>
      <c r="L15" s="479">
        <v>327436</v>
      </c>
      <c r="M15" s="478">
        <v>342802</v>
      </c>
      <c r="N15" s="478">
        <v>319535</v>
      </c>
      <c r="O15" s="478">
        <v>305462</v>
      </c>
      <c r="P15" s="478">
        <v>326462</v>
      </c>
      <c r="Q15" s="478">
        <v>315962</v>
      </c>
    </row>
    <row r="16" spans="1:17" ht="13" customHeight="1">
      <c r="A16" s="151"/>
      <c r="B16" s="29" t="s">
        <v>32</v>
      </c>
      <c r="C16" s="455">
        <v>20606</v>
      </c>
      <c r="D16" s="457">
        <v>21051</v>
      </c>
      <c r="E16" s="481">
        <v>21815</v>
      </c>
      <c r="F16" s="481">
        <v>23124</v>
      </c>
      <c r="G16" s="481">
        <v>22680</v>
      </c>
      <c r="H16" s="479">
        <v>21855</v>
      </c>
      <c r="I16" s="479">
        <v>23226</v>
      </c>
      <c r="J16" s="479">
        <v>27078</v>
      </c>
      <c r="K16" s="479">
        <v>28397</v>
      </c>
      <c r="L16" s="479">
        <v>25990</v>
      </c>
      <c r="M16" s="479">
        <v>26132</v>
      </c>
      <c r="N16" s="479">
        <v>28131</v>
      </c>
      <c r="O16" s="479">
        <v>29996</v>
      </c>
      <c r="P16" s="479">
        <v>27535</v>
      </c>
      <c r="Q16" s="479">
        <v>27552</v>
      </c>
    </row>
    <row r="17" spans="1:17" ht="13" customHeight="1">
      <c r="A17" s="151"/>
      <c r="B17" s="29" t="s">
        <v>33</v>
      </c>
      <c r="C17" s="455">
        <v>1147657</v>
      </c>
      <c r="D17" s="455">
        <v>1170866</v>
      </c>
      <c r="E17" s="477">
        <v>1054504</v>
      </c>
      <c r="F17" s="477">
        <v>1021725</v>
      </c>
      <c r="G17" s="477">
        <v>998000</v>
      </c>
      <c r="H17" s="479">
        <v>987550</v>
      </c>
      <c r="I17" s="479">
        <v>839260</v>
      </c>
      <c r="J17" s="479">
        <v>702282</v>
      </c>
      <c r="K17" s="479">
        <v>760617</v>
      </c>
      <c r="L17" s="479">
        <v>761384</v>
      </c>
      <c r="M17" s="478">
        <v>759953</v>
      </c>
      <c r="N17" s="478">
        <v>634318</v>
      </c>
      <c r="O17" s="478">
        <v>529453</v>
      </c>
      <c r="P17" s="478">
        <v>530212</v>
      </c>
      <c r="Q17" s="478">
        <v>529832</v>
      </c>
    </row>
    <row r="18" spans="1:17" ht="13" customHeight="1">
      <c r="A18" s="151"/>
      <c r="B18" s="29" t="s">
        <v>34</v>
      </c>
      <c r="C18" s="455">
        <v>947800</v>
      </c>
      <c r="D18" s="455">
        <v>934944</v>
      </c>
      <c r="E18" s="477">
        <v>950105</v>
      </c>
      <c r="F18" s="477">
        <v>955224</v>
      </c>
      <c r="G18" s="477">
        <v>957700</v>
      </c>
      <c r="H18" s="479">
        <v>964060</v>
      </c>
      <c r="I18" s="479">
        <v>969245</v>
      </c>
      <c r="J18" s="479">
        <v>726314</v>
      </c>
      <c r="K18" s="479">
        <v>662425</v>
      </c>
      <c r="L18" s="479">
        <v>669260</v>
      </c>
      <c r="M18" s="478">
        <v>675939</v>
      </c>
      <c r="N18" s="478">
        <v>682688</v>
      </c>
      <c r="O18" s="478">
        <v>698536</v>
      </c>
      <c r="P18" s="478">
        <v>685310</v>
      </c>
      <c r="Q18" s="478">
        <v>691923</v>
      </c>
    </row>
    <row r="19" spans="1:17" ht="13" customHeight="1">
      <c r="A19" s="151"/>
      <c r="B19" s="29" t="s">
        <v>35</v>
      </c>
      <c r="C19" s="455">
        <v>1214210</v>
      </c>
      <c r="D19" s="455">
        <v>1216000</v>
      </c>
      <c r="E19" s="477">
        <v>1214210</v>
      </c>
      <c r="F19" s="477">
        <v>1151903</v>
      </c>
      <c r="G19" s="477">
        <v>1160000</v>
      </c>
      <c r="H19" s="479">
        <v>1080265</v>
      </c>
      <c r="I19" s="479">
        <v>1020168</v>
      </c>
      <c r="J19" s="479">
        <v>1304933</v>
      </c>
      <c r="K19" s="479">
        <v>1358604</v>
      </c>
      <c r="L19" s="479">
        <v>1345874</v>
      </c>
      <c r="M19" s="478">
        <v>1416083</v>
      </c>
      <c r="N19" s="478">
        <v>1234318</v>
      </c>
      <c r="O19" s="478">
        <v>1478438</v>
      </c>
      <c r="P19" s="478">
        <v>1554849</v>
      </c>
      <c r="Q19" s="478">
        <v>1516644</v>
      </c>
    </row>
    <row r="20" spans="1:17" ht="13" customHeight="1">
      <c r="A20" s="151"/>
      <c r="B20" s="29" t="s">
        <v>36</v>
      </c>
      <c r="C20" s="455">
        <v>993165</v>
      </c>
      <c r="D20" s="455">
        <v>976712</v>
      </c>
      <c r="E20" s="477">
        <v>975777</v>
      </c>
      <c r="F20" s="477">
        <v>971559</v>
      </c>
      <c r="G20" s="477">
        <v>968714</v>
      </c>
      <c r="H20" s="479">
        <v>977185</v>
      </c>
      <c r="I20" s="479">
        <v>984244</v>
      </c>
      <c r="J20" s="479">
        <v>770715</v>
      </c>
      <c r="K20" s="479">
        <v>698498</v>
      </c>
      <c r="L20" s="479">
        <v>685380</v>
      </c>
      <c r="M20" s="478">
        <v>708224</v>
      </c>
      <c r="N20" s="478">
        <v>704935</v>
      </c>
      <c r="O20" s="478">
        <v>620737</v>
      </c>
      <c r="P20" s="478">
        <v>630410</v>
      </c>
      <c r="Q20" s="478">
        <v>625574</v>
      </c>
    </row>
    <row r="21" spans="1:17" ht="13" customHeight="1">
      <c r="A21" s="151"/>
      <c r="B21" s="29" t="s">
        <v>37</v>
      </c>
      <c r="C21" s="455">
        <v>286680</v>
      </c>
      <c r="D21" s="455">
        <v>269022</v>
      </c>
      <c r="E21" s="477">
        <v>266519</v>
      </c>
      <c r="F21" s="477">
        <v>263499</v>
      </c>
      <c r="G21" s="477">
        <v>253541</v>
      </c>
      <c r="H21" s="479">
        <v>249945</v>
      </c>
      <c r="I21" s="479">
        <v>207954</v>
      </c>
      <c r="J21" s="479">
        <v>220707</v>
      </c>
      <c r="K21" s="479">
        <v>223009</v>
      </c>
      <c r="L21" s="479">
        <v>222508</v>
      </c>
      <c r="M21" s="478">
        <v>221114</v>
      </c>
      <c r="N21" s="478">
        <v>209159</v>
      </c>
      <c r="O21" s="478">
        <v>187138</v>
      </c>
      <c r="P21" s="478">
        <v>188490</v>
      </c>
      <c r="Q21" s="478">
        <v>188221</v>
      </c>
    </row>
    <row r="22" spans="1:17" ht="13" customHeight="1">
      <c r="A22" s="151"/>
      <c r="B22" s="29" t="s">
        <v>38</v>
      </c>
      <c r="C22" s="455">
        <v>48614</v>
      </c>
      <c r="D22" s="455">
        <v>67273</v>
      </c>
      <c r="E22" s="477">
        <v>80662</v>
      </c>
      <c r="F22" s="477">
        <v>78146</v>
      </c>
      <c r="G22" s="477">
        <v>79120</v>
      </c>
      <c r="H22" s="479">
        <v>78763</v>
      </c>
      <c r="I22" s="479">
        <v>72046</v>
      </c>
      <c r="J22" s="479">
        <v>70405</v>
      </c>
      <c r="K22" s="479">
        <v>71410</v>
      </c>
      <c r="L22" s="479">
        <v>44276</v>
      </c>
      <c r="M22" s="478">
        <v>44999</v>
      </c>
      <c r="N22" s="478">
        <v>47249</v>
      </c>
      <c r="O22" s="478">
        <v>49611</v>
      </c>
      <c r="P22" s="478">
        <v>48970</v>
      </c>
      <c r="Q22" s="478">
        <v>49291</v>
      </c>
    </row>
    <row r="23" spans="1:17" ht="13" customHeight="1">
      <c r="A23" s="151"/>
      <c r="B23" s="29" t="s">
        <v>39</v>
      </c>
      <c r="C23" s="455">
        <v>42345</v>
      </c>
      <c r="D23" s="455">
        <v>41480</v>
      </c>
      <c r="E23" s="477">
        <v>41334</v>
      </c>
      <c r="F23" s="477">
        <v>40944</v>
      </c>
      <c r="G23" s="477">
        <v>39815</v>
      </c>
      <c r="H23" s="479">
        <v>39981</v>
      </c>
      <c r="I23" s="479">
        <v>39095</v>
      </c>
      <c r="J23" s="479">
        <v>38786</v>
      </c>
      <c r="K23" s="479">
        <v>31595</v>
      </c>
      <c r="L23" s="479">
        <v>35978</v>
      </c>
      <c r="M23" s="478">
        <v>36096</v>
      </c>
      <c r="N23" s="478">
        <v>37901</v>
      </c>
      <c r="O23" s="478">
        <v>36005</v>
      </c>
      <c r="P23" s="478">
        <v>36005</v>
      </c>
      <c r="Q23" s="478">
        <v>36005</v>
      </c>
    </row>
    <row r="24" spans="1:17" ht="13" customHeight="1">
      <c r="A24" s="151"/>
      <c r="B24" s="29" t="s">
        <v>40</v>
      </c>
      <c r="C24" s="455">
        <v>905080</v>
      </c>
      <c r="D24" s="455">
        <v>820966</v>
      </c>
      <c r="E24" s="477">
        <v>846254</v>
      </c>
      <c r="F24" s="477">
        <v>849515</v>
      </c>
      <c r="G24" s="477">
        <v>839240</v>
      </c>
      <c r="H24" s="479">
        <v>870713</v>
      </c>
      <c r="I24" s="479">
        <v>931253</v>
      </c>
      <c r="J24" s="479">
        <v>967114</v>
      </c>
      <c r="K24" s="479">
        <v>951671</v>
      </c>
      <c r="L24" s="479">
        <v>937646</v>
      </c>
      <c r="M24" s="478">
        <v>822428</v>
      </c>
      <c r="N24" s="478">
        <v>798698</v>
      </c>
      <c r="O24" s="478">
        <v>611215</v>
      </c>
      <c r="P24" s="478">
        <v>616828</v>
      </c>
      <c r="Q24" s="478">
        <v>617461</v>
      </c>
    </row>
    <row r="25" spans="1:17" ht="13" customHeight="1">
      <c r="A25" s="151"/>
      <c r="B25" s="29" t="s">
        <v>41</v>
      </c>
      <c r="C25" s="455">
        <v>467210</v>
      </c>
      <c r="D25" s="455">
        <v>504320</v>
      </c>
      <c r="E25" s="477">
        <v>518531</v>
      </c>
      <c r="F25" s="477">
        <v>515394</v>
      </c>
      <c r="G25" s="477">
        <v>512560</v>
      </c>
      <c r="H25" s="477">
        <v>503603</v>
      </c>
      <c r="I25" s="477">
        <v>504434</v>
      </c>
      <c r="J25" s="477">
        <v>481850</v>
      </c>
      <c r="K25" s="477">
        <v>497860</v>
      </c>
      <c r="L25" s="477">
        <v>470307</v>
      </c>
      <c r="M25" s="478">
        <v>468530</v>
      </c>
      <c r="N25" s="478">
        <v>461957</v>
      </c>
      <c r="O25" s="478">
        <v>455479</v>
      </c>
      <c r="P25" s="478">
        <v>457330</v>
      </c>
      <c r="Q25" s="478">
        <v>456405</v>
      </c>
    </row>
    <row r="26" spans="1:17" ht="13" customHeight="1">
      <c r="A26" s="151"/>
      <c r="B26" s="29" t="s">
        <v>44</v>
      </c>
      <c r="C26" s="455">
        <v>2388882</v>
      </c>
      <c r="D26" s="455">
        <v>2385000</v>
      </c>
      <c r="E26" s="477">
        <v>2300000</v>
      </c>
      <c r="F26" s="477">
        <v>2295231</v>
      </c>
      <c r="G26" s="477">
        <v>1923603</v>
      </c>
      <c r="H26" s="479">
        <v>1928174</v>
      </c>
      <c r="I26" s="479">
        <v>1937742</v>
      </c>
      <c r="J26" s="479">
        <v>1563618</v>
      </c>
      <c r="K26" s="479">
        <v>1306368</v>
      </c>
      <c r="L26" s="479">
        <v>1303959</v>
      </c>
      <c r="M26" s="478">
        <v>1420079</v>
      </c>
      <c r="N26" s="478">
        <v>1419506</v>
      </c>
      <c r="O26" s="478">
        <v>1422140</v>
      </c>
      <c r="P26" s="478">
        <v>1428736</v>
      </c>
      <c r="Q26" s="478">
        <v>1443471</v>
      </c>
    </row>
    <row r="27" spans="1:17" ht="13" customHeight="1">
      <c r="A27" s="151"/>
      <c r="B27" s="29" t="s">
        <v>45</v>
      </c>
      <c r="C27" s="455">
        <v>3932070</v>
      </c>
      <c r="D27" s="455">
        <v>3870220</v>
      </c>
      <c r="E27" s="477">
        <v>3917920</v>
      </c>
      <c r="F27" s="477">
        <v>3931520</v>
      </c>
      <c r="G27" s="477">
        <v>3966940</v>
      </c>
      <c r="H27" s="479">
        <v>3979420</v>
      </c>
      <c r="I27" s="479">
        <v>4006330</v>
      </c>
      <c r="J27" s="479">
        <v>3011220</v>
      </c>
      <c r="K27" s="479">
        <v>3018210</v>
      </c>
      <c r="L27" s="479">
        <v>2978720</v>
      </c>
      <c r="M27" s="478">
        <v>3099180</v>
      </c>
      <c r="N27" s="478">
        <v>2919060</v>
      </c>
      <c r="O27" s="478">
        <v>2950630</v>
      </c>
      <c r="P27" s="478">
        <v>2876615</v>
      </c>
      <c r="Q27" s="478">
        <v>2852165</v>
      </c>
    </row>
    <row r="28" spans="1:17" ht="13" customHeight="1">
      <c r="A28" s="151"/>
      <c r="B28" s="150" t="s">
        <v>46</v>
      </c>
      <c r="C28" s="455">
        <v>19468</v>
      </c>
      <c r="D28" s="455">
        <v>24235</v>
      </c>
      <c r="E28" s="477">
        <v>20491</v>
      </c>
      <c r="F28" s="477">
        <v>23788</v>
      </c>
      <c r="G28" s="477">
        <v>22450</v>
      </c>
      <c r="H28" s="479">
        <v>22086</v>
      </c>
      <c r="I28" s="479">
        <v>24294</v>
      </c>
      <c r="J28" s="479">
        <v>13190</v>
      </c>
      <c r="K28" s="479">
        <v>10450</v>
      </c>
      <c r="L28" s="479">
        <v>10711</v>
      </c>
      <c r="M28" s="480">
        <v>9950</v>
      </c>
      <c r="N28" s="480">
        <v>5422</v>
      </c>
      <c r="O28" s="480">
        <v>7521</v>
      </c>
      <c r="P28" s="480">
        <v>11017</v>
      </c>
      <c r="Q28" s="480">
        <v>9269</v>
      </c>
    </row>
    <row r="29" spans="1:17" ht="13" customHeight="1">
      <c r="A29" s="151"/>
      <c r="B29" s="30" t="s">
        <v>47</v>
      </c>
      <c r="C29" s="455">
        <v>3881</v>
      </c>
      <c r="D29" s="455">
        <v>3881</v>
      </c>
      <c r="E29" s="477">
        <v>3724</v>
      </c>
      <c r="F29" s="477">
        <v>6305</v>
      </c>
      <c r="G29" s="477">
        <v>6630</v>
      </c>
      <c r="H29" s="479">
        <v>7199</v>
      </c>
      <c r="I29" s="479">
        <v>8199</v>
      </c>
      <c r="J29" s="479">
        <v>7985</v>
      </c>
      <c r="K29" s="479">
        <v>9745</v>
      </c>
      <c r="L29" s="479">
        <v>9310</v>
      </c>
      <c r="M29" s="480">
        <v>11610</v>
      </c>
      <c r="N29" s="480">
        <v>12191</v>
      </c>
      <c r="O29" s="480">
        <v>12800</v>
      </c>
      <c r="P29" s="480">
        <v>11970</v>
      </c>
      <c r="Q29" s="480">
        <v>12385</v>
      </c>
    </row>
    <row r="30" spans="1:17" ht="13" customHeight="1">
      <c r="A30" s="151"/>
      <c r="B30" s="29" t="s">
        <v>48</v>
      </c>
      <c r="C30" s="455">
        <v>14280</v>
      </c>
      <c r="D30" s="455">
        <v>11600</v>
      </c>
      <c r="E30" s="477">
        <v>14319</v>
      </c>
      <c r="F30" s="477">
        <v>12005</v>
      </c>
      <c r="G30" s="477">
        <v>12500</v>
      </c>
      <c r="H30" s="479">
        <v>12941</v>
      </c>
      <c r="I30" s="479">
        <v>12920</v>
      </c>
      <c r="J30" s="479">
        <v>11980</v>
      </c>
      <c r="K30" s="479">
        <v>11580</v>
      </c>
      <c r="L30" s="479">
        <v>10847</v>
      </c>
      <c r="M30" s="480">
        <v>9187</v>
      </c>
      <c r="N30" s="480">
        <v>9646</v>
      </c>
      <c r="O30" s="480">
        <v>10129</v>
      </c>
      <c r="P30" s="480">
        <v>9970</v>
      </c>
      <c r="Q30" s="480">
        <v>10049</v>
      </c>
    </row>
    <row r="31" spans="1:17" ht="13" customHeight="1" thickBot="1">
      <c r="A31" s="453"/>
      <c r="B31" s="454" t="s">
        <v>49</v>
      </c>
      <c r="C31" s="458">
        <v>6112</v>
      </c>
      <c r="D31" s="458">
        <v>5901</v>
      </c>
      <c r="E31" s="482">
        <v>6245</v>
      </c>
      <c r="F31" s="482">
        <v>6585</v>
      </c>
      <c r="G31" s="482">
        <v>7067</v>
      </c>
      <c r="H31" s="482">
        <v>7231</v>
      </c>
      <c r="I31" s="482">
        <v>7750</v>
      </c>
      <c r="J31" s="482">
        <v>8490</v>
      </c>
      <c r="K31" s="482">
        <v>8765</v>
      </c>
      <c r="L31" s="482">
        <v>8742</v>
      </c>
      <c r="M31" s="483">
        <v>8670</v>
      </c>
      <c r="N31" s="483">
        <v>9104</v>
      </c>
      <c r="O31" s="483">
        <v>9559</v>
      </c>
      <c r="P31" s="483">
        <v>9430</v>
      </c>
      <c r="Q31" s="483">
        <v>9494</v>
      </c>
    </row>
    <row r="32" spans="1:17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  <row r="35" spans="1:17" ht="13" customHeight="1">
      <c r="Q35" s="152"/>
    </row>
    <row r="36" spans="1:17" ht="13" customHeight="1">
      <c r="Q36" s="152"/>
    </row>
    <row r="37" spans="1:17" ht="13" customHeight="1">
      <c r="Q37" s="152"/>
    </row>
    <row r="38" spans="1:17" ht="13" customHeight="1">
      <c r="Q38" s="152"/>
    </row>
    <row r="39" spans="1:17" ht="13" customHeight="1">
      <c r="Q39" s="152"/>
    </row>
    <row r="40" spans="1:17" ht="13" customHeight="1">
      <c r="Q40" s="152"/>
    </row>
    <row r="41" spans="1:17" ht="13" customHeight="1">
      <c r="Q41" s="152"/>
    </row>
    <row r="42" spans="1:17" ht="13" customHeight="1">
      <c r="Q42" s="152"/>
    </row>
    <row r="43" spans="1:17" ht="13" customHeight="1">
      <c r="Q43" s="152"/>
    </row>
    <row r="44" spans="1:17" ht="13" customHeight="1">
      <c r="Q44" s="152"/>
    </row>
    <row r="45" spans="1:17" ht="13" customHeight="1">
      <c r="Q45" s="152"/>
    </row>
    <row r="46" spans="1:17" ht="13" customHeight="1">
      <c r="Q46" s="152"/>
    </row>
    <row r="47" spans="1:17" ht="13" customHeight="1">
      <c r="Q47" s="152"/>
    </row>
    <row r="48" spans="1:17" ht="13" customHeight="1">
      <c r="Q48" s="152"/>
    </row>
    <row r="49" spans="17:17" ht="13" customHeight="1">
      <c r="Q49" s="152"/>
    </row>
    <row r="50" spans="17:17" ht="13" customHeight="1">
      <c r="Q50" s="152"/>
    </row>
    <row r="51" spans="17:17" ht="13" customHeight="1">
      <c r="Q51" s="152"/>
    </row>
    <row r="52" spans="17:17" ht="13" customHeight="1">
      <c r="Q52" s="152"/>
    </row>
    <row r="53" spans="17:17" ht="13" customHeight="1">
      <c r="Q53" s="152"/>
    </row>
    <row r="54" spans="17:17" ht="13" customHeight="1">
      <c r="Q54" s="152"/>
    </row>
    <row r="55" spans="17:17" ht="13" customHeight="1">
      <c r="Q55" s="152"/>
    </row>
    <row r="56" spans="17:17" ht="13" customHeight="1">
      <c r="Q56" s="152"/>
    </row>
    <row r="57" spans="17:17" ht="13" customHeight="1">
      <c r="Q57" s="152"/>
    </row>
    <row r="58" spans="17:17" ht="13" customHeight="1">
      <c r="Q58" s="152"/>
    </row>
    <row r="59" spans="17:17" ht="13" customHeight="1">
      <c r="Q59" s="152"/>
    </row>
    <row r="60" spans="17:17" ht="13" customHeight="1">
      <c r="Q60" s="152"/>
    </row>
    <row r="61" spans="17:17" ht="13" customHeight="1">
      <c r="Q61" s="152"/>
    </row>
    <row r="62" spans="17:17" ht="13" customHeight="1">
      <c r="Q62" s="15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7">
    <tabColor theme="9" tint="0.59999389629810485"/>
  </sheetPr>
  <dimension ref="A2:S34"/>
  <sheetViews>
    <sheetView showGridLines="0" zoomScale="150" zoomScaleNormal="150" workbookViewId="0">
      <selection activeCell="G10" sqref="G10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365</v>
      </c>
      <c r="B2" s="469"/>
    </row>
    <row r="3" spans="1:19" ht="13" customHeight="1">
      <c r="A3" s="470" t="s">
        <v>325</v>
      </c>
      <c r="B3" s="470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9" ht="15" customHeight="1">
      <c r="A6" s="1102" t="s">
        <v>106</v>
      </c>
      <c r="B6" s="1102"/>
      <c r="C6" s="460">
        <f t="shared" ref="C6:N6" si="0">(C8+C9+C10+C11+C12+C13+C14+C15+C16+C17+C18+C19+C20+C21+C22+C23+C24+C25+C26+C27+C28+C29+C30+C31)</f>
        <v>2685627</v>
      </c>
      <c r="D6" s="460">
        <f t="shared" si="0"/>
        <v>2692776</v>
      </c>
      <c r="E6" s="475">
        <f t="shared" si="0"/>
        <v>2681208</v>
      </c>
      <c r="F6" s="475">
        <f t="shared" si="0"/>
        <v>2678241</v>
      </c>
      <c r="G6" s="475">
        <f t="shared" si="0"/>
        <v>2753681</v>
      </c>
      <c r="H6" s="475">
        <f t="shared" si="0"/>
        <v>2788507</v>
      </c>
      <c r="I6" s="475">
        <f t="shared" si="0"/>
        <v>2844229</v>
      </c>
      <c r="J6" s="475">
        <f t="shared" si="0"/>
        <v>2910166</v>
      </c>
      <c r="K6" s="475">
        <f t="shared" si="0"/>
        <v>2832371</v>
      </c>
      <c r="L6" s="475">
        <f t="shared" si="0"/>
        <v>2788554</v>
      </c>
      <c r="M6" s="475">
        <f t="shared" si="0"/>
        <v>2698887</v>
      </c>
      <c r="N6" s="475">
        <f t="shared" si="0"/>
        <v>2745951</v>
      </c>
      <c r="O6" s="475">
        <f>(O8+O9+O10+O11+O12+O13+O14+O15+O16+O17+O18+O19+O20+O21+O22+O23+O24+O25+O26+O27+O28+O29+O30+O31)</f>
        <v>2699282</v>
      </c>
      <c r="P6" s="475">
        <f>(P8+P9+P10+P11+P12+P13+P14+P15+P16+P17+P18+P19+P20+P21+P22+P23+P24+P25+P26+P27+P28+P29+P30+P31)</f>
        <v>2687624</v>
      </c>
      <c r="Q6" s="475">
        <f>(Q8+Q9+Q10+Q11+Q12+Q13+Q14+Q15+Q16+Q17+Q18+Q19+Q20+Q21+Q22+Q23+Q24+Q25+Q26+Q27+Q28+Q29+Q30+Q31)</f>
        <v>2682837</v>
      </c>
    </row>
    <row r="7" spans="1:19" ht="5" customHeight="1">
      <c r="A7" s="151"/>
      <c r="B7" s="152"/>
      <c r="C7" s="461"/>
      <c r="D7" s="461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</row>
    <row r="8" spans="1:19" ht="13" customHeight="1">
      <c r="A8" s="151"/>
      <c r="B8" s="29" t="s">
        <v>21</v>
      </c>
      <c r="C8" s="455">
        <v>2703</v>
      </c>
      <c r="D8" s="455">
        <v>3076</v>
      </c>
      <c r="E8" s="477">
        <v>3433</v>
      </c>
      <c r="F8" s="477">
        <v>4421</v>
      </c>
      <c r="G8" s="477">
        <v>6291</v>
      </c>
      <c r="H8" s="477">
        <v>6996</v>
      </c>
      <c r="I8" s="477">
        <v>7361</v>
      </c>
      <c r="J8" s="477">
        <v>7432</v>
      </c>
      <c r="K8" s="477">
        <v>7725</v>
      </c>
      <c r="L8" s="477">
        <v>8875</v>
      </c>
      <c r="M8" s="478">
        <v>7991</v>
      </c>
      <c r="N8" s="478">
        <v>1879</v>
      </c>
      <c r="O8" s="478">
        <v>3096</v>
      </c>
      <c r="P8" s="478">
        <v>2975</v>
      </c>
      <c r="Q8" s="478">
        <v>2941</v>
      </c>
    </row>
    <row r="9" spans="1:19" ht="13" customHeight="1">
      <c r="A9" s="151"/>
      <c r="B9" s="29" t="s">
        <v>22</v>
      </c>
      <c r="C9" s="455">
        <v>52122</v>
      </c>
      <c r="D9" s="455">
        <v>43913</v>
      </c>
      <c r="E9" s="477">
        <v>44550</v>
      </c>
      <c r="F9" s="477">
        <v>46959</v>
      </c>
      <c r="G9" s="477">
        <v>54726</v>
      </c>
      <c r="H9" s="479">
        <v>65733</v>
      </c>
      <c r="I9" s="479">
        <v>79684</v>
      </c>
      <c r="J9" s="479">
        <v>95356</v>
      </c>
      <c r="K9" s="479">
        <v>72692</v>
      </c>
      <c r="L9" s="479">
        <v>72390</v>
      </c>
      <c r="M9" s="480">
        <v>85817</v>
      </c>
      <c r="N9" s="480">
        <v>99029</v>
      </c>
      <c r="O9" s="480">
        <v>115853</v>
      </c>
      <c r="P9" s="480">
        <v>129317</v>
      </c>
      <c r="Q9" s="480">
        <v>120555</v>
      </c>
      <c r="S9" s="159"/>
    </row>
    <row r="10" spans="1:19" ht="13" customHeight="1">
      <c r="A10" s="151"/>
      <c r="B10" s="29" t="s">
        <v>23</v>
      </c>
      <c r="C10" s="455">
        <v>26905</v>
      </c>
      <c r="D10" s="455">
        <v>29137</v>
      </c>
      <c r="E10" s="477">
        <v>31065</v>
      </c>
      <c r="F10" s="477">
        <v>25846</v>
      </c>
      <c r="G10" s="477">
        <v>35149</v>
      </c>
      <c r="H10" s="479">
        <v>32645</v>
      </c>
      <c r="I10" s="479">
        <v>36796</v>
      </c>
      <c r="J10" s="479">
        <v>35311</v>
      </c>
      <c r="K10" s="479">
        <v>35422</v>
      </c>
      <c r="L10" s="479">
        <v>35542</v>
      </c>
      <c r="M10" s="479">
        <v>35260</v>
      </c>
      <c r="N10" s="479">
        <v>32775</v>
      </c>
      <c r="O10" s="479">
        <v>28880</v>
      </c>
      <c r="P10" s="479">
        <v>30784</v>
      </c>
      <c r="Q10" s="479">
        <v>31831</v>
      </c>
      <c r="S10" s="159"/>
    </row>
    <row r="11" spans="1:19" ht="13" customHeight="1">
      <c r="A11" s="151"/>
      <c r="B11" s="29" t="s">
        <v>24</v>
      </c>
      <c r="C11" s="455">
        <v>137393</v>
      </c>
      <c r="D11" s="455">
        <v>141565</v>
      </c>
      <c r="E11" s="477">
        <v>152225</v>
      </c>
      <c r="F11" s="477">
        <v>154640</v>
      </c>
      <c r="G11" s="477">
        <v>158275</v>
      </c>
      <c r="H11" s="479">
        <v>161162</v>
      </c>
      <c r="I11" s="479">
        <v>162672</v>
      </c>
      <c r="J11" s="477">
        <v>162879</v>
      </c>
      <c r="K11" s="477">
        <v>170126</v>
      </c>
      <c r="L11" s="477">
        <v>176679</v>
      </c>
      <c r="M11" s="478">
        <v>181041</v>
      </c>
      <c r="N11" s="478">
        <v>183692</v>
      </c>
      <c r="O11" s="478">
        <v>184042</v>
      </c>
      <c r="P11" s="478">
        <v>185193</v>
      </c>
      <c r="Q11" s="478">
        <v>188941</v>
      </c>
      <c r="S11" s="159"/>
    </row>
    <row r="12" spans="1:19" ht="13" customHeight="1">
      <c r="A12" s="151"/>
      <c r="B12" s="29" t="s">
        <v>25</v>
      </c>
      <c r="C12" s="455">
        <v>108972</v>
      </c>
      <c r="D12" s="455">
        <v>113573</v>
      </c>
      <c r="E12" s="477">
        <v>121021</v>
      </c>
      <c r="F12" s="477">
        <v>112691</v>
      </c>
      <c r="G12" s="477">
        <v>117786</v>
      </c>
      <c r="H12" s="477">
        <v>125077</v>
      </c>
      <c r="I12" s="477">
        <v>124019</v>
      </c>
      <c r="J12" s="477">
        <v>119968</v>
      </c>
      <c r="K12" s="477">
        <v>135140</v>
      </c>
      <c r="L12" s="477">
        <v>135958</v>
      </c>
      <c r="M12" s="478">
        <v>125572</v>
      </c>
      <c r="N12" s="478">
        <v>114756</v>
      </c>
      <c r="O12" s="478">
        <v>102957</v>
      </c>
      <c r="P12" s="478">
        <v>100940</v>
      </c>
      <c r="Q12" s="478">
        <v>99840</v>
      </c>
      <c r="S12" s="159"/>
    </row>
    <row r="13" spans="1:19" ht="13" customHeight="1">
      <c r="A13" s="151"/>
      <c r="B13" s="29" t="s">
        <v>29</v>
      </c>
      <c r="C13" s="455">
        <v>5246</v>
      </c>
      <c r="D13" s="455">
        <v>5085</v>
      </c>
      <c r="E13" s="477">
        <v>4657</v>
      </c>
      <c r="F13" s="477">
        <v>4766</v>
      </c>
      <c r="G13" s="477">
        <v>5695</v>
      </c>
      <c r="H13" s="477">
        <v>6359</v>
      </c>
      <c r="I13" s="477">
        <v>5956</v>
      </c>
      <c r="J13" s="477">
        <v>5867</v>
      </c>
      <c r="K13" s="477">
        <v>5781</v>
      </c>
      <c r="L13" s="477">
        <v>5379</v>
      </c>
      <c r="M13" s="477">
        <v>4964</v>
      </c>
      <c r="N13" s="477">
        <v>3787</v>
      </c>
      <c r="O13" s="477">
        <v>3305</v>
      </c>
      <c r="P13" s="477">
        <v>3378</v>
      </c>
      <c r="Q13" s="477">
        <v>3532</v>
      </c>
      <c r="S13" s="159"/>
    </row>
    <row r="14" spans="1:19" ht="13" customHeight="1">
      <c r="A14" s="151"/>
      <c r="B14" s="29" t="s">
        <v>30</v>
      </c>
      <c r="C14" s="455">
        <v>90154</v>
      </c>
      <c r="D14" s="455">
        <v>94659</v>
      </c>
      <c r="E14" s="477">
        <v>94586</v>
      </c>
      <c r="F14" s="477">
        <v>100636</v>
      </c>
      <c r="G14" s="477">
        <v>110962</v>
      </c>
      <c r="H14" s="479">
        <v>111240</v>
      </c>
      <c r="I14" s="479">
        <v>114956</v>
      </c>
      <c r="J14" s="479">
        <v>116068</v>
      </c>
      <c r="K14" s="479">
        <v>118809</v>
      </c>
      <c r="L14" s="479">
        <v>119287</v>
      </c>
      <c r="M14" s="478">
        <v>123464</v>
      </c>
      <c r="N14" s="478">
        <v>131065</v>
      </c>
      <c r="O14" s="478">
        <v>132419</v>
      </c>
      <c r="P14" s="478">
        <v>132674</v>
      </c>
      <c r="Q14" s="478">
        <v>132633</v>
      </c>
      <c r="S14" s="159"/>
    </row>
    <row r="15" spans="1:19" ht="13" customHeight="1">
      <c r="A15" s="151"/>
      <c r="B15" s="29" t="s">
        <v>31</v>
      </c>
      <c r="C15" s="455">
        <v>87092</v>
      </c>
      <c r="D15" s="455">
        <v>95279</v>
      </c>
      <c r="E15" s="477">
        <v>94118</v>
      </c>
      <c r="F15" s="477">
        <v>94240</v>
      </c>
      <c r="G15" s="477">
        <v>97188</v>
      </c>
      <c r="H15" s="479">
        <v>101604</v>
      </c>
      <c r="I15" s="479">
        <v>101333</v>
      </c>
      <c r="J15" s="479">
        <v>105155</v>
      </c>
      <c r="K15" s="479">
        <v>103765</v>
      </c>
      <c r="L15" s="479">
        <v>104922</v>
      </c>
      <c r="M15" s="478">
        <v>90814</v>
      </c>
      <c r="N15" s="478">
        <v>85474</v>
      </c>
      <c r="O15" s="478">
        <v>80867</v>
      </c>
      <c r="P15" s="478">
        <v>67076</v>
      </c>
      <c r="Q15" s="478">
        <v>64093</v>
      </c>
      <c r="S15" s="159"/>
    </row>
    <row r="16" spans="1:19" ht="13" customHeight="1">
      <c r="A16" s="151"/>
      <c r="B16" s="29" t="s">
        <v>32</v>
      </c>
      <c r="C16" s="455">
        <v>5864</v>
      </c>
      <c r="D16" s="457">
        <v>6126</v>
      </c>
      <c r="E16" s="481">
        <v>6424</v>
      </c>
      <c r="F16" s="481">
        <v>6911</v>
      </c>
      <c r="G16" s="481">
        <v>7141</v>
      </c>
      <c r="H16" s="479">
        <v>7031</v>
      </c>
      <c r="I16" s="479">
        <v>7376</v>
      </c>
      <c r="J16" s="479">
        <v>6206</v>
      </c>
      <c r="K16" s="479">
        <v>6540</v>
      </c>
      <c r="L16" s="479">
        <v>8272</v>
      </c>
      <c r="M16" s="479">
        <v>7686</v>
      </c>
      <c r="N16" s="479">
        <v>6486</v>
      </c>
      <c r="O16" s="479">
        <v>5024</v>
      </c>
      <c r="P16" s="479">
        <v>5913</v>
      </c>
      <c r="Q16" s="479">
        <v>9044</v>
      </c>
      <c r="S16" s="159"/>
    </row>
    <row r="17" spans="1:19" ht="13" customHeight="1">
      <c r="A17" s="151"/>
      <c r="B17" s="29" t="s">
        <v>33</v>
      </c>
      <c r="C17" s="455">
        <v>194639</v>
      </c>
      <c r="D17" s="455">
        <v>179809</v>
      </c>
      <c r="E17" s="477">
        <v>162884</v>
      </c>
      <c r="F17" s="477">
        <v>159205</v>
      </c>
      <c r="G17" s="477">
        <v>160629</v>
      </c>
      <c r="H17" s="479">
        <v>158801</v>
      </c>
      <c r="I17" s="479">
        <v>152512</v>
      </c>
      <c r="J17" s="479">
        <v>151092</v>
      </c>
      <c r="K17" s="479">
        <v>152415</v>
      </c>
      <c r="L17" s="479">
        <v>148519</v>
      </c>
      <c r="M17" s="478">
        <v>156605</v>
      </c>
      <c r="N17" s="478">
        <v>160596</v>
      </c>
      <c r="O17" s="478">
        <v>163418</v>
      </c>
      <c r="P17" s="478">
        <v>165231</v>
      </c>
      <c r="Q17" s="478">
        <v>157449</v>
      </c>
      <c r="S17" s="159"/>
    </row>
    <row r="18" spans="1:19" ht="13" customHeight="1">
      <c r="A18" s="151"/>
      <c r="B18" s="29" t="s">
        <v>34</v>
      </c>
      <c r="C18" s="455">
        <v>135889</v>
      </c>
      <c r="D18" s="455">
        <v>136366</v>
      </c>
      <c r="E18" s="477">
        <v>150422</v>
      </c>
      <c r="F18" s="477">
        <v>177084</v>
      </c>
      <c r="G18" s="477">
        <v>170768</v>
      </c>
      <c r="H18" s="479">
        <v>157791</v>
      </c>
      <c r="I18" s="479">
        <v>165574</v>
      </c>
      <c r="J18" s="479">
        <v>149715</v>
      </c>
      <c r="K18" s="479">
        <v>150456</v>
      </c>
      <c r="L18" s="479">
        <v>125549</v>
      </c>
      <c r="M18" s="478">
        <v>117367</v>
      </c>
      <c r="N18" s="478">
        <v>97275</v>
      </c>
      <c r="O18" s="478">
        <v>99700</v>
      </c>
      <c r="P18" s="478">
        <v>104294</v>
      </c>
      <c r="Q18" s="478">
        <v>107119</v>
      </c>
      <c r="S18" s="159"/>
    </row>
    <row r="19" spans="1:19" ht="13" customHeight="1">
      <c r="A19" s="151"/>
      <c r="B19" s="29" t="s">
        <v>35</v>
      </c>
      <c r="C19" s="455">
        <v>210220</v>
      </c>
      <c r="D19" s="455">
        <v>204520</v>
      </c>
      <c r="E19" s="477">
        <v>207310</v>
      </c>
      <c r="F19" s="477">
        <v>177719</v>
      </c>
      <c r="G19" s="477">
        <v>188486</v>
      </c>
      <c r="H19" s="479">
        <v>197568</v>
      </c>
      <c r="I19" s="479">
        <v>207597</v>
      </c>
      <c r="J19" s="479">
        <v>216734</v>
      </c>
      <c r="K19" s="479">
        <v>232178</v>
      </c>
      <c r="L19" s="479">
        <v>242652</v>
      </c>
      <c r="M19" s="478">
        <v>274679</v>
      </c>
      <c r="N19" s="478">
        <v>281037</v>
      </c>
      <c r="O19" s="478">
        <v>304545</v>
      </c>
      <c r="P19" s="478">
        <v>314170</v>
      </c>
      <c r="Q19" s="478">
        <v>303867</v>
      </c>
      <c r="S19" s="159"/>
    </row>
    <row r="20" spans="1:19" ht="13" customHeight="1">
      <c r="A20" s="151"/>
      <c r="B20" s="29" t="s">
        <v>36</v>
      </c>
      <c r="C20" s="455">
        <v>145361</v>
      </c>
      <c r="D20" s="455">
        <v>131576</v>
      </c>
      <c r="E20" s="477">
        <v>134375</v>
      </c>
      <c r="F20" s="477">
        <v>117133</v>
      </c>
      <c r="G20" s="477">
        <v>121865</v>
      </c>
      <c r="H20" s="479">
        <v>119367</v>
      </c>
      <c r="I20" s="479">
        <v>123465</v>
      </c>
      <c r="J20" s="479">
        <v>136625</v>
      </c>
      <c r="K20" s="479">
        <v>133883</v>
      </c>
      <c r="L20" s="479">
        <v>139099</v>
      </c>
      <c r="M20" s="478">
        <v>133377</v>
      </c>
      <c r="N20" s="478">
        <v>129345</v>
      </c>
      <c r="O20" s="478">
        <v>126716</v>
      </c>
      <c r="P20" s="478">
        <v>112783</v>
      </c>
      <c r="Q20" s="478">
        <v>110863</v>
      </c>
      <c r="S20" s="159"/>
    </row>
    <row r="21" spans="1:19" ht="13" customHeight="1">
      <c r="A21" s="151"/>
      <c r="B21" s="29" t="s">
        <v>37</v>
      </c>
      <c r="C21" s="455">
        <v>98628</v>
      </c>
      <c r="D21" s="455">
        <v>98657</v>
      </c>
      <c r="E21" s="477">
        <v>87288</v>
      </c>
      <c r="F21" s="477">
        <v>87998</v>
      </c>
      <c r="G21" s="477">
        <v>84121</v>
      </c>
      <c r="H21" s="479">
        <v>70784</v>
      </c>
      <c r="I21" s="479">
        <v>69378</v>
      </c>
      <c r="J21" s="479">
        <v>94165</v>
      </c>
      <c r="K21" s="479">
        <v>132076</v>
      </c>
      <c r="L21" s="479">
        <v>134098</v>
      </c>
      <c r="M21" s="478">
        <v>134336</v>
      </c>
      <c r="N21" s="478">
        <v>179619</v>
      </c>
      <c r="O21" s="478">
        <v>136584</v>
      </c>
      <c r="P21" s="478">
        <v>141922</v>
      </c>
      <c r="Q21" s="478">
        <v>146807</v>
      </c>
      <c r="S21" s="159"/>
    </row>
    <row r="22" spans="1:19" ht="13" customHeight="1">
      <c r="A22" s="151"/>
      <c r="B22" s="29" t="s">
        <v>38</v>
      </c>
      <c r="C22" s="455">
        <v>5129</v>
      </c>
      <c r="D22" s="455">
        <v>5205</v>
      </c>
      <c r="E22" s="477">
        <v>5495</v>
      </c>
      <c r="F22" s="477">
        <v>4936</v>
      </c>
      <c r="G22" s="477">
        <v>5692</v>
      </c>
      <c r="H22" s="479">
        <v>5872</v>
      </c>
      <c r="I22" s="479">
        <v>5718</v>
      </c>
      <c r="J22" s="479">
        <v>4999</v>
      </c>
      <c r="K22" s="479">
        <v>5308</v>
      </c>
      <c r="L22" s="479">
        <v>4587</v>
      </c>
      <c r="M22" s="478">
        <v>4454</v>
      </c>
      <c r="N22" s="478">
        <v>4386</v>
      </c>
      <c r="O22" s="478">
        <v>3991</v>
      </c>
      <c r="P22" s="478">
        <v>4148</v>
      </c>
      <c r="Q22" s="478">
        <v>4033</v>
      </c>
      <c r="S22" s="159"/>
    </row>
    <row r="23" spans="1:19" ht="13" customHeight="1">
      <c r="A23" s="151"/>
      <c r="B23" s="29" t="s">
        <v>39</v>
      </c>
      <c r="C23" s="455">
        <v>8911</v>
      </c>
      <c r="D23" s="455">
        <v>8412</v>
      </c>
      <c r="E23" s="477">
        <v>7677</v>
      </c>
      <c r="F23" s="477">
        <v>7798</v>
      </c>
      <c r="G23" s="477">
        <v>7963</v>
      </c>
      <c r="H23" s="479">
        <v>8137</v>
      </c>
      <c r="I23" s="479">
        <v>7986</v>
      </c>
      <c r="J23" s="479">
        <v>8584</v>
      </c>
      <c r="K23" s="479">
        <v>8141</v>
      </c>
      <c r="L23" s="479">
        <v>8469</v>
      </c>
      <c r="M23" s="478">
        <v>8092</v>
      </c>
      <c r="N23" s="478">
        <v>8197</v>
      </c>
      <c r="O23" s="478">
        <v>7851</v>
      </c>
      <c r="P23" s="478">
        <v>7828</v>
      </c>
      <c r="Q23" s="478">
        <v>8114</v>
      </c>
      <c r="S23" s="159"/>
    </row>
    <row r="24" spans="1:19" ht="13" customHeight="1">
      <c r="A24" s="151"/>
      <c r="B24" s="29" t="s">
        <v>40</v>
      </c>
      <c r="C24" s="455">
        <v>188080</v>
      </c>
      <c r="D24" s="455">
        <v>173675</v>
      </c>
      <c r="E24" s="477">
        <v>177252</v>
      </c>
      <c r="F24" s="477">
        <v>180217</v>
      </c>
      <c r="G24" s="477">
        <v>192488</v>
      </c>
      <c r="H24" s="479">
        <v>196061</v>
      </c>
      <c r="I24" s="479">
        <v>209488</v>
      </c>
      <c r="J24" s="479">
        <v>216569</v>
      </c>
      <c r="K24" s="479">
        <v>213668</v>
      </c>
      <c r="L24" s="479">
        <v>165224</v>
      </c>
      <c r="M24" s="478">
        <v>162365</v>
      </c>
      <c r="N24" s="478">
        <v>165740</v>
      </c>
      <c r="O24" s="478">
        <v>154484</v>
      </c>
      <c r="P24" s="478">
        <v>149330</v>
      </c>
      <c r="Q24" s="478">
        <v>166207</v>
      </c>
      <c r="S24" s="159"/>
    </row>
    <row r="25" spans="1:19" ht="13" customHeight="1">
      <c r="A25" s="151"/>
      <c r="B25" s="29" t="s">
        <v>41</v>
      </c>
      <c r="C25" s="455">
        <v>76818</v>
      </c>
      <c r="D25" s="455">
        <v>81657</v>
      </c>
      <c r="E25" s="477">
        <v>88108</v>
      </c>
      <c r="F25" s="477">
        <v>86666</v>
      </c>
      <c r="G25" s="477">
        <v>86954</v>
      </c>
      <c r="H25" s="477">
        <v>86284</v>
      </c>
      <c r="I25" s="477">
        <v>84609</v>
      </c>
      <c r="J25" s="477">
        <v>88170</v>
      </c>
      <c r="K25" s="477">
        <v>87761</v>
      </c>
      <c r="L25" s="477">
        <v>85926</v>
      </c>
      <c r="M25" s="478">
        <v>84222</v>
      </c>
      <c r="N25" s="478">
        <v>85706</v>
      </c>
      <c r="O25" s="478">
        <v>83655</v>
      </c>
      <c r="P25" s="478">
        <v>80659</v>
      </c>
      <c r="Q25" s="478">
        <v>79281</v>
      </c>
      <c r="S25" s="159"/>
    </row>
    <row r="26" spans="1:19" ht="13" customHeight="1">
      <c r="A26" s="151"/>
      <c r="B26" s="29" t="s">
        <v>44</v>
      </c>
      <c r="C26" s="455">
        <v>329611</v>
      </c>
      <c r="D26" s="455">
        <v>355771</v>
      </c>
      <c r="E26" s="477">
        <v>315599</v>
      </c>
      <c r="F26" s="477">
        <v>333291</v>
      </c>
      <c r="G26" s="477">
        <v>342856</v>
      </c>
      <c r="H26" s="479">
        <v>363183</v>
      </c>
      <c r="I26" s="479">
        <v>365174</v>
      </c>
      <c r="J26" s="479">
        <v>376490</v>
      </c>
      <c r="K26" s="479">
        <v>259599</v>
      </c>
      <c r="L26" s="479">
        <v>280553</v>
      </c>
      <c r="M26" s="478">
        <v>287369</v>
      </c>
      <c r="N26" s="478">
        <v>287657</v>
      </c>
      <c r="O26" s="478">
        <v>287451</v>
      </c>
      <c r="P26" s="478">
        <v>287811</v>
      </c>
      <c r="Q26" s="478">
        <v>302899</v>
      </c>
      <c r="S26" s="159"/>
    </row>
    <row r="27" spans="1:19" ht="13" customHeight="1">
      <c r="A27" s="151"/>
      <c r="B27" s="29" t="s">
        <v>45</v>
      </c>
      <c r="C27" s="455">
        <v>762880</v>
      </c>
      <c r="D27" s="455">
        <v>772630</v>
      </c>
      <c r="E27" s="477">
        <v>780630</v>
      </c>
      <c r="F27" s="477">
        <v>780710</v>
      </c>
      <c r="G27" s="477">
        <v>783080</v>
      </c>
      <c r="H27" s="479">
        <v>792590</v>
      </c>
      <c r="I27" s="479">
        <v>797255</v>
      </c>
      <c r="J27" s="479">
        <v>798940</v>
      </c>
      <c r="K27" s="479">
        <v>788380</v>
      </c>
      <c r="L27" s="479">
        <v>775528</v>
      </c>
      <c r="M27" s="478">
        <v>662963</v>
      </c>
      <c r="N27" s="478">
        <v>676872</v>
      </c>
      <c r="O27" s="478">
        <v>660964</v>
      </c>
      <c r="P27" s="478">
        <v>647020</v>
      </c>
      <c r="Q27" s="478">
        <v>629215</v>
      </c>
      <c r="S27" s="159"/>
    </row>
    <row r="28" spans="1:19" ht="13" customHeight="1">
      <c r="A28" s="151"/>
      <c r="B28" s="150" t="s">
        <v>46</v>
      </c>
      <c r="C28" s="455">
        <v>6945</v>
      </c>
      <c r="D28" s="455">
        <v>6551</v>
      </c>
      <c r="E28" s="477">
        <v>6058</v>
      </c>
      <c r="F28" s="477">
        <v>7288</v>
      </c>
      <c r="G28" s="477">
        <v>7899</v>
      </c>
      <c r="H28" s="479">
        <v>6847</v>
      </c>
      <c r="I28" s="479">
        <v>8312</v>
      </c>
      <c r="J28" s="479">
        <v>7387</v>
      </c>
      <c r="K28" s="479">
        <v>6065</v>
      </c>
      <c r="L28" s="479">
        <v>5153</v>
      </c>
      <c r="M28" s="480">
        <v>5127</v>
      </c>
      <c r="N28" s="480">
        <v>4985</v>
      </c>
      <c r="O28" s="480">
        <v>5439</v>
      </c>
      <c r="P28" s="480">
        <v>6120</v>
      </c>
      <c r="Q28" s="480">
        <v>6854</v>
      </c>
      <c r="S28" s="159"/>
    </row>
    <row r="29" spans="1:19" ht="13" customHeight="1">
      <c r="A29" s="151"/>
      <c r="B29" s="30" t="s">
        <v>47</v>
      </c>
      <c r="C29" s="455">
        <v>827</v>
      </c>
      <c r="D29" s="455">
        <v>814</v>
      </c>
      <c r="E29" s="477">
        <v>831</v>
      </c>
      <c r="F29" s="477">
        <v>957</v>
      </c>
      <c r="G29" s="477">
        <v>1286</v>
      </c>
      <c r="H29" s="479">
        <v>1501</v>
      </c>
      <c r="I29" s="479">
        <v>1758</v>
      </c>
      <c r="J29" s="479">
        <v>1929</v>
      </c>
      <c r="K29" s="479">
        <v>1982</v>
      </c>
      <c r="L29" s="479">
        <v>1992</v>
      </c>
      <c r="M29" s="480">
        <v>2056</v>
      </c>
      <c r="N29" s="480">
        <v>2130</v>
      </c>
      <c r="O29" s="480">
        <v>3115</v>
      </c>
      <c r="P29" s="480">
        <v>3361</v>
      </c>
      <c r="Q29" s="480">
        <v>2359</v>
      </c>
      <c r="S29" s="159"/>
    </row>
    <row r="30" spans="1:19" ht="13" customHeight="1">
      <c r="A30" s="151"/>
      <c r="B30" s="29" t="s">
        <v>48</v>
      </c>
      <c r="C30" s="455">
        <v>2907</v>
      </c>
      <c r="D30" s="455">
        <v>2661</v>
      </c>
      <c r="E30" s="477">
        <v>3054</v>
      </c>
      <c r="F30" s="477">
        <v>3262</v>
      </c>
      <c r="G30" s="477">
        <v>3384</v>
      </c>
      <c r="H30" s="479">
        <v>3035</v>
      </c>
      <c r="I30" s="479">
        <v>2262</v>
      </c>
      <c r="J30" s="479">
        <v>1813</v>
      </c>
      <c r="K30" s="479">
        <v>1540</v>
      </c>
      <c r="L30" s="479">
        <v>994</v>
      </c>
      <c r="M30" s="480">
        <v>748</v>
      </c>
      <c r="N30" s="480">
        <v>939</v>
      </c>
      <c r="O30" s="480">
        <v>2377</v>
      </c>
      <c r="P30" s="480">
        <v>2472</v>
      </c>
      <c r="Q30" s="480">
        <v>2288</v>
      </c>
      <c r="S30" s="159"/>
    </row>
    <row r="31" spans="1:19" ht="13" customHeight="1" thickBot="1">
      <c r="A31" s="453"/>
      <c r="B31" s="454" t="s">
        <v>49</v>
      </c>
      <c r="C31" s="458">
        <v>2331</v>
      </c>
      <c r="D31" s="458">
        <v>2059</v>
      </c>
      <c r="E31" s="482">
        <v>2146</v>
      </c>
      <c r="F31" s="482">
        <v>2867</v>
      </c>
      <c r="G31" s="482">
        <v>2997</v>
      </c>
      <c r="H31" s="482">
        <v>2839</v>
      </c>
      <c r="I31" s="482">
        <v>2988</v>
      </c>
      <c r="J31" s="482">
        <v>2712</v>
      </c>
      <c r="K31" s="482">
        <v>2919</v>
      </c>
      <c r="L31" s="482">
        <v>2907</v>
      </c>
      <c r="M31" s="483">
        <v>2518</v>
      </c>
      <c r="N31" s="483">
        <v>2524</v>
      </c>
      <c r="O31" s="483">
        <v>2549</v>
      </c>
      <c r="P31" s="483">
        <v>2225</v>
      </c>
      <c r="Q31" s="483">
        <v>2072</v>
      </c>
      <c r="S31" s="159"/>
    </row>
    <row r="32" spans="1:19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8">
    <tabColor theme="9" tint="0.59999389629810485"/>
  </sheetPr>
  <dimension ref="A2:S37"/>
  <sheetViews>
    <sheetView showGridLines="0" zoomScale="150" zoomScaleNormal="150" workbookViewId="0">
      <selection activeCell="N50" sqref="N50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364</v>
      </c>
      <c r="B2" s="469"/>
    </row>
    <row r="3" spans="1:19" ht="13" customHeight="1">
      <c r="A3" s="470" t="s">
        <v>319</v>
      </c>
      <c r="B3" s="470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9" ht="15" customHeight="1">
      <c r="A6" s="1102" t="s">
        <v>106</v>
      </c>
      <c r="B6" s="1102"/>
      <c r="C6" s="460">
        <f t="shared" ref="C6:N6" si="0">(C8+C9+C10+C11+C12+C13+C14+C15+C16+C17+C18+C19+C20+C21+C22+C23+C24+C25+C26+C27+C28+C29+C30+C31)</f>
        <v>33686</v>
      </c>
      <c r="D6" s="460">
        <f t="shared" si="0"/>
        <v>33903</v>
      </c>
      <c r="E6" s="484">
        <f t="shared" si="0"/>
        <v>33839</v>
      </c>
      <c r="F6" s="484">
        <f t="shared" si="0"/>
        <v>33349</v>
      </c>
      <c r="G6" s="484">
        <f t="shared" si="0"/>
        <v>33457</v>
      </c>
      <c r="H6" s="484">
        <f t="shared" si="0"/>
        <v>33672</v>
      </c>
      <c r="I6" s="484">
        <f t="shared" si="0"/>
        <v>34253</v>
      </c>
      <c r="J6" s="484">
        <f t="shared" si="0"/>
        <v>35304</v>
      </c>
      <c r="K6" s="484">
        <f t="shared" si="0"/>
        <v>34904</v>
      </c>
      <c r="L6" s="484">
        <f t="shared" si="0"/>
        <v>34421</v>
      </c>
      <c r="M6" s="484">
        <f t="shared" si="0"/>
        <v>33165</v>
      </c>
      <c r="N6" s="484">
        <f t="shared" si="0"/>
        <v>33953</v>
      </c>
      <c r="O6" s="484">
        <f>(O8+O9+O10+O11+O12+O13+O14+O15+O16+O17+O18+O19+O20+O21+O22+O23+O24+O25+O26+O27+O28+O29+O30+O31)</f>
        <v>33456</v>
      </c>
      <c r="P6" s="484">
        <f>(P8+P9+P10+P11+P12+P13+P14+P15+P16+P17+P18+P19+P20+P21+P22+P23+P24+P25+P26+P27+P28+P29+P30+P31)</f>
        <v>33673</v>
      </c>
      <c r="Q6" s="484">
        <f>(Q8+Q9+Q10+Q11+Q12+Q13+Q14+Q15+Q16+Q17+Q18+Q19+Q20+Q21+Q22+Q23+Q24+Q25+Q26+Q27+Q28+Q29+Q30+Q31)</f>
        <v>33782</v>
      </c>
    </row>
    <row r="7" spans="1:19" ht="5" customHeight="1">
      <c r="A7" s="151"/>
      <c r="B7" s="152"/>
      <c r="C7" s="461"/>
      <c r="D7" s="461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90"/>
      <c r="P7" s="490"/>
      <c r="Q7" s="490"/>
    </row>
    <row r="8" spans="1:19" ht="13" customHeight="1">
      <c r="A8" s="151"/>
      <c r="B8" s="29" t="s">
        <v>21</v>
      </c>
      <c r="C8" s="455">
        <v>37</v>
      </c>
      <c r="D8" s="455">
        <v>43</v>
      </c>
      <c r="E8" s="486">
        <v>49</v>
      </c>
      <c r="F8" s="486">
        <v>57</v>
      </c>
      <c r="G8" s="486">
        <v>79</v>
      </c>
      <c r="H8" s="486">
        <v>96</v>
      </c>
      <c r="I8" s="486">
        <v>101</v>
      </c>
      <c r="J8" s="486">
        <v>95</v>
      </c>
      <c r="K8" s="486">
        <v>98</v>
      </c>
      <c r="L8" s="486">
        <v>102</v>
      </c>
      <c r="M8" s="487">
        <v>96</v>
      </c>
      <c r="N8" s="487">
        <v>21</v>
      </c>
      <c r="O8" s="490">
        <v>37</v>
      </c>
      <c r="P8" s="490">
        <v>34</v>
      </c>
      <c r="Q8" s="490">
        <v>33</v>
      </c>
    </row>
    <row r="9" spans="1:19" ht="13" customHeight="1">
      <c r="A9" s="151"/>
      <c r="B9" s="29" t="s">
        <v>22</v>
      </c>
      <c r="C9" s="455">
        <v>717</v>
      </c>
      <c r="D9" s="455">
        <v>650</v>
      </c>
      <c r="E9" s="486">
        <v>641</v>
      </c>
      <c r="F9" s="486">
        <v>669</v>
      </c>
      <c r="G9" s="486">
        <v>716</v>
      </c>
      <c r="H9" s="488">
        <v>756</v>
      </c>
      <c r="I9" s="488">
        <v>900</v>
      </c>
      <c r="J9" s="488">
        <v>1309</v>
      </c>
      <c r="K9" s="488">
        <v>1257</v>
      </c>
      <c r="L9" s="488">
        <v>1092</v>
      </c>
      <c r="M9" s="489">
        <v>1222</v>
      </c>
      <c r="N9" s="489">
        <v>1205</v>
      </c>
      <c r="O9" s="490">
        <v>1360</v>
      </c>
      <c r="P9" s="490">
        <v>1478</v>
      </c>
      <c r="Q9" s="490">
        <v>1493</v>
      </c>
      <c r="S9" s="159"/>
    </row>
    <row r="10" spans="1:19" ht="13" customHeight="1">
      <c r="A10" s="151"/>
      <c r="B10" s="29" t="s">
        <v>23</v>
      </c>
      <c r="C10" s="455">
        <v>390</v>
      </c>
      <c r="D10" s="455">
        <v>411</v>
      </c>
      <c r="E10" s="486">
        <v>464</v>
      </c>
      <c r="F10" s="486">
        <v>392</v>
      </c>
      <c r="G10" s="486">
        <v>439</v>
      </c>
      <c r="H10" s="488">
        <v>398</v>
      </c>
      <c r="I10" s="488">
        <v>454</v>
      </c>
      <c r="J10" s="488">
        <v>553</v>
      </c>
      <c r="K10" s="488">
        <v>583</v>
      </c>
      <c r="L10" s="488">
        <v>605</v>
      </c>
      <c r="M10" s="488">
        <v>577</v>
      </c>
      <c r="N10" s="488">
        <v>641</v>
      </c>
      <c r="O10" s="490">
        <v>539</v>
      </c>
      <c r="P10" s="490">
        <v>536</v>
      </c>
      <c r="Q10" s="490">
        <v>529</v>
      </c>
      <c r="S10" s="159"/>
    </row>
    <row r="11" spans="1:19" ht="13" customHeight="1">
      <c r="A11" s="151"/>
      <c r="B11" s="29" t="s">
        <v>24</v>
      </c>
      <c r="C11" s="455">
        <v>1793</v>
      </c>
      <c r="D11" s="455">
        <v>1846</v>
      </c>
      <c r="E11" s="486">
        <v>1994</v>
      </c>
      <c r="F11" s="486">
        <v>2023</v>
      </c>
      <c r="G11" s="486">
        <v>2075</v>
      </c>
      <c r="H11" s="488">
        <v>2111</v>
      </c>
      <c r="I11" s="488">
        <v>2132</v>
      </c>
      <c r="J11" s="486">
        <v>2135</v>
      </c>
      <c r="K11" s="486">
        <v>2231</v>
      </c>
      <c r="L11" s="486">
        <v>2316</v>
      </c>
      <c r="M11" s="487">
        <v>2370</v>
      </c>
      <c r="N11" s="487">
        <v>2406</v>
      </c>
      <c r="O11" s="490">
        <v>2422</v>
      </c>
      <c r="P11" s="490">
        <v>2453</v>
      </c>
      <c r="Q11" s="490">
        <v>2504</v>
      </c>
      <c r="S11" s="159"/>
    </row>
    <row r="12" spans="1:19" ht="13" customHeight="1">
      <c r="A12" s="151"/>
      <c r="B12" s="29" t="s">
        <v>25</v>
      </c>
      <c r="C12" s="455">
        <v>1511</v>
      </c>
      <c r="D12" s="455">
        <v>1597</v>
      </c>
      <c r="E12" s="486">
        <v>1709</v>
      </c>
      <c r="F12" s="486">
        <v>1546</v>
      </c>
      <c r="G12" s="486">
        <v>1618</v>
      </c>
      <c r="H12" s="486">
        <v>1631</v>
      </c>
      <c r="I12" s="486">
        <v>1601</v>
      </c>
      <c r="J12" s="486">
        <v>1547</v>
      </c>
      <c r="K12" s="486">
        <v>1771</v>
      </c>
      <c r="L12" s="486">
        <v>1834</v>
      </c>
      <c r="M12" s="487">
        <v>1556</v>
      </c>
      <c r="N12" s="487">
        <v>1467</v>
      </c>
      <c r="O12" s="490">
        <v>1219</v>
      </c>
      <c r="P12" s="490">
        <v>1185</v>
      </c>
      <c r="Q12" s="490">
        <v>1211</v>
      </c>
      <c r="S12" s="159"/>
    </row>
    <row r="13" spans="1:19" ht="13" customHeight="1">
      <c r="A13" s="151"/>
      <c r="B13" s="29" t="s">
        <v>29</v>
      </c>
      <c r="C13" s="455">
        <v>69</v>
      </c>
      <c r="D13" s="455">
        <v>68</v>
      </c>
      <c r="E13" s="486">
        <v>60</v>
      </c>
      <c r="F13" s="486">
        <v>58</v>
      </c>
      <c r="G13" s="486">
        <v>72</v>
      </c>
      <c r="H13" s="486">
        <v>80</v>
      </c>
      <c r="I13" s="486">
        <v>78</v>
      </c>
      <c r="J13" s="486">
        <v>88</v>
      </c>
      <c r="K13" s="486">
        <v>87</v>
      </c>
      <c r="L13" s="486">
        <v>82</v>
      </c>
      <c r="M13" s="486">
        <v>76</v>
      </c>
      <c r="N13" s="486">
        <v>57</v>
      </c>
      <c r="O13" s="490">
        <v>51</v>
      </c>
      <c r="P13" s="490">
        <v>54</v>
      </c>
      <c r="Q13" s="490">
        <v>56</v>
      </c>
      <c r="S13" s="159"/>
    </row>
    <row r="14" spans="1:19" ht="13" customHeight="1">
      <c r="A14" s="151"/>
      <c r="B14" s="29" t="s">
        <v>30</v>
      </c>
      <c r="C14" s="455">
        <v>948</v>
      </c>
      <c r="D14" s="455">
        <v>986</v>
      </c>
      <c r="E14" s="486">
        <v>985</v>
      </c>
      <c r="F14" s="486">
        <v>1048</v>
      </c>
      <c r="G14" s="486">
        <v>1155</v>
      </c>
      <c r="H14" s="488">
        <v>1158</v>
      </c>
      <c r="I14" s="488">
        <v>1197</v>
      </c>
      <c r="J14" s="488">
        <v>1210</v>
      </c>
      <c r="K14" s="488">
        <v>1228</v>
      </c>
      <c r="L14" s="488">
        <v>1242</v>
      </c>
      <c r="M14" s="487">
        <v>1304</v>
      </c>
      <c r="N14" s="487">
        <v>1365</v>
      </c>
      <c r="O14" s="490">
        <v>1376</v>
      </c>
      <c r="P14" s="490">
        <v>1398</v>
      </c>
      <c r="Q14" s="490">
        <v>1403</v>
      </c>
      <c r="S14" s="159"/>
    </row>
    <row r="15" spans="1:19" ht="13" customHeight="1">
      <c r="A15" s="151"/>
      <c r="B15" s="29" t="s">
        <v>31</v>
      </c>
      <c r="C15" s="455">
        <v>1149</v>
      </c>
      <c r="D15" s="455">
        <v>1244</v>
      </c>
      <c r="E15" s="486">
        <v>1230</v>
      </c>
      <c r="F15" s="486">
        <v>1220</v>
      </c>
      <c r="G15" s="486">
        <v>1287</v>
      </c>
      <c r="H15" s="488">
        <v>1321</v>
      </c>
      <c r="I15" s="488">
        <v>1355</v>
      </c>
      <c r="J15" s="488">
        <v>1371</v>
      </c>
      <c r="K15" s="488">
        <v>1327</v>
      </c>
      <c r="L15" s="488">
        <v>1308</v>
      </c>
      <c r="M15" s="487">
        <v>1110</v>
      </c>
      <c r="N15" s="487">
        <v>1036</v>
      </c>
      <c r="O15" s="490">
        <v>976</v>
      </c>
      <c r="P15" s="490">
        <v>821</v>
      </c>
      <c r="Q15" s="490">
        <v>793</v>
      </c>
      <c r="S15" s="159"/>
    </row>
    <row r="16" spans="1:19" ht="13" customHeight="1">
      <c r="A16" s="151"/>
      <c r="B16" s="29" t="s">
        <v>32</v>
      </c>
      <c r="C16" s="455">
        <v>69</v>
      </c>
      <c r="D16" s="457">
        <v>70</v>
      </c>
      <c r="E16" s="490">
        <v>73</v>
      </c>
      <c r="F16" s="490">
        <v>72</v>
      </c>
      <c r="G16" s="490">
        <v>73</v>
      </c>
      <c r="H16" s="488">
        <v>84</v>
      </c>
      <c r="I16" s="488">
        <v>89</v>
      </c>
      <c r="J16" s="488">
        <v>75</v>
      </c>
      <c r="K16" s="488">
        <v>80</v>
      </c>
      <c r="L16" s="488">
        <v>91</v>
      </c>
      <c r="M16" s="488">
        <v>90</v>
      </c>
      <c r="N16" s="488">
        <v>80</v>
      </c>
      <c r="O16" s="490">
        <v>61</v>
      </c>
      <c r="P16" s="490">
        <v>77</v>
      </c>
      <c r="Q16" s="490">
        <v>128</v>
      </c>
      <c r="S16" s="159"/>
    </row>
    <row r="17" spans="1:19" ht="13" customHeight="1">
      <c r="A17" s="151"/>
      <c r="B17" s="29" t="s">
        <v>33</v>
      </c>
      <c r="C17" s="455">
        <v>2504</v>
      </c>
      <c r="D17" s="455">
        <v>2336</v>
      </c>
      <c r="E17" s="486">
        <v>2095</v>
      </c>
      <c r="F17" s="486">
        <v>1928</v>
      </c>
      <c r="G17" s="486">
        <v>1810</v>
      </c>
      <c r="H17" s="488">
        <v>1707</v>
      </c>
      <c r="I17" s="488">
        <v>1466</v>
      </c>
      <c r="J17" s="488">
        <v>1454</v>
      </c>
      <c r="K17" s="488">
        <v>1528</v>
      </c>
      <c r="L17" s="488">
        <v>1478</v>
      </c>
      <c r="M17" s="487">
        <v>1629</v>
      </c>
      <c r="N17" s="487">
        <v>1693</v>
      </c>
      <c r="O17" s="490">
        <v>1751</v>
      </c>
      <c r="P17" s="490">
        <v>1871</v>
      </c>
      <c r="Q17" s="490">
        <v>1799</v>
      </c>
      <c r="S17" s="159"/>
    </row>
    <row r="18" spans="1:19" ht="13" customHeight="1">
      <c r="A18" s="151"/>
      <c r="B18" s="29" t="s">
        <v>34</v>
      </c>
      <c r="C18" s="455">
        <v>1744</v>
      </c>
      <c r="D18" s="455">
        <v>1784</v>
      </c>
      <c r="E18" s="486">
        <v>1887</v>
      </c>
      <c r="F18" s="486">
        <v>2262</v>
      </c>
      <c r="G18" s="486">
        <v>2064</v>
      </c>
      <c r="H18" s="488">
        <v>1859</v>
      </c>
      <c r="I18" s="488">
        <v>2101</v>
      </c>
      <c r="J18" s="488">
        <v>1897</v>
      </c>
      <c r="K18" s="488">
        <v>1901</v>
      </c>
      <c r="L18" s="488">
        <v>1693</v>
      </c>
      <c r="M18" s="487">
        <v>1560</v>
      </c>
      <c r="N18" s="487">
        <v>1307</v>
      </c>
      <c r="O18" s="490">
        <v>1381</v>
      </c>
      <c r="P18" s="490">
        <v>1319</v>
      </c>
      <c r="Q18" s="490">
        <v>1338</v>
      </c>
      <c r="S18" s="159"/>
    </row>
    <row r="19" spans="1:19" ht="13" customHeight="1">
      <c r="A19" s="151"/>
      <c r="B19" s="29" t="s">
        <v>35</v>
      </c>
      <c r="C19" s="455">
        <v>2597</v>
      </c>
      <c r="D19" s="455">
        <v>2575</v>
      </c>
      <c r="E19" s="486">
        <v>2640</v>
      </c>
      <c r="F19" s="486">
        <v>2307</v>
      </c>
      <c r="G19" s="486">
        <v>2013</v>
      </c>
      <c r="H19" s="488">
        <v>2113</v>
      </c>
      <c r="I19" s="488">
        <v>2224</v>
      </c>
      <c r="J19" s="488">
        <v>2327</v>
      </c>
      <c r="K19" s="488">
        <v>2526</v>
      </c>
      <c r="L19" s="488">
        <v>2605</v>
      </c>
      <c r="M19" s="487">
        <v>2964</v>
      </c>
      <c r="N19" s="487">
        <v>2951</v>
      </c>
      <c r="O19" s="490">
        <v>3300</v>
      </c>
      <c r="P19" s="490">
        <v>3325</v>
      </c>
      <c r="Q19" s="490">
        <v>3285</v>
      </c>
      <c r="S19" s="159"/>
    </row>
    <row r="20" spans="1:19" ht="13" customHeight="1">
      <c r="A20" s="151"/>
      <c r="B20" s="29" t="s">
        <v>36</v>
      </c>
      <c r="C20" s="455">
        <v>1471</v>
      </c>
      <c r="D20" s="455">
        <v>1329</v>
      </c>
      <c r="E20" s="486">
        <v>1357</v>
      </c>
      <c r="F20" s="486">
        <v>1181</v>
      </c>
      <c r="G20" s="486">
        <v>1223</v>
      </c>
      <c r="H20" s="488">
        <v>1225</v>
      </c>
      <c r="I20" s="488">
        <v>1322</v>
      </c>
      <c r="J20" s="488">
        <v>1433</v>
      </c>
      <c r="K20" s="488">
        <v>1510</v>
      </c>
      <c r="L20" s="488">
        <v>1663</v>
      </c>
      <c r="M20" s="487">
        <v>1660</v>
      </c>
      <c r="N20" s="487">
        <v>1536</v>
      </c>
      <c r="O20" s="490">
        <v>1601</v>
      </c>
      <c r="P20" s="490">
        <v>1395</v>
      </c>
      <c r="Q20" s="490">
        <v>1441</v>
      </c>
      <c r="S20" s="159"/>
    </row>
    <row r="21" spans="1:19" ht="13" customHeight="1">
      <c r="A21" s="151"/>
      <c r="B21" s="29" t="s">
        <v>37</v>
      </c>
      <c r="C21" s="455">
        <v>1237</v>
      </c>
      <c r="D21" s="455">
        <v>1237</v>
      </c>
      <c r="E21" s="486">
        <v>1098</v>
      </c>
      <c r="F21" s="486">
        <v>1065</v>
      </c>
      <c r="G21" s="486">
        <v>992</v>
      </c>
      <c r="H21" s="488">
        <v>875</v>
      </c>
      <c r="I21" s="488">
        <v>892</v>
      </c>
      <c r="J21" s="488">
        <v>1049</v>
      </c>
      <c r="K21" s="488">
        <v>1455</v>
      </c>
      <c r="L21" s="488">
        <v>1533</v>
      </c>
      <c r="M21" s="487">
        <v>1590</v>
      </c>
      <c r="N21" s="487">
        <v>2635</v>
      </c>
      <c r="O21" s="490">
        <v>2024</v>
      </c>
      <c r="P21" s="490">
        <v>2094</v>
      </c>
      <c r="Q21" s="490">
        <v>2148</v>
      </c>
      <c r="S21" s="159"/>
    </row>
    <row r="22" spans="1:19" ht="13" customHeight="1">
      <c r="A22" s="151"/>
      <c r="B22" s="29" t="s">
        <v>38</v>
      </c>
      <c r="C22" s="455">
        <v>104</v>
      </c>
      <c r="D22" s="455">
        <v>107</v>
      </c>
      <c r="E22" s="486">
        <v>110</v>
      </c>
      <c r="F22" s="486">
        <v>102</v>
      </c>
      <c r="G22" s="486">
        <v>119</v>
      </c>
      <c r="H22" s="488">
        <v>122</v>
      </c>
      <c r="I22" s="488">
        <v>124</v>
      </c>
      <c r="J22" s="488">
        <v>105</v>
      </c>
      <c r="K22" s="488">
        <v>111</v>
      </c>
      <c r="L22" s="488">
        <v>100</v>
      </c>
      <c r="M22" s="487">
        <v>98</v>
      </c>
      <c r="N22" s="487">
        <v>95</v>
      </c>
      <c r="O22" s="490">
        <v>84</v>
      </c>
      <c r="P22" s="490">
        <v>87</v>
      </c>
      <c r="Q22" s="490">
        <v>82</v>
      </c>
      <c r="S22" s="159"/>
    </row>
    <row r="23" spans="1:19" ht="13" customHeight="1">
      <c r="A23" s="151"/>
      <c r="B23" s="29" t="s">
        <v>39</v>
      </c>
      <c r="C23" s="455">
        <v>174</v>
      </c>
      <c r="D23" s="455">
        <v>166</v>
      </c>
      <c r="E23" s="486">
        <v>152</v>
      </c>
      <c r="F23" s="486">
        <v>153</v>
      </c>
      <c r="G23" s="486">
        <v>152</v>
      </c>
      <c r="H23" s="488">
        <v>163</v>
      </c>
      <c r="I23" s="488">
        <v>142</v>
      </c>
      <c r="J23" s="488">
        <v>173</v>
      </c>
      <c r="K23" s="488">
        <v>176</v>
      </c>
      <c r="L23" s="488">
        <v>180</v>
      </c>
      <c r="M23" s="487">
        <v>178</v>
      </c>
      <c r="N23" s="487">
        <v>180</v>
      </c>
      <c r="O23" s="490">
        <v>182</v>
      </c>
      <c r="P23" s="490">
        <v>183</v>
      </c>
      <c r="Q23" s="490">
        <v>187</v>
      </c>
      <c r="S23" s="159"/>
    </row>
    <row r="24" spans="1:19" ht="13" customHeight="1">
      <c r="A24" s="151"/>
      <c r="B24" s="29" t="s">
        <v>40</v>
      </c>
      <c r="C24" s="455">
        <v>2045</v>
      </c>
      <c r="D24" s="455">
        <v>1936</v>
      </c>
      <c r="E24" s="486">
        <v>2001</v>
      </c>
      <c r="F24" s="486">
        <v>1853</v>
      </c>
      <c r="G24" s="486">
        <v>2068</v>
      </c>
      <c r="H24" s="488">
        <v>2130</v>
      </c>
      <c r="I24" s="488">
        <v>2269</v>
      </c>
      <c r="J24" s="488">
        <v>2448</v>
      </c>
      <c r="K24" s="488">
        <v>2458</v>
      </c>
      <c r="L24" s="488">
        <v>1887</v>
      </c>
      <c r="M24" s="487">
        <v>1893</v>
      </c>
      <c r="N24" s="487">
        <v>1908</v>
      </c>
      <c r="O24" s="490">
        <v>1839</v>
      </c>
      <c r="P24" s="490">
        <v>1779</v>
      </c>
      <c r="Q24" s="490">
        <v>1958</v>
      </c>
      <c r="S24" s="159"/>
    </row>
    <row r="25" spans="1:19" ht="13" customHeight="1">
      <c r="A25" s="151"/>
      <c r="B25" s="29" t="s">
        <v>41</v>
      </c>
      <c r="C25" s="455">
        <v>923</v>
      </c>
      <c r="D25" s="455">
        <v>939</v>
      </c>
      <c r="E25" s="486">
        <v>1053</v>
      </c>
      <c r="F25" s="486">
        <v>1000</v>
      </c>
      <c r="G25" s="486">
        <v>1001</v>
      </c>
      <c r="H25" s="486">
        <v>982</v>
      </c>
      <c r="I25" s="486">
        <v>909</v>
      </c>
      <c r="J25" s="486">
        <v>910</v>
      </c>
      <c r="K25" s="486">
        <v>936</v>
      </c>
      <c r="L25" s="486">
        <v>968</v>
      </c>
      <c r="M25" s="487">
        <v>955</v>
      </c>
      <c r="N25" s="487">
        <v>962</v>
      </c>
      <c r="O25" s="490">
        <v>960</v>
      </c>
      <c r="P25" s="490">
        <v>932</v>
      </c>
      <c r="Q25" s="490">
        <v>920</v>
      </c>
      <c r="S25" s="159"/>
    </row>
    <row r="26" spans="1:19" ht="13" customHeight="1">
      <c r="A26" s="151"/>
      <c r="B26" s="29" t="s">
        <v>44</v>
      </c>
      <c r="C26" s="455">
        <v>3756</v>
      </c>
      <c r="D26" s="455">
        <v>4105</v>
      </c>
      <c r="E26" s="486">
        <v>3616</v>
      </c>
      <c r="F26" s="486">
        <v>3766</v>
      </c>
      <c r="G26" s="486">
        <v>3762</v>
      </c>
      <c r="H26" s="488">
        <v>4018</v>
      </c>
      <c r="I26" s="488">
        <v>3929</v>
      </c>
      <c r="J26" s="488">
        <v>4070</v>
      </c>
      <c r="K26" s="488">
        <v>2865</v>
      </c>
      <c r="L26" s="488">
        <v>3109</v>
      </c>
      <c r="M26" s="487">
        <v>3222</v>
      </c>
      <c r="N26" s="487">
        <v>3235</v>
      </c>
      <c r="O26" s="490">
        <v>3232</v>
      </c>
      <c r="P26" s="490">
        <v>3710</v>
      </c>
      <c r="Q26" s="490">
        <v>3631</v>
      </c>
      <c r="S26" s="159"/>
    </row>
    <row r="27" spans="1:19" ht="13" customHeight="1">
      <c r="A27" s="151"/>
      <c r="B27" s="29" t="s">
        <v>45</v>
      </c>
      <c r="C27" s="455">
        <v>10246</v>
      </c>
      <c r="D27" s="455">
        <v>10288</v>
      </c>
      <c r="E27" s="486">
        <v>10431</v>
      </c>
      <c r="F27" s="486">
        <v>10445</v>
      </c>
      <c r="G27" s="486">
        <v>10534</v>
      </c>
      <c r="H27" s="488">
        <v>10653</v>
      </c>
      <c r="I27" s="488">
        <v>10759</v>
      </c>
      <c r="J27" s="488">
        <v>10869</v>
      </c>
      <c r="K27" s="488">
        <v>10609</v>
      </c>
      <c r="L27" s="488">
        <v>10379</v>
      </c>
      <c r="M27" s="487">
        <v>8876</v>
      </c>
      <c r="N27" s="487">
        <v>9034</v>
      </c>
      <c r="O27" s="490">
        <v>8891</v>
      </c>
      <c r="P27" s="490">
        <v>8767</v>
      </c>
      <c r="Q27" s="490">
        <v>8679</v>
      </c>
      <c r="S27" s="159"/>
    </row>
    <row r="28" spans="1:19" ht="13" customHeight="1">
      <c r="A28" s="151"/>
      <c r="B28" s="150" t="s">
        <v>46</v>
      </c>
      <c r="C28" s="455">
        <v>97</v>
      </c>
      <c r="D28" s="455">
        <v>92</v>
      </c>
      <c r="E28" s="486">
        <v>90</v>
      </c>
      <c r="F28" s="486">
        <v>98</v>
      </c>
      <c r="G28" s="486">
        <v>93</v>
      </c>
      <c r="H28" s="488">
        <v>85</v>
      </c>
      <c r="I28" s="488">
        <v>105</v>
      </c>
      <c r="J28" s="488">
        <v>91</v>
      </c>
      <c r="K28" s="488">
        <v>74</v>
      </c>
      <c r="L28" s="488">
        <v>63</v>
      </c>
      <c r="M28" s="489">
        <v>62</v>
      </c>
      <c r="N28" s="489">
        <v>57</v>
      </c>
      <c r="O28" s="490">
        <v>60</v>
      </c>
      <c r="P28" s="490">
        <v>67</v>
      </c>
      <c r="Q28" s="490">
        <v>71</v>
      </c>
      <c r="S28" s="159"/>
    </row>
    <row r="29" spans="1:19" ht="13" customHeight="1">
      <c r="A29" s="151"/>
      <c r="B29" s="30" t="s">
        <v>47</v>
      </c>
      <c r="C29" s="455">
        <v>12</v>
      </c>
      <c r="D29" s="455">
        <v>10</v>
      </c>
      <c r="E29" s="486">
        <v>12</v>
      </c>
      <c r="F29" s="486">
        <v>15</v>
      </c>
      <c r="G29" s="486">
        <v>19</v>
      </c>
      <c r="H29" s="488">
        <v>21</v>
      </c>
      <c r="I29" s="488">
        <v>24</v>
      </c>
      <c r="J29" s="488">
        <v>25</v>
      </c>
      <c r="K29" s="488">
        <v>27</v>
      </c>
      <c r="L29" s="488">
        <v>27</v>
      </c>
      <c r="M29" s="489">
        <v>26</v>
      </c>
      <c r="N29" s="489">
        <v>26</v>
      </c>
      <c r="O29" s="490">
        <v>36</v>
      </c>
      <c r="P29" s="490">
        <v>39</v>
      </c>
      <c r="Q29" s="490">
        <v>29</v>
      </c>
      <c r="S29" s="159"/>
    </row>
    <row r="30" spans="1:19" ht="13" customHeight="1">
      <c r="A30" s="151"/>
      <c r="B30" s="29" t="s">
        <v>48</v>
      </c>
      <c r="C30" s="455">
        <v>52</v>
      </c>
      <c r="D30" s="455">
        <v>48</v>
      </c>
      <c r="E30" s="486">
        <v>54</v>
      </c>
      <c r="F30" s="486">
        <v>38</v>
      </c>
      <c r="G30" s="486">
        <v>39</v>
      </c>
      <c r="H30" s="488">
        <v>34</v>
      </c>
      <c r="I30" s="488">
        <v>26</v>
      </c>
      <c r="J30" s="488">
        <v>20</v>
      </c>
      <c r="K30" s="488">
        <v>17</v>
      </c>
      <c r="L30" s="488">
        <v>12</v>
      </c>
      <c r="M30" s="489">
        <v>9</v>
      </c>
      <c r="N30" s="489">
        <v>11</v>
      </c>
      <c r="O30" s="490">
        <v>28</v>
      </c>
      <c r="P30" s="490">
        <v>30</v>
      </c>
      <c r="Q30" s="490">
        <v>28</v>
      </c>
      <c r="S30" s="159"/>
    </row>
    <row r="31" spans="1:19" ht="13" customHeight="1" thickBot="1">
      <c r="A31" s="453"/>
      <c r="B31" s="454" t="s">
        <v>49</v>
      </c>
      <c r="C31" s="458">
        <v>41</v>
      </c>
      <c r="D31" s="458">
        <v>36</v>
      </c>
      <c r="E31" s="491">
        <v>38</v>
      </c>
      <c r="F31" s="491">
        <v>51</v>
      </c>
      <c r="G31" s="491">
        <v>54</v>
      </c>
      <c r="H31" s="491">
        <v>50</v>
      </c>
      <c r="I31" s="491">
        <v>54</v>
      </c>
      <c r="J31" s="491">
        <v>50</v>
      </c>
      <c r="K31" s="491">
        <v>49</v>
      </c>
      <c r="L31" s="491">
        <v>52</v>
      </c>
      <c r="M31" s="492">
        <v>42</v>
      </c>
      <c r="N31" s="492">
        <v>45</v>
      </c>
      <c r="O31" s="741">
        <v>46</v>
      </c>
      <c r="P31" s="741">
        <v>39</v>
      </c>
      <c r="Q31" s="741">
        <v>36</v>
      </c>
      <c r="S31" s="159"/>
    </row>
    <row r="32" spans="1:19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66"/>
      <c r="P32" s="466"/>
      <c r="Q32" s="466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6"/>
      <c r="Q33" s="466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6"/>
      <c r="Q34" s="466"/>
    </row>
    <row r="35" spans="1:17" ht="13" customHeight="1">
      <c r="P35" s="159"/>
      <c r="Q35" s="159"/>
    </row>
    <row r="36" spans="1:17" ht="13" customHeight="1">
      <c r="P36" s="159"/>
      <c r="Q36" s="159"/>
    </row>
    <row r="37" spans="1:17" ht="13" customHeight="1">
      <c r="P37" s="159"/>
      <c r="Q37" s="15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9">
    <tabColor theme="9" tint="0.59999389629810485"/>
  </sheetPr>
  <dimension ref="A2:Q36"/>
  <sheetViews>
    <sheetView showGridLines="0" topLeftCell="A2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7" ht="13" customHeight="1">
      <c r="A2" s="468" t="s">
        <v>363</v>
      </c>
      <c r="B2" s="469"/>
    </row>
    <row r="3" spans="1:17" ht="13" customHeight="1">
      <c r="A3" s="470" t="s">
        <v>375</v>
      </c>
      <c r="B3" s="470"/>
    </row>
    <row r="4" spans="1:17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7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7" ht="15" customHeight="1">
      <c r="A6" s="1102" t="s">
        <v>114</v>
      </c>
      <c r="B6" s="1102"/>
      <c r="C6" s="493">
        <v>3.31</v>
      </c>
      <c r="D6" s="493">
        <v>3.32</v>
      </c>
      <c r="E6" s="493">
        <v>3.49</v>
      </c>
      <c r="F6" s="493">
        <v>3.9</v>
      </c>
      <c r="G6" s="493">
        <v>4.13</v>
      </c>
      <c r="H6" s="493">
        <v>4.46</v>
      </c>
      <c r="I6" s="493">
        <v>4.5199999999999996</v>
      </c>
      <c r="J6" s="493">
        <v>4.9000000000000004</v>
      </c>
      <c r="K6" s="493">
        <v>5.04</v>
      </c>
      <c r="L6" s="493">
        <v>5.73</v>
      </c>
      <c r="M6" s="493">
        <v>5.79</v>
      </c>
      <c r="N6" s="493">
        <v>5.91</v>
      </c>
      <c r="O6" s="493">
        <v>5.6</v>
      </c>
      <c r="P6" s="493">
        <v>5.56</v>
      </c>
      <c r="Q6" s="493">
        <v>5.6</v>
      </c>
    </row>
    <row r="7" spans="1:17" ht="5" customHeight="1">
      <c r="A7" s="151"/>
      <c r="B7" s="152"/>
      <c r="C7" s="494"/>
      <c r="D7" s="494"/>
      <c r="E7" s="494"/>
      <c r="F7" s="494"/>
      <c r="G7" s="494"/>
      <c r="H7" s="494"/>
      <c r="I7" s="494"/>
      <c r="J7" s="494"/>
      <c r="K7" s="494"/>
      <c r="L7" s="494"/>
      <c r="M7" s="494"/>
      <c r="N7" s="494"/>
      <c r="O7" s="494"/>
      <c r="P7" s="494"/>
      <c r="Q7" s="494"/>
    </row>
    <row r="8" spans="1:17" ht="13" customHeight="1">
      <c r="A8" s="151"/>
      <c r="B8" s="29" t="s">
        <v>21</v>
      </c>
      <c r="C8" s="495">
        <v>4.01</v>
      </c>
      <c r="D8" s="495">
        <v>3.68</v>
      </c>
      <c r="E8" s="495">
        <v>3.73</v>
      </c>
      <c r="F8" s="495">
        <v>3.76</v>
      </c>
      <c r="G8" s="495">
        <v>3.85</v>
      </c>
      <c r="H8" s="495">
        <v>3.55</v>
      </c>
      <c r="I8" s="495">
        <v>4.01</v>
      </c>
      <c r="J8" s="495">
        <v>4.01</v>
      </c>
      <c r="K8" s="495">
        <v>4.54</v>
      </c>
      <c r="L8" s="495">
        <v>4.51</v>
      </c>
      <c r="M8" s="495">
        <v>5.62</v>
      </c>
      <c r="N8" s="495">
        <v>5.5</v>
      </c>
      <c r="O8" s="495">
        <v>5.49</v>
      </c>
      <c r="P8" s="495">
        <v>5.56</v>
      </c>
      <c r="Q8" s="495">
        <v>5.5</v>
      </c>
    </row>
    <row r="9" spans="1:17" ht="13" customHeight="1">
      <c r="A9" s="151"/>
      <c r="B9" s="29" t="s">
        <v>22</v>
      </c>
      <c r="C9" s="495">
        <v>2.99</v>
      </c>
      <c r="D9" s="495">
        <v>3.07</v>
      </c>
      <c r="E9" s="495">
        <v>3.32</v>
      </c>
      <c r="F9" s="495">
        <v>3.87</v>
      </c>
      <c r="G9" s="495">
        <v>4.0999999999999996</v>
      </c>
      <c r="H9" s="495">
        <v>4.2300000000000004</v>
      </c>
      <c r="I9" s="495">
        <v>4.1399999999999997</v>
      </c>
      <c r="J9" s="495">
        <v>4.18</v>
      </c>
      <c r="K9" s="495">
        <v>4.25</v>
      </c>
      <c r="L9" s="495">
        <v>4.45</v>
      </c>
      <c r="M9" s="495">
        <v>5.39</v>
      </c>
      <c r="N9" s="495">
        <v>5.8</v>
      </c>
      <c r="O9" s="495">
        <v>5.68</v>
      </c>
      <c r="P9" s="495">
        <v>5.62</v>
      </c>
      <c r="Q9" s="495">
        <v>5.61</v>
      </c>
    </row>
    <row r="10" spans="1:17" ht="13" customHeight="1">
      <c r="A10" s="151"/>
      <c r="B10" s="29" t="s">
        <v>23</v>
      </c>
      <c r="C10" s="495">
        <v>3.44</v>
      </c>
      <c r="D10" s="495">
        <v>3.27</v>
      </c>
      <c r="E10" s="495">
        <v>3.64</v>
      </c>
      <c r="F10" s="495">
        <v>3.83</v>
      </c>
      <c r="G10" s="495">
        <v>4.21</v>
      </c>
      <c r="H10" s="495">
        <v>4.17</v>
      </c>
      <c r="I10" s="495">
        <v>4.1500000000000004</v>
      </c>
      <c r="J10" s="495">
        <v>4.3499999999999996</v>
      </c>
      <c r="K10" s="495">
        <v>4.46</v>
      </c>
      <c r="L10" s="495">
        <v>4.8600000000000003</v>
      </c>
      <c r="M10" s="495">
        <v>5.31</v>
      </c>
      <c r="N10" s="495">
        <v>5.81</v>
      </c>
      <c r="O10" s="495">
        <v>5.78</v>
      </c>
      <c r="P10" s="495">
        <v>5.73</v>
      </c>
      <c r="Q10" s="495">
        <v>5.77</v>
      </c>
    </row>
    <row r="11" spans="1:17" ht="13" customHeight="1">
      <c r="A11" s="151"/>
      <c r="B11" s="29" t="s">
        <v>24</v>
      </c>
      <c r="C11" s="495">
        <v>3.36</v>
      </c>
      <c r="D11" s="495">
        <v>3.43</v>
      </c>
      <c r="E11" s="495">
        <v>3.65</v>
      </c>
      <c r="F11" s="495">
        <v>3.9</v>
      </c>
      <c r="G11" s="495">
        <v>3.72</v>
      </c>
      <c r="H11" s="495">
        <v>3.24</v>
      </c>
      <c r="I11" s="495">
        <v>4</v>
      </c>
      <c r="J11" s="495">
        <v>4.62</v>
      </c>
      <c r="K11" s="495">
        <v>4.91</v>
      </c>
      <c r="L11" s="495">
        <v>4.91</v>
      </c>
      <c r="M11" s="495">
        <v>5.05</v>
      </c>
      <c r="N11" s="495">
        <v>5.3</v>
      </c>
      <c r="O11" s="495">
        <v>5.55</v>
      </c>
      <c r="P11" s="495">
        <v>5.68</v>
      </c>
      <c r="Q11" s="495">
        <v>5.75</v>
      </c>
    </row>
    <row r="12" spans="1:17" ht="13" customHeight="1">
      <c r="A12" s="151"/>
      <c r="B12" s="29" t="s">
        <v>25</v>
      </c>
      <c r="C12" s="495">
        <v>3.9</v>
      </c>
      <c r="D12" s="495">
        <v>3.63</v>
      </c>
      <c r="E12" s="495">
        <v>3.53</v>
      </c>
      <c r="F12" s="495">
        <v>3.87</v>
      </c>
      <c r="G12" s="495">
        <v>3.96</v>
      </c>
      <c r="H12" s="495">
        <v>3.94</v>
      </c>
      <c r="I12" s="495">
        <v>4.08</v>
      </c>
      <c r="J12" s="495">
        <v>4.59</v>
      </c>
      <c r="K12" s="495">
        <v>4.6399999999999997</v>
      </c>
      <c r="L12" s="495">
        <v>4.9000000000000004</v>
      </c>
      <c r="M12" s="495">
        <v>4.9400000000000004</v>
      </c>
      <c r="N12" s="495">
        <v>4.9400000000000004</v>
      </c>
      <c r="O12" s="495">
        <v>4.8499999999999996</v>
      </c>
      <c r="P12" s="495">
        <v>4.8</v>
      </c>
      <c r="Q12" s="495">
        <v>4.76</v>
      </c>
    </row>
    <row r="13" spans="1:17" ht="13" customHeight="1">
      <c r="A13" s="151"/>
      <c r="B13" s="29" t="s">
        <v>29</v>
      </c>
      <c r="C13" s="495">
        <v>3.87</v>
      </c>
      <c r="D13" s="495">
        <v>3.81</v>
      </c>
      <c r="E13" s="495">
        <v>3.75</v>
      </c>
      <c r="F13" s="495">
        <v>3.67</v>
      </c>
      <c r="G13" s="495">
        <v>3.98</v>
      </c>
      <c r="H13" s="495">
        <v>4.0599999999999996</v>
      </c>
      <c r="I13" s="495">
        <v>4.5999999999999996</v>
      </c>
      <c r="J13" s="495">
        <v>4.4000000000000004</v>
      </c>
      <c r="K13" s="495">
        <v>4.3600000000000003</v>
      </c>
      <c r="L13" s="495">
        <v>6.42</v>
      </c>
      <c r="M13" s="495">
        <v>5.4</v>
      </c>
      <c r="N13" s="495">
        <v>5.49</v>
      </c>
      <c r="O13" s="495">
        <v>5.47</v>
      </c>
      <c r="P13" s="495">
        <v>5.33</v>
      </c>
      <c r="Q13" s="495">
        <v>5.24</v>
      </c>
    </row>
    <row r="14" spans="1:17" ht="13" customHeight="1">
      <c r="A14" s="151"/>
      <c r="B14" s="29" t="s">
        <v>30</v>
      </c>
      <c r="C14" s="495">
        <v>3.32</v>
      </c>
      <c r="D14" s="495">
        <v>3.75</v>
      </c>
      <c r="E14" s="495">
        <v>4.03</v>
      </c>
      <c r="F14" s="495">
        <v>4.32</v>
      </c>
      <c r="G14" s="495">
        <v>4.1399999999999997</v>
      </c>
      <c r="H14" s="495">
        <v>3.66</v>
      </c>
      <c r="I14" s="495">
        <v>3.78</v>
      </c>
      <c r="J14" s="495">
        <v>4.66</v>
      </c>
      <c r="K14" s="495">
        <v>4.97</v>
      </c>
      <c r="L14" s="495">
        <v>4.71</v>
      </c>
      <c r="M14" s="495">
        <v>4.8099999999999996</v>
      </c>
      <c r="N14" s="495">
        <v>4.9400000000000004</v>
      </c>
      <c r="O14" s="495">
        <v>4.78</v>
      </c>
      <c r="P14" s="495">
        <v>4.83</v>
      </c>
      <c r="Q14" s="495">
        <v>4.7699999999999996</v>
      </c>
    </row>
    <row r="15" spans="1:17" ht="13" customHeight="1">
      <c r="A15" s="151"/>
      <c r="B15" s="29" t="s">
        <v>31</v>
      </c>
      <c r="C15" s="495">
        <v>3.43</v>
      </c>
      <c r="D15" s="495">
        <v>3.49</v>
      </c>
      <c r="E15" s="495">
        <v>3.4</v>
      </c>
      <c r="F15" s="495">
        <v>4.1100000000000003</v>
      </c>
      <c r="G15" s="495">
        <v>4.41</v>
      </c>
      <c r="H15" s="495">
        <v>3.8</v>
      </c>
      <c r="I15" s="495">
        <v>4.7300000000000004</v>
      </c>
      <c r="J15" s="495">
        <v>3.99</v>
      </c>
      <c r="K15" s="495">
        <v>4.32</v>
      </c>
      <c r="L15" s="495">
        <v>4.34</v>
      </c>
      <c r="M15" s="495">
        <v>4.88</v>
      </c>
      <c r="N15" s="495">
        <v>5.53</v>
      </c>
      <c r="O15" s="495">
        <v>5.76</v>
      </c>
      <c r="P15" s="495">
        <v>5.7</v>
      </c>
      <c r="Q15" s="495">
        <v>5.69</v>
      </c>
    </row>
    <row r="16" spans="1:17" ht="13" customHeight="1">
      <c r="A16" s="151"/>
      <c r="B16" s="29" t="s">
        <v>32</v>
      </c>
      <c r="C16" s="495">
        <v>2.44</v>
      </c>
      <c r="D16" s="495">
        <v>2.56</v>
      </c>
      <c r="E16" s="495">
        <v>2.93</v>
      </c>
      <c r="F16" s="495">
        <v>3.36</v>
      </c>
      <c r="G16" s="495">
        <v>4</v>
      </c>
      <c r="H16" s="495">
        <v>4.2699999999999996</v>
      </c>
      <c r="I16" s="495">
        <v>4.46</v>
      </c>
      <c r="J16" s="495">
        <v>4.79</v>
      </c>
      <c r="K16" s="495">
        <v>5.42</v>
      </c>
      <c r="L16" s="495">
        <v>5.7</v>
      </c>
      <c r="M16" s="495">
        <v>5.43</v>
      </c>
      <c r="N16" s="495">
        <v>4.96</v>
      </c>
      <c r="O16" s="495">
        <v>5.27</v>
      </c>
      <c r="P16" s="495">
        <v>5.2</v>
      </c>
      <c r="Q16" s="495">
        <v>5.3</v>
      </c>
    </row>
    <row r="17" spans="1:17" ht="13" customHeight="1">
      <c r="A17" s="151"/>
      <c r="B17" s="29" t="s">
        <v>33</v>
      </c>
      <c r="C17" s="495">
        <v>3.47</v>
      </c>
      <c r="D17" s="495">
        <v>3.49</v>
      </c>
      <c r="E17" s="495">
        <v>3.53</v>
      </c>
      <c r="F17" s="495">
        <v>3.64</v>
      </c>
      <c r="G17" s="495">
        <v>4.71</v>
      </c>
      <c r="H17" s="495">
        <v>3.81</v>
      </c>
      <c r="I17" s="495">
        <v>4.66</v>
      </c>
      <c r="J17" s="495">
        <v>4.5999999999999996</v>
      </c>
      <c r="K17" s="495">
        <v>4.59</v>
      </c>
      <c r="L17" s="495">
        <v>4.71</v>
      </c>
      <c r="M17" s="495">
        <v>5.59</v>
      </c>
      <c r="N17" s="495">
        <v>5.5</v>
      </c>
      <c r="O17" s="495">
        <v>5.45</v>
      </c>
      <c r="P17" s="495">
        <v>5.55</v>
      </c>
      <c r="Q17" s="495">
        <v>5.54</v>
      </c>
    </row>
    <row r="18" spans="1:17" ht="13" customHeight="1">
      <c r="A18" s="151"/>
      <c r="B18" s="29" t="s">
        <v>34</v>
      </c>
      <c r="C18" s="495">
        <v>2.87</v>
      </c>
      <c r="D18" s="495">
        <v>2.94</v>
      </c>
      <c r="E18" s="495">
        <v>3.41</v>
      </c>
      <c r="F18" s="495">
        <v>3.94</v>
      </c>
      <c r="G18" s="495">
        <v>3.97</v>
      </c>
      <c r="H18" s="495">
        <v>4.1399999999999997</v>
      </c>
      <c r="I18" s="495">
        <v>4.9400000000000004</v>
      </c>
      <c r="J18" s="495">
        <v>5.37</v>
      </c>
      <c r="K18" s="495">
        <v>4.46</v>
      </c>
      <c r="L18" s="495">
        <v>5.73</v>
      </c>
      <c r="M18" s="495">
        <v>6.09</v>
      </c>
      <c r="N18" s="495">
        <v>5.66</v>
      </c>
      <c r="O18" s="495">
        <v>5.48</v>
      </c>
      <c r="P18" s="495">
        <v>5.52</v>
      </c>
      <c r="Q18" s="495">
        <v>5.46</v>
      </c>
    </row>
    <row r="19" spans="1:17" ht="13" customHeight="1">
      <c r="A19" s="151"/>
      <c r="B19" s="29" t="s">
        <v>35</v>
      </c>
      <c r="C19" s="495">
        <v>3.52</v>
      </c>
      <c r="D19" s="495">
        <v>3.48</v>
      </c>
      <c r="E19" s="495">
        <v>3.43</v>
      </c>
      <c r="F19" s="495">
        <v>4.43</v>
      </c>
      <c r="G19" s="495">
        <v>4.1900000000000004</v>
      </c>
      <c r="H19" s="495">
        <v>4.8499999999999996</v>
      </c>
      <c r="I19" s="495">
        <v>5.0599999999999996</v>
      </c>
      <c r="J19" s="495">
        <v>5.84</v>
      </c>
      <c r="K19" s="495">
        <v>5.62</v>
      </c>
      <c r="L19" s="495">
        <v>5.88</v>
      </c>
      <c r="M19" s="495">
        <v>6.3</v>
      </c>
      <c r="N19" s="495">
        <v>6.53</v>
      </c>
      <c r="O19" s="495">
        <v>6.47</v>
      </c>
      <c r="P19" s="495">
        <v>6.21</v>
      </c>
      <c r="Q19" s="495">
        <v>6.07</v>
      </c>
    </row>
    <row r="20" spans="1:17" ht="13" customHeight="1">
      <c r="A20" s="151"/>
      <c r="B20" s="29" t="s">
        <v>36</v>
      </c>
      <c r="C20" s="495">
        <v>3.91</v>
      </c>
      <c r="D20" s="495">
        <v>3.39</v>
      </c>
      <c r="E20" s="495">
        <v>3.55</v>
      </c>
      <c r="F20" s="495">
        <v>3.9</v>
      </c>
      <c r="G20" s="495">
        <v>3.99</v>
      </c>
      <c r="H20" s="495">
        <v>3.9</v>
      </c>
      <c r="I20" s="495">
        <v>4.22</v>
      </c>
      <c r="J20" s="495">
        <v>5.05</v>
      </c>
      <c r="K20" s="495">
        <v>4.71</v>
      </c>
      <c r="L20" s="495">
        <v>5.2</v>
      </c>
      <c r="M20" s="495">
        <v>5.67</v>
      </c>
      <c r="N20" s="495">
        <v>5.64</v>
      </c>
      <c r="O20" s="495">
        <v>5.44</v>
      </c>
      <c r="P20" s="495">
        <v>5.26</v>
      </c>
      <c r="Q20" s="495">
        <v>5.0199999999999996</v>
      </c>
    </row>
    <row r="21" spans="1:17" ht="13" customHeight="1">
      <c r="A21" s="151"/>
      <c r="B21" s="29" t="s">
        <v>37</v>
      </c>
      <c r="C21" s="495">
        <v>3.56</v>
      </c>
      <c r="D21" s="495">
        <v>3.48</v>
      </c>
      <c r="E21" s="495">
        <v>3.37</v>
      </c>
      <c r="F21" s="495">
        <v>3.98</v>
      </c>
      <c r="G21" s="495">
        <v>4.45</v>
      </c>
      <c r="H21" s="495">
        <v>4.8499999999999996</v>
      </c>
      <c r="I21" s="495">
        <v>4.75</v>
      </c>
      <c r="J21" s="495">
        <v>4.8</v>
      </c>
      <c r="K21" s="495">
        <v>5.12</v>
      </c>
      <c r="L21" s="495">
        <v>4.95</v>
      </c>
      <c r="M21" s="495">
        <v>5.34</v>
      </c>
      <c r="N21" s="495">
        <v>5.65</v>
      </c>
      <c r="O21" s="495">
        <v>5.5</v>
      </c>
      <c r="P21" s="495">
        <v>5.56</v>
      </c>
      <c r="Q21" s="495">
        <v>5.45</v>
      </c>
    </row>
    <row r="22" spans="1:17" ht="13" customHeight="1">
      <c r="A22" s="151"/>
      <c r="B22" s="29" t="s">
        <v>38</v>
      </c>
      <c r="C22" s="495">
        <v>3.53</v>
      </c>
      <c r="D22" s="495">
        <v>3.52</v>
      </c>
      <c r="E22" s="495">
        <v>3.49</v>
      </c>
      <c r="F22" s="495">
        <v>3.71</v>
      </c>
      <c r="G22" s="495">
        <v>4.21</v>
      </c>
      <c r="H22" s="495">
        <v>3.61</v>
      </c>
      <c r="I22" s="495">
        <v>4.12</v>
      </c>
      <c r="J22" s="495">
        <v>4.4800000000000004</v>
      </c>
      <c r="K22" s="495">
        <v>4.58</v>
      </c>
      <c r="L22" s="495">
        <v>4.6500000000000004</v>
      </c>
      <c r="M22" s="495">
        <v>5.08</v>
      </c>
      <c r="N22" s="495">
        <v>5.22</v>
      </c>
      <c r="O22" s="495">
        <v>5.01</v>
      </c>
      <c r="P22" s="495">
        <v>5.04</v>
      </c>
      <c r="Q22" s="495">
        <v>5.0199999999999996</v>
      </c>
    </row>
    <row r="23" spans="1:17" ht="13" customHeight="1">
      <c r="A23" s="151"/>
      <c r="B23" s="29" t="s">
        <v>39</v>
      </c>
      <c r="C23" s="495">
        <v>3.93</v>
      </c>
      <c r="D23" s="495">
        <v>3.62</v>
      </c>
      <c r="E23" s="495">
        <v>3.63</v>
      </c>
      <c r="F23" s="495">
        <v>3.73</v>
      </c>
      <c r="G23" s="495">
        <v>3.19</v>
      </c>
      <c r="H23" s="495">
        <v>3.25</v>
      </c>
      <c r="I23" s="495">
        <v>4.21</v>
      </c>
      <c r="J23" s="495">
        <v>4.62</v>
      </c>
      <c r="K23" s="495">
        <v>4.71</v>
      </c>
      <c r="L23" s="495">
        <v>4.8099999999999996</v>
      </c>
      <c r="M23" s="495">
        <v>4.84</v>
      </c>
      <c r="N23" s="495">
        <v>5.4</v>
      </c>
      <c r="O23" s="495">
        <v>5.03</v>
      </c>
      <c r="P23" s="495">
        <v>5.12</v>
      </c>
      <c r="Q23" s="495">
        <v>5.15</v>
      </c>
    </row>
    <row r="24" spans="1:17" ht="13" customHeight="1">
      <c r="A24" s="151"/>
      <c r="B24" s="29" t="s">
        <v>40</v>
      </c>
      <c r="C24" s="495">
        <v>3.55</v>
      </c>
      <c r="D24" s="495">
        <v>3.52</v>
      </c>
      <c r="E24" s="495">
        <v>3.54</v>
      </c>
      <c r="F24" s="495">
        <v>3.47</v>
      </c>
      <c r="G24" s="495">
        <v>3.71</v>
      </c>
      <c r="H24" s="495">
        <v>4.0199999999999996</v>
      </c>
      <c r="I24" s="495">
        <v>4.75</v>
      </c>
      <c r="J24" s="495">
        <v>4.74</v>
      </c>
      <c r="K24" s="495">
        <v>4.68</v>
      </c>
      <c r="L24" s="495">
        <v>4.66</v>
      </c>
      <c r="M24" s="495">
        <v>4.82</v>
      </c>
      <c r="N24" s="495">
        <v>4.84</v>
      </c>
      <c r="O24" s="495">
        <v>5.09</v>
      </c>
      <c r="P24" s="495">
        <v>5.1100000000000003</v>
      </c>
      <c r="Q24" s="495">
        <v>5.12</v>
      </c>
    </row>
    <row r="25" spans="1:17" ht="13" customHeight="1">
      <c r="A25" s="151"/>
      <c r="B25" s="29" t="s">
        <v>41</v>
      </c>
      <c r="C25" s="495">
        <v>3.38</v>
      </c>
      <c r="D25" s="495">
        <v>3.56</v>
      </c>
      <c r="E25" s="495">
        <v>3.41</v>
      </c>
      <c r="F25" s="495">
        <v>3.54</v>
      </c>
      <c r="G25" s="495">
        <v>3.38</v>
      </c>
      <c r="H25" s="495">
        <v>4.47</v>
      </c>
      <c r="I25" s="495">
        <v>4.9800000000000004</v>
      </c>
      <c r="J25" s="495">
        <v>4.84</v>
      </c>
      <c r="K25" s="495">
        <v>4.9800000000000004</v>
      </c>
      <c r="L25" s="495">
        <v>5.22</v>
      </c>
      <c r="M25" s="495">
        <v>5.29</v>
      </c>
      <c r="N25" s="495">
        <v>5.19</v>
      </c>
      <c r="O25" s="495">
        <v>5.16</v>
      </c>
      <c r="P25" s="495">
        <v>5.17</v>
      </c>
      <c r="Q25" s="495">
        <v>5.08</v>
      </c>
    </row>
    <row r="26" spans="1:17" ht="13" customHeight="1">
      <c r="A26" s="151"/>
      <c r="B26" s="29" t="s">
        <v>44</v>
      </c>
      <c r="C26" s="495">
        <v>3.84</v>
      </c>
      <c r="D26" s="495">
        <v>3.69</v>
      </c>
      <c r="E26" s="495">
        <v>3.63</v>
      </c>
      <c r="F26" s="495">
        <v>3.82</v>
      </c>
      <c r="G26" s="495">
        <v>4.07</v>
      </c>
      <c r="H26" s="495">
        <v>4.2699999999999996</v>
      </c>
      <c r="I26" s="495">
        <v>4.6399999999999997</v>
      </c>
      <c r="J26" s="495">
        <v>5.04</v>
      </c>
      <c r="K26" s="495">
        <v>5.31</v>
      </c>
      <c r="L26" s="495">
        <v>5.69</v>
      </c>
      <c r="M26" s="495">
        <v>6</v>
      </c>
      <c r="N26" s="495">
        <v>6.2</v>
      </c>
      <c r="O26" s="495">
        <v>6.23</v>
      </c>
      <c r="P26" s="495">
        <v>6.06</v>
      </c>
      <c r="Q26" s="495">
        <v>6.11</v>
      </c>
    </row>
    <row r="27" spans="1:17" ht="13" customHeight="1">
      <c r="A27" s="151"/>
      <c r="B27" s="29" t="s">
        <v>45</v>
      </c>
      <c r="C27" s="495">
        <v>2.83</v>
      </c>
      <c r="D27" s="495">
        <v>2.95</v>
      </c>
      <c r="E27" s="495">
        <v>3.39</v>
      </c>
      <c r="F27" s="495">
        <v>3.91</v>
      </c>
      <c r="G27" s="495">
        <v>4.3099999999999996</v>
      </c>
      <c r="H27" s="495">
        <v>5.29</v>
      </c>
      <c r="I27" s="495">
        <v>4.4800000000000004</v>
      </c>
      <c r="J27" s="495">
        <v>4.99</v>
      </c>
      <c r="K27" s="495">
        <v>5.45</v>
      </c>
      <c r="L27" s="495">
        <v>7.14</v>
      </c>
      <c r="M27" s="495">
        <v>6.52</v>
      </c>
      <c r="N27" s="495">
        <v>6.68</v>
      </c>
      <c r="O27" s="495">
        <v>5.52</v>
      </c>
      <c r="P27" s="495">
        <v>5.45</v>
      </c>
      <c r="Q27" s="495">
        <v>5.75</v>
      </c>
    </row>
    <row r="28" spans="1:17" ht="13" customHeight="1">
      <c r="A28" s="151"/>
      <c r="B28" s="150" t="s">
        <v>46</v>
      </c>
      <c r="C28" s="495">
        <v>2.2999999999999998</v>
      </c>
      <c r="D28" s="495">
        <v>2.2799999999999998</v>
      </c>
      <c r="E28" s="495">
        <v>2.57</v>
      </c>
      <c r="F28" s="495">
        <v>3.56</v>
      </c>
      <c r="G28" s="495">
        <v>4.04</v>
      </c>
      <c r="H28" s="495">
        <v>4.6100000000000003</v>
      </c>
      <c r="I28" s="495">
        <v>5.31</v>
      </c>
      <c r="J28" s="495">
        <v>5.57</v>
      </c>
      <c r="K28" s="495">
        <v>5.61</v>
      </c>
      <c r="L28" s="495">
        <v>5.54</v>
      </c>
      <c r="M28" s="495">
        <v>5.83</v>
      </c>
      <c r="N28" s="495">
        <v>5.96</v>
      </c>
      <c r="O28" s="495">
        <v>5.59</v>
      </c>
      <c r="P28" s="495">
        <v>5.47</v>
      </c>
      <c r="Q28" s="495">
        <v>5.43</v>
      </c>
    </row>
    <row r="29" spans="1:17" ht="13" customHeight="1">
      <c r="A29" s="151"/>
      <c r="B29" s="30" t="s">
        <v>47</v>
      </c>
      <c r="C29" s="495">
        <v>2.97</v>
      </c>
      <c r="D29" s="495">
        <v>3.18</v>
      </c>
      <c r="E29" s="495">
        <v>3.32</v>
      </c>
      <c r="F29" s="495">
        <v>4.08</v>
      </c>
      <c r="G29" s="495">
        <v>4.03</v>
      </c>
      <c r="H29" s="495">
        <v>4.03</v>
      </c>
      <c r="I29" s="495">
        <v>4.2</v>
      </c>
      <c r="J29" s="495">
        <v>4.96</v>
      </c>
      <c r="K29" s="495">
        <v>5.13</v>
      </c>
      <c r="L29" s="495">
        <v>6.23</v>
      </c>
      <c r="M29" s="495">
        <v>4.16</v>
      </c>
      <c r="N29" s="495">
        <v>4.07</v>
      </c>
      <c r="O29" s="495">
        <v>4.37</v>
      </c>
      <c r="P29" s="495">
        <v>4.67</v>
      </c>
      <c r="Q29" s="495">
        <v>4.6500000000000004</v>
      </c>
    </row>
    <row r="30" spans="1:17" ht="13" customHeight="1">
      <c r="A30" s="151"/>
      <c r="B30" s="29" t="s">
        <v>48</v>
      </c>
      <c r="C30" s="495">
        <v>3.24</v>
      </c>
      <c r="D30" s="495">
        <v>3.24</v>
      </c>
      <c r="E30" s="495">
        <v>3.69</v>
      </c>
      <c r="F30" s="495">
        <v>3.93</v>
      </c>
      <c r="G30" s="495">
        <v>4.3899999999999997</v>
      </c>
      <c r="H30" s="495">
        <v>4.74</v>
      </c>
      <c r="I30" s="495">
        <v>5.1100000000000003</v>
      </c>
      <c r="J30" s="495">
        <v>5.51</v>
      </c>
      <c r="K30" s="495">
        <v>5.65</v>
      </c>
      <c r="L30" s="495">
        <v>5.68</v>
      </c>
      <c r="M30" s="495">
        <v>5.47</v>
      </c>
      <c r="N30" s="495">
        <v>5.12</v>
      </c>
      <c r="O30" s="495">
        <v>4.92</v>
      </c>
      <c r="P30" s="495">
        <v>4.9000000000000004</v>
      </c>
      <c r="Q30" s="495">
        <v>4.8499999999999996</v>
      </c>
    </row>
    <row r="31" spans="1:17" ht="13" customHeight="1" thickBot="1">
      <c r="A31" s="453"/>
      <c r="B31" s="454" t="s">
        <v>49</v>
      </c>
      <c r="C31" s="496">
        <v>4.0199999999999996</v>
      </c>
      <c r="D31" s="496">
        <v>3.91</v>
      </c>
      <c r="E31" s="496">
        <v>3.84</v>
      </c>
      <c r="F31" s="496">
        <v>3.87</v>
      </c>
      <c r="G31" s="496">
        <v>4.04</v>
      </c>
      <c r="H31" s="496">
        <v>4.2</v>
      </c>
      <c r="I31" s="496">
        <v>5.03</v>
      </c>
      <c r="J31" s="496">
        <v>5.14</v>
      </c>
      <c r="K31" s="496">
        <v>4.91</v>
      </c>
      <c r="L31" s="496">
        <v>5.42</v>
      </c>
      <c r="M31" s="496">
        <v>4.9000000000000004</v>
      </c>
      <c r="N31" s="496">
        <v>5.03</v>
      </c>
      <c r="O31" s="496">
        <v>5.47</v>
      </c>
      <c r="P31" s="496">
        <v>5.22</v>
      </c>
      <c r="Q31" s="496">
        <v>5.15</v>
      </c>
    </row>
    <row r="32" spans="1:17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4"/>
      <c r="Q33" s="464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4"/>
      <c r="Q34" s="464"/>
    </row>
    <row r="36" spans="1:17" ht="13" customHeight="1"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0">
    <tabColor theme="9" tint="0.59999389629810485"/>
  </sheetPr>
  <dimension ref="A2:S34"/>
  <sheetViews>
    <sheetView showGridLines="0" topLeftCell="B1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362</v>
      </c>
      <c r="B2" s="469"/>
    </row>
    <row r="3" spans="1:19" ht="13" customHeight="1">
      <c r="A3" s="470" t="s">
        <v>325</v>
      </c>
      <c r="B3" s="470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9" ht="15" customHeight="1">
      <c r="A6" s="1102" t="s">
        <v>106</v>
      </c>
      <c r="B6" s="1102"/>
      <c r="C6" s="460">
        <f t="shared" ref="C6:N6" si="0">(C8+C9+C10+C11+C12+C13+C14+C15+C16+C17+C18+C19+C20+C21+C22+C23+C24+C25+C26+C27+C28+C29+C30+C31)</f>
        <v>6333240</v>
      </c>
      <c r="D6" s="460">
        <f t="shared" si="0"/>
        <v>6054839</v>
      </c>
      <c r="E6" s="475">
        <f t="shared" si="0"/>
        <v>6468169</v>
      </c>
      <c r="F6" s="475">
        <f t="shared" si="0"/>
        <v>5869896</v>
      </c>
      <c r="G6" s="475">
        <f t="shared" si="0"/>
        <v>6035367</v>
      </c>
      <c r="H6" s="475">
        <f t="shared" si="0"/>
        <v>6004149</v>
      </c>
      <c r="I6" s="475">
        <f t="shared" si="0"/>
        <v>5985893</v>
      </c>
      <c r="J6" s="475">
        <f t="shared" si="0"/>
        <v>6618656</v>
      </c>
      <c r="K6" s="475">
        <f t="shared" si="0"/>
        <v>6104259</v>
      </c>
      <c r="L6" s="475">
        <f t="shared" si="0"/>
        <v>5741017</v>
      </c>
      <c r="M6" s="475">
        <f t="shared" si="0"/>
        <v>5162592</v>
      </c>
      <c r="N6" s="475">
        <f t="shared" si="0"/>
        <v>5575611</v>
      </c>
      <c r="O6" s="475">
        <f>(O8+O9+O10+O11+O12+O13+O14+O15+O16+O17+O18+O19+O20+O21+O22+O23+O24+O25+O26+O27+O28+O29+O30+O31)</f>
        <v>4574331</v>
      </c>
      <c r="P6" s="475">
        <f>(P8+P9+P10+P11+P12+P13+P14+P15+P16+P17+P18+P19+P20+P21+P22+P23+P24+P25+P26+P27+P28+P29+P30+P31)</f>
        <v>4559586</v>
      </c>
      <c r="Q6" s="475">
        <f>(Q8+Q9+Q10+Q11+Q12+Q13+Q14+Q15+Q16+Q17+Q18+Q19+Q20+Q21+Q22+Q23+Q24+Q25+Q26+Q27+Q28+Q29+Q30+Q31)</f>
        <v>4304515</v>
      </c>
    </row>
    <row r="7" spans="1:19" ht="5" customHeight="1">
      <c r="A7" s="151"/>
      <c r="B7" s="152"/>
      <c r="C7" s="461"/>
      <c r="D7" s="461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</row>
    <row r="8" spans="1:19" ht="13" customHeight="1">
      <c r="A8" s="151"/>
      <c r="B8" s="29" t="s">
        <v>21</v>
      </c>
      <c r="C8" s="455">
        <v>0</v>
      </c>
      <c r="D8" s="455">
        <v>0</v>
      </c>
      <c r="E8" s="477">
        <v>0</v>
      </c>
      <c r="F8" s="477">
        <v>0</v>
      </c>
      <c r="G8" s="477">
        <v>0</v>
      </c>
      <c r="H8" s="477">
        <v>0</v>
      </c>
      <c r="I8" s="477">
        <v>0</v>
      </c>
      <c r="J8" s="477">
        <v>0</v>
      </c>
      <c r="K8" s="477">
        <v>0</v>
      </c>
      <c r="L8" s="477">
        <v>0</v>
      </c>
      <c r="M8" s="478">
        <v>0</v>
      </c>
      <c r="N8" s="478">
        <v>0</v>
      </c>
      <c r="O8" s="478">
        <v>0</v>
      </c>
      <c r="P8" s="478">
        <v>0</v>
      </c>
      <c r="Q8" s="478">
        <v>0</v>
      </c>
    </row>
    <row r="9" spans="1:19" ht="13" customHeight="1">
      <c r="A9" s="151"/>
      <c r="B9" s="29" t="s">
        <v>22</v>
      </c>
      <c r="C9" s="455">
        <v>0</v>
      </c>
      <c r="D9" s="455">
        <v>0</v>
      </c>
      <c r="E9" s="477">
        <v>0</v>
      </c>
      <c r="F9" s="477">
        <v>0</v>
      </c>
      <c r="G9" s="477">
        <v>0</v>
      </c>
      <c r="H9" s="479">
        <v>107736</v>
      </c>
      <c r="I9" s="479">
        <v>97404</v>
      </c>
      <c r="J9" s="479">
        <v>53488</v>
      </c>
      <c r="K9" s="479">
        <v>29541</v>
      </c>
      <c r="L9" s="479">
        <v>29537</v>
      </c>
      <c r="M9" s="480">
        <v>40324</v>
      </c>
      <c r="N9" s="480">
        <v>40651</v>
      </c>
      <c r="O9" s="480">
        <v>33100</v>
      </c>
      <c r="P9" s="480">
        <v>17665</v>
      </c>
      <c r="Q9" s="480">
        <v>18515</v>
      </c>
      <c r="S9" s="159"/>
    </row>
    <row r="10" spans="1:19" ht="13" customHeight="1">
      <c r="A10" s="151"/>
      <c r="B10" s="29" t="s">
        <v>23</v>
      </c>
      <c r="C10" s="455">
        <v>0</v>
      </c>
      <c r="D10" s="455">
        <v>0</v>
      </c>
      <c r="E10" s="477">
        <v>0</v>
      </c>
      <c r="F10" s="477">
        <v>0</v>
      </c>
      <c r="G10" s="477">
        <v>0</v>
      </c>
      <c r="H10" s="479">
        <v>0</v>
      </c>
      <c r="I10" s="479">
        <v>0</v>
      </c>
      <c r="J10" s="479">
        <v>0</v>
      </c>
      <c r="K10" s="479">
        <v>0</v>
      </c>
      <c r="L10" s="479">
        <v>0</v>
      </c>
      <c r="M10" s="479">
        <v>0</v>
      </c>
      <c r="N10" s="479">
        <v>0</v>
      </c>
      <c r="O10" s="479">
        <v>0</v>
      </c>
      <c r="P10" s="479">
        <v>0</v>
      </c>
      <c r="Q10" s="479">
        <v>0</v>
      </c>
      <c r="S10" s="159"/>
    </row>
    <row r="11" spans="1:19" ht="13" customHeight="1">
      <c r="A11" s="151"/>
      <c r="B11" s="29" t="s">
        <v>24</v>
      </c>
      <c r="C11" s="455">
        <v>281748</v>
      </c>
      <c r="D11" s="455">
        <v>286802</v>
      </c>
      <c r="E11" s="477">
        <v>279649</v>
      </c>
      <c r="F11" s="477">
        <v>283207</v>
      </c>
      <c r="G11" s="477">
        <v>283873</v>
      </c>
      <c r="H11" s="479">
        <v>289844</v>
      </c>
      <c r="I11" s="479">
        <v>290743</v>
      </c>
      <c r="J11" s="477">
        <v>292769</v>
      </c>
      <c r="K11" s="477">
        <v>291404</v>
      </c>
      <c r="L11" s="477">
        <v>291951</v>
      </c>
      <c r="M11" s="478">
        <v>260787</v>
      </c>
      <c r="N11" s="478">
        <v>245858</v>
      </c>
      <c r="O11" s="478">
        <v>245396</v>
      </c>
      <c r="P11" s="478">
        <v>247738</v>
      </c>
      <c r="Q11" s="478">
        <v>249612</v>
      </c>
      <c r="S11" s="159"/>
    </row>
    <row r="12" spans="1:19" ht="13" customHeight="1">
      <c r="A12" s="151"/>
      <c r="B12" s="29" t="s">
        <v>25</v>
      </c>
      <c r="C12" s="455">
        <v>215929</v>
      </c>
      <c r="D12" s="455">
        <v>210011</v>
      </c>
      <c r="E12" s="477">
        <v>211100</v>
      </c>
      <c r="F12" s="477">
        <v>177507</v>
      </c>
      <c r="G12" s="477">
        <v>130630</v>
      </c>
      <c r="H12" s="477">
        <v>96513</v>
      </c>
      <c r="I12" s="477">
        <v>119101</v>
      </c>
      <c r="J12" s="477">
        <v>156318</v>
      </c>
      <c r="K12" s="477">
        <v>168682</v>
      </c>
      <c r="L12" s="477">
        <v>142168</v>
      </c>
      <c r="M12" s="478">
        <v>156231</v>
      </c>
      <c r="N12" s="478">
        <v>220329</v>
      </c>
      <c r="O12" s="478">
        <v>219313</v>
      </c>
      <c r="P12" s="478">
        <v>194266</v>
      </c>
      <c r="Q12" s="478">
        <v>165750</v>
      </c>
      <c r="S12" s="159"/>
    </row>
    <row r="13" spans="1:19" ht="13" customHeight="1">
      <c r="A13" s="151"/>
      <c r="B13" s="29" t="s">
        <v>29</v>
      </c>
      <c r="C13" s="455">
        <v>16207</v>
      </c>
      <c r="D13" s="455">
        <v>16605</v>
      </c>
      <c r="E13" s="477">
        <v>20165</v>
      </c>
      <c r="F13" s="477">
        <v>7590</v>
      </c>
      <c r="G13" s="477">
        <v>18463</v>
      </c>
      <c r="H13" s="477">
        <v>18399</v>
      </c>
      <c r="I13" s="477">
        <v>12411</v>
      </c>
      <c r="J13" s="477">
        <v>16445</v>
      </c>
      <c r="K13" s="477">
        <v>15240</v>
      </c>
      <c r="L13" s="477">
        <v>15696</v>
      </c>
      <c r="M13" s="477">
        <v>11420</v>
      </c>
      <c r="N13" s="477">
        <v>6911</v>
      </c>
      <c r="O13" s="477">
        <v>6474</v>
      </c>
      <c r="P13" s="477">
        <v>6209</v>
      </c>
      <c r="Q13" s="477">
        <v>5255</v>
      </c>
      <c r="S13" s="159"/>
    </row>
    <row r="14" spans="1:19" ht="13" customHeight="1">
      <c r="A14" s="151"/>
      <c r="B14" s="29" t="s">
        <v>30</v>
      </c>
      <c r="C14" s="455">
        <v>48636</v>
      </c>
      <c r="D14" s="455">
        <v>44644</v>
      </c>
      <c r="E14" s="477">
        <v>36892</v>
      </c>
      <c r="F14" s="477">
        <v>34713</v>
      </c>
      <c r="G14" s="477">
        <v>7537</v>
      </c>
      <c r="H14" s="479">
        <v>7597</v>
      </c>
      <c r="I14" s="479">
        <v>38529</v>
      </c>
      <c r="J14" s="479">
        <v>13552</v>
      </c>
      <c r="K14" s="479">
        <v>5569</v>
      </c>
      <c r="L14" s="479">
        <v>4170</v>
      </c>
      <c r="M14" s="478">
        <v>9018</v>
      </c>
      <c r="N14" s="478">
        <v>11954</v>
      </c>
      <c r="O14" s="478">
        <v>7689</v>
      </c>
      <c r="P14" s="478">
        <v>7229</v>
      </c>
      <c r="Q14" s="478">
        <v>7076</v>
      </c>
      <c r="S14" s="159"/>
    </row>
    <row r="15" spans="1:19" ht="13" customHeight="1">
      <c r="A15" s="151"/>
      <c r="B15" s="29" t="s">
        <v>31</v>
      </c>
      <c r="C15" s="455">
        <v>51382</v>
      </c>
      <c r="D15" s="455">
        <v>53479</v>
      </c>
      <c r="E15" s="477">
        <v>69851</v>
      </c>
      <c r="F15" s="477">
        <v>68198</v>
      </c>
      <c r="G15" s="477">
        <v>83497</v>
      </c>
      <c r="H15" s="479">
        <v>79799</v>
      </c>
      <c r="I15" s="479">
        <v>78888</v>
      </c>
      <c r="J15" s="479">
        <v>71441</v>
      </c>
      <c r="K15" s="479">
        <v>48547</v>
      </c>
      <c r="L15" s="479">
        <v>82242</v>
      </c>
      <c r="M15" s="478">
        <v>92565</v>
      </c>
      <c r="N15" s="478">
        <v>111905</v>
      </c>
      <c r="O15" s="478">
        <v>69508</v>
      </c>
      <c r="P15" s="478">
        <v>103820</v>
      </c>
      <c r="Q15" s="478">
        <v>91432</v>
      </c>
      <c r="S15" s="159"/>
    </row>
    <row r="16" spans="1:19" ht="13" customHeight="1">
      <c r="A16" s="151"/>
      <c r="B16" s="29" t="s">
        <v>32</v>
      </c>
      <c r="C16" s="455">
        <v>0</v>
      </c>
      <c r="D16" s="457">
        <v>0</v>
      </c>
      <c r="E16" s="481">
        <v>0</v>
      </c>
      <c r="F16" s="481">
        <v>0</v>
      </c>
      <c r="G16" s="481">
        <v>0</v>
      </c>
      <c r="H16" s="479">
        <v>0</v>
      </c>
      <c r="I16" s="479">
        <v>0</v>
      </c>
      <c r="J16" s="479">
        <v>0</v>
      </c>
      <c r="K16" s="479">
        <v>0</v>
      </c>
      <c r="L16" s="479">
        <v>0</v>
      </c>
      <c r="M16" s="479">
        <v>0</v>
      </c>
      <c r="N16" s="479">
        <v>0</v>
      </c>
      <c r="O16" s="479">
        <v>0</v>
      </c>
      <c r="P16" s="479">
        <v>0</v>
      </c>
      <c r="Q16" s="479">
        <v>0</v>
      </c>
      <c r="S16" s="159"/>
    </row>
    <row r="17" spans="1:19" ht="13" customHeight="1">
      <c r="A17" s="151"/>
      <c r="B17" s="29" t="s">
        <v>33</v>
      </c>
      <c r="C17" s="455">
        <v>373540</v>
      </c>
      <c r="D17" s="455">
        <v>283894</v>
      </c>
      <c r="E17" s="477">
        <v>207959</v>
      </c>
      <c r="F17" s="477">
        <v>140552</v>
      </c>
      <c r="G17" s="477">
        <v>142079</v>
      </c>
      <c r="H17" s="479">
        <v>121870</v>
      </c>
      <c r="I17" s="479">
        <v>62310</v>
      </c>
      <c r="J17" s="479">
        <v>146950</v>
      </c>
      <c r="K17" s="479">
        <v>221464</v>
      </c>
      <c r="L17" s="479">
        <v>214127</v>
      </c>
      <c r="M17" s="478">
        <v>193576</v>
      </c>
      <c r="N17" s="478">
        <v>173587</v>
      </c>
      <c r="O17" s="478">
        <v>164539</v>
      </c>
      <c r="P17" s="478">
        <v>162255</v>
      </c>
      <c r="Q17" s="478">
        <v>140446</v>
      </c>
      <c r="S17" s="159"/>
    </row>
    <row r="18" spans="1:19" ht="13" customHeight="1">
      <c r="A18" s="151"/>
      <c r="B18" s="29" t="s">
        <v>34</v>
      </c>
      <c r="C18" s="455">
        <v>522839</v>
      </c>
      <c r="D18" s="455">
        <v>559070</v>
      </c>
      <c r="E18" s="477">
        <v>561105</v>
      </c>
      <c r="F18" s="477">
        <v>565575</v>
      </c>
      <c r="G18" s="477">
        <v>569138</v>
      </c>
      <c r="H18" s="479">
        <v>676896</v>
      </c>
      <c r="I18" s="479">
        <v>493852</v>
      </c>
      <c r="J18" s="479">
        <v>660319</v>
      </c>
      <c r="K18" s="479">
        <v>609890</v>
      </c>
      <c r="L18" s="479">
        <v>402146</v>
      </c>
      <c r="M18" s="478">
        <v>420519</v>
      </c>
      <c r="N18" s="478">
        <v>333733</v>
      </c>
      <c r="O18" s="478">
        <v>349285</v>
      </c>
      <c r="P18" s="478">
        <v>370620</v>
      </c>
      <c r="Q18" s="478">
        <v>367427</v>
      </c>
      <c r="S18" s="159"/>
    </row>
    <row r="19" spans="1:19" ht="13" customHeight="1">
      <c r="A19" s="151"/>
      <c r="B19" s="29" t="s">
        <v>35</v>
      </c>
      <c r="C19" s="455">
        <v>601360</v>
      </c>
      <c r="D19" s="455">
        <v>609680</v>
      </c>
      <c r="E19" s="477">
        <v>439697</v>
      </c>
      <c r="F19" s="477">
        <v>510031</v>
      </c>
      <c r="G19" s="477">
        <v>621211</v>
      </c>
      <c r="H19" s="479">
        <v>645082</v>
      </c>
      <c r="I19" s="479">
        <v>635182</v>
      </c>
      <c r="J19" s="479">
        <v>687908</v>
      </c>
      <c r="K19" s="479">
        <v>666029</v>
      </c>
      <c r="L19" s="479">
        <v>691762</v>
      </c>
      <c r="M19" s="478">
        <v>714025</v>
      </c>
      <c r="N19" s="478">
        <v>744843</v>
      </c>
      <c r="O19" s="478">
        <v>789102</v>
      </c>
      <c r="P19" s="478">
        <v>795972</v>
      </c>
      <c r="Q19" s="478">
        <v>723937</v>
      </c>
      <c r="S19" s="159"/>
    </row>
    <row r="20" spans="1:19" ht="13" customHeight="1">
      <c r="A20" s="151"/>
      <c r="B20" s="29" t="s">
        <v>36</v>
      </c>
      <c r="C20" s="455">
        <v>444847</v>
      </c>
      <c r="D20" s="455">
        <v>319084</v>
      </c>
      <c r="E20" s="477">
        <v>281860</v>
      </c>
      <c r="F20" s="477">
        <v>220170</v>
      </c>
      <c r="G20" s="477">
        <v>210481</v>
      </c>
      <c r="H20" s="479">
        <v>126110</v>
      </c>
      <c r="I20" s="479">
        <v>265607</v>
      </c>
      <c r="J20" s="479">
        <v>267529</v>
      </c>
      <c r="K20" s="479">
        <v>244443</v>
      </c>
      <c r="L20" s="479">
        <v>109210</v>
      </c>
      <c r="M20" s="478">
        <v>79116</v>
      </c>
      <c r="N20" s="478">
        <v>182727</v>
      </c>
      <c r="O20" s="478">
        <v>190568</v>
      </c>
      <c r="P20" s="478">
        <v>211173</v>
      </c>
      <c r="Q20" s="478">
        <v>149074</v>
      </c>
      <c r="S20" s="159"/>
    </row>
    <row r="21" spans="1:19" ht="13" customHeight="1">
      <c r="A21" s="151"/>
      <c r="B21" s="29" t="s">
        <v>37</v>
      </c>
      <c r="C21" s="455">
        <v>53126</v>
      </c>
      <c r="D21" s="455">
        <v>56331</v>
      </c>
      <c r="E21" s="477">
        <v>67652</v>
      </c>
      <c r="F21" s="477">
        <v>72955</v>
      </c>
      <c r="G21" s="477">
        <v>65145</v>
      </c>
      <c r="H21" s="479">
        <v>54146</v>
      </c>
      <c r="I21" s="479">
        <v>40498</v>
      </c>
      <c r="J21" s="479">
        <v>53450</v>
      </c>
      <c r="K21" s="479">
        <v>55508</v>
      </c>
      <c r="L21" s="479">
        <v>57633</v>
      </c>
      <c r="M21" s="478">
        <v>50977</v>
      </c>
      <c r="N21" s="478">
        <v>44355</v>
      </c>
      <c r="O21" s="478">
        <v>40495</v>
      </c>
      <c r="P21" s="478">
        <v>33496</v>
      </c>
      <c r="Q21" s="478">
        <v>35281</v>
      </c>
      <c r="S21" s="159"/>
    </row>
    <row r="22" spans="1:19" ht="13" customHeight="1">
      <c r="A22" s="151"/>
      <c r="B22" s="29" t="s">
        <v>38</v>
      </c>
      <c r="C22" s="455">
        <v>1738</v>
      </c>
      <c r="D22" s="455">
        <v>1050</v>
      </c>
      <c r="E22" s="477">
        <v>478</v>
      </c>
      <c r="F22" s="477">
        <v>2420</v>
      </c>
      <c r="G22" s="477">
        <v>1680</v>
      </c>
      <c r="H22" s="479">
        <v>1435</v>
      </c>
      <c r="I22" s="479">
        <v>41</v>
      </c>
      <c r="J22" s="479">
        <v>0</v>
      </c>
      <c r="K22" s="479">
        <v>134</v>
      </c>
      <c r="L22" s="479">
        <v>5740</v>
      </c>
      <c r="M22" s="478">
        <v>4455</v>
      </c>
      <c r="N22" s="478">
        <v>4350</v>
      </c>
      <c r="O22" s="478">
        <v>3430</v>
      </c>
      <c r="P22" s="478">
        <v>3245</v>
      </c>
      <c r="Q22" s="478">
        <v>2550</v>
      </c>
      <c r="S22" s="159"/>
    </row>
    <row r="23" spans="1:19" ht="13" customHeight="1">
      <c r="A23" s="151"/>
      <c r="B23" s="29" t="s">
        <v>39</v>
      </c>
      <c r="C23" s="455">
        <v>0</v>
      </c>
      <c r="D23" s="455">
        <v>0</v>
      </c>
      <c r="E23" s="477">
        <v>0</v>
      </c>
      <c r="F23" s="477">
        <v>0</v>
      </c>
      <c r="G23" s="477">
        <v>0</v>
      </c>
      <c r="H23" s="479">
        <v>0</v>
      </c>
      <c r="I23" s="479">
        <v>0</v>
      </c>
      <c r="J23" s="479">
        <v>0</v>
      </c>
      <c r="K23" s="479">
        <v>0</v>
      </c>
      <c r="L23" s="479">
        <v>0</v>
      </c>
      <c r="M23" s="478">
        <v>0</v>
      </c>
      <c r="N23" s="478">
        <v>0</v>
      </c>
      <c r="O23" s="478">
        <v>0</v>
      </c>
      <c r="P23" s="478">
        <v>0</v>
      </c>
      <c r="Q23" s="478">
        <v>0</v>
      </c>
      <c r="S23" s="159"/>
    </row>
    <row r="24" spans="1:19" ht="13" customHeight="1">
      <c r="A24" s="151"/>
      <c r="B24" s="29" t="s">
        <v>40</v>
      </c>
      <c r="C24" s="455">
        <v>306255</v>
      </c>
      <c r="D24" s="455">
        <v>259301</v>
      </c>
      <c r="E24" s="477">
        <v>308791</v>
      </c>
      <c r="F24" s="477">
        <v>263354</v>
      </c>
      <c r="G24" s="477">
        <v>297670</v>
      </c>
      <c r="H24" s="479">
        <v>302992</v>
      </c>
      <c r="I24" s="479">
        <v>316003</v>
      </c>
      <c r="J24" s="479">
        <v>309791</v>
      </c>
      <c r="K24" s="479">
        <v>343320</v>
      </c>
      <c r="L24" s="479">
        <v>237721</v>
      </c>
      <c r="M24" s="478">
        <v>207731</v>
      </c>
      <c r="N24" s="478">
        <v>186981</v>
      </c>
      <c r="O24" s="478">
        <v>190207</v>
      </c>
      <c r="P24" s="478">
        <v>176812</v>
      </c>
      <c r="Q24" s="478">
        <v>172759</v>
      </c>
      <c r="S24" s="159"/>
    </row>
    <row r="25" spans="1:19" ht="13" customHeight="1">
      <c r="A25" s="151"/>
      <c r="B25" s="29" t="s">
        <v>41</v>
      </c>
      <c r="C25" s="455">
        <v>126618</v>
      </c>
      <c r="D25" s="455">
        <v>157417</v>
      </c>
      <c r="E25" s="477">
        <v>183811</v>
      </c>
      <c r="F25" s="477">
        <v>138770</v>
      </c>
      <c r="G25" s="477">
        <v>127588</v>
      </c>
      <c r="H25" s="477">
        <v>120774</v>
      </c>
      <c r="I25" s="477">
        <v>174595</v>
      </c>
      <c r="J25" s="477">
        <v>195609</v>
      </c>
      <c r="K25" s="477">
        <v>186257</v>
      </c>
      <c r="L25" s="477">
        <v>167112</v>
      </c>
      <c r="M25" s="478">
        <v>161112</v>
      </c>
      <c r="N25" s="478">
        <v>116274</v>
      </c>
      <c r="O25" s="478">
        <v>94800</v>
      </c>
      <c r="P25" s="478">
        <v>86132</v>
      </c>
      <c r="Q25" s="478">
        <v>78918</v>
      </c>
      <c r="S25" s="159"/>
    </row>
    <row r="26" spans="1:19" ht="13" customHeight="1">
      <c r="A26" s="151"/>
      <c r="B26" s="29" t="s">
        <v>44</v>
      </c>
      <c r="C26" s="455">
        <v>452205</v>
      </c>
      <c r="D26" s="455">
        <v>315691</v>
      </c>
      <c r="E26" s="477">
        <v>938139</v>
      </c>
      <c r="F26" s="477">
        <v>536724</v>
      </c>
      <c r="G26" s="477">
        <v>604785</v>
      </c>
      <c r="H26" s="479">
        <v>474316</v>
      </c>
      <c r="I26" s="479">
        <v>456759</v>
      </c>
      <c r="J26" s="479">
        <v>814517</v>
      </c>
      <c r="K26" s="479">
        <v>532231</v>
      </c>
      <c r="L26" s="479">
        <v>508145</v>
      </c>
      <c r="M26" s="478">
        <v>493362</v>
      </c>
      <c r="N26" s="478">
        <v>488496</v>
      </c>
      <c r="O26" s="478">
        <v>484555</v>
      </c>
      <c r="P26" s="478">
        <v>450804</v>
      </c>
      <c r="Q26" s="478">
        <v>464593</v>
      </c>
      <c r="S26" s="159"/>
    </row>
    <row r="27" spans="1:19" ht="13" customHeight="1">
      <c r="A27" s="151"/>
      <c r="B27" s="29" t="s">
        <v>45</v>
      </c>
      <c r="C27" s="455">
        <v>2836810</v>
      </c>
      <c r="D27" s="455">
        <v>2881780</v>
      </c>
      <c r="E27" s="477">
        <v>2861020</v>
      </c>
      <c r="F27" s="477">
        <v>2848130</v>
      </c>
      <c r="G27" s="477">
        <v>2871590</v>
      </c>
      <c r="H27" s="479">
        <v>2880640</v>
      </c>
      <c r="I27" s="479">
        <v>2903970</v>
      </c>
      <c r="J27" s="479">
        <v>2878570</v>
      </c>
      <c r="K27" s="479">
        <v>2686000</v>
      </c>
      <c r="L27" s="479">
        <v>2781657</v>
      </c>
      <c r="M27" s="478">
        <v>2267374</v>
      </c>
      <c r="N27" s="478">
        <v>2662657</v>
      </c>
      <c r="O27" s="478">
        <v>1685870</v>
      </c>
      <c r="P27" s="478">
        <v>1692150</v>
      </c>
      <c r="Q27" s="478">
        <v>1631890</v>
      </c>
      <c r="S27" s="159"/>
    </row>
    <row r="28" spans="1:19" ht="13" customHeight="1">
      <c r="A28" s="151"/>
      <c r="B28" s="150" t="s">
        <v>46</v>
      </c>
      <c r="C28" s="455">
        <v>0</v>
      </c>
      <c r="D28" s="455">
        <v>0</v>
      </c>
      <c r="E28" s="477">
        <v>0</v>
      </c>
      <c r="F28" s="477">
        <v>0</v>
      </c>
      <c r="G28" s="477">
        <v>0</v>
      </c>
      <c r="H28" s="479">
        <v>0</v>
      </c>
      <c r="I28" s="479">
        <v>0</v>
      </c>
      <c r="J28" s="479">
        <v>0</v>
      </c>
      <c r="K28" s="479">
        <v>0</v>
      </c>
      <c r="L28" s="479">
        <v>0</v>
      </c>
      <c r="M28" s="480">
        <v>0</v>
      </c>
      <c r="N28" s="480">
        <v>0</v>
      </c>
      <c r="O28" s="480">
        <v>0</v>
      </c>
      <c r="P28" s="480">
        <v>0</v>
      </c>
      <c r="Q28" s="480">
        <v>0</v>
      </c>
      <c r="S28" s="159"/>
    </row>
    <row r="29" spans="1:19" ht="13" customHeight="1">
      <c r="A29" s="151"/>
      <c r="B29" s="30" t="s">
        <v>47</v>
      </c>
      <c r="C29" s="455">
        <v>0</v>
      </c>
      <c r="D29" s="455">
        <v>0</v>
      </c>
      <c r="E29" s="477">
        <v>0</v>
      </c>
      <c r="F29" s="477">
        <v>0</v>
      </c>
      <c r="G29" s="477">
        <v>0</v>
      </c>
      <c r="H29" s="479">
        <v>0</v>
      </c>
      <c r="I29" s="479">
        <v>0</v>
      </c>
      <c r="J29" s="479">
        <v>0</v>
      </c>
      <c r="K29" s="479">
        <v>0</v>
      </c>
      <c r="L29" s="479">
        <v>0</v>
      </c>
      <c r="M29" s="480">
        <v>0</v>
      </c>
      <c r="N29" s="480">
        <v>0</v>
      </c>
      <c r="O29" s="480">
        <v>0</v>
      </c>
      <c r="P29" s="480">
        <v>0</v>
      </c>
      <c r="Q29" s="480">
        <v>0</v>
      </c>
      <c r="S29" s="159"/>
    </row>
    <row r="30" spans="1:19" ht="13" customHeight="1">
      <c r="A30" s="151"/>
      <c r="B30" s="29" t="s">
        <v>48</v>
      </c>
      <c r="C30" s="455">
        <v>0</v>
      </c>
      <c r="D30" s="455">
        <v>0</v>
      </c>
      <c r="E30" s="477">
        <v>0</v>
      </c>
      <c r="F30" s="477">
        <v>0</v>
      </c>
      <c r="G30" s="477">
        <v>0</v>
      </c>
      <c r="H30" s="479">
        <v>0</v>
      </c>
      <c r="I30" s="479">
        <v>0</v>
      </c>
      <c r="J30" s="479">
        <v>0</v>
      </c>
      <c r="K30" s="479">
        <v>0</v>
      </c>
      <c r="L30" s="479">
        <v>0</v>
      </c>
      <c r="M30" s="480">
        <v>0</v>
      </c>
      <c r="N30" s="480">
        <v>0</v>
      </c>
      <c r="O30" s="480">
        <v>0</v>
      </c>
      <c r="P30" s="480">
        <v>0</v>
      </c>
      <c r="Q30" s="480">
        <v>0</v>
      </c>
      <c r="S30" s="159"/>
    </row>
    <row r="31" spans="1:19" ht="13" customHeight="1" thickBot="1">
      <c r="A31" s="453"/>
      <c r="B31" s="454" t="s">
        <v>49</v>
      </c>
      <c r="C31" s="458">
        <v>0</v>
      </c>
      <c r="D31" s="458">
        <v>0</v>
      </c>
      <c r="E31" s="482">
        <v>0</v>
      </c>
      <c r="F31" s="482">
        <v>0</v>
      </c>
      <c r="G31" s="482">
        <v>0</v>
      </c>
      <c r="H31" s="482">
        <v>0</v>
      </c>
      <c r="I31" s="482">
        <v>0</v>
      </c>
      <c r="J31" s="482">
        <v>0</v>
      </c>
      <c r="K31" s="482">
        <v>0</v>
      </c>
      <c r="L31" s="482">
        <v>0</v>
      </c>
      <c r="M31" s="483">
        <v>0</v>
      </c>
      <c r="N31" s="483">
        <v>0</v>
      </c>
      <c r="O31" s="483">
        <v>0</v>
      </c>
      <c r="P31" s="483">
        <v>0</v>
      </c>
      <c r="Q31" s="483">
        <v>0</v>
      </c>
      <c r="S31" s="159"/>
    </row>
    <row r="32" spans="1:19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1">
    <tabColor theme="9" tint="0.59999389629810485"/>
  </sheetPr>
  <dimension ref="A2:S3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361</v>
      </c>
      <c r="B2" s="469"/>
    </row>
    <row r="3" spans="1:19" ht="13" customHeight="1">
      <c r="A3" s="470" t="s">
        <v>319</v>
      </c>
      <c r="B3" s="470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9" ht="15" customHeight="1">
      <c r="A6" s="1102" t="s">
        <v>106</v>
      </c>
      <c r="B6" s="1102"/>
      <c r="C6" s="484">
        <f t="shared" ref="C6:N6" si="0">(C8+C9+C10+C11+C12+C13+C14+C15+C16+C17+C18+C19+C20+C21+C22+C23+C24+C25+C26+C27+C28+C29+C30+C31)</f>
        <v>10914</v>
      </c>
      <c r="D6" s="484">
        <f t="shared" si="0"/>
        <v>10375</v>
      </c>
      <c r="E6" s="484">
        <f t="shared" si="0"/>
        <v>10894</v>
      </c>
      <c r="F6" s="484">
        <f t="shared" si="0"/>
        <v>10087</v>
      </c>
      <c r="G6" s="484">
        <f t="shared" si="0"/>
        <v>10280</v>
      </c>
      <c r="H6" s="484">
        <f t="shared" si="0"/>
        <v>10219</v>
      </c>
      <c r="I6" s="484">
        <f t="shared" si="0"/>
        <v>10293</v>
      </c>
      <c r="J6" s="484">
        <f t="shared" si="0"/>
        <v>11029</v>
      </c>
      <c r="K6" s="484">
        <f t="shared" si="0"/>
        <v>10405</v>
      </c>
      <c r="L6" s="484">
        <f t="shared" si="0"/>
        <v>9975</v>
      </c>
      <c r="M6" s="484">
        <f t="shared" si="0"/>
        <v>8955</v>
      </c>
      <c r="N6" s="484">
        <f t="shared" si="0"/>
        <v>9353</v>
      </c>
      <c r="O6" s="484">
        <f>(O8+O9+O10+O11+O12+O13+O14+O15+O16+O17+O18+O19+O20+O21+O22+O23+O24+O25+O26+O27+O28+O29+O30+O31)</f>
        <v>8139</v>
      </c>
      <c r="P6" s="484">
        <f>(P8+P9+P10+P11+P12+P13+P14+P15+P16+P17+P18+P19+P20+P21+P22+P23+P24+P25+P26+P27+P28+P29+P30+P31)</f>
        <v>8056</v>
      </c>
      <c r="Q6" s="484">
        <f>(Q8+Q9+Q10+Q11+Q12+Q13+Q14+Q15+Q16+Q17+Q18+Q19+Q20+Q21+Q22+Q23+Q24+Q25+Q26+Q27+Q28+Q29+Q30+Q31)</f>
        <v>7742</v>
      </c>
    </row>
    <row r="7" spans="1:19" ht="5" customHeight="1">
      <c r="A7" s="151"/>
      <c r="B7" s="152"/>
      <c r="C7" s="485"/>
      <c r="D7" s="485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5"/>
      <c r="Q7" s="485"/>
    </row>
    <row r="8" spans="1:19" ht="13" customHeight="1">
      <c r="A8" s="151"/>
      <c r="B8" s="29" t="s">
        <v>21</v>
      </c>
      <c r="C8" s="486">
        <v>0</v>
      </c>
      <c r="D8" s="486">
        <v>0</v>
      </c>
      <c r="E8" s="486">
        <v>0</v>
      </c>
      <c r="F8" s="486">
        <v>0</v>
      </c>
      <c r="G8" s="486">
        <v>0</v>
      </c>
      <c r="H8" s="486">
        <v>0</v>
      </c>
      <c r="I8" s="486">
        <v>0</v>
      </c>
      <c r="J8" s="486">
        <v>0</v>
      </c>
      <c r="K8" s="486">
        <v>0</v>
      </c>
      <c r="L8" s="486">
        <v>0</v>
      </c>
      <c r="M8" s="487">
        <v>0</v>
      </c>
      <c r="N8" s="487">
        <v>0</v>
      </c>
      <c r="O8" s="487">
        <v>0</v>
      </c>
      <c r="P8" s="487">
        <v>0</v>
      </c>
      <c r="Q8" s="487">
        <v>0</v>
      </c>
    </row>
    <row r="9" spans="1:19" ht="13" customHeight="1">
      <c r="A9" s="151"/>
      <c r="B9" s="29" t="s">
        <v>22</v>
      </c>
      <c r="C9" s="486">
        <v>0</v>
      </c>
      <c r="D9" s="486">
        <v>0</v>
      </c>
      <c r="E9" s="486">
        <v>0</v>
      </c>
      <c r="F9" s="486">
        <v>0</v>
      </c>
      <c r="G9" s="486">
        <v>0</v>
      </c>
      <c r="H9" s="488">
        <v>114</v>
      </c>
      <c r="I9" s="488">
        <v>116</v>
      </c>
      <c r="J9" s="488">
        <v>57</v>
      </c>
      <c r="K9" s="488">
        <v>45</v>
      </c>
      <c r="L9" s="488">
        <v>44</v>
      </c>
      <c r="M9" s="489">
        <v>60</v>
      </c>
      <c r="N9" s="489">
        <v>61</v>
      </c>
      <c r="O9" s="489">
        <v>50</v>
      </c>
      <c r="P9" s="489">
        <v>24</v>
      </c>
      <c r="Q9" s="489">
        <v>17</v>
      </c>
      <c r="S9" s="159"/>
    </row>
    <row r="10" spans="1:19" ht="13" customHeight="1">
      <c r="A10" s="151"/>
      <c r="B10" s="29" t="s">
        <v>23</v>
      </c>
      <c r="C10" s="486">
        <v>0</v>
      </c>
      <c r="D10" s="486">
        <v>0</v>
      </c>
      <c r="E10" s="486">
        <v>0</v>
      </c>
      <c r="F10" s="486">
        <v>0</v>
      </c>
      <c r="G10" s="486">
        <v>0</v>
      </c>
      <c r="H10" s="488">
        <v>0</v>
      </c>
      <c r="I10" s="488">
        <v>0</v>
      </c>
      <c r="J10" s="488">
        <v>0</v>
      </c>
      <c r="K10" s="488">
        <v>0</v>
      </c>
      <c r="L10" s="488">
        <v>0</v>
      </c>
      <c r="M10" s="488">
        <v>0</v>
      </c>
      <c r="N10" s="488">
        <v>0</v>
      </c>
      <c r="O10" s="488">
        <v>0</v>
      </c>
      <c r="P10" s="488">
        <v>0</v>
      </c>
      <c r="Q10" s="488">
        <v>0</v>
      </c>
      <c r="S10" s="159"/>
    </row>
    <row r="11" spans="1:19" ht="13" customHeight="1">
      <c r="A11" s="151"/>
      <c r="B11" s="29" t="s">
        <v>24</v>
      </c>
      <c r="C11" s="486">
        <v>640</v>
      </c>
      <c r="D11" s="486">
        <v>686</v>
      </c>
      <c r="E11" s="486">
        <v>689</v>
      </c>
      <c r="F11" s="486">
        <v>688</v>
      </c>
      <c r="G11" s="486">
        <v>703</v>
      </c>
      <c r="H11" s="488">
        <v>709</v>
      </c>
      <c r="I11" s="488">
        <v>721</v>
      </c>
      <c r="J11" s="486">
        <v>733</v>
      </c>
      <c r="K11" s="486">
        <v>732</v>
      </c>
      <c r="L11" s="486">
        <v>735</v>
      </c>
      <c r="M11" s="487">
        <v>690</v>
      </c>
      <c r="N11" s="487">
        <v>706</v>
      </c>
      <c r="O11" s="487">
        <v>706</v>
      </c>
      <c r="P11" s="487">
        <v>724</v>
      </c>
      <c r="Q11" s="487">
        <v>734</v>
      </c>
      <c r="S11" s="159"/>
    </row>
    <row r="12" spans="1:19" ht="13" customHeight="1">
      <c r="A12" s="151"/>
      <c r="B12" s="29" t="s">
        <v>25</v>
      </c>
      <c r="C12" s="486">
        <v>335</v>
      </c>
      <c r="D12" s="486">
        <v>330</v>
      </c>
      <c r="E12" s="486">
        <v>324</v>
      </c>
      <c r="F12" s="486">
        <v>302</v>
      </c>
      <c r="G12" s="486">
        <v>213</v>
      </c>
      <c r="H12" s="486">
        <v>142</v>
      </c>
      <c r="I12" s="486">
        <v>189</v>
      </c>
      <c r="J12" s="486">
        <v>228</v>
      </c>
      <c r="K12" s="486">
        <v>253</v>
      </c>
      <c r="L12" s="486">
        <v>194</v>
      </c>
      <c r="M12" s="487">
        <v>212</v>
      </c>
      <c r="N12" s="487">
        <v>192</v>
      </c>
      <c r="O12" s="487">
        <v>443</v>
      </c>
      <c r="P12" s="487">
        <v>407</v>
      </c>
      <c r="Q12" s="487">
        <v>286</v>
      </c>
      <c r="S12" s="159"/>
    </row>
    <row r="13" spans="1:19" ht="13" customHeight="1">
      <c r="A13" s="151"/>
      <c r="B13" s="29" t="s">
        <v>29</v>
      </c>
      <c r="C13" s="486">
        <v>20</v>
      </c>
      <c r="D13" s="486">
        <v>23</v>
      </c>
      <c r="E13" s="486">
        <v>29</v>
      </c>
      <c r="F13" s="486">
        <v>7</v>
      </c>
      <c r="G13" s="486">
        <v>19</v>
      </c>
      <c r="H13" s="486">
        <v>18</v>
      </c>
      <c r="I13" s="486">
        <v>10</v>
      </c>
      <c r="J13" s="486">
        <v>11</v>
      </c>
      <c r="K13" s="486">
        <v>10</v>
      </c>
      <c r="L13" s="486">
        <v>10</v>
      </c>
      <c r="M13" s="486">
        <v>7</v>
      </c>
      <c r="N13" s="486">
        <v>4</v>
      </c>
      <c r="O13" s="486">
        <v>4</v>
      </c>
      <c r="P13" s="486">
        <v>4</v>
      </c>
      <c r="Q13" s="486">
        <v>3</v>
      </c>
      <c r="S13" s="159"/>
    </row>
    <row r="14" spans="1:19" ht="13" customHeight="1">
      <c r="A14" s="151"/>
      <c r="B14" s="29" t="s">
        <v>30</v>
      </c>
      <c r="C14" s="486">
        <v>63</v>
      </c>
      <c r="D14" s="486">
        <v>57</v>
      </c>
      <c r="E14" s="486">
        <v>47</v>
      </c>
      <c r="F14" s="486">
        <v>44</v>
      </c>
      <c r="G14" s="486">
        <v>10</v>
      </c>
      <c r="H14" s="488">
        <v>10</v>
      </c>
      <c r="I14" s="488">
        <v>49</v>
      </c>
      <c r="J14" s="488">
        <v>17</v>
      </c>
      <c r="K14" s="488">
        <v>7</v>
      </c>
      <c r="L14" s="488">
        <v>5</v>
      </c>
      <c r="M14" s="487">
        <v>11</v>
      </c>
      <c r="N14" s="487">
        <v>15</v>
      </c>
      <c r="O14" s="487">
        <v>10</v>
      </c>
      <c r="P14" s="487">
        <v>10</v>
      </c>
      <c r="Q14" s="487">
        <v>9</v>
      </c>
      <c r="S14" s="159"/>
    </row>
    <row r="15" spans="1:19" ht="13" customHeight="1">
      <c r="A15" s="151"/>
      <c r="B15" s="29" t="s">
        <v>31</v>
      </c>
      <c r="C15" s="486">
        <v>57</v>
      </c>
      <c r="D15" s="486">
        <v>60</v>
      </c>
      <c r="E15" s="486">
        <v>83</v>
      </c>
      <c r="F15" s="486">
        <v>77</v>
      </c>
      <c r="G15" s="486">
        <v>87</v>
      </c>
      <c r="H15" s="488">
        <v>82</v>
      </c>
      <c r="I15" s="488">
        <v>122</v>
      </c>
      <c r="J15" s="488">
        <v>123</v>
      </c>
      <c r="K15" s="488">
        <v>59</v>
      </c>
      <c r="L15" s="488">
        <v>97</v>
      </c>
      <c r="M15" s="487">
        <v>107</v>
      </c>
      <c r="N15" s="487">
        <v>135</v>
      </c>
      <c r="O15" s="487">
        <v>96</v>
      </c>
      <c r="P15" s="487">
        <v>133</v>
      </c>
      <c r="Q15" s="487">
        <v>120</v>
      </c>
      <c r="S15" s="159"/>
    </row>
    <row r="16" spans="1:19" ht="13" customHeight="1">
      <c r="A16" s="151"/>
      <c r="B16" s="29" t="s">
        <v>32</v>
      </c>
      <c r="C16" s="486">
        <v>0</v>
      </c>
      <c r="D16" s="490">
        <v>0</v>
      </c>
      <c r="E16" s="490">
        <v>0</v>
      </c>
      <c r="F16" s="490">
        <v>0</v>
      </c>
      <c r="G16" s="490">
        <v>0</v>
      </c>
      <c r="H16" s="488">
        <v>0</v>
      </c>
      <c r="I16" s="488">
        <v>0</v>
      </c>
      <c r="J16" s="488">
        <v>0</v>
      </c>
      <c r="K16" s="488">
        <v>0</v>
      </c>
      <c r="L16" s="488">
        <v>0</v>
      </c>
      <c r="M16" s="488">
        <v>0</v>
      </c>
      <c r="N16" s="488">
        <v>0</v>
      </c>
      <c r="O16" s="488">
        <v>0</v>
      </c>
      <c r="P16" s="488">
        <v>0</v>
      </c>
      <c r="Q16" s="488">
        <v>0</v>
      </c>
      <c r="S16" s="159"/>
    </row>
    <row r="17" spans="1:19" ht="13" customHeight="1">
      <c r="A17" s="151"/>
      <c r="B17" s="29" t="s">
        <v>33</v>
      </c>
      <c r="C17" s="486">
        <v>666</v>
      </c>
      <c r="D17" s="486">
        <v>496</v>
      </c>
      <c r="E17" s="486">
        <v>362</v>
      </c>
      <c r="F17" s="486">
        <v>237</v>
      </c>
      <c r="G17" s="486">
        <v>251</v>
      </c>
      <c r="H17" s="488">
        <v>181</v>
      </c>
      <c r="I17" s="488">
        <v>97</v>
      </c>
      <c r="J17" s="488">
        <v>191</v>
      </c>
      <c r="K17" s="488">
        <v>342</v>
      </c>
      <c r="L17" s="488">
        <v>278</v>
      </c>
      <c r="M17" s="487">
        <v>278</v>
      </c>
      <c r="N17" s="487">
        <v>214</v>
      </c>
      <c r="O17" s="487">
        <v>245</v>
      </c>
      <c r="P17" s="487">
        <v>228</v>
      </c>
      <c r="Q17" s="487">
        <v>209</v>
      </c>
      <c r="S17" s="159"/>
    </row>
    <row r="18" spans="1:19" ht="13" customHeight="1">
      <c r="A18" s="151"/>
      <c r="B18" s="29" t="s">
        <v>34</v>
      </c>
      <c r="C18" s="486">
        <v>1130</v>
      </c>
      <c r="D18" s="486">
        <v>1204</v>
      </c>
      <c r="E18" s="486">
        <v>1157</v>
      </c>
      <c r="F18" s="486">
        <v>1211</v>
      </c>
      <c r="G18" s="486">
        <v>1162</v>
      </c>
      <c r="H18" s="488">
        <v>1311</v>
      </c>
      <c r="I18" s="488">
        <v>895</v>
      </c>
      <c r="J18" s="488">
        <v>1165</v>
      </c>
      <c r="K18" s="488">
        <v>1071</v>
      </c>
      <c r="L18" s="488">
        <v>724</v>
      </c>
      <c r="M18" s="487">
        <v>778</v>
      </c>
      <c r="N18" s="487">
        <v>600</v>
      </c>
      <c r="O18" s="487">
        <v>659</v>
      </c>
      <c r="P18" s="487">
        <v>691</v>
      </c>
      <c r="Q18" s="487">
        <v>646</v>
      </c>
      <c r="S18" s="159"/>
    </row>
    <row r="19" spans="1:19" ht="13" customHeight="1">
      <c r="A19" s="151"/>
      <c r="B19" s="29" t="s">
        <v>35</v>
      </c>
      <c r="C19" s="486">
        <v>943</v>
      </c>
      <c r="D19" s="486">
        <v>971</v>
      </c>
      <c r="E19" s="486">
        <v>730</v>
      </c>
      <c r="F19" s="486">
        <v>872</v>
      </c>
      <c r="G19" s="486">
        <v>1048</v>
      </c>
      <c r="H19" s="488">
        <v>1104</v>
      </c>
      <c r="I19" s="488">
        <v>1097</v>
      </c>
      <c r="J19" s="488">
        <v>1110</v>
      </c>
      <c r="K19" s="488">
        <v>1052</v>
      </c>
      <c r="L19" s="488">
        <v>1154</v>
      </c>
      <c r="M19" s="487">
        <v>1179</v>
      </c>
      <c r="N19" s="487">
        <v>1208</v>
      </c>
      <c r="O19" s="487">
        <v>1260</v>
      </c>
      <c r="P19" s="487">
        <v>1252</v>
      </c>
      <c r="Q19" s="487">
        <v>1306</v>
      </c>
      <c r="S19" s="159"/>
    </row>
    <row r="20" spans="1:19" ht="13" customHeight="1">
      <c r="A20" s="151"/>
      <c r="B20" s="29" t="s">
        <v>36</v>
      </c>
      <c r="C20" s="486">
        <v>877</v>
      </c>
      <c r="D20" s="486">
        <v>563</v>
      </c>
      <c r="E20" s="486">
        <v>499</v>
      </c>
      <c r="F20" s="486">
        <v>388</v>
      </c>
      <c r="G20" s="486">
        <v>379</v>
      </c>
      <c r="H20" s="488">
        <v>236</v>
      </c>
      <c r="I20" s="488">
        <v>497</v>
      </c>
      <c r="J20" s="488">
        <v>518</v>
      </c>
      <c r="K20" s="488">
        <v>456</v>
      </c>
      <c r="L20" s="488">
        <v>218</v>
      </c>
      <c r="M20" s="487">
        <v>128</v>
      </c>
      <c r="N20" s="487">
        <v>178</v>
      </c>
      <c r="O20" s="487">
        <v>334</v>
      </c>
      <c r="P20" s="487">
        <v>363</v>
      </c>
      <c r="Q20" s="487">
        <v>280</v>
      </c>
      <c r="S20" s="159"/>
    </row>
    <row r="21" spans="1:19" ht="13" customHeight="1">
      <c r="A21" s="151"/>
      <c r="B21" s="29" t="s">
        <v>37</v>
      </c>
      <c r="C21" s="486">
        <v>72</v>
      </c>
      <c r="D21" s="486">
        <v>77</v>
      </c>
      <c r="E21" s="486">
        <v>94</v>
      </c>
      <c r="F21" s="486">
        <v>100</v>
      </c>
      <c r="G21" s="486">
        <v>89</v>
      </c>
      <c r="H21" s="488">
        <v>75</v>
      </c>
      <c r="I21" s="488">
        <v>57</v>
      </c>
      <c r="J21" s="488">
        <v>77</v>
      </c>
      <c r="K21" s="488">
        <v>84</v>
      </c>
      <c r="L21" s="488">
        <v>87</v>
      </c>
      <c r="M21" s="487">
        <v>80</v>
      </c>
      <c r="N21" s="487">
        <v>68</v>
      </c>
      <c r="O21" s="487">
        <v>63</v>
      </c>
      <c r="P21" s="487">
        <v>51</v>
      </c>
      <c r="Q21" s="487">
        <v>54</v>
      </c>
      <c r="S21" s="159"/>
    </row>
    <row r="22" spans="1:19" ht="13" customHeight="1">
      <c r="A22" s="151"/>
      <c r="B22" s="29" t="s">
        <v>38</v>
      </c>
      <c r="C22" s="486">
        <v>3</v>
      </c>
      <c r="D22" s="486">
        <v>2</v>
      </c>
      <c r="E22" s="486">
        <v>1</v>
      </c>
      <c r="F22" s="486">
        <v>6</v>
      </c>
      <c r="G22" s="486">
        <v>4</v>
      </c>
      <c r="H22" s="488">
        <v>3</v>
      </c>
      <c r="I22" s="488">
        <v>0</v>
      </c>
      <c r="J22" s="488">
        <v>0</v>
      </c>
      <c r="K22" s="488">
        <v>0</v>
      </c>
      <c r="L22" s="488">
        <v>8</v>
      </c>
      <c r="M22" s="487">
        <v>6</v>
      </c>
      <c r="N22" s="487">
        <v>6</v>
      </c>
      <c r="O22" s="487">
        <v>5</v>
      </c>
      <c r="P22" s="487">
        <v>4</v>
      </c>
      <c r="Q22" s="487">
        <v>3</v>
      </c>
      <c r="S22" s="159"/>
    </row>
    <row r="23" spans="1:19" ht="13" customHeight="1">
      <c r="A23" s="151"/>
      <c r="B23" s="29" t="s">
        <v>39</v>
      </c>
      <c r="C23" s="486">
        <v>0</v>
      </c>
      <c r="D23" s="486">
        <v>0</v>
      </c>
      <c r="E23" s="486">
        <v>0</v>
      </c>
      <c r="F23" s="486">
        <v>0</v>
      </c>
      <c r="G23" s="486">
        <v>0</v>
      </c>
      <c r="H23" s="488">
        <v>0</v>
      </c>
      <c r="I23" s="488">
        <v>0</v>
      </c>
      <c r="J23" s="488">
        <v>0</v>
      </c>
      <c r="K23" s="488">
        <v>0</v>
      </c>
      <c r="L23" s="488">
        <v>0</v>
      </c>
      <c r="M23" s="487">
        <v>0</v>
      </c>
      <c r="N23" s="487">
        <v>0</v>
      </c>
      <c r="O23" s="487">
        <v>0</v>
      </c>
      <c r="P23" s="487">
        <v>0</v>
      </c>
      <c r="Q23" s="487">
        <v>0</v>
      </c>
      <c r="S23" s="159"/>
    </row>
    <row r="24" spans="1:19" ht="13" customHeight="1">
      <c r="A24" s="151"/>
      <c r="B24" s="29" t="s">
        <v>40</v>
      </c>
      <c r="C24" s="486">
        <v>439</v>
      </c>
      <c r="D24" s="486">
        <v>380</v>
      </c>
      <c r="E24" s="486">
        <v>443</v>
      </c>
      <c r="F24" s="486">
        <v>385</v>
      </c>
      <c r="G24" s="486">
        <v>425</v>
      </c>
      <c r="H24" s="488">
        <v>401</v>
      </c>
      <c r="I24" s="488">
        <v>440</v>
      </c>
      <c r="J24" s="488">
        <v>429</v>
      </c>
      <c r="K24" s="488">
        <v>469</v>
      </c>
      <c r="L24" s="488">
        <v>342</v>
      </c>
      <c r="M24" s="487">
        <v>290</v>
      </c>
      <c r="N24" s="487">
        <v>262</v>
      </c>
      <c r="O24" s="487">
        <v>329</v>
      </c>
      <c r="P24" s="487">
        <v>257</v>
      </c>
      <c r="Q24" s="487">
        <v>238</v>
      </c>
      <c r="S24" s="159"/>
    </row>
    <row r="25" spans="1:19" ht="13" customHeight="1">
      <c r="A25" s="151"/>
      <c r="B25" s="29" t="s">
        <v>41</v>
      </c>
      <c r="C25" s="486">
        <v>197</v>
      </c>
      <c r="D25" s="486">
        <v>221</v>
      </c>
      <c r="E25" s="486">
        <v>254</v>
      </c>
      <c r="F25" s="486">
        <v>191</v>
      </c>
      <c r="G25" s="486">
        <v>150</v>
      </c>
      <c r="H25" s="486">
        <v>147</v>
      </c>
      <c r="I25" s="486">
        <v>280</v>
      </c>
      <c r="J25" s="486">
        <v>330</v>
      </c>
      <c r="K25" s="486">
        <v>352</v>
      </c>
      <c r="L25" s="486">
        <v>322</v>
      </c>
      <c r="M25" s="487">
        <v>304</v>
      </c>
      <c r="N25" s="487">
        <v>219</v>
      </c>
      <c r="O25" s="487">
        <v>177</v>
      </c>
      <c r="P25" s="487">
        <v>164</v>
      </c>
      <c r="Q25" s="487">
        <v>148</v>
      </c>
      <c r="S25" s="159"/>
    </row>
    <row r="26" spans="1:19" ht="13" customHeight="1">
      <c r="A26" s="151"/>
      <c r="B26" s="29" t="s">
        <v>44</v>
      </c>
      <c r="C26" s="486">
        <v>532</v>
      </c>
      <c r="D26" s="486">
        <v>363</v>
      </c>
      <c r="E26" s="486">
        <v>1222</v>
      </c>
      <c r="F26" s="486">
        <v>639</v>
      </c>
      <c r="G26" s="486">
        <v>762</v>
      </c>
      <c r="H26" s="488">
        <v>679</v>
      </c>
      <c r="I26" s="488">
        <v>685</v>
      </c>
      <c r="J26" s="488">
        <v>1070</v>
      </c>
      <c r="K26" s="488">
        <v>805</v>
      </c>
      <c r="L26" s="488">
        <v>768</v>
      </c>
      <c r="M26" s="487">
        <v>748</v>
      </c>
      <c r="N26" s="487">
        <v>735</v>
      </c>
      <c r="O26" s="487">
        <v>723</v>
      </c>
      <c r="P26" s="487">
        <v>676</v>
      </c>
      <c r="Q26" s="487">
        <v>673</v>
      </c>
      <c r="S26" s="159"/>
    </row>
    <row r="27" spans="1:19" ht="13" customHeight="1">
      <c r="A27" s="151"/>
      <c r="B27" s="29" t="s">
        <v>45</v>
      </c>
      <c r="C27" s="486">
        <v>4940</v>
      </c>
      <c r="D27" s="486">
        <v>4942</v>
      </c>
      <c r="E27" s="486">
        <v>4960</v>
      </c>
      <c r="F27" s="486">
        <v>4940</v>
      </c>
      <c r="G27" s="486">
        <v>4978</v>
      </c>
      <c r="H27" s="488">
        <v>5007</v>
      </c>
      <c r="I27" s="488">
        <v>5038</v>
      </c>
      <c r="J27" s="488">
        <v>4970</v>
      </c>
      <c r="K27" s="488">
        <v>4668</v>
      </c>
      <c r="L27" s="488">
        <v>4989</v>
      </c>
      <c r="M27" s="487">
        <v>4077</v>
      </c>
      <c r="N27" s="487">
        <v>4750</v>
      </c>
      <c r="O27" s="487">
        <v>3035</v>
      </c>
      <c r="P27" s="487">
        <v>3068</v>
      </c>
      <c r="Q27" s="487">
        <v>3016</v>
      </c>
      <c r="S27" s="159"/>
    </row>
    <row r="28" spans="1:19" ht="13" customHeight="1">
      <c r="A28" s="151"/>
      <c r="B28" s="150" t="s">
        <v>46</v>
      </c>
      <c r="C28" s="486">
        <v>0</v>
      </c>
      <c r="D28" s="486">
        <v>0</v>
      </c>
      <c r="E28" s="486">
        <v>0</v>
      </c>
      <c r="F28" s="486">
        <v>0</v>
      </c>
      <c r="G28" s="486">
        <v>0</v>
      </c>
      <c r="H28" s="488">
        <v>0</v>
      </c>
      <c r="I28" s="488">
        <v>0</v>
      </c>
      <c r="J28" s="488">
        <v>0</v>
      </c>
      <c r="K28" s="488">
        <v>0</v>
      </c>
      <c r="L28" s="488">
        <v>0</v>
      </c>
      <c r="M28" s="489">
        <v>0</v>
      </c>
      <c r="N28" s="489">
        <v>0</v>
      </c>
      <c r="O28" s="489">
        <v>0</v>
      </c>
      <c r="P28" s="489">
        <v>0</v>
      </c>
      <c r="Q28" s="489">
        <v>0</v>
      </c>
      <c r="S28" s="159"/>
    </row>
    <row r="29" spans="1:19" ht="13" customHeight="1">
      <c r="A29" s="151"/>
      <c r="B29" s="30" t="s">
        <v>47</v>
      </c>
      <c r="C29" s="486">
        <v>0</v>
      </c>
      <c r="D29" s="486">
        <v>0</v>
      </c>
      <c r="E29" s="486">
        <v>0</v>
      </c>
      <c r="F29" s="486">
        <v>0</v>
      </c>
      <c r="G29" s="486">
        <v>0</v>
      </c>
      <c r="H29" s="488">
        <v>0</v>
      </c>
      <c r="I29" s="488">
        <v>0</v>
      </c>
      <c r="J29" s="488">
        <v>0</v>
      </c>
      <c r="K29" s="488">
        <v>0</v>
      </c>
      <c r="L29" s="488">
        <v>0</v>
      </c>
      <c r="M29" s="489">
        <v>0</v>
      </c>
      <c r="N29" s="489">
        <v>0</v>
      </c>
      <c r="O29" s="489">
        <v>0</v>
      </c>
      <c r="P29" s="489">
        <v>0</v>
      </c>
      <c r="Q29" s="489">
        <v>0</v>
      </c>
      <c r="S29" s="159"/>
    </row>
    <row r="30" spans="1:19" ht="13" customHeight="1">
      <c r="A30" s="151"/>
      <c r="B30" s="29" t="s">
        <v>48</v>
      </c>
      <c r="C30" s="486">
        <v>0</v>
      </c>
      <c r="D30" s="486">
        <v>0</v>
      </c>
      <c r="E30" s="486">
        <v>0</v>
      </c>
      <c r="F30" s="486">
        <v>0</v>
      </c>
      <c r="G30" s="486">
        <v>0</v>
      </c>
      <c r="H30" s="488">
        <v>0</v>
      </c>
      <c r="I30" s="488">
        <v>0</v>
      </c>
      <c r="J30" s="488">
        <v>0</v>
      </c>
      <c r="K30" s="488">
        <v>0</v>
      </c>
      <c r="L30" s="488">
        <v>0</v>
      </c>
      <c r="M30" s="489">
        <v>0</v>
      </c>
      <c r="N30" s="489">
        <v>0</v>
      </c>
      <c r="O30" s="489">
        <v>0</v>
      </c>
      <c r="P30" s="489">
        <v>0</v>
      </c>
      <c r="Q30" s="489">
        <v>0</v>
      </c>
      <c r="S30" s="159"/>
    </row>
    <row r="31" spans="1:19" ht="13" customHeight="1" thickBot="1">
      <c r="A31" s="453"/>
      <c r="B31" s="454" t="s">
        <v>49</v>
      </c>
      <c r="C31" s="491">
        <v>0</v>
      </c>
      <c r="D31" s="491">
        <v>0</v>
      </c>
      <c r="E31" s="491">
        <v>0</v>
      </c>
      <c r="F31" s="491">
        <v>0</v>
      </c>
      <c r="G31" s="491">
        <v>0</v>
      </c>
      <c r="H31" s="491">
        <v>0</v>
      </c>
      <c r="I31" s="491">
        <v>0</v>
      </c>
      <c r="J31" s="491">
        <v>0</v>
      </c>
      <c r="K31" s="491">
        <v>0</v>
      </c>
      <c r="L31" s="491">
        <v>0</v>
      </c>
      <c r="M31" s="492">
        <v>0</v>
      </c>
      <c r="N31" s="492">
        <v>0</v>
      </c>
      <c r="O31" s="492">
        <v>0</v>
      </c>
      <c r="P31" s="492">
        <v>0</v>
      </c>
      <c r="Q31" s="492">
        <v>0</v>
      </c>
      <c r="S31" s="159"/>
    </row>
    <row r="32" spans="1:19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2">
    <tabColor theme="9" tint="0.59999389629810485"/>
  </sheetPr>
  <dimension ref="A2:Q3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7" ht="13" customHeight="1">
      <c r="A2" s="468" t="s">
        <v>360</v>
      </c>
      <c r="B2" s="469"/>
    </row>
    <row r="3" spans="1:17" ht="13" customHeight="1">
      <c r="A3" s="470" t="s">
        <v>384</v>
      </c>
      <c r="B3" s="470"/>
    </row>
    <row r="4" spans="1:17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7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7" ht="15" customHeight="1">
      <c r="A6" s="1102" t="s">
        <v>114</v>
      </c>
      <c r="B6" s="1102"/>
      <c r="C6" s="493">
        <v>3.77</v>
      </c>
      <c r="D6" s="493">
        <v>3.79</v>
      </c>
      <c r="E6" s="493">
        <v>4.33</v>
      </c>
      <c r="F6" s="493">
        <v>4.59</v>
      </c>
      <c r="G6" s="493">
        <v>4.03</v>
      </c>
      <c r="H6" s="493">
        <v>4.4800000000000004</v>
      </c>
      <c r="I6" s="493">
        <v>4.88</v>
      </c>
      <c r="J6" s="493">
        <v>5.16</v>
      </c>
      <c r="K6" s="493">
        <v>5.62</v>
      </c>
      <c r="L6" s="493">
        <v>5.51</v>
      </c>
      <c r="M6" s="493">
        <v>5.45</v>
      </c>
      <c r="N6" s="493">
        <v>5.84</v>
      </c>
      <c r="O6" s="493">
        <v>6.18</v>
      </c>
      <c r="P6" s="493">
        <v>6.45</v>
      </c>
      <c r="Q6" s="493">
        <v>6.94</v>
      </c>
    </row>
    <row r="7" spans="1:17" ht="5" customHeight="1">
      <c r="A7" s="151"/>
      <c r="B7" s="152"/>
      <c r="C7" s="494"/>
      <c r="D7" s="494"/>
      <c r="E7" s="494"/>
      <c r="F7" s="494"/>
      <c r="G7" s="494"/>
      <c r="H7" s="494"/>
      <c r="I7" s="494"/>
      <c r="J7" s="494"/>
      <c r="K7" s="494"/>
      <c r="L7" s="494"/>
      <c r="M7" s="494"/>
      <c r="N7" s="494"/>
      <c r="O7" s="494"/>
      <c r="P7" s="494"/>
      <c r="Q7" s="494"/>
    </row>
    <row r="8" spans="1:17" ht="13" customHeight="1">
      <c r="A8" s="151"/>
      <c r="B8" s="29" t="s">
        <v>21</v>
      </c>
      <c r="C8" s="495" t="s">
        <v>81</v>
      </c>
      <c r="D8" s="495" t="s">
        <v>81</v>
      </c>
      <c r="E8" s="495" t="s">
        <v>81</v>
      </c>
      <c r="F8" s="495" t="s">
        <v>81</v>
      </c>
      <c r="G8" s="495" t="s">
        <v>81</v>
      </c>
      <c r="H8" s="495" t="s">
        <v>81</v>
      </c>
      <c r="I8" s="495" t="s">
        <v>81</v>
      </c>
      <c r="J8" s="495" t="s">
        <v>81</v>
      </c>
      <c r="K8" s="495" t="s">
        <v>81</v>
      </c>
      <c r="L8" s="495" t="s">
        <v>81</v>
      </c>
      <c r="M8" s="495" t="s">
        <v>81</v>
      </c>
      <c r="N8" s="495" t="s">
        <v>81</v>
      </c>
      <c r="O8" s="495" t="s">
        <v>81</v>
      </c>
      <c r="P8" s="495" t="s">
        <v>81</v>
      </c>
      <c r="Q8" s="495" t="s">
        <v>81</v>
      </c>
    </row>
    <row r="9" spans="1:17" ht="13" customHeight="1">
      <c r="A9" s="151"/>
      <c r="B9" s="29" t="s">
        <v>22</v>
      </c>
      <c r="C9" s="495" t="s">
        <v>81</v>
      </c>
      <c r="D9" s="495" t="s">
        <v>81</v>
      </c>
      <c r="E9" s="495" t="s">
        <v>81</v>
      </c>
      <c r="F9" s="495" t="s">
        <v>81</v>
      </c>
      <c r="G9" s="495" t="s">
        <v>81</v>
      </c>
      <c r="H9" s="495">
        <v>5.34</v>
      </c>
      <c r="I9" s="495">
        <v>5.62</v>
      </c>
      <c r="J9" s="495">
        <v>6.37</v>
      </c>
      <c r="K9" s="495">
        <v>7.28</v>
      </c>
      <c r="L9" s="495">
        <v>6.23</v>
      </c>
      <c r="M9" s="495">
        <v>6.79</v>
      </c>
      <c r="N9" s="495">
        <v>6.83</v>
      </c>
      <c r="O9" s="495">
        <v>7.45</v>
      </c>
      <c r="P9" s="495">
        <v>7.27</v>
      </c>
      <c r="Q9" s="495">
        <v>7.36</v>
      </c>
    </row>
    <row r="10" spans="1:17" ht="13" customHeight="1">
      <c r="A10" s="151"/>
      <c r="B10" s="29" t="s">
        <v>23</v>
      </c>
      <c r="C10" s="495" t="s">
        <v>81</v>
      </c>
      <c r="D10" s="495" t="s">
        <v>81</v>
      </c>
      <c r="E10" s="495" t="s">
        <v>81</v>
      </c>
      <c r="F10" s="495" t="s">
        <v>81</v>
      </c>
      <c r="G10" s="495" t="s">
        <v>81</v>
      </c>
      <c r="H10" s="495" t="s">
        <v>81</v>
      </c>
      <c r="I10" s="495" t="s">
        <v>81</v>
      </c>
      <c r="J10" s="495" t="s">
        <v>81</v>
      </c>
      <c r="K10" s="495" t="s">
        <v>81</v>
      </c>
      <c r="L10" s="495" t="s">
        <v>81</v>
      </c>
      <c r="M10" s="495" t="s">
        <v>81</v>
      </c>
      <c r="N10" s="495" t="s">
        <v>81</v>
      </c>
      <c r="O10" s="495" t="s">
        <v>81</v>
      </c>
      <c r="P10" s="495" t="s">
        <v>81</v>
      </c>
      <c r="Q10" s="495" t="s">
        <v>81</v>
      </c>
    </row>
    <row r="11" spans="1:17" ht="13" customHeight="1">
      <c r="A11" s="151"/>
      <c r="B11" s="29" t="s">
        <v>24</v>
      </c>
      <c r="C11" s="495">
        <v>7.35</v>
      </c>
      <c r="D11" s="495">
        <v>5.3</v>
      </c>
      <c r="E11" s="495">
        <v>5.08</v>
      </c>
      <c r="F11" s="495">
        <v>6.45</v>
      </c>
      <c r="G11" s="495">
        <v>4.7</v>
      </c>
      <c r="H11" s="495">
        <v>4.9000000000000004</v>
      </c>
      <c r="I11" s="495">
        <v>7.5</v>
      </c>
      <c r="J11" s="495">
        <v>7.31</v>
      </c>
      <c r="K11" s="495">
        <v>7.63</v>
      </c>
      <c r="L11" s="495">
        <v>7.63</v>
      </c>
      <c r="M11" s="495">
        <v>7.41</v>
      </c>
      <c r="N11" s="495">
        <v>7.42</v>
      </c>
      <c r="O11" s="495">
        <v>7.42</v>
      </c>
      <c r="P11" s="495">
        <v>7.29</v>
      </c>
      <c r="Q11" s="495">
        <v>7.28</v>
      </c>
    </row>
    <row r="12" spans="1:17" ht="13" customHeight="1">
      <c r="A12" s="151"/>
      <c r="B12" s="29" t="s">
        <v>25</v>
      </c>
      <c r="C12" s="495">
        <v>4.9800000000000004</v>
      </c>
      <c r="D12" s="495">
        <v>5.83</v>
      </c>
      <c r="E12" s="495">
        <v>7.02</v>
      </c>
      <c r="F12" s="495">
        <v>6.07</v>
      </c>
      <c r="G12" s="495">
        <v>6.07</v>
      </c>
      <c r="H12" s="495">
        <v>5.54</v>
      </c>
      <c r="I12" s="495">
        <v>6.22</v>
      </c>
      <c r="J12" s="495">
        <v>4.0599999999999996</v>
      </c>
      <c r="K12" s="495">
        <v>6.92</v>
      </c>
      <c r="L12" s="495">
        <v>7.48</v>
      </c>
      <c r="M12" s="495">
        <v>6.89</v>
      </c>
      <c r="N12" s="495">
        <v>6.79</v>
      </c>
      <c r="O12" s="495">
        <v>7.02</v>
      </c>
      <c r="P12" s="495">
        <v>7.25</v>
      </c>
      <c r="Q12" s="495">
        <v>7.4</v>
      </c>
    </row>
    <row r="13" spans="1:17" ht="13" customHeight="1">
      <c r="A13" s="151"/>
      <c r="B13" s="29" t="s">
        <v>29</v>
      </c>
      <c r="C13" s="495">
        <v>4.8499999999999996</v>
      </c>
      <c r="D13" s="495">
        <v>3.31</v>
      </c>
      <c r="E13" s="495">
        <v>8.5299999999999994</v>
      </c>
      <c r="F13" s="495">
        <v>4.45</v>
      </c>
      <c r="G13" s="495">
        <v>6.56</v>
      </c>
      <c r="H13" s="495">
        <v>5.14</v>
      </c>
      <c r="I13" s="495">
        <v>6.66</v>
      </c>
      <c r="J13" s="495">
        <v>6.69</v>
      </c>
      <c r="K13" s="495">
        <v>6.48</v>
      </c>
      <c r="L13" s="495">
        <v>7.01</v>
      </c>
      <c r="M13" s="495">
        <v>6.77</v>
      </c>
      <c r="N13" s="495">
        <v>6.26</v>
      </c>
      <c r="O13" s="495">
        <v>6.88</v>
      </c>
      <c r="P13" s="495">
        <v>7.38</v>
      </c>
      <c r="Q13" s="495">
        <v>7.35</v>
      </c>
    </row>
    <row r="14" spans="1:17" ht="13" customHeight="1">
      <c r="A14" s="151"/>
      <c r="B14" s="29" t="s">
        <v>30</v>
      </c>
      <c r="C14" s="495">
        <v>3.31</v>
      </c>
      <c r="D14" s="495">
        <v>3.39</v>
      </c>
      <c r="E14" s="495">
        <v>3.64</v>
      </c>
      <c r="F14" s="495">
        <v>4.6500000000000004</v>
      </c>
      <c r="G14" s="495">
        <v>4.54</v>
      </c>
      <c r="H14" s="495">
        <v>5.66</v>
      </c>
      <c r="I14" s="495">
        <v>7.01</v>
      </c>
      <c r="J14" s="495">
        <v>6.12</v>
      </c>
      <c r="K14" s="495">
        <v>6.66</v>
      </c>
      <c r="L14" s="495">
        <v>6.79</v>
      </c>
      <c r="M14" s="495">
        <v>6.74</v>
      </c>
      <c r="N14" s="495">
        <v>6.48</v>
      </c>
      <c r="O14" s="495">
        <v>6.3</v>
      </c>
      <c r="P14" s="495">
        <v>6.3</v>
      </c>
      <c r="Q14" s="495">
        <v>7.32</v>
      </c>
    </row>
    <row r="15" spans="1:17" ht="13" customHeight="1">
      <c r="A15" s="151"/>
      <c r="B15" s="29" t="s">
        <v>31</v>
      </c>
      <c r="C15" s="495">
        <v>3.3</v>
      </c>
      <c r="D15" s="495">
        <v>3.28</v>
      </c>
      <c r="E15" s="495">
        <v>3.81</v>
      </c>
      <c r="F15" s="495">
        <v>4.1100000000000003</v>
      </c>
      <c r="G15" s="495">
        <v>4.54</v>
      </c>
      <c r="H15" s="495">
        <v>3.88</v>
      </c>
      <c r="I15" s="495">
        <v>5.66</v>
      </c>
      <c r="J15" s="495">
        <v>5.83</v>
      </c>
      <c r="K15" s="495">
        <v>6.79</v>
      </c>
      <c r="L15" s="495">
        <v>5.56</v>
      </c>
      <c r="M15" s="495">
        <v>7.06</v>
      </c>
      <c r="N15" s="495">
        <v>7.23</v>
      </c>
      <c r="O15" s="495">
        <v>6.84</v>
      </c>
      <c r="P15" s="495">
        <v>7.52</v>
      </c>
      <c r="Q15" s="495">
        <v>7.41</v>
      </c>
    </row>
    <row r="16" spans="1:17" ht="13" customHeight="1">
      <c r="A16" s="151"/>
      <c r="B16" s="29" t="s">
        <v>32</v>
      </c>
      <c r="C16" s="495" t="s">
        <v>81</v>
      </c>
      <c r="D16" s="495" t="s">
        <v>81</v>
      </c>
      <c r="E16" s="495" t="s">
        <v>81</v>
      </c>
      <c r="F16" s="495" t="s">
        <v>81</v>
      </c>
      <c r="G16" s="495" t="s">
        <v>81</v>
      </c>
      <c r="H16" s="495" t="s">
        <v>81</v>
      </c>
      <c r="I16" s="495" t="s">
        <v>81</v>
      </c>
      <c r="J16" s="495" t="s">
        <v>81</v>
      </c>
      <c r="K16" s="495" t="s">
        <v>81</v>
      </c>
      <c r="L16" s="495" t="s">
        <v>81</v>
      </c>
      <c r="M16" s="495" t="s">
        <v>81</v>
      </c>
      <c r="N16" s="495" t="s">
        <v>81</v>
      </c>
      <c r="O16" s="495" t="s">
        <v>81</v>
      </c>
      <c r="P16" s="495" t="s">
        <v>81</v>
      </c>
      <c r="Q16" s="495" t="s">
        <v>81</v>
      </c>
    </row>
    <row r="17" spans="1:17" ht="13" customHeight="1">
      <c r="A17" s="151"/>
      <c r="B17" s="29" t="s">
        <v>33</v>
      </c>
      <c r="C17" s="495">
        <v>3.53</v>
      </c>
      <c r="D17" s="495">
        <v>3.44</v>
      </c>
      <c r="E17" s="495">
        <v>3.55</v>
      </c>
      <c r="F17" s="495">
        <v>3.58</v>
      </c>
      <c r="G17" s="495">
        <v>3.77</v>
      </c>
      <c r="H17" s="495">
        <v>4.3899999999999997</v>
      </c>
      <c r="I17" s="495">
        <v>4.76</v>
      </c>
      <c r="J17" s="495">
        <v>4.97</v>
      </c>
      <c r="K17" s="495">
        <v>6.32</v>
      </c>
      <c r="L17" s="495">
        <v>5.23</v>
      </c>
      <c r="M17" s="495">
        <v>5.87</v>
      </c>
      <c r="N17" s="495">
        <v>6.52</v>
      </c>
      <c r="O17" s="495">
        <v>6.71</v>
      </c>
      <c r="P17" s="495">
        <v>6.66</v>
      </c>
      <c r="Q17" s="495">
        <v>7.03</v>
      </c>
    </row>
    <row r="18" spans="1:17" ht="13" customHeight="1">
      <c r="A18" s="151"/>
      <c r="B18" s="29" t="s">
        <v>34</v>
      </c>
      <c r="C18" s="495">
        <v>3.94</v>
      </c>
      <c r="D18" s="495">
        <v>3.3</v>
      </c>
      <c r="E18" s="495">
        <v>3.33</v>
      </c>
      <c r="F18" s="495">
        <v>3.55</v>
      </c>
      <c r="G18" s="495">
        <v>3.61</v>
      </c>
      <c r="H18" s="495">
        <v>4.17</v>
      </c>
      <c r="I18" s="495">
        <v>4.4800000000000004</v>
      </c>
      <c r="J18" s="495">
        <v>4.78</v>
      </c>
      <c r="K18" s="495">
        <v>5</v>
      </c>
      <c r="L18" s="495">
        <v>5.46</v>
      </c>
      <c r="M18" s="495">
        <v>5.62</v>
      </c>
      <c r="N18" s="495">
        <v>6.31</v>
      </c>
      <c r="O18" s="495">
        <v>6.08</v>
      </c>
      <c r="P18" s="495">
        <v>6.17</v>
      </c>
      <c r="Q18" s="495">
        <v>6.82</v>
      </c>
    </row>
    <row r="19" spans="1:17" ht="13" customHeight="1">
      <c r="A19" s="151"/>
      <c r="B19" s="29" t="s">
        <v>35</v>
      </c>
      <c r="C19" s="495">
        <v>1.51</v>
      </c>
      <c r="D19" s="495">
        <v>2.0099999999999998</v>
      </c>
      <c r="E19" s="495">
        <v>2.7</v>
      </c>
      <c r="F19" s="495">
        <v>3.63</v>
      </c>
      <c r="G19" s="495">
        <v>4.78</v>
      </c>
      <c r="H19" s="495">
        <v>5.8</v>
      </c>
      <c r="I19" s="495">
        <v>4.88</v>
      </c>
      <c r="J19" s="495">
        <v>3.45</v>
      </c>
      <c r="K19" s="495">
        <v>5.1100000000000003</v>
      </c>
      <c r="L19" s="495">
        <v>4.74</v>
      </c>
      <c r="M19" s="495">
        <v>5.63</v>
      </c>
      <c r="N19" s="495">
        <v>5.77</v>
      </c>
      <c r="O19" s="495">
        <v>5.54</v>
      </c>
      <c r="P19" s="495">
        <v>6.05</v>
      </c>
      <c r="Q19" s="495">
        <v>6.91</v>
      </c>
    </row>
    <row r="20" spans="1:17" ht="13" customHeight="1">
      <c r="A20" s="151"/>
      <c r="B20" s="29" t="s">
        <v>36</v>
      </c>
      <c r="C20" s="495">
        <v>1.7</v>
      </c>
      <c r="D20" s="495">
        <v>2.2200000000000002</v>
      </c>
      <c r="E20" s="495">
        <v>2.67</v>
      </c>
      <c r="F20" s="495">
        <v>3.58</v>
      </c>
      <c r="G20" s="495">
        <v>5.54</v>
      </c>
      <c r="H20" s="495">
        <v>5.52</v>
      </c>
      <c r="I20" s="495">
        <v>3.43</v>
      </c>
      <c r="J20" s="495">
        <v>3.6</v>
      </c>
      <c r="K20" s="495">
        <v>5.03</v>
      </c>
      <c r="L20" s="495">
        <v>4.8</v>
      </c>
      <c r="M20" s="495">
        <v>5.47</v>
      </c>
      <c r="N20" s="495">
        <v>6.33</v>
      </c>
      <c r="O20" s="495">
        <v>5.83</v>
      </c>
      <c r="P20" s="495">
        <v>5.84</v>
      </c>
      <c r="Q20" s="495">
        <v>6.86</v>
      </c>
    </row>
    <row r="21" spans="1:17" ht="13" customHeight="1">
      <c r="A21" s="151"/>
      <c r="B21" s="29" t="s">
        <v>37</v>
      </c>
      <c r="C21" s="495">
        <v>2.25</v>
      </c>
      <c r="D21" s="495">
        <v>2.35</v>
      </c>
      <c r="E21" s="495">
        <v>2.72</v>
      </c>
      <c r="F21" s="495">
        <v>2.5</v>
      </c>
      <c r="G21" s="495">
        <v>2.93</v>
      </c>
      <c r="H21" s="495">
        <v>3.88</v>
      </c>
      <c r="I21" s="495">
        <v>4.55</v>
      </c>
      <c r="J21" s="495">
        <v>5.35</v>
      </c>
      <c r="K21" s="495">
        <v>5.0599999999999996</v>
      </c>
      <c r="L21" s="495">
        <v>5.04</v>
      </c>
      <c r="M21" s="495">
        <v>5.92</v>
      </c>
      <c r="N21" s="495">
        <v>6.13</v>
      </c>
      <c r="O21" s="495">
        <v>4.76</v>
      </c>
      <c r="P21" s="495">
        <v>6.19</v>
      </c>
      <c r="Q21" s="495">
        <v>6.96</v>
      </c>
    </row>
    <row r="22" spans="1:17" ht="13" customHeight="1">
      <c r="A22" s="151"/>
      <c r="B22" s="29" t="s">
        <v>38</v>
      </c>
      <c r="C22" s="495">
        <v>2.4900000000000002</v>
      </c>
      <c r="D22" s="495">
        <v>3.27</v>
      </c>
      <c r="E22" s="495">
        <v>3.12</v>
      </c>
      <c r="F22" s="495">
        <v>2.21</v>
      </c>
      <c r="G22" s="495">
        <v>3.37</v>
      </c>
      <c r="H22" s="495">
        <v>3.89</v>
      </c>
      <c r="I22" s="495">
        <v>5.7</v>
      </c>
      <c r="J22" s="495">
        <v>0</v>
      </c>
      <c r="K22" s="495">
        <v>5.73</v>
      </c>
      <c r="L22" s="495">
        <v>5.29</v>
      </c>
      <c r="M22" s="495">
        <v>6.22</v>
      </c>
      <c r="N22" s="495">
        <v>6.49</v>
      </c>
      <c r="O22" s="495">
        <v>6.43</v>
      </c>
      <c r="P22" s="495">
        <v>6.16</v>
      </c>
      <c r="Q22" s="495">
        <v>7.38</v>
      </c>
    </row>
    <row r="23" spans="1:17" ht="13" customHeight="1">
      <c r="A23" s="151"/>
      <c r="B23" s="29" t="s">
        <v>39</v>
      </c>
      <c r="C23" s="495"/>
      <c r="D23" s="495"/>
      <c r="E23" s="495"/>
      <c r="F23" s="495"/>
      <c r="G23" s="495"/>
      <c r="H23" s="495"/>
      <c r="I23" s="495"/>
      <c r="J23" s="495"/>
      <c r="K23" s="495"/>
      <c r="L23" s="495"/>
      <c r="M23" s="495"/>
      <c r="N23" s="495"/>
      <c r="O23" s="495" t="s">
        <v>81</v>
      </c>
      <c r="P23" s="495" t="s">
        <v>81</v>
      </c>
      <c r="Q23" s="495" t="s">
        <v>226</v>
      </c>
    </row>
    <row r="24" spans="1:17" ht="13" customHeight="1">
      <c r="A24" s="151"/>
      <c r="B24" s="29" t="s">
        <v>40</v>
      </c>
      <c r="C24" s="495">
        <v>4.28</v>
      </c>
      <c r="D24" s="495">
        <v>4.08</v>
      </c>
      <c r="E24" s="495">
        <v>4.47</v>
      </c>
      <c r="F24" s="495">
        <v>5.72</v>
      </c>
      <c r="G24" s="495">
        <v>6.17</v>
      </c>
      <c r="H24" s="495">
        <v>6.22</v>
      </c>
      <c r="I24" s="495">
        <v>5.63</v>
      </c>
      <c r="J24" s="495">
        <v>2.64</v>
      </c>
      <c r="K24" s="495">
        <v>5.79</v>
      </c>
      <c r="L24" s="495">
        <v>5.24</v>
      </c>
      <c r="M24" s="495">
        <v>4.88</v>
      </c>
      <c r="N24" s="495">
        <v>4.9000000000000004</v>
      </c>
      <c r="O24" s="495">
        <v>6.11</v>
      </c>
      <c r="P24" s="495">
        <v>5.55</v>
      </c>
      <c r="Q24" s="495">
        <v>6.02</v>
      </c>
    </row>
    <row r="25" spans="1:17" ht="13" customHeight="1">
      <c r="A25" s="151"/>
      <c r="B25" s="150" t="s">
        <v>41</v>
      </c>
      <c r="C25" s="495">
        <v>2.65</v>
      </c>
      <c r="D25" s="495">
        <v>3.28</v>
      </c>
      <c r="E25" s="495">
        <v>4</v>
      </c>
      <c r="F25" s="495">
        <v>5.51</v>
      </c>
      <c r="G25" s="495">
        <v>4.83</v>
      </c>
      <c r="H25" s="495">
        <v>5.64</v>
      </c>
      <c r="I25" s="495">
        <v>4.66</v>
      </c>
      <c r="J25" s="495">
        <v>5.38</v>
      </c>
      <c r="K25" s="495">
        <v>5.41</v>
      </c>
      <c r="L25" s="495">
        <v>5.19</v>
      </c>
      <c r="M25" s="495">
        <v>4.92</v>
      </c>
      <c r="N25" s="495">
        <v>5.33</v>
      </c>
      <c r="O25" s="495">
        <v>5.64</v>
      </c>
      <c r="P25" s="495">
        <v>5.95</v>
      </c>
      <c r="Q25" s="495">
        <v>6.17</v>
      </c>
    </row>
    <row r="26" spans="1:17" ht="13" customHeight="1">
      <c r="A26" s="151"/>
      <c r="B26" s="30" t="s">
        <v>44</v>
      </c>
      <c r="C26" s="495">
        <v>3.78</v>
      </c>
      <c r="D26" s="495">
        <v>4.16</v>
      </c>
      <c r="E26" s="495">
        <v>5.24</v>
      </c>
      <c r="F26" s="495">
        <v>5.33</v>
      </c>
      <c r="G26" s="495">
        <v>4.3899999999999997</v>
      </c>
      <c r="H26" s="495">
        <v>5.77</v>
      </c>
      <c r="I26" s="495">
        <v>7.02</v>
      </c>
      <c r="J26" s="495">
        <v>5.84</v>
      </c>
      <c r="K26" s="495">
        <v>5.98</v>
      </c>
      <c r="L26" s="495">
        <v>4.97</v>
      </c>
      <c r="M26" s="495">
        <v>5.33</v>
      </c>
      <c r="N26" s="495">
        <v>6.17</v>
      </c>
      <c r="O26" s="495">
        <v>5.73</v>
      </c>
      <c r="P26" s="495">
        <v>5.78</v>
      </c>
      <c r="Q26" s="495">
        <v>6.13</v>
      </c>
    </row>
    <row r="27" spans="1:17" ht="13" customHeight="1">
      <c r="A27" s="151"/>
      <c r="B27" s="294" t="s">
        <v>45</v>
      </c>
      <c r="C27" s="495">
        <v>4.07</v>
      </c>
      <c r="D27" s="495">
        <v>4.1399999999999997</v>
      </c>
      <c r="E27" s="495">
        <v>4.5599999999999996</v>
      </c>
      <c r="F27" s="495">
        <v>4.62</v>
      </c>
      <c r="G27" s="495">
        <v>3.43</v>
      </c>
      <c r="H27" s="495">
        <v>3.79</v>
      </c>
      <c r="I27" s="495">
        <v>4.2699999999999996</v>
      </c>
      <c r="J27" s="495">
        <v>5.55</v>
      </c>
      <c r="K27" s="495">
        <v>5.42</v>
      </c>
      <c r="L27" s="495">
        <v>5.47</v>
      </c>
      <c r="M27" s="495">
        <v>4.96</v>
      </c>
      <c r="N27" s="495">
        <v>5.42</v>
      </c>
      <c r="O27" s="495">
        <v>6.19</v>
      </c>
      <c r="P27" s="495">
        <v>6.63</v>
      </c>
      <c r="Q27" s="495">
        <v>7.11</v>
      </c>
    </row>
    <row r="28" spans="1:17" ht="13" customHeight="1">
      <c r="A28" s="59"/>
      <c r="B28" s="30" t="s">
        <v>46</v>
      </c>
      <c r="C28" s="495" t="s">
        <v>81</v>
      </c>
      <c r="D28" s="495" t="s">
        <v>81</v>
      </c>
      <c r="E28" s="495" t="s">
        <v>81</v>
      </c>
      <c r="F28" s="495" t="s">
        <v>81</v>
      </c>
      <c r="G28" s="495" t="s">
        <v>81</v>
      </c>
      <c r="H28" s="495" t="s">
        <v>81</v>
      </c>
      <c r="I28" s="495" t="s">
        <v>81</v>
      </c>
      <c r="J28" s="495" t="s">
        <v>81</v>
      </c>
      <c r="K28" s="495" t="s">
        <v>81</v>
      </c>
      <c r="L28" s="495" t="s">
        <v>81</v>
      </c>
      <c r="M28" s="495" t="s">
        <v>81</v>
      </c>
      <c r="N28" s="495" t="s">
        <v>81</v>
      </c>
      <c r="O28" s="495" t="s">
        <v>81</v>
      </c>
      <c r="P28" s="495" t="s">
        <v>81</v>
      </c>
      <c r="Q28" s="495" t="s">
        <v>81</v>
      </c>
    </row>
    <row r="29" spans="1:17" ht="13" customHeight="1">
      <c r="A29" s="60"/>
      <c r="B29" s="61" t="s">
        <v>47</v>
      </c>
      <c r="C29" s="495" t="s">
        <v>81</v>
      </c>
      <c r="D29" s="495" t="s">
        <v>81</v>
      </c>
      <c r="E29" s="495" t="s">
        <v>81</v>
      </c>
      <c r="F29" s="495" t="s">
        <v>81</v>
      </c>
      <c r="G29" s="495" t="s">
        <v>81</v>
      </c>
      <c r="H29" s="495" t="s">
        <v>81</v>
      </c>
      <c r="I29" s="495" t="s">
        <v>81</v>
      </c>
      <c r="J29" s="495" t="s">
        <v>81</v>
      </c>
      <c r="K29" s="495" t="s">
        <v>81</v>
      </c>
      <c r="L29" s="495" t="s">
        <v>81</v>
      </c>
      <c r="M29" s="495" t="s">
        <v>81</v>
      </c>
      <c r="N29" s="495" t="s">
        <v>81</v>
      </c>
      <c r="O29" s="495" t="s">
        <v>81</v>
      </c>
      <c r="P29" s="495" t="s">
        <v>81</v>
      </c>
      <c r="Q29" s="495" t="s">
        <v>81</v>
      </c>
    </row>
    <row r="30" spans="1:17" ht="13" customHeight="1">
      <c r="A30" s="70"/>
      <c r="B30" s="70" t="s">
        <v>48</v>
      </c>
      <c r="C30" s="495" t="s">
        <v>81</v>
      </c>
      <c r="D30" s="495" t="s">
        <v>81</v>
      </c>
      <c r="E30" s="495" t="s">
        <v>81</v>
      </c>
      <c r="F30" s="495" t="s">
        <v>81</v>
      </c>
      <c r="G30" s="495" t="s">
        <v>81</v>
      </c>
      <c r="H30" s="495" t="s">
        <v>81</v>
      </c>
      <c r="I30" s="495" t="s">
        <v>81</v>
      </c>
      <c r="J30" s="495" t="s">
        <v>81</v>
      </c>
      <c r="K30" s="495" t="s">
        <v>81</v>
      </c>
      <c r="L30" s="495" t="s">
        <v>81</v>
      </c>
      <c r="M30" s="495" t="s">
        <v>81</v>
      </c>
      <c r="N30" s="495" t="s">
        <v>81</v>
      </c>
      <c r="O30" s="495" t="s">
        <v>81</v>
      </c>
      <c r="P30" s="495" t="s">
        <v>81</v>
      </c>
      <c r="Q30" s="495" t="s">
        <v>81</v>
      </c>
    </row>
    <row r="31" spans="1:17" ht="13" customHeight="1" thickBot="1">
      <c r="A31" s="471"/>
      <c r="B31" s="472" t="s">
        <v>49</v>
      </c>
      <c r="C31" s="496" t="s">
        <v>81</v>
      </c>
      <c r="D31" s="496" t="s">
        <v>81</v>
      </c>
      <c r="E31" s="496" t="s">
        <v>81</v>
      </c>
      <c r="F31" s="496" t="s">
        <v>81</v>
      </c>
      <c r="G31" s="496" t="s">
        <v>81</v>
      </c>
      <c r="H31" s="496" t="s">
        <v>81</v>
      </c>
      <c r="I31" s="496" t="s">
        <v>81</v>
      </c>
      <c r="J31" s="496" t="s">
        <v>81</v>
      </c>
      <c r="K31" s="496" t="s">
        <v>81</v>
      </c>
      <c r="L31" s="496" t="s">
        <v>81</v>
      </c>
      <c r="M31" s="496" t="s">
        <v>81</v>
      </c>
      <c r="N31" s="496" t="s">
        <v>81</v>
      </c>
      <c r="O31" s="496" t="s">
        <v>81</v>
      </c>
      <c r="P31" s="496" t="s">
        <v>81</v>
      </c>
      <c r="Q31" s="496" t="s">
        <v>81</v>
      </c>
    </row>
    <row r="32" spans="1:17" ht="10" customHeight="1">
      <c r="A32" s="28" t="s">
        <v>238</v>
      </c>
      <c r="B32" s="40"/>
      <c r="C32" s="464"/>
      <c r="D32" s="464"/>
      <c r="E32" s="464"/>
      <c r="F32" s="464"/>
      <c r="G32" s="464"/>
      <c r="H32" s="464"/>
      <c r="I32" s="464"/>
      <c r="J32" s="464"/>
      <c r="K32" s="464"/>
      <c r="L32" s="464"/>
      <c r="M32" s="464"/>
      <c r="N32" s="464"/>
      <c r="O32" s="464"/>
      <c r="P32" s="464"/>
      <c r="Q32" s="464"/>
    </row>
    <row r="33" spans="1:17" ht="10" customHeight="1">
      <c r="A33" s="28" t="s">
        <v>192</v>
      </c>
      <c r="B33" s="40"/>
      <c r="C33" s="464"/>
      <c r="D33" s="464"/>
      <c r="E33" s="464"/>
      <c r="F33" s="464"/>
      <c r="G33" s="464"/>
      <c r="H33" s="464"/>
      <c r="I33" s="464"/>
      <c r="J33" s="464"/>
      <c r="K33" s="464"/>
      <c r="L33" s="464"/>
      <c r="M33" s="464"/>
      <c r="N33" s="464"/>
      <c r="O33" s="464"/>
      <c r="P33" s="464"/>
      <c r="Q33" s="464"/>
    </row>
    <row r="34" spans="1:17" ht="10" customHeight="1">
      <c r="A34" s="40" t="s">
        <v>261</v>
      </c>
      <c r="B34" s="320"/>
      <c r="C34" s="464"/>
      <c r="D34" s="464"/>
      <c r="E34" s="464"/>
      <c r="F34" s="464"/>
      <c r="G34" s="464"/>
      <c r="H34" s="464"/>
      <c r="I34" s="464"/>
      <c r="J34" s="464"/>
      <c r="K34" s="464"/>
      <c r="L34" s="464"/>
      <c r="M34" s="464"/>
      <c r="N34" s="464"/>
      <c r="O34" s="464"/>
      <c r="P34" s="464"/>
      <c r="Q34" s="46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3">
    <tabColor theme="9" tint="0.59999389629810485"/>
  </sheetPr>
  <dimension ref="A2:Q62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7" ht="13" customHeight="1">
      <c r="A2" s="468" t="s">
        <v>359</v>
      </c>
      <c r="B2" s="469"/>
    </row>
    <row r="3" spans="1:17" ht="13" customHeight="1">
      <c r="A3" s="470" t="s">
        <v>325</v>
      </c>
      <c r="B3" s="470"/>
    </row>
    <row r="4" spans="1:17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7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7" ht="15" customHeight="1">
      <c r="A6" s="1102" t="s">
        <v>106</v>
      </c>
      <c r="B6" s="1102"/>
      <c r="C6" s="460">
        <f t="shared" ref="C6:M6" si="0">(C8+C9+C10+C11+C12+C13+C14+C15+C16+C17+C18+C19+C20+C21+C22+C23+C24+C25+C26+C27+C28+C29+C30+C31)</f>
        <v>3010724</v>
      </c>
      <c r="D6" s="460">
        <f t="shared" si="0"/>
        <v>3073855</v>
      </c>
      <c r="E6" s="475">
        <f t="shared" si="0"/>
        <v>3115772</v>
      </c>
      <c r="F6" s="475">
        <f t="shared" si="0"/>
        <v>3151406</v>
      </c>
      <c r="G6" s="475">
        <f t="shared" si="0"/>
        <v>3256809</v>
      </c>
      <c r="H6" s="475">
        <f t="shared" si="0"/>
        <v>3254412</v>
      </c>
      <c r="I6" s="475">
        <f t="shared" si="0"/>
        <v>3263254</v>
      </c>
      <c r="J6" s="475">
        <f t="shared" si="0"/>
        <v>2987315</v>
      </c>
      <c r="K6" s="475">
        <f t="shared" si="0"/>
        <v>3846115</v>
      </c>
      <c r="L6" s="475">
        <f t="shared" si="0"/>
        <v>3173016</v>
      </c>
      <c r="M6" s="475">
        <f t="shared" si="0"/>
        <v>3200715</v>
      </c>
      <c r="N6" s="475">
        <f>(N8+N9+N10+N11+N12+N13+N14+N15+N16+N17+N18+N19+N20+N21+N22+N23+N24+N25+N26+N27+N28+N29+N30+N31)</f>
        <v>3104911</v>
      </c>
      <c r="O6" s="475">
        <f>(O8+O9+O10+O11+O12+O13+O14+O15+O16+O17+O18+O19+O20+O21+O22+O23+O24+O25+O26+O27+O28+O29+O30+O31)</f>
        <v>3217254</v>
      </c>
      <c r="P6" s="475">
        <f>(P8+P9+P10+P11+P12+P13+P14+P15+P16+P17+P18+P19+P20+P21+P22+P23+P24+P25+P26+P27+P28+P29+P30+P31)</f>
        <v>3227564</v>
      </c>
      <c r="Q6" s="475">
        <f>(Q8+Q9+Q10+Q11+Q12+Q13+Q14+Q15+Q16+Q17+Q18+Q19+Q20+Q21+Q22+Q23+Q24+Q25+Q26+Q27+Q28+Q29+Q30+Q31)</f>
        <v>3258809</v>
      </c>
    </row>
    <row r="7" spans="1:17" ht="5" customHeight="1">
      <c r="A7" s="151"/>
      <c r="B7" s="152"/>
      <c r="C7" s="461"/>
      <c r="D7" s="461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</row>
    <row r="8" spans="1:17" ht="13" customHeight="1">
      <c r="A8" s="151"/>
      <c r="B8" s="29" t="s">
        <v>21</v>
      </c>
      <c r="C8" s="455">
        <v>15890</v>
      </c>
      <c r="D8" s="455">
        <v>13500</v>
      </c>
      <c r="E8" s="477">
        <v>14900</v>
      </c>
      <c r="F8" s="477">
        <v>17100</v>
      </c>
      <c r="G8" s="477">
        <v>18200</v>
      </c>
      <c r="H8" s="477">
        <v>20593</v>
      </c>
      <c r="I8" s="477">
        <v>20030</v>
      </c>
      <c r="J8" s="477">
        <v>18590</v>
      </c>
      <c r="K8" s="477">
        <v>31639</v>
      </c>
      <c r="L8" s="477">
        <v>31980</v>
      </c>
      <c r="M8" s="478">
        <v>28566</v>
      </c>
      <c r="N8" s="478">
        <v>29748</v>
      </c>
      <c r="O8" s="478">
        <v>30480</v>
      </c>
      <c r="P8" s="478">
        <v>29540</v>
      </c>
      <c r="Q8" s="478">
        <v>30010</v>
      </c>
    </row>
    <row r="9" spans="1:17" ht="13" customHeight="1">
      <c r="A9" s="151"/>
      <c r="B9" s="29" t="s">
        <v>22</v>
      </c>
      <c r="C9" s="455">
        <v>173054</v>
      </c>
      <c r="D9" s="455">
        <v>174000</v>
      </c>
      <c r="E9" s="477">
        <v>174958</v>
      </c>
      <c r="F9" s="477">
        <v>171344</v>
      </c>
      <c r="G9" s="477">
        <v>193831</v>
      </c>
      <c r="H9" s="479">
        <v>198118</v>
      </c>
      <c r="I9" s="479">
        <v>199520</v>
      </c>
      <c r="J9" s="479">
        <v>140298</v>
      </c>
      <c r="K9" s="479">
        <v>179945</v>
      </c>
      <c r="L9" s="479">
        <v>186647</v>
      </c>
      <c r="M9" s="480">
        <v>191114</v>
      </c>
      <c r="N9" s="480">
        <v>159009</v>
      </c>
      <c r="O9" s="480">
        <v>169531</v>
      </c>
      <c r="P9" s="480">
        <v>170860</v>
      </c>
      <c r="Q9" s="480">
        <v>167860</v>
      </c>
    </row>
    <row r="10" spans="1:17" ht="13" customHeight="1">
      <c r="A10" s="151"/>
      <c r="B10" s="29" t="s">
        <v>23</v>
      </c>
      <c r="C10" s="455">
        <v>62000</v>
      </c>
      <c r="D10" s="455">
        <v>58400</v>
      </c>
      <c r="E10" s="477">
        <v>66583</v>
      </c>
      <c r="F10" s="477">
        <v>79393</v>
      </c>
      <c r="G10" s="477">
        <v>81100</v>
      </c>
      <c r="H10" s="479">
        <v>79495</v>
      </c>
      <c r="I10" s="479">
        <v>80365</v>
      </c>
      <c r="J10" s="479">
        <v>56964</v>
      </c>
      <c r="K10" s="479">
        <v>67510</v>
      </c>
      <c r="L10" s="479">
        <v>69264</v>
      </c>
      <c r="M10" s="479">
        <v>72480</v>
      </c>
      <c r="N10" s="479">
        <v>88160</v>
      </c>
      <c r="O10" s="479">
        <v>68810</v>
      </c>
      <c r="P10" s="479">
        <v>74560</v>
      </c>
      <c r="Q10" s="479">
        <v>73428</v>
      </c>
    </row>
    <row r="11" spans="1:17" ht="13" customHeight="1">
      <c r="A11" s="151"/>
      <c r="B11" s="29" t="s">
        <v>24</v>
      </c>
      <c r="C11" s="455">
        <v>160798</v>
      </c>
      <c r="D11" s="455">
        <v>160465</v>
      </c>
      <c r="E11" s="477">
        <v>162269</v>
      </c>
      <c r="F11" s="477">
        <v>162444</v>
      </c>
      <c r="G11" s="477">
        <v>161442</v>
      </c>
      <c r="H11" s="479">
        <v>159466</v>
      </c>
      <c r="I11" s="479">
        <v>159681</v>
      </c>
      <c r="J11" s="477">
        <v>162069</v>
      </c>
      <c r="K11" s="477">
        <v>157211</v>
      </c>
      <c r="L11" s="477">
        <v>119141</v>
      </c>
      <c r="M11" s="478">
        <v>111419</v>
      </c>
      <c r="N11" s="478">
        <v>116911</v>
      </c>
      <c r="O11" s="478">
        <v>113018</v>
      </c>
      <c r="P11" s="478">
        <v>113664</v>
      </c>
      <c r="Q11" s="478">
        <v>113341</v>
      </c>
    </row>
    <row r="12" spans="1:17" ht="13" customHeight="1">
      <c r="A12" s="151"/>
      <c r="B12" s="29" t="s">
        <v>25</v>
      </c>
      <c r="C12" s="455">
        <v>202298</v>
      </c>
      <c r="D12" s="455">
        <v>215757</v>
      </c>
      <c r="E12" s="477">
        <v>239461</v>
      </c>
      <c r="F12" s="477">
        <v>249820</v>
      </c>
      <c r="G12" s="477">
        <v>250340</v>
      </c>
      <c r="H12" s="477">
        <v>245535</v>
      </c>
      <c r="I12" s="477">
        <v>255432</v>
      </c>
      <c r="J12" s="477">
        <v>251689</v>
      </c>
      <c r="K12" s="477">
        <v>278439</v>
      </c>
      <c r="L12" s="477">
        <v>304430</v>
      </c>
      <c r="M12" s="478">
        <v>304105</v>
      </c>
      <c r="N12" s="478">
        <v>287457</v>
      </c>
      <c r="O12" s="478">
        <v>297734</v>
      </c>
      <c r="P12" s="478">
        <v>295410</v>
      </c>
      <c r="Q12" s="478">
        <v>288252</v>
      </c>
    </row>
    <row r="13" spans="1:17" ht="13" customHeight="1">
      <c r="A13" s="151"/>
      <c r="B13" s="29" t="s">
        <v>29</v>
      </c>
      <c r="C13" s="455">
        <v>45553</v>
      </c>
      <c r="D13" s="455">
        <v>50500</v>
      </c>
      <c r="E13" s="477">
        <v>53874</v>
      </c>
      <c r="F13" s="477">
        <v>58488</v>
      </c>
      <c r="G13" s="477">
        <v>59100</v>
      </c>
      <c r="H13" s="477">
        <v>64896</v>
      </c>
      <c r="I13" s="477">
        <v>70916</v>
      </c>
      <c r="J13" s="477">
        <v>71548</v>
      </c>
      <c r="K13" s="477">
        <v>74617</v>
      </c>
      <c r="L13" s="477">
        <v>75528</v>
      </c>
      <c r="M13" s="477">
        <v>77261</v>
      </c>
      <c r="N13" s="477">
        <v>84502</v>
      </c>
      <c r="O13" s="477">
        <v>85690</v>
      </c>
      <c r="P13" s="477">
        <v>83710</v>
      </c>
      <c r="Q13" s="477">
        <v>85700</v>
      </c>
    </row>
    <row r="14" spans="1:17" ht="13" customHeight="1">
      <c r="A14" s="151"/>
      <c r="B14" s="29" t="s">
        <v>30</v>
      </c>
      <c r="C14" s="455">
        <v>171696</v>
      </c>
      <c r="D14" s="455">
        <v>165436</v>
      </c>
      <c r="E14" s="477">
        <v>162067</v>
      </c>
      <c r="F14" s="477">
        <v>174756</v>
      </c>
      <c r="G14" s="477">
        <v>181032</v>
      </c>
      <c r="H14" s="479">
        <v>180997</v>
      </c>
      <c r="I14" s="479">
        <v>181021</v>
      </c>
      <c r="J14" s="479">
        <v>182009</v>
      </c>
      <c r="K14" s="479">
        <v>185348</v>
      </c>
      <c r="L14" s="479">
        <v>179640</v>
      </c>
      <c r="M14" s="478">
        <v>184777</v>
      </c>
      <c r="N14" s="478">
        <v>174016</v>
      </c>
      <c r="O14" s="478">
        <v>170334</v>
      </c>
      <c r="P14" s="478">
        <v>172620</v>
      </c>
      <c r="Q14" s="478">
        <v>171477</v>
      </c>
    </row>
    <row r="15" spans="1:17" ht="13" customHeight="1">
      <c r="A15" s="151"/>
      <c r="B15" s="29" t="s">
        <v>31</v>
      </c>
      <c r="C15" s="455">
        <v>417780</v>
      </c>
      <c r="D15" s="455">
        <v>415000</v>
      </c>
      <c r="E15" s="477">
        <v>391175</v>
      </c>
      <c r="F15" s="477">
        <v>390670</v>
      </c>
      <c r="G15" s="477">
        <v>395300</v>
      </c>
      <c r="H15" s="479">
        <v>402985</v>
      </c>
      <c r="I15" s="479">
        <v>404507</v>
      </c>
      <c r="J15" s="479">
        <v>455740</v>
      </c>
      <c r="K15" s="479">
        <v>430570</v>
      </c>
      <c r="L15" s="479">
        <v>457793</v>
      </c>
      <c r="M15" s="478">
        <v>462797</v>
      </c>
      <c r="N15" s="478">
        <v>450072</v>
      </c>
      <c r="O15" s="478">
        <v>460253</v>
      </c>
      <c r="P15" s="478">
        <v>469546</v>
      </c>
      <c r="Q15" s="478">
        <v>464900</v>
      </c>
    </row>
    <row r="16" spans="1:17" ht="13" customHeight="1">
      <c r="A16" s="151"/>
      <c r="B16" s="29" t="s">
        <v>32</v>
      </c>
      <c r="C16" s="455">
        <v>22684</v>
      </c>
      <c r="D16" s="457">
        <v>21690</v>
      </c>
      <c r="E16" s="481">
        <v>21548</v>
      </c>
      <c r="F16" s="481">
        <v>22290</v>
      </c>
      <c r="G16" s="481">
        <v>30790</v>
      </c>
      <c r="H16" s="479">
        <v>32800</v>
      </c>
      <c r="I16" s="479">
        <v>32998</v>
      </c>
      <c r="J16" s="479">
        <v>36673</v>
      </c>
      <c r="K16" s="479">
        <v>34648</v>
      </c>
      <c r="L16" s="479">
        <v>44196</v>
      </c>
      <c r="M16" s="479">
        <v>48256</v>
      </c>
      <c r="N16" s="479">
        <v>51510</v>
      </c>
      <c r="O16" s="479">
        <v>54124</v>
      </c>
      <c r="P16" s="479">
        <v>66840</v>
      </c>
      <c r="Q16" s="479">
        <v>102767</v>
      </c>
    </row>
    <row r="17" spans="1:17" ht="13" customHeight="1">
      <c r="A17" s="151"/>
      <c r="B17" s="29" t="s">
        <v>33</v>
      </c>
      <c r="C17" s="455">
        <v>352051</v>
      </c>
      <c r="D17" s="455">
        <v>388866</v>
      </c>
      <c r="E17" s="477">
        <v>407065</v>
      </c>
      <c r="F17" s="477">
        <v>379247</v>
      </c>
      <c r="G17" s="477">
        <v>380150</v>
      </c>
      <c r="H17" s="479">
        <v>371476</v>
      </c>
      <c r="I17" s="479">
        <v>339405</v>
      </c>
      <c r="J17" s="479">
        <v>219320</v>
      </c>
      <c r="K17" s="479">
        <v>318436</v>
      </c>
      <c r="L17" s="479">
        <v>392998</v>
      </c>
      <c r="M17" s="478">
        <v>402607</v>
      </c>
      <c r="N17" s="478">
        <v>403917</v>
      </c>
      <c r="O17" s="478">
        <v>405230</v>
      </c>
      <c r="P17" s="478">
        <v>406220</v>
      </c>
      <c r="Q17" s="478">
        <v>405725</v>
      </c>
    </row>
    <row r="18" spans="1:17" ht="13" customHeight="1">
      <c r="A18" s="151"/>
      <c r="B18" s="29" t="s">
        <v>34</v>
      </c>
      <c r="C18" s="455">
        <v>119154</v>
      </c>
      <c r="D18" s="455">
        <v>117838</v>
      </c>
      <c r="E18" s="477">
        <v>122330</v>
      </c>
      <c r="F18" s="477">
        <v>123587</v>
      </c>
      <c r="G18" s="477">
        <v>124821</v>
      </c>
      <c r="H18" s="479">
        <v>127325</v>
      </c>
      <c r="I18" s="479">
        <v>129039</v>
      </c>
      <c r="J18" s="479">
        <v>110339</v>
      </c>
      <c r="K18" s="479">
        <v>98671</v>
      </c>
      <c r="L18" s="479">
        <v>89157</v>
      </c>
      <c r="M18" s="478">
        <v>89872</v>
      </c>
      <c r="N18" s="478">
        <v>51355</v>
      </c>
      <c r="O18" s="478">
        <v>51993</v>
      </c>
      <c r="P18" s="478">
        <v>55140</v>
      </c>
      <c r="Q18" s="478">
        <v>53567</v>
      </c>
    </row>
    <row r="19" spans="1:17" ht="13" customHeight="1">
      <c r="A19" s="151"/>
      <c r="B19" s="29" t="s">
        <v>35</v>
      </c>
      <c r="C19" s="455">
        <v>107640</v>
      </c>
      <c r="D19" s="455">
        <v>105560</v>
      </c>
      <c r="E19" s="477">
        <v>106600</v>
      </c>
      <c r="F19" s="477">
        <v>106692</v>
      </c>
      <c r="G19" s="477">
        <v>110100</v>
      </c>
      <c r="H19" s="479">
        <v>117318</v>
      </c>
      <c r="I19" s="479">
        <v>121673</v>
      </c>
      <c r="J19" s="479">
        <v>146182</v>
      </c>
      <c r="K19" s="479">
        <v>158559</v>
      </c>
      <c r="L19" s="479">
        <v>142667</v>
      </c>
      <c r="M19" s="478">
        <v>152638</v>
      </c>
      <c r="N19" s="478">
        <v>154609</v>
      </c>
      <c r="O19" s="478">
        <v>168586</v>
      </c>
      <c r="P19" s="478">
        <v>175222</v>
      </c>
      <c r="Q19" s="478">
        <v>171904</v>
      </c>
    </row>
    <row r="20" spans="1:17" ht="13" customHeight="1">
      <c r="A20" s="151"/>
      <c r="B20" s="29" t="s">
        <v>36</v>
      </c>
      <c r="C20" s="455">
        <v>109121</v>
      </c>
      <c r="D20" s="455">
        <v>109259</v>
      </c>
      <c r="E20" s="477">
        <v>109257</v>
      </c>
      <c r="F20" s="477">
        <v>109776</v>
      </c>
      <c r="G20" s="477">
        <v>195256</v>
      </c>
      <c r="H20" s="479">
        <v>186534</v>
      </c>
      <c r="I20" s="479">
        <v>179537</v>
      </c>
      <c r="J20" s="479">
        <v>138085</v>
      </c>
      <c r="K20" s="479">
        <v>148793</v>
      </c>
      <c r="L20" s="479">
        <v>133152</v>
      </c>
      <c r="M20" s="478">
        <v>128103</v>
      </c>
      <c r="N20" s="478">
        <v>136938</v>
      </c>
      <c r="O20" s="478">
        <v>174439</v>
      </c>
      <c r="P20" s="478">
        <v>160430</v>
      </c>
      <c r="Q20" s="478">
        <v>157545</v>
      </c>
    </row>
    <row r="21" spans="1:17" ht="13" customHeight="1">
      <c r="A21" s="151"/>
      <c r="B21" s="29" t="s">
        <v>37</v>
      </c>
      <c r="C21" s="455">
        <v>84471</v>
      </c>
      <c r="D21" s="455">
        <v>74212</v>
      </c>
      <c r="E21" s="477">
        <v>82465</v>
      </c>
      <c r="F21" s="477">
        <v>86806</v>
      </c>
      <c r="G21" s="477">
        <v>82798</v>
      </c>
      <c r="H21" s="479">
        <v>81392</v>
      </c>
      <c r="I21" s="479">
        <v>82320</v>
      </c>
      <c r="J21" s="479">
        <v>79117</v>
      </c>
      <c r="K21" s="479">
        <v>62376</v>
      </c>
      <c r="L21" s="479">
        <v>72376</v>
      </c>
      <c r="M21" s="478">
        <v>82913</v>
      </c>
      <c r="N21" s="478">
        <v>91511</v>
      </c>
      <c r="O21" s="478">
        <v>95391</v>
      </c>
      <c r="P21" s="478">
        <v>92760</v>
      </c>
      <c r="Q21" s="478">
        <v>107120</v>
      </c>
    </row>
    <row r="22" spans="1:17" ht="13" customHeight="1">
      <c r="A22" s="151"/>
      <c r="B22" s="29" t="s">
        <v>38</v>
      </c>
      <c r="C22" s="455">
        <v>11191</v>
      </c>
      <c r="D22" s="455">
        <v>10249</v>
      </c>
      <c r="E22" s="477">
        <v>10403</v>
      </c>
      <c r="F22" s="477">
        <v>12450</v>
      </c>
      <c r="G22" s="477">
        <v>13560</v>
      </c>
      <c r="H22" s="479">
        <v>13571</v>
      </c>
      <c r="I22" s="479">
        <v>15195</v>
      </c>
      <c r="J22" s="479">
        <v>16382</v>
      </c>
      <c r="K22" s="479">
        <v>20410</v>
      </c>
      <c r="L22" s="479">
        <v>13760</v>
      </c>
      <c r="M22" s="478">
        <v>12226</v>
      </c>
      <c r="N22" s="478">
        <v>12837</v>
      </c>
      <c r="O22" s="478">
        <v>13480</v>
      </c>
      <c r="P22" s="478">
        <v>12970</v>
      </c>
      <c r="Q22" s="478">
        <v>13225</v>
      </c>
    </row>
    <row r="23" spans="1:17" ht="13" customHeight="1">
      <c r="A23" s="151"/>
      <c r="B23" s="29" t="s">
        <v>39</v>
      </c>
      <c r="C23" s="455">
        <v>25294</v>
      </c>
      <c r="D23" s="455">
        <v>25695</v>
      </c>
      <c r="E23" s="477">
        <v>28087</v>
      </c>
      <c r="F23" s="477">
        <v>24467</v>
      </c>
      <c r="G23" s="477">
        <v>25204</v>
      </c>
      <c r="H23" s="479">
        <v>25720</v>
      </c>
      <c r="I23" s="479">
        <v>34383</v>
      </c>
      <c r="J23" s="479">
        <v>31763</v>
      </c>
      <c r="K23" s="479">
        <v>40520</v>
      </c>
      <c r="L23" s="479">
        <v>44712</v>
      </c>
      <c r="M23" s="478">
        <v>32678</v>
      </c>
      <c r="N23" s="478">
        <v>34312</v>
      </c>
      <c r="O23" s="478">
        <v>36232</v>
      </c>
      <c r="P23" s="478">
        <v>36232</v>
      </c>
      <c r="Q23" s="478">
        <v>36232</v>
      </c>
    </row>
    <row r="24" spans="1:17" ht="13" customHeight="1">
      <c r="A24" s="151"/>
      <c r="B24" s="29" t="s">
        <v>40</v>
      </c>
      <c r="C24" s="455">
        <v>158020</v>
      </c>
      <c r="D24" s="455">
        <v>147505</v>
      </c>
      <c r="E24" s="477">
        <v>156990</v>
      </c>
      <c r="F24" s="477">
        <v>164001</v>
      </c>
      <c r="G24" s="477">
        <v>160482</v>
      </c>
      <c r="H24" s="479">
        <v>161298</v>
      </c>
      <c r="I24" s="479">
        <v>179000</v>
      </c>
      <c r="J24" s="479">
        <v>187764</v>
      </c>
      <c r="K24" s="479">
        <v>164590</v>
      </c>
      <c r="L24" s="479">
        <v>103432</v>
      </c>
      <c r="M24" s="478">
        <v>95792</v>
      </c>
      <c r="N24" s="478">
        <v>91554</v>
      </c>
      <c r="O24" s="478">
        <v>106597</v>
      </c>
      <c r="P24" s="478">
        <v>102314</v>
      </c>
      <c r="Q24" s="478">
        <v>118454</v>
      </c>
    </row>
    <row r="25" spans="1:17" ht="13" customHeight="1">
      <c r="A25" s="151"/>
      <c r="B25" s="29" t="s">
        <v>41</v>
      </c>
      <c r="C25" s="455">
        <v>130410</v>
      </c>
      <c r="D25" s="455">
        <v>146560</v>
      </c>
      <c r="E25" s="477">
        <v>147834</v>
      </c>
      <c r="F25" s="477">
        <v>153613</v>
      </c>
      <c r="G25" s="477">
        <v>157250</v>
      </c>
      <c r="H25" s="477">
        <v>155133</v>
      </c>
      <c r="I25" s="477">
        <v>150575</v>
      </c>
      <c r="J25" s="477">
        <v>123073</v>
      </c>
      <c r="K25" s="477">
        <v>118825</v>
      </c>
      <c r="L25" s="477">
        <v>120390</v>
      </c>
      <c r="M25" s="478">
        <v>122310</v>
      </c>
      <c r="N25" s="478">
        <v>128426</v>
      </c>
      <c r="O25" s="478">
        <v>134847</v>
      </c>
      <c r="P25" s="478">
        <v>131620</v>
      </c>
      <c r="Q25" s="478">
        <v>133037</v>
      </c>
    </row>
    <row r="26" spans="1:17" ht="13" customHeight="1">
      <c r="A26" s="151"/>
      <c r="B26" s="29" t="s">
        <v>44</v>
      </c>
      <c r="C26" s="455">
        <v>265338</v>
      </c>
      <c r="D26" s="455">
        <v>267100</v>
      </c>
      <c r="E26" s="477">
        <v>268350</v>
      </c>
      <c r="F26" s="477">
        <v>253263</v>
      </c>
      <c r="G26" s="477">
        <v>211104</v>
      </c>
      <c r="H26" s="479">
        <v>205975</v>
      </c>
      <c r="I26" s="479">
        <v>182940</v>
      </c>
      <c r="J26" s="479">
        <v>141726</v>
      </c>
      <c r="K26" s="479">
        <v>195864</v>
      </c>
      <c r="L26" s="479">
        <v>195646</v>
      </c>
      <c r="M26" s="478">
        <v>195861</v>
      </c>
      <c r="N26" s="478">
        <v>160877</v>
      </c>
      <c r="O26" s="478">
        <v>160173</v>
      </c>
      <c r="P26" s="478">
        <v>137479</v>
      </c>
      <c r="Q26" s="478">
        <v>127738</v>
      </c>
    </row>
    <row r="27" spans="1:17" ht="13" customHeight="1">
      <c r="A27" s="151"/>
      <c r="B27" s="29" t="s">
        <v>45</v>
      </c>
      <c r="C27" s="455">
        <v>99570</v>
      </c>
      <c r="D27" s="455">
        <v>106860</v>
      </c>
      <c r="E27" s="477">
        <v>108710</v>
      </c>
      <c r="F27" s="477">
        <v>113680</v>
      </c>
      <c r="G27" s="477">
        <v>121030</v>
      </c>
      <c r="H27" s="479">
        <v>124610</v>
      </c>
      <c r="I27" s="479">
        <v>127085</v>
      </c>
      <c r="J27" s="479">
        <v>128580</v>
      </c>
      <c r="K27" s="479">
        <v>126020</v>
      </c>
      <c r="L27" s="479">
        <v>119330</v>
      </c>
      <c r="M27" s="478">
        <v>119340</v>
      </c>
      <c r="N27" s="478">
        <v>112310</v>
      </c>
      <c r="O27" s="478">
        <v>112320</v>
      </c>
      <c r="P27" s="478">
        <v>114885</v>
      </c>
      <c r="Q27" s="478">
        <v>119760</v>
      </c>
    </row>
    <row r="28" spans="1:17" ht="13" customHeight="1">
      <c r="A28" s="151"/>
      <c r="B28" s="150" t="s">
        <v>46</v>
      </c>
      <c r="C28" s="455">
        <v>117692</v>
      </c>
      <c r="D28" s="455">
        <v>138201</v>
      </c>
      <c r="E28" s="477">
        <v>126924</v>
      </c>
      <c r="F28" s="477">
        <v>141468</v>
      </c>
      <c r="G28" s="477">
        <v>148200</v>
      </c>
      <c r="H28" s="479">
        <v>154497</v>
      </c>
      <c r="I28" s="479">
        <v>167652</v>
      </c>
      <c r="J28" s="479">
        <v>141075</v>
      </c>
      <c r="K28" s="479">
        <v>140570</v>
      </c>
      <c r="L28" s="479">
        <v>146193</v>
      </c>
      <c r="M28" s="480">
        <v>148910</v>
      </c>
      <c r="N28" s="480">
        <v>141355</v>
      </c>
      <c r="O28" s="480">
        <v>159292</v>
      </c>
      <c r="P28" s="480">
        <v>181290</v>
      </c>
      <c r="Q28" s="480">
        <v>170291</v>
      </c>
    </row>
    <row r="29" spans="1:17" ht="13" customHeight="1">
      <c r="A29" s="151"/>
      <c r="B29" s="30" t="s">
        <v>47</v>
      </c>
      <c r="C29" s="455">
        <v>99263</v>
      </c>
      <c r="D29" s="455">
        <v>99263</v>
      </c>
      <c r="E29" s="477">
        <v>96021</v>
      </c>
      <c r="F29" s="477">
        <v>91743</v>
      </c>
      <c r="G29" s="477">
        <v>89300</v>
      </c>
      <c r="H29" s="479">
        <v>81490</v>
      </c>
      <c r="I29" s="479">
        <v>82800</v>
      </c>
      <c r="J29" s="479">
        <v>83145</v>
      </c>
      <c r="K29" s="479">
        <v>744649</v>
      </c>
      <c r="L29" s="479">
        <v>68240</v>
      </c>
      <c r="M29" s="480">
        <v>79200</v>
      </c>
      <c r="N29" s="480">
        <v>83160</v>
      </c>
      <c r="O29" s="480">
        <v>85320</v>
      </c>
      <c r="P29" s="480">
        <v>83710</v>
      </c>
      <c r="Q29" s="480">
        <v>84515</v>
      </c>
    </row>
    <row r="30" spans="1:17" ht="13" customHeight="1">
      <c r="A30" s="151"/>
      <c r="B30" s="29" t="s">
        <v>48</v>
      </c>
      <c r="C30" s="455">
        <v>42788</v>
      </c>
      <c r="D30" s="455">
        <v>44500</v>
      </c>
      <c r="E30" s="477">
        <v>40949</v>
      </c>
      <c r="F30" s="477">
        <v>46668</v>
      </c>
      <c r="G30" s="477">
        <v>48350</v>
      </c>
      <c r="H30" s="479">
        <v>50651</v>
      </c>
      <c r="I30" s="479">
        <v>53927</v>
      </c>
      <c r="J30" s="479">
        <v>52289</v>
      </c>
      <c r="K30" s="479">
        <v>52140</v>
      </c>
      <c r="L30" s="479">
        <v>48014</v>
      </c>
      <c r="M30" s="480">
        <v>45014</v>
      </c>
      <c r="N30" s="480">
        <v>47265</v>
      </c>
      <c r="O30" s="480">
        <v>49630</v>
      </c>
      <c r="P30" s="480">
        <v>47302</v>
      </c>
      <c r="Q30" s="480">
        <v>48466</v>
      </c>
    </row>
    <row r="31" spans="1:17" ht="13" customHeight="1" thickBot="1">
      <c r="A31" s="453"/>
      <c r="B31" s="454" t="s">
        <v>49</v>
      </c>
      <c r="C31" s="458">
        <v>16968</v>
      </c>
      <c r="D31" s="458">
        <v>17439</v>
      </c>
      <c r="E31" s="482">
        <v>16952</v>
      </c>
      <c r="F31" s="482">
        <v>17640</v>
      </c>
      <c r="G31" s="482">
        <v>18069</v>
      </c>
      <c r="H31" s="482">
        <v>12537</v>
      </c>
      <c r="I31" s="482">
        <v>13253</v>
      </c>
      <c r="J31" s="482">
        <v>12895</v>
      </c>
      <c r="K31" s="482">
        <v>15765</v>
      </c>
      <c r="L31" s="482">
        <v>14330</v>
      </c>
      <c r="M31" s="483">
        <v>12476</v>
      </c>
      <c r="N31" s="483">
        <v>13100</v>
      </c>
      <c r="O31" s="483">
        <v>13750</v>
      </c>
      <c r="P31" s="483">
        <v>13240</v>
      </c>
      <c r="Q31" s="483">
        <v>13495</v>
      </c>
    </row>
    <row r="32" spans="1:17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  <row r="35" spans="1:17" ht="13" customHeight="1">
      <c r="Q35" s="152"/>
    </row>
    <row r="36" spans="1:17" ht="13" customHeight="1">
      <c r="Q36" s="152"/>
    </row>
    <row r="37" spans="1:17" ht="13" customHeight="1">
      <c r="Q37" s="152"/>
    </row>
    <row r="38" spans="1:17" ht="13" customHeight="1">
      <c r="Q38" s="152"/>
    </row>
    <row r="39" spans="1:17" ht="13" customHeight="1">
      <c r="Q39" s="152"/>
    </row>
    <row r="40" spans="1:17" ht="13" customHeight="1">
      <c r="Q40" s="152"/>
    </row>
    <row r="41" spans="1:17" ht="13" customHeight="1">
      <c r="Q41" s="152"/>
    </row>
    <row r="42" spans="1:17" ht="13" customHeight="1">
      <c r="Q42" s="152"/>
    </row>
    <row r="43" spans="1:17" ht="13" customHeight="1">
      <c r="Q43" s="152"/>
    </row>
    <row r="44" spans="1:17" ht="13" customHeight="1">
      <c r="Q44" s="152"/>
    </row>
    <row r="45" spans="1:17" ht="13" customHeight="1">
      <c r="Q45" s="152"/>
    </row>
    <row r="46" spans="1:17" ht="13" customHeight="1">
      <c r="Q46" s="152"/>
    </row>
    <row r="47" spans="1:17" ht="13" customHeight="1">
      <c r="Q47" s="152"/>
    </row>
    <row r="48" spans="1:17" ht="13" customHeight="1">
      <c r="Q48" s="152"/>
    </row>
    <row r="49" spans="17:17" ht="13" customHeight="1">
      <c r="Q49" s="152"/>
    </row>
    <row r="50" spans="17:17" ht="13" customHeight="1">
      <c r="Q50" s="152"/>
    </row>
    <row r="51" spans="17:17" ht="13" customHeight="1">
      <c r="Q51" s="152"/>
    </row>
    <row r="52" spans="17:17" ht="13" customHeight="1">
      <c r="Q52" s="152"/>
    </row>
    <row r="53" spans="17:17" ht="13" customHeight="1">
      <c r="Q53" s="152"/>
    </row>
    <row r="54" spans="17:17" ht="13" customHeight="1">
      <c r="Q54" s="152"/>
    </row>
    <row r="55" spans="17:17" ht="13" customHeight="1">
      <c r="Q55" s="152"/>
    </row>
    <row r="56" spans="17:17" ht="13" customHeight="1">
      <c r="Q56" s="152"/>
    </row>
    <row r="57" spans="17:17" ht="13" customHeight="1">
      <c r="Q57" s="152"/>
    </row>
    <row r="58" spans="17:17" ht="13" customHeight="1">
      <c r="Q58" s="152"/>
    </row>
    <row r="59" spans="17:17" ht="13" customHeight="1">
      <c r="Q59" s="152"/>
    </row>
    <row r="60" spans="17:17" ht="13" customHeight="1">
      <c r="Q60" s="152"/>
    </row>
    <row r="61" spans="17:17" ht="13" customHeight="1">
      <c r="Q61" s="152"/>
    </row>
    <row r="62" spans="17:17" ht="13" customHeight="1">
      <c r="Q62" s="15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34">
    <tabColor theme="9" tint="0.59999389629810485"/>
  </sheetPr>
  <dimension ref="A2:S3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358</v>
      </c>
      <c r="B2" s="469"/>
    </row>
    <row r="3" spans="1:19" ht="13" customHeight="1">
      <c r="A3" s="470" t="s">
        <v>325</v>
      </c>
      <c r="B3" s="470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9" ht="15" customHeight="1">
      <c r="A6" s="1102" t="s">
        <v>106</v>
      </c>
      <c r="B6" s="1102"/>
      <c r="C6" s="460">
        <f t="shared" ref="C6:N6" si="0">(C8+C9+C10+C11+C12+C13+C14+C15+C16+C17+C18+C19+C20+C21+C22+C23+C24+C25+C26+C27+C28+C29+C30+C31)</f>
        <v>1991346</v>
      </c>
      <c r="D6" s="460">
        <f t="shared" si="0"/>
        <v>2074715</v>
      </c>
      <c r="E6" s="475">
        <f t="shared" si="0"/>
        <v>2153141</v>
      </c>
      <c r="F6" s="475">
        <f t="shared" si="0"/>
        <v>2131518</v>
      </c>
      <c r="G6" s="475">
        <f t="shared" si="0"/>
        <v>2213057</v>
      </c>
      <c r="H6" s="475">
        <f t="shared" si="0"/>
        <v>2186978</v>
      </c>
      <c r="I6" s="475">
        <f t="shared" si="0"/>
        <v>2298432</v>
      </c>
      <c r="J6" s="475">
        <f t="shared" si="0"/>
        <v>2401633</v>
      </c>
      <c r="K6" s="475">
        <f t="shared" si="0"/>
        <v>2499032</v>
      </c>
      <c r="L6" s="475">
        <f t="shared" si="0"/>
        <v>2629566</v>
      </c>
      <c r="M6" s="475">
        <f t="shared" si="0"/>
        <v>2764884</v>
      </c>
      <c r="N6" s="475">
        <f t="shared" si="0"/>
        <v>2876803</v>
      </c>
      <c r="O6" s="475">
        <f>(O8+O9+O10+O11+O12+O13+O14+O15+O16+O17+O18+O19+O20+O21+O22+O23+O24+O25+O26+O27+O28+O29+O30+O31)</f>
        <v>3073656</v>
      </c>
      <c r="P6" s="475">
        <f>(P8+P9+P10+P11+P12+P13+P14+P15+P16+P17+P18+P19+P20+P21+P22+P23+P24+P25+P26+P27+P28+P29+P30+P31)</f>
        <v>3090907</v>
      </c>
      <c r="Q6" s="475">
        <f>(Q8+Q9+Q10+Q11+Q12+Q13+Q14+Q15+Q16+Q17+Q18+Q19+Q20+Q21+Q22+Q23+Q24+Q25+Q26+Q27+Q28+Q29+Q30+Q31)</f>
        <v>3284607</v>
      </c>
    </row>
    <row r="7" spans="1:19" ht="5" customHeight="1">
      <c r="A7" s="151"/>
      <c r="B7" s="152"/>
      <c r="C7" s="461"/>
      <c r="D7" s="461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</row>
    <row r="8" spans="1:19" ht="13" customHeight="1">
      <c r="A8" s="151"/>
      <c r="B8" s="29" t="s">
        <v>21</v>
      </c>
      <c r="C8" s="455">
        <v>5736</v>
      </c>
      <c r="D8" s="455">
        <v>7869</v>
      </c>
      <c r="E8" s="477">
        <v>9080</v>
      </c>
      <c r="F8" s="477">
        <v>10918</v>
      </c>
      <c r="G8" s="477">
        <v>11209</v>
      </c>
      <c r="H8" s="477">
        <v>14190</v>
      </c>
      <c r="I8" s="477">
        <v>15640</v>
      </c>
      <c r="J8" s="477">
        <v>19998</v>
      </c>
      <c r="K8" s="477">
        <v>24652</v>
      </c>
      <c r="L8" s="477">
        <v>21552</v>
      </c>
      <c r="M8" s="478">
        <v>20650</v>
      </c>
      <c r="N8" s="478">
        <v>6572</v>
      </c>
      <c r="O8" s="478">
        <v>7991</v>
      </c>
      <c r="P8" s="478">
        <v>6650</v>
      </c>
      <c r="Q8" s="478">
        <v>6339</v>
      </c>
    </row>
    <row r="9" spans="1:19" ht="13" customHeight="1">
      <c r="A9" s="151"/>
      <c r="B9" s="29" t="s">
        <v>22</v>
      </c>
      <c r="C9" s="455">
        <v>152979</v>
      </c>
      <c r="D9" s="455">
        <v>170014</v>
      </c>
      <c r="E9" s="477">
        <v>145669</v>
      </c>
      <c r="F9" s="477">
        <v>149359</v>
      </c>
      <c r="G9" s="477">
        <v>135724</v>
      </c>
      <c r="H9" s="479">
        <v>137639</v>
      </c>
      <c r="I9" s="479">
        <v>122597</v>
      </c>
      <c r="J9" s="479">
        <v>139342</v>
      </c>
      <c r="K9" s="479">
        <v>130455</v>
      </c>
      <c r="L9" s="479">
        <v>120101</v>
      </c>
      <c r="M9" s="480">
        <v>112784</v>
      </c>
      <c r="N9" s="480">
        <v>90860</v>
      </c>
      <c r="O9" s="480">
        <v>110734</v>
      </c>
      <c r="P9" s="480">
        <v>105011</v>
      </c>
      <c r="Q9" s="480">
        <v>113620</v>
      </c>
      <c r="S9" s="159"/>
    </row>
    <row r="10" spans="1:19" ht="13" customHeight="1">
      <c r="A10" s="151"/>
      <c r="B10" s="29" t="s">
        <v>23</v>
      </c>
      <c r="C10" s="455">
        <v>33542</v>
      </c>
      <c r="D10" s="455">
        <v>31247</v>
      </c>
      <c r="E10" s="477">
        <v>39613</v>
      </c>
      <c r="F10" s="477">
        <v>26657</v>
      </c>
      <c r="G10" s="477">
        <v>27764</v>
      </c>
      <c r="H10" s="479">
        <v>29463</v>
      </c>
      <c r="I10" s="479">
        <v>29848</v>
      </c>
      <c r="J10" s="479">
        <v>28328</v>
      </c>
      <c r="K10" s="479">
        <v>32765</v>
      </c>
      <c r="L10" s="479">
        <v>34051</v>
      </c>
      <c r="M10" s="479">
        <v>28202</v>
      </c>
      <c r="N10" s="479">
        <v>29575</v>
      </c>
      <c r="O10" s="479">
        <v>29483</v>
      </c>
      <c r="P10" s="479">
        <v>30218</v>
      </c>
      <c r="Q10" s="479">
        <v>31654</v>
      </c>
      <c r="S10" s="159"/>
    </row>
    <row r="11" spans="1:19" ht="13" customHeight="1">
      <c r="A11" s="151"/>
      <c r="B11" s="29" t="s">
        <v>24</v>
      </c>
      <c r="C11" s="455">
        <v>139090</v>
      </c>
      <c r="D11" s="455">
        <v>144342</v>
      </c>
      <c r="E11" s="477">
        <v>150446</v>
      </c>
      <c r="F11" s="477">
        <v>154816</v>
      </c>
      <c r="G11" s="477">
        <v>160211</v>
      </c>
      <c r="H11" s="479">
        <v>166714</v>
      </c>
      <c r="I11" s="479">
        <v>175710</v>
      </c>
      <c r="J11" s="477">
        <v>178913</v>
      </c>
      <c r="K11" s="477">
        <v>185442</v>
      </c>
      <c r="L11" s="477">
        <v>234537</v>
      </c>
      <c r="M11" s="478">
        <v>253558</v>
      </c>
      <c r="N11" s="478">
        <v>264408</v>
      </c>
      <c r="O11" s="478">
        <v>298028</v>
      </c>
      <c r="P11" s="478">
        <v>306250</v>
      </c>
      <c r="Q11" s="478">
        <v>309578</v>
      </c>
      <c r="S11" s="159"/>
    </row>
    <row r="12" spans="1:19" ht="13" customHeight="1">
      <c r="A12" s="151"/>
      <c r="B12" s="29" t="s">
        <v>25</v>
      </c>
      <c r="C12" s="455">
        <v>84639</v>
      </c>
      <c r="D12" s="455">
        <v>98925</v>
      </c>
      <c r="E12" s="477">
        <v>105153</v>
      </c>
      <c r="F12" s="477">
        <v>105587</v>
      </c>
      <c r="G12" s="477">
        <v>108232</v>
      </c>
      <c r="H12" s="477">
        <v>116202</v>
      </c>
      <c r="I12" s="477">
        <v>119828</v>
      </c>
      <c r="J12" s="477">
        <v>119415</v>
      </c>
      <c r="K12" s="477">
        <v>142525</v>
      </c>
      <c r="L12" s="477">
        <v>148397</v>
      </c>
      <c r="M12" s="478">
        <v>162359</v>
      </c>
      <c r="N12" s="478">
        <v>155454</v>
      </c>
      <c r="O12" s="478">
        <v>147970</v>
      </c>
      <c r="P12" s="478">
        <v>145709</v>
      </c>
      <c r="Q12" s="478">
        <v>150866</v>
      </c>
      <c r="S12" s="159"/>
    </row>
    <row r="13" spans="1:19" ht="13" customHeight="1">
      <c r="A13" s="151"/>
      <c r="B13" s="29" t="s">
        <v>29</v>
      </c>
      <c r="C13" s="455">
        <v>18668</v>
      </c>
      <c r="D13" s="455">
        <v>19397</v>
      </c>
      <c r="E13" s="477">
        <v>19950</v>
      </c>
      <c r="F13" s="477">
        <v>19849</v>
      </c>
      <c r="G13" s="477">
        <v>20993</v>
      </c>
      <c r="H13" s="477">
        <v>22991</v>
      </c>
      <c r="I13" s="477">
        <v>23235</v>
      </c>
      <c r="J13" s="477">
        <v>24958</v>
      </c>
      <c r="K13" s="477">
        <v>27777</v>
      </c>
      <c r="L13" s="477">
        <v>29076</v>
      </c>
      <c r="M13" s="477">
        <v>28474</v>
      </c>
      <c r="N13" s="477">
        <v>31085</v>
      </c>
      <c r="O13" s="477">
        <v>33563</v>
      </c>
      <c r="P13" s="477">
        <v>33636</v>
      </c>
      <c r="Q13" s="477">
        <v>34042</v>
      </c>
      <c r="S13" s="159"/>
    </row>
    <row r="14" spans="1:19" ht="13" customHeight="1">
      <c r="A14" s="151"/>
      <c r="B14" s="29" t="s">
        <v>30</v>
      </c>
      <c r="C14" s="455">
        <v>34091</v>
      </c>
      <c r="D14" s="455">
        <v>32063</v>
      </c>
      <c r="E14" s="477">
        <v>30399</v>
      </c>
      <c r="F14" s="477">
        <v>30933</v>
      </c>
      <c r="G14" s="477">
        <v>32536</v>
      </c>
      <c r="H14" s="479">
        <v>33286</v>
      </c>
      <c r="I14" s="479">
        <v>34841</v>
      </c>
      <c r="J14" s="479">
        <v>35664</v>
      </c>
      <c r="K14" s="479">
        <v>36073</v>
      </c>
      <c r="L14" s="479">
        <v>36192</v>
      </c>
      <c r="M14" s="478">
        <v>38450</v>
      </c>
      <c r="N14" s="478">
        <v>41738</v>
      </c>
      <c r="O14" s="478">
        <v>42272</v>
      </c>
      <c r="P14" s="478">
        <v>49016</v>
      </c>
      <c r="Q14" s="478">
        <v>49555</v>
      </c>
      <c r="S14" s="159"/>
    </row>
    <row r="15" spans="1:19" ht="13" customHeight="1">
      <c r="A15" s="151"/>
      <c r="B15" s="29" t="s">
        <v>31</v>
      </c>
      <c r="C15" s="455">
        <v>670896</v>
      </c>
      <c r="D15" s="455">
        <v>687025</v>
      </c>
      <c r="E15" s="477">
        <v>752628</v>
      </c>
      <c r="F15" s="477">
        <v>750189</v>
      </c>
      <c r="G15" s="477">
        <v>806438</v>
      </c>
      <c r="H15" s="479">
        <v>716445</v>
      </c>
      <c r="I15" s="479">
        <v>771492</v>
      </c>
      <c r="J15" s="479">
        <v>815897</v>
      </c>
      <c r="K15" s="479">
        <v>871136</v>
      </c>
      <c r="L15" s="479">
        <v>929600</v>
      </c>
      <c r="M15" s="478">
        <v>989849</v>
      </c>
      <c r="N15" s="478">
        <v>1027092</v>
      </c>
      <c r="O15" s="478">
        <v>1132149</v>
      </c>
      <c r="P15" s="478">
        <v>1127542</v>
      </c>
      <c r="Q15" s="478">
        <v>1178439</v>
      </c>
      <c r="S15" s="159"/>
    </row>
    <row r="16" spans="1:19" ht="13" customHeight="1">
      <c r="A16" s="151"/>
      <c r="B16" s="29" t="s">
        <v>32</v>
      </c>
      <c r="C16" s="455">
        <v>33677</v>
      </c>
      <c r="D16" s="457">
        <v>32195</v>
      </c>
      <c r="E16" s="481">
        <v>10888</v>
      </c>
      <c r="F16" s="481">
        <v>24262</v>
      </c>
      <c r="G16" s="481">
        <v>27101</v>
      </c>
      <c r="H16" s="479">
        <v>34977</v>
      </c>
      <c r="I16" s="479">
        <v>38138</v>
      </c>
      <c r="J16" s="479">
        <v>33913</v>
      </c>
      <c r="K16" s="479">
        <v>33367</v>
      </c>
      <c r="L16" s="479">
        <v>41179</v>
      </c>
      <c r="M16" s="479">
        <v>51202</v>
      </c>
      <c r="N16" s="479">
        <v>66046</v>
      </c>
      <c r="O16" s="479">
        <v>93401</v>
      </c>
      <c r="P16" s="479">
        <v>102194</v>
      </c>
      <c r="Q16" s="479">
        <v>212080</v>
      </c>
      <c r="S16" s="159"/>
    </row>
    <row r="17" spans="1:19" ht="13" customHeight="1">
      <c r="A17" s="151"/>
      <c r="B17" s="29" t="s">
        <v>33</v>
      </c>
      <c r="C17" s="455">
        <v>207248</v>
      </c>
      <c r="D17" s="455">
        <v>212324</v>
      </c>
      <c r="E17" s="477">
        <v>213191</v>
      </c>
      <c r="F17" s="477">
        <v>208343</v>
      </c>
      <c r="G17" s="477">
        <v>216791</v>
      </c>
      <c r="H17" s="479">
        <v>211314</v>
      </c>
      <c r="I17" s="479">
        <v>186646</v>
      </c>
      <c r="J17" s="479">
        <v>168580</v>
      </c>
      <c r="K17" s="479">
        <v>157253</v>
      </c>
      <c r="L17" s="479">
        <v>178281</v>
      </c>
      <c r="M17" s="478">
        <v>186154</v>
      </c>
      <c r="N17" s="478">
        <v>195634</v>
      </c>
      <c r="O17" s="478">
        <v>207816</v>
      </c>
      <c r="P17" s="478">
        <v>219610</v>
      </c>
      <c r="Q17" s="478">
        <v>208424</v>
      </c>
      <c r="S17" s="159"/>
    </row>
    <row r="18" spans="1:19" ht="13" customHeight="1">
      <c r="A18" s="151"/>
      <c r="B18" s="29" t="s">
        <v>34</v>
      </c>
      <c r="C18" s="455">
        <v>42504</v>
      </c>
      <c r="D18" s="455">
        <v>57967</v>
      </c>
      <c r="E18" s="477">
        <v>62155</v>
      </c>
      <c r="F18" s="477">
        <v>48615</v>
      </c>
      <c r="G18" s="477">
        <v>57733</v>
      </c>
      <c r="H18" s="479">
        <v>63216</v>
      </c>
      <c r="I18" s="479">
        <v>68788</v>
      </c>
      <c r="J18" s="479">
        <v>70533</v>
      </c>
      <c r="K18" s="479">
        <v>60559</v>
      </c>
      <c r="L18" s="479">
        <v>54680</v>
      </c>
      <c r="M18" s="478">
        <v>50254</v>
      </c>
      <c r="N18" s="478">
        <v>31465</v>
      </c>
      <c r="O18" s="478">
        <v>34316</v>
      </c>
      <c r="P18" s="478">
        <v>34195</v>
      </c>
      <c r="Q18" s="478">
        <v>36228</v>
      </c>
      <c r="S18" s="159"/>
    </row>
    <row r="19" spans="1:19" ht="13" customHeight="1">
      <c r="A19" s="151"/>
      <c r="B19" s="29" t="s">
        <v>35</v>
      </c>
      <c r="C19" s="455">
        <v>59570</v>
      </c>
      <c r="D19" s="455">
        <v>58120</v>
      </c>
      <c r="E19" s="477">
        <v>58844</v>
      </c>
      <c r="F19" s="477">
        <v>54863</v>
      </c>
      <c r="G19" s="477">
        <v>54207</v>
      </c>
      <c r="H19" s="479">
        <v>62646</v>
      </c>
      <c r="I19" s="479">
        <v>64691</v>
      </c>
      <c r="J19" s="479">
        <v>72184</v>
      </c>
      <c r="K19" s="479">
        <v>80903</v>
      </c>
      <c r="L19" s="479">
        <v>83141</v>
      </c>
      <c r="M19" s="478">
        <v>88757</v>
      </c>
      <c r="N19" s="478">
        <v>97680</v>
      </c>
      <c r="O19" s="478">
        <v>106651</v>
      </c>
      <c r="P19" s="478">
        <v>102607</v>
      </c>
      <c r="Q19" s="478">
        <v>114371</v>
      </c>
      <c r="S19" s="159"/>
    </row>
    <row r="20" spans="1:19" ht="13" customHeight="1">
      <c r="A20" s="151"/>
      <c r="B20" s="29" t="s">
        <v>36</v>
      </c>
      <c r="C20" s="455">
        <v>59124</v>
      </c>
      <c r="D20" s="455">
        <v>53014</v>
      </c>
      <c r="E20" s="477">
        <v>49515</v>
      </c>
      <c r="F20" s="477">
        <v>48110</v>
      </c>
      <c r="G20" s="477">
        <v>43753</v>
      </c>
      <c r="H20" s="479">
        <v>47029</v>
      </c>
      <c r="I20" s="479">
        <v>41748</v>
      </c>
      <c r="J20" s="479">
        <v>41090</v>
      </c>
      <c r="K20" s="479">
        <v>37437</v>
      </c>
      <c r="L20" s="479">
        <v>38621</v>
      </c>
      <c r="M20" s="478">
        <v>42079</v>
      </c>
      <c r="N20" s="478">
        <v>43268</v>
      </c>
      <c r="O20" s="478">
        <v>42772</v>
      </c>
      <c r="P20" s="478">
        <v>43012</v>
      </c>
      <c r="Q20" s="478">
        <v>44440</v>
      </c>
      <c r="S20" s="159"/>
    </row>
    <row r="21" spans="1:19" ht="13" customHeight="1">
      <c r="A21" s="151"/>
      <c r="B21" s="29" t="s">
        <v>37</v>
      </c>
      <c r="C21" s="455">
        <v>74147</v>
      </c>
      <c r="D21" s="455">
        <v>75679</v>
      </c>
      <c r="E21" s="477">
        <v>71886</v>
      </c>
      <c r="F21" s="477">
        <v>72778</v>
      </c>
      <c r="G21" s="477">
        <v>72373</v>
      </c>
      <c r="H21" s="479">
        <v>79886</v>
      </c>
      <c r="I21" s="479">
        <v>115045</v>
      </c>
      <c r="J21" s="479">
        <v>136298</v>
      </c>
      <c r="K21" s="479">
        <v>140564</v>
      </c>
      <c r="L21" s="479">
        <v>153230</v>
      </c>
      <c r="M21" s="478">
        <v>179746</v>
      </c>
      <c r="N21" s="478">
        <v>209932</v>
      </c>
      <c r="O21" s="478">
        <v>202875</v>
      </c>
      <c r="P21" s="478">
        <v>210205</v>
      </c>
      <c r="Q21" s="478">
        <v>198540</v>
      </c>
      <c r="S21" s="159"/>
    </row>
    <row r="22" spans="1:19" ht="13" customHeight="1">
      <c r="A22" s="151"/>
      <c r="B22" s="29" t="s">
        <v>38</v>
      </c>
      <c r="C22" s="455">
        <v>8360</v>
      </c>
      <c r="D22" s="455">
        <v>8564</v>
      </c>
      <c r="E22" s="477">
        <v>8440</v>
      </c>
      <c r="F22" s="477">
        <v>8278</v>
      </c>
      <c r="G22" s="477">
        <v>8228</v>
      </c>
      <c r="H22" s="479">
        <v>8362</v>
      </c>
      <c r="I22" s="479">
        <v>9442</v>
      </c>
      <c r="J22" s="479">
        <v>10196</v>
      </c>
      <c r="K22" s="479">
        <v>14259</v>
      </c>
      <c r="L22" s="479">
        <v>12897</v>
      </c>
      <c r="M22" s="478">
        <v>13571</v>
      </c>
      <c r="N22" s="478">
        <v>15778</v>
      </c>
      <c r="O22" s="478">
        <v>21597</v>
      </c>
      <c r="P22" s="478">
        <v>27007</v>
      </c>
      <c r="Q22" s="478">
        <v>26011</v>
      </c>
      <c r="S22" s="159"/>
    </row>
    <row r="23" spans="1:19" ht="13" customHeight="1">
      <c r="A23" s="151"/>
      <c r="B23" s="29" t="s">
        <v>39</v>
      </c>
      <c r="C23" s="455">
        <v>8680</v>
      </c>
      <c r="D23" s="455">
        <v>8081</v>
      </c>
      <c r="E23" s="477">
        <v>13017</v>
      </c>
      <c r="F23" s="477">
        <v>16309</v>
      </c>
      <c r="G23" s="477">
        <v>15257</v>
      </c>
      <c r="H23" s="479">
        <v>17790</v>
      </c>
      <c r="I23" s="479">
        <v>21907</v>
      </c>
      <c r="J23" s="479">
        <v>51387</v>
      </c>
      <c r="K23" s="479">
        <v>54494</v>
      </c>
      <c r="L23" s="479">
        <v>59747</v>
      </c>
      <c r="M23" s="478">
        <v>63535</v>
      </c>
      <c r="N23" s="478">
        <v>65876</v>
      </c>
      <c r="O23" s="478">
        <v>66586</v>
      </c>
      <c r="P23" s="478">
        <v>68005</v>
      </c>
      <c r="Q23" s="478">
        <v>68881</v>
      </c>
      <c r="S23" s="159"/>
    </row>
    <row r="24" spans="1:19" ht="13" customHeight="1">
      <c r="A24" s="151"/>
      <c r="B24" s="29" t="s">
        <v>40</v>
      </c>
      <c r="C24" s="455">
        <v>70324</v>
      </c>
      <c r="D24" s="455">
        <v>68753</v>
      </c>
      <c r="E24" s="477">
        <v>72178</v>
      </c>
      <c r="F24" s="477">
        <v>71902</v>
      </c>
      <c r="G24" s="477">
        <v>74631</v>
      </c>
      <c r="H24" s="479">
        <v>73600</v>
      </c>
      <c r="I24" s="479">
        <v>82863</v>
      </c>
      <c r="J24" s="479">
        <v>89760</v>
      </c>
      <c r="K24" s="479">
        <v>90100</v>
      </c>
      <c r="L24" s="479">
        <v>53101</v>
      </c>
      <c r="M24" s="478">
        <v>52336</v>
      </c>
      <c r="N24" s="478">
        <v>55804</v>
      </c>
      <c r="O24" s="478">
        <v>52959</v>
      </c>
      <c r="P24" s="478">
        <v>56117</v>
      </c>
      <c r="Q24" s="478">
        <v>62319</v>
      </c>
      <c r="S24" s="159"/>
    </row>
    <row r="25" spans="1:19" ht="13" customHeight="1">
      <c r="A25" s="151"/>
      <c r="B25" s="29" t="s">
        <v>41</v>
      </c>
      <c r="C25" s="455">
        <v>50014</v>
      </c>
      <c r="D25" s="455">
        <v>49653</v>
      </c>
      <c r="E25" s="477">
        <v>56896</v>
      </c>
      <c r="F25" s="477">
        <v>57388</v>
      </c>
      <c r="G25" s="477">
        <v>60425</v>
      </c>
      <c r="H25" s="477">
        <v>68563</v>
      </c>
      <c r="I25" s="477">
        <v>78775</v>
      </c>
      <c r="J25" s="477">
        <v>68365</v>
      </c>
      <c r="K25" s="477">
        <v>68786</v>
      </c>
      <c r="L25" s="477">
        <v>68452</v>
      </c>
      <c r="M25" s="478">
        <v>68592</v>
      </c>
      <c r="N25" s="478">
        <v>69841</v>
      </c>
      <c r="O25" s="478">
        <v>70374</v>
      </c>
      <c r="P25" s="478">
        <v>67544</v>
      </c>
      <c r="Q25" s="478">
        <v>71343</v>
      </c>
      <c r="S25" s="159"/>
    </row>
    <row r="26" spans="1:19" ht="13" customHeight="1">
      <c r="A26" s="151"/>
      <c r="B26" s="29" t="s">
        <v>44</v>
      </c>
      <c r="C26" s="455">
        <v>68518</v>
      </c>
      <c r="D26" s="455">
        <v>85572</v>
      </c>
      <c r="E26" s="477">
        <v>103885</v>
      </c>
      <c r="F26" s="477">
        <v>85657</v>
      </c>
      <c r="G26" s="477">
        <v>85163</v>
      </c>
      <c r="H26" s="479">
        <v>79138</v>
      </c>
      <c r="I26" s="479">
        <v>85945</v>
      </c>
      <c r="J26" s="479">
        <v>90217</v>
      </c>
      <c r="K26" s="479">
        <v>102863</v>
      </c>
      <c r="L26" s="479">
        <v>112898</v>
      </c>
      <c r="M26" s="478">
        <v>127768</v>
      </c>
      <c r="N26" s="478">
        <v>154212</v>
      </c>
      <c r="O26" s="478">
        <v>144583</v>
      </c>
      <c r="P26" s="478">
        <v>108714</v>
      </c>
      <c r="Q26" s="478">
        <v>120446</v>
      </c>
      <c r="S26" s="159"/>
    </row>
    <row r="27" spans="1:19" ht="13" customHeight="1">
      <c r="A27" s="151"/>
      <c r="B27" s="29" t="s">
        <v>45</v>
      </c>
      <c r="C27" s="455">
        <v>61930</v>
      </c>
      <c r="D27" s="455">
        <v>65520</v>
      </c>
      <c r="E27" s="477">
        <v>67990</v>
      </c>
      <c r="F27" s="477">
        <v>70540</v>
      </c>
      <c r="G27" s="477">
        <v>75600</v>
      </c>
      <c r="H27" s="479">
        <v>78270</v>
      </c>
      <c r="I27" s="479">
        <v>77874</v>
      </c>
      <c r="J27" s="479">
        <v>80049</v>
      </c>
      <c r="K27" s="479">
        <v>78825</v>
      </c>
      <c r="L27" s="479">
        <v>80179</v>
      </c>
      <c r="M27" s="478">
        <v>71591</v>
      </c>
      <c r="N27" s="478">
        <v>76134</v>
      </c>
      <c r="O27" s="478">
        <v>76729</v>
      </c>
      <c r="P27" s="478">
        <v>77010</v>
      </c>
      <c r="Q27" s="478">
        <v>77140</v>
      </c>
      <c r="S27" s="159"/>
    </row>
    <row r="28" spans="1:19" ht="13" customHeight="1">
      <c r="A28" s="151"/>
      <c r="B28" s="150" t="s">
        <v>46</v>
      </c>
      <c r="C28" s="455">
        <v>57291</v>
      </c>
      <c r="D28" s="455">
        <v>59772</v>
      </c>
      <c r="E28" s="477">
        <v>60709</v>
      </c>
      <c r="F28" s="477">
        <v>61993</v>
      </c>
      <c r="G28" s="477">
        <v>59283</v>
      </c>
      <c r="H28" s="479">
        <v>60312</v>
      </c>
      <c r="I28" s="479">
        <v>58235</v>
      </c>
      <c r="J28" s="479">
        <v>47912</v>
      </c>
      <c r="K28" s="479">
        <v>46967</v>
      </c>
      <c r="L28" s="479">
        <v>55436</v>
      </c>
      <c r="M28" s="480">
        <v>53943</v>
      </c>
      <c r="N28" s="480">
        <v>59422</v>
      </c>
      <c r="O28" s="480">
        <v>59704</v>
      </c>
      <c r="P28" s="480">
        <v>67277</v>
      </c>
      <c r="Q28" s="480">
        <v>70713</v>
      </c>
      <c r="S28" s="159"/>
    </row>
    <row r="29" spans="1:19" ht="13" customHeight="1">
      <c r="A29" s="151"/>
      <c r="B29" s="30" t="s">
        <v>47</v>
      </c>
      <c r="C29" s="455">
        <v>30732</v>
      </c>
      <c r="D29" s="455">
        <v>28215</v>
      </c>
      <c r="E29" s="477">
        <v>29327</v>
      </c>
      <c r="F29" s="477">
        <v>31280</v>
      </c>
      <c r="G29" s="477">
        <v>32759</v>
      </c>
      <c r="H29" s="479">
        <v>37863</v>
      </c>
      <c r="I29" s="479">
        <v>45225</v>
      </c>
      <c r="J29" s="479">
        <v>47774</v>
      </c>
      <c r="K29" s="479">
        <v>49718</v>
      </c>
      <c r="L29" s="479">
        <v>50870</v>
      </c>
      <c r="M29" s="480">
        <v>46770</v>
      </c>
      <c r="N29" s="480">
        <v>49351</v>
      </c>
      <c r="O29" s="480">
        <v>55401</v>
      </c>
      <c r="P29" s="480">
        <v>65574</v>
      </c>
      <c r="Q29" s="480">
        <v>60322</v>
      </c>
      <c r="S29" s="159"/>
    </row>
    <row r="30" spans="1:19" ht="13" customHeight="1">
      <c r="A30" s="151"/>
      <c r="B30" s="29" t="s">
        <v>48</v>
      </c>
      <c r="C30" s="455">
        <v>15411</v>
      </c>
      <c r="D30" s="455">
        <v>16336</v>
      </c>
      <c r="E30" s="477">
        <v>17156</v>
      </c>
      <c r="F30" s="477">
        <v>18211</v>
      </c>
      <c r="G30" s="477">
        <v>20564</v>
      </c>
      <c r="H30" s="479">
        <v>22341</v>
      </c>
      <c r="I30" s="479">
        <v>24618</v>
      </c>
      <c r="J30" s="479">
        <v>24595</v>
      </c>
      <c r="K30" s="479">
        <v>24998</v>
      </c>
      <c r="L30" s="479">
        <v>25440</v>
      </c>
      <c r="M30" s="480">
        <v>26496</v>
      </c>
      <c r="N30" s="480">
        <v>27683</v>
      </c>
      <c r="O30" s="480">
        <v>21547</v>
      </c>
      <c r="P30" s="480">
        <v>23330</v>
      </c>
      <c r="Q30" s="480">
        <v>21739</v>
      </c>
      <c r="S30" s="159"/>
    </row>
    <row r="31" spans="1:19" ht="13" customHeight="1" thickBot="1">
      <c r="A31" s="453"/>
      <c r="B31" s="454" t="s">
        <v>49</v>
      </c>
      <c r="C31" s="458">
        <v>4175</v>
      </c>
      <c r="D31" s="458">
        <v>4068</v>
      </c>
      <c r="E31" s="482">
        <v>4126</v>
      </c>
      <c r="F31" s="482">
        <v>4681</v>
      </c>
      <c r="G31" s="482">
        <v>6082</v>
      </c>
      <c r="H31" s="482">
        <v>4741</v>
      </c>
      <c r="I31" s="482">
        <v>5301</v>
      </c>
      <c r="J31" s="482">
        <v>6265</v>
      </c>
      <c r="K31" s="482">
        <v>7114</v>
      </c>
      <c r="L31" s="482">
        <v>7908</v>
      </c>
      <c r="M31" s="483">
        <v>7764</v>
      </c>
      <c r="N31" s="483">
        <v>11893</v>
      </c>
      <c r="O31" s="483">
        <v>14155</v>
      </c>
      <c r="P31" s="483">
        <v>14474</v>
      </c>
      <c r="Q31" s="483">
        <v>17517</v>
      </c>
      <c r="S31" s="159"/>
    </row>
    <row r="32" spans="1:19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5">
    <tabColor theme="9" tint="0.59999389629810485"/>
  </sheetPr>
  <dimension ref="A2:S3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376</v>
      </c>
      <c r="B2" s="469"/>
    </row>
    <row r="3" spans="1:19" ht="13" customHeight="1">
      <c r="A3" s="470" t="s">
        <v>319</v>
      </c>
      <c r="B3" s="470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9" ht="15" customHeight="1">
      <c r="A6" s="1102" t="s">
        <v>106</v>
      </c>
      <c r="B6" s="1102"/>
      <c r="C6" s="475">
        <f t="shared" ref="C6:N6" si="0">(C8+C9+C10+C11+C12+C13+C14+C15+C16+C17+C18+C19+C20+C21+C22+C23+C24+C25+C26+C27+C28+C29+C30+C31)</f>
        <v>104254</v>
      </c>
      <c r="D6" s="475">
        <f t="shared" si="0"/>
        <v>109012</v>
      </c>
      <c r="E6" s="484">
        <f t="shared" si="0"/>
        <v>114520</v>
      </c>
      <c r="F6" s="484">
        <f t="shared" si="0"/>
        <v>115197</v>
      </c>
      <c r="G6" s="484">
        <f t="shared" si="0"/>
        <v>114717</v>
      </c>
      <c r="H6" s="484">
        <f t="shared" si="0"/>
        <v>115654</v>
      </c>
      <c r="I6" s="484">
        <f t="shared" si="0"/>
        <v>117588</v>
      </c>
      <c r="J6" s="484">
        <f t="shared" si="0"/>
        <v>122352</v>
      </c>
      <c r="K6" s="484">
        <f t="shared" si="0"/>
        <v>127685</v>
      </c>
      <c r="L6" s="484">
        <f t="shared" si="0"/>
        <v>135393</v>
      </c>
      <c r="M6" s="484">
        <f t="shared" si="0"/>
        <v>142927</v>
      </c>
      <c r="N6" s="484">
        <f t="shared" si="0"/>
        <v>149399</v>
      </c>
      <c r="O6" s="484">
        <f>(O8+O9+O10+O11+O12+O13+O14+O15+O16+O17+O18+O19+O20+O21+O22+O23+O24+O25+O26+O27+O28+O29+O30+O31)</f>
        <v>157823</v>
      </c>
      <c r="P6" s="484">
        <f>(P8+P9+P10+P11+P12+P13+P14+P15+P16+P17+P18+P19+P20+P21+P22+P23+P24+P25+P26+P27+P28+P29+P30+P31)</f>
        <v>162421</v>
      </c>
      <c r="Q6" s="484">
        <f>(Q8+Q9+Q10+Q11+Q12+Q13+Q14+Q15+Q16+Q17+Q18+Q19+Q20+Q21+Q22+Q23+Q24+Q25+Q26+Q27+Q28+Q29+Q30+Q31)</f>
        <v>173258</v>
      </c>
    </row>
    <row r="7" spans="1:19" ht="5" customHeight="1">
      <c r="A7" s="151"/>
      <c r="B7" s="152"/>
      <c r="C7" s="476"/>
      <c r="D7" s="476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5"/>
      <c r="Q7" s="485"/>
    </row>
    <row r="8" spans="1:19" ht="13" customHeight="1">
      <c r="A8" s="151"/>
      <c r="B8" s="29" t="s">
        <v>21</v>
      </c>
      <c r="C8" s="477">
        <v>190</v>
      </c>
      <c r="D8" s="477">
        <v>228</v>
      </c>
      <c r="E8" s="486">
        <v>306</v>
      </c>
      <c r="F8" s="486">
        <v>408</v>
      </c>
      <c r="G8" s="486">
        <v>420</v>
      </c>
      <c r="H8" s="486">
        <v>582</v>
      </c>
      <c r="I8" s="486">
        <v>626</v>
      </c>
      <c r="J8" s="486">
        <v>863</v>
      </c>
      <c r="K8" s="486">
        <v>998</v>
      </c>
      <c r="L8" s="486">
        <v>827</v>
      </c>
      <c r="M8" s="487">
        <v>780</v>
      </c>
      <c r="N8" s="487">
        <v>316</v>
      </c>
      <c r="O8" s="487">
        <v>398</v>
      </c>
      <c r="P8" s="487">
        <v>279</v>
      </c>
      <c r="Q8" s="487">
        <v>345</v>
      </c>
    </row>
    <row r="9" spans="1:19" ht="13" customHeight="1">
      <c r="A9" s="151"/>
      <c r="B9" s="29" t="s">
        <v>22</v>
      </c>
      <c r="C9" s="477">
        <v>6387</v>
      </c>
      <c r="D9" s="477">
        <v>7231</v>
      </c>
      <c r="E9" s="486">
        <v>6857</v>
      </c>
      <c r="F9" s="486">
        <v>6388</v>
      </c>
      <c r="G9" s="486">
        <v>6499</v>
      </c>
      <c r="H9" s="488">
        <v>7171</v>
      </c>
      <c r="I9" s="488">
        <v>6138</v>
      </c>
      <c r="J9" s="488">
        <v>5969</v>
      </c>
      <c r="K9" s="488">
        <v>5987</v>
      </c>
      <c r="L9" s="488">
        <v>5651</v>
      </c>
      <c r="M9" s="489">
        <v>6266</v>
      </c>
      <c r="N9" s="489">
        <v>4635</v>
      </c>
      <c r="O9" s="489">
        <v>4739</v>
      </c>
      <c r="P9" s="489">
        <v>5048</v>
      </c>
      <c r="Q9" s="489">
        <v>5825</v>
      </c>
      <c r="S9" s="159"/>
    </row>
    <row r="10" spans="1:19" ht="13" customHeight="1">
      <c r="A10" s="151"/>
      <c r="B10" s="29" t="s">
        <v>23</v>
      </c>
      <c r="C10" s="477">
        <v>1565</v>
      </c>
      <c r="D10" s="477">
        <v>1452</v>
      </c>
      <c r="E10" s="486">
        <v>2022</v>
      </c>
      <c r="F10" s="486">
        <v>1210</v>
      </c>
      <c r="G10" s="486">
        <v>1214</v>
      </c>
      <c r="H10" s="488">
        <v>1283</v>
      </c>
      <c r="I10" s="488">
        <v>1480</v>
      </c>
      <c r="J10" s="488">
        <v>1244</v>
      </c>
      <c r="K10" s="488">
        <v>1317</v>
      </c>
      <c r="L10" s="488">
        <v>1486</v>
      </c>
      <c r="M10" s="488">
        <v>1400</v>
      </c>
      <c r="N10" s="488">
        <v>1529</v>
      </c>
      <c r="O10" s="488">
        <v>1665</v>
      </c>
      <c r="P10" s="488">
        <v>1732</v>
      </c>
      <c r="Q10" s="488">
        <v>1721</v>
      </c>
      <c r="S10" s="159"/>
    </row>
    <row r="11" spans="1:19" ht="13" customHeight="1">
      <c r="A11" s="151"/>
      <c r="B11" s="29" t="s">
        <v>24</v>
      </c>
      <c r="C11" s="477">
        <v>8050</v>
      </c>
      <c r="D11" s="477">
        <v>8378</v>
      </c>
      <c r="E11" s="486">
        <v>8663</v>
      </c>
      <c r="F11" s="486">
        <v>8965</v>
      </c>
      <c r="G11" s="486">
        <v>9251</v>
      </c>
      <c r="H11" s="488">
        <v>9748</v>
      </c>
      <c r="I11" s="488">
        <v>10226</v>
      </c>
      <c r="J11" s="486">
        <v>10412</v>
      </c>
      <c r="K11" s="486">
        <v>10789</v>
      </c>
      <c r="L11" s="486">
        <v>14105</v>
      </c>
      <c r="M11" s="487">
        <v>14504</v>
      </c>
      <c r="N11" s="487">
        <v>15047</v>
      </c>
      <c r="O11" s="487">
        <v>16879</v>
      </c>
      <c r="P11" s="487">
        <v>17459</v>
      </c>
      <c r="Q11" s="487">
        <v>17654</v>
      </c>
      <c r="S11" s="159"/>
    </row>
    <row r="12" spans="1:19" ht="13" customHeight="1">
      <c r="A12" s="151"/>
      <c r="B12" s="29" t="s">
        <v>25</v>
      </c>
      <c r="C12" s="477">
        <v>3547</v>
      </c>
      <c r="D12" s="477">
        <v>4158</v>
      </c>
      <c r="E12" s="486">
        <v>4663</v>
      </c>
      <c r="F12" s="486">
        <v>4426</v>
      </c>
      <c r="G12" s="486">
        <v>4781</v>
      </c>
      <c r="H12" s="486">
        <v>5128</v>
      </c>
      <c r="I12" s="486">
        <v>5122</v>
      </c>
      <c r="J12" s="486">
        <v>4931</v>
      </c>
      <c r="K12" s="486">
        <v>5786</v>
      </c>
      <c r="L12" s="486">
        <v>5981</v>
      </c>
      <c r="M12" s="487">
        <v>6169</v>
      </c>
      <c r="N12" s="487">
        <v>6590</v>
      </c>
      <c r="O12" s="487">
        <v>6393</v>
      </c>
      <c r="P12" s="487">
        <v>6251</v>
      </c>
      <c r="Q12" s="487">
        <v>6484</v>
      </c>
      <c r="S12" s="159"/>
    </row>
    <row r="13" spans="1:19" ht="13" customHeight="1">
      <c r="A13" s="151"/>
      <c r="B13" s="29" t="s">
        <v>29</v>
      </c>
      <c r="C13" s="477">
        <v>994</v>
      </c>
      <c r="D13" s="477">
        <v>1085</v>
      </c>
      <c r="E13" s="486">
        <v>1109</v>
      </c>
      <c r="F13" s="486">
        <v>1052</v>
      </c>
      <c r="G13" s="486">
        <v>1129</v>
      </c>
      <c r="H13" s="486">
        <v>1202</v>
      </c>
      <c r="I13" s="486">
        <v>1227</v>
      </c>
      <c r="J13" s="486">
        <v>1340</v>
      </c>
      <c r="K13" s="486">
        <v>1470</v>
      </c>
      <c r="L13" s="486">
        <v>1551</v>
      </c>
      <c r="M13" s="486">
        <v>1537</v>
      </c>
      <c r="N13" s="486">
        <v>1662</v>
      </c>
      <c r="O13" s="486">
        <v>1712</v>
      </c>
      <c r="P13" s="486">
        <v>1781</v>
      </c>
      <c r="Q13" s="486">
        <v>1806</v>
      </c>
      <c r="S13" s="159"/>
    </row>
    <row r="14" spans="1:19" ht="13" customHeight="1">
      <c r="A14" s="151"/>
      <c r="B14" s="29" t="s">
        <v>30</v>
      </c>
      <c r="C14" s="477">
        <v>1095</v>
      </c>
      <c r="D14" s="477">
        <v>1048</v>
      </c>
      <c r="E14" s="486">
        <v>976</v>
      </c>
      <c r="F14" s="486">
        <v>994</v>
      </c>
      <c r="G14" s="486">
        <v>1043</v>
      </c>
      <c r="H14" s="488">
        <v>1068</v>
      </c>
      <c r="I14" s="488">
        <v>1133</v>
      </c>
      <c r="J14" s="488">
        <v>1168</v>
      </c>
      <c r="K14" s="488">
        <v>1186</v>
      </c>
      <c r="L14" s="488">
        <v>1190</v>
      </c>
      <c r="M14" s="487">
        <v>1265</v>
      </c>
      <c r="N14" s="487">
        <v>1375</v>
      </c>
      <c r="O14" s="487">
        <v>1375</v>
      </c>
      <c r="P14" s="487">
        <v>1579</v>
      </c>
      <c r="Q14" s="487">
        <v>1593</v>
      </c>
      <c r="S14" s="159"/>
    </row>
    <row r="15" spans="1:19" ht="13" customHeight="1">
      <c r="A15" s="151"/>
      <c r="B15" s="29" t="s">
        <v>31</v>
      </c>
      <c r="C15" s="477">
        <v>45295</v>
      </c>
      <c r="D15" s="477">
        <v>46669</v>
      </c>
      <c r="E15" s="486">
        <v>50069</v>
      </c>
      <c r="F15" s="486">
        <v>51802</v>
      </c>
      <c r="G15" s="486">
        <v>49670</v>
      </c>
      <c r="H15" s="488">
        <v>47735</v>
      </c>
      <c r="I15" s="488">
        <v>48882</v>
      </c>
      <c r="J15" s="488">
        <v>51971</v>
      </c>
      <c r="K15" s="488">
        <v>55446</v>
      </c>
      <c r="L15" s="488">
        <v>59187</v>
      </c>
      <c r="M15" s="487">
        <v>62813</v>
      </c>
      <c r="N15" s="487">
        <v>65479</v>
      </c>
      <c r="O15" s="487">
        <v>71500</v>
      </c>
      <c r="P15" s="487">
        <v>72791</v>
      </c>
      <c r="Q15" s="487">
        <v>74813</v>
      </c>
      <c r="S15" s="159"/>
    </row>
    <row r="16" spans="1:19" ht="13" customHeight="1">
      <c r="A16" s="151"/>
      <c r="B16" s="29" t="s">
        <v>32</v>
      </c>
      <c r="C16" s="477">
        <v>1343</v>
      </c>
      <c r="D16" s="481">
        <v>1336</v>
      </c>
      <c r="E16" s="490">
        <v>637</v>
      </c>
      <c r="F16" s="490">
        <v>1621</v>
      </c>
      <c r="G16" s="490">
        <v>1825</v>
      </c>
      <c r="H16" s="488">
        <v>1971</v>
      </c>
      <c r="I16" s="488">
        <v>2174</v>
      </c>
      <c r="J16" s="488">
        <v>2249</v>
      </c>
      <c r="K16" s="488">
        <v>2218</v>
      </c>
      <c r="L16" s="488">
        <v>2514</v>
      </c>
      <c r="M16" s="488">
        <v>3494</v>
      </c>
      <c r="N16" s="488">
        <v>3621</v>
      </c>
      <c r="O16" s="488">
        <v>3935</v>
      </c>
      <c r="P16" s="488">
        <v>4101</v>
      </c>
      <c r="Q16" s="488">
        <v>11484</v>
      </c>
      <c r="S16" s="159"/>
    </row>
    <row r="17" spans="1:19" ht="13" customHeight="1">
      <c r="A17" s="151"/>
      <c r="B17" s="29" t="s">
        <v>33</v>
      </c>
      <c r="C17" s="477">
        <v>11654</v>
      </c>
      <c r="D17" s="477">
        <v>12043</v>
      </c>
      <c r="E17" s="486">
        <v>12160</v>
      </c>
      <c r="F17" s="486">
        <v>11073</v>
      </c>
      <c r="G17" s="486">
        <v>10418</v>
      </c>
      <c r="H17" s="488">
        <v>9920</v>
      </c>
      <c r="I17" s="488">
        <v>7964</v>
      </c>
      <c r="J17" s="488">
        <v>6312</v>
      </c>
      <c r="K17" s="488">
        <v>5409</v>
      </c>
      <c r="L17" s="488">
        <v>5745</v>
      </c>
      <c r="M17" s="487">
        <v>6100</v>
      </c>
      <c r="N17" s="487">
        <v>6628</v>
      </c>
      <c r="O17" s="487">
        <v>6784</v>
      </c>
      <c r="P17" s="487">
        <v>7946</v>
      </c>
      <c r="Q17" s="487">
        <v>8079</v>
      </c>
      <c r="S17" s="159"/>
    </row>
    <row r="18" spans="1:19" ht="13" customHeight="1">
      <c r="A18" s="151"/>
      <c r="B18" s="29" t="s">
        <v>34</v>
      </c>
      <c r="C18" s="477">
        <v>1361</v>
      </c>
      <c r="D18" s="477">
        <v>1971</v>
      </c>
      <c r="E18" s="486">
        <v>1937</v>
      </c>
      <c r="F18" s="486">
        <v>2049</v>
      </c>
      <c r="G18" s="486">
        <v>2281</v>
      </c>
      <c r="H18" s="488">
        <v>2221</v>
      </c>
      <c r="I18" s="488">
        <v>2347</v>
      </c>
      <c r="J18" s="488">
        <v>2450</v>
      </c>
      <c r="K18" s="488">
        <v>2045</v>
      </c>
      <c r="L18" s="488">
        <v>1878</v>
      </c>
      <c r="M18" s="487">
        <v>1755</v>
      </c>
      <c r="N18" s="487">
        <v>1144</v>
      </c>
      <c r="O18" s="487">
        <v>1265</v>
      </c>
      <c r="P18" s="487">
        <v>1345</v>
      </c>
      <c r="Q18" s="487">
        <v>1328</v>
      </c>
      <c r="S18" s="159"/>
    </row>
    <row r="19" spans="1:19" ht="13" customHeight="1">
      <c r="A19" s="151"/>
      <c r="B19" s="29" t="s">
        <v>35</v>
      </c>
      <c r="C19" s="477">
        <v>2414</v>
      </c>
      <c r="D19" s="477">
        <v>2351</v>
      </c>
      <c r="E19" s="486">
        <v>2407</v>
      </c>
      <c r="F19" s="486">
        <v>2227</v>
      </c>
      <c r="G19" s="486">
        <v>2346</v>
      </c>
      <c r="H19" s="488">
        <v>2576</v>
      </c>
      <c r="I19" s="488">
        <v>2678</v>
      </c>
      <c r="J19" s="488">
        <v>3045</v>
      </c>
      <c r="K19" s="488">
        <v>3434</v>
      </c>
      <c r="L19" s="488">
        <v>3479</v>
      </c>
      <c r="M19" s="487">
        <v>3695</v>
      </c>
      <c r="N19" s="487">
        <v>4081</v>
      </c>
      <c r="O19" s="487">
        <v>4447</v>
      </c>
      <c r="P19" s="487">
        <v>4347</v>
      </c>
      <c r="Q19" s="487">
        <v>4855</v>
      </c>
      <c r="S19" s="159"/>
    </row>
    <row r="20" spans="1:19" ht="13" customHeight="1">
      <c r="A20" s="151"/>
      <c r="B20" s="29" t="s">
        <v>36</v>
      </c>
      <c r="C20" s="477">
        <v>1731</v>
      </c>
      <c r="D20" s="477">
        <v>1571</v>
      </c>
      <c r="E20" s="486">
        <v>1465</v>
      </c>
      <c r="F20" s="486">
        <v>1412</v>
      </c>
      <c r="G20" s="486">
        <v>1388</v>
      </c>
      <c r="H20" s="488">
        <v>1475</v>
      </c>
      <c r="I20" s="488">
        <v>1455</v>
      </c>
      <c r="J20" s="488">
        <v>1432</v>
      </c>
      <c r="K20" s="488">
        <v>1321</v>
      </c>
      <c r="L20" s="488">
        <v>1309</v>
      </c>
      <c r="M20" s="487">
        <v>1357</v>
      </c>
      <c r="N20" s="487">
        <v>1506</v>
      </c>
      <c r="O20" s="487">
        <v>1486</v>
      </c>
      <c r="P20" s="487">
        <v>1546</v>
      </c>
      <c r="Q20" s="487">
        <v>1633</v>
      </c>
      <c r="S20" s="159"/>
    </row>
    <row r="21" spans="1:19" ht="13" customHeight="1">
      <c r="A21" s="151"/>
      <c r="B21" s="29" t="s">
        <v>37</v>
      </c>
      <c r="C21" s="477">
        <v>4184</v>
      </c>
      <c r="D21" s="477">
        <v>4285</v>
      </c>
      <c r="E21" s="486">
        <v>4118</v>
      </c>
      <c r="F21" s="486">
        <v>4178</v>
      </c>
      <c r="G21" s="486">
        <v>4235</v>
      </c>
      <c r="H21" s="488">
        <v>4760</v>
      </c>
      <c r="I21" s="488">
        <v>6075</v>
      </c>
      <c r="J21" s="488">
        <v>7640</v>
      </c>
      <c r="K21" s="488">
        <v>7851</v>
      </c>
      <c r="L21" s="488">
        <v>8593</v>
      </c>
      <c r="M21" s="487">
        <v>10045</v>
      </c>
      <c r="N21" s="487">
        <v>11755</v>
      </c>
      <c r="O21" s="487">
        <v>11362</v>
      </c>
      <c r="P21" s="487">
        <v>11512</v>
      </c>
      <c r="Q21" s="487">
        <v>11061</v>
      </c>
      <c r="S21" s="159"/>
    </row>
    <row r="22" spans="1:19" ht="13" customHeight="1">
      <c r="A22" s="151"/>
      <c r="B22" s="29" t="s">
        <v>38</v>
      </c>
      <c r="C22" s="477">
        <v>376</v>
      </c>
      <c r="D22" s="477">
        <v>386</v>
      </c>
      <c r="E22" s="486">
        <v>391</v>
      </c>
      <c r="F22" s="486">
        <v>395</v>
      </c>
      <c r="G22" s="486">
        <v>457</v>
      </c>
      <c r="H22" s="488">
        <v>402</v>
      </c>
      <c r="I22" s="488">
        <v>459</v>
      </c>
      <c r="J22" s="488">
        <v>461</v>
      </c>
      <c r="K22" s="488">
        <v>562</v>
      </c>
      <c r="L22" s="488">
        <v>568</v>
      </c>
      <c r="M22" s="487">
        <v>590</v>
      </c>
      <c r="N22" s="487">
        <v>665</v>
      </c>
      <c r="O22" s="487">
        <v>885</v>
      </c>
      <c r="P22" s="487">
        <v>1200</v>
      </c>
      <c r="Q22" s="487">
        <v>1163</v>
      </c>
      <c r="S22" s="159"/>
    </row>
    <row r="23" spans="1:19" ht="13" customHeight="1">
      <c r="A23" s="151"/>
      <c r="B23" s="29" t="s">
        <v>39</v>
      </c>
      <c r="C23" s="477">
        <v>401</v>
      </c>
      <c r="D23" s="477">
        <v>377</v>
      </c>
      <c r="E23" s="486">
        <v>623</v>
      </c>
      <c r="F23" s="486">
        <v>782</v>
      </c>
      <c r="G23" s="486">
        <v>781</v>
      </c>
      <c r="H23" s="488">
        <v>912</v>
      </c>
      <c r="I23" s="488">
        <v>1370</v>
      </c>
      <c r="J23" s="488">
        <v>2096</v>
      </c>
      <c r="K23" s="488">
        <v>2447</v>
      </c>
      <c r="L23" s="488">
        <v>2448</v>
      </c>
      <c r="M23" s="487">
        <v>2464</v>
      </c>
      <c r="N23" s="487">
        <v>2471</v>
      </c>
      <c r="O23" s="487">
        <v>2621</v>
      </c>
      <c r="P23" s="487">
        <v>2677</v>
      </c>
      <c r="Q23" s="487">
        <v>2707</v>
      </c>
      <c r="S23" s="159"/>
    </row>
    <row r="24" spans="1:19" ht="13" customHeight="1">
      <c r="A24" s="151"/>
      <c r="B24" s="29" t="s">
        <v>40</v>
      </c>
      <c r="C24" s="477">
        <v>2705</v>
      </c>
      <c r="D24" s="477">
        <v>2632</v>
      </c>
      <c r="E24" s="486">
        <v>2714</v>
      </c>
      <c r="F24" s="486">
        <v>3142</v>
      </c>
      <c r="G24" s="486">
        <v>3268</v>
      </c>
      <c r="H24" s="488">
        <v>3179</v>
      </c>
      <c r="I24" s="488">
        <v>3476</v>
      </c>
      <c r="J24" s="488">
        <v>3766</v>
      </c>
      <c r="K24" s="488">
        <v>3773</v>
      </c>
      <c r="L24" s="488">
        <v>2252</v>
      </c>
      <c r="M24" s="487">
        <v>2251</v>
      </c>
      <c r="N24" s="487">
        <v>2394</v>
      </c>
      <c r="O24" s="487">
        <v>2332</v>
      </c>
      <c r="P24" s="487">
        <v>2480</v>
      </c>
      <c r="Q24" s="487">
        <v>2757</v>
      </c>
      <c r="S24" s="159"/>
    </row>
    <row r="25" spans="1:19" ht="13" customHeight="1">
      <c r="A25" s="151"/>
      <c r="B25" s="29" t="s">
        <v>41</v>
      </c>
      <c r="C25" s="477">
        <v>1856</v>
      </c>
      <c r="D25" s="477">
        <v>1746</v>
      </c>
      <c r="E25" s="486">
        <v>2067</v>
      </c>
      <c r="F25" s="486">
        <v>2261</v>
      </c>
      <c r="G25" s="486">
        <v>2501</v>
      </c>
      <c r="H25" s="486">
        <v>2561</v>
      </c>
      <c r="I25" s="486">
        <v>2875</v>
      </c>
      <c r="J25" s="486">
        <v>2978</v>
      </c>
      <c r="K25" s="486">
        <v>3274</v>
      </c>
      <c r="L25" s="486">
        <v>3112</v>
      </c>
      <c r="M25" s="487">
        <v>3017</v>
      </c>
      <c r="N25" s="487">
        <v>2973</v>
      </c>
      <c r="O25" s="487">
        <v>2874</v>
      </c>
      <c r="P25" s="487">
        <v>2796</v>
      </c>
      <c r="Q25" s="487">
        <v>2775</v>
      </c>
      <c r="S25" s="159"/>
    </row>
    <row r="26" spans="1:19" ht="13" customHeight="1">
      <c r="A26" s="151"/>
      <c r="B26" s="29" t="s">
        <v>44</v>
      </c>
      <c r="C26" s="477">
        <v>2180</v>
      </c>
      <c r="D26" s="477">
        <v>2931</v>
      </c>
      <c r="E26" s="486">
        <v>3891</v>
      </c>
      <c r="F26" s="486">
        <v>3324</v>
      </c>
      <c r="G26" s="486">
        <v>3148</v>
      </c>
      <c r="H26" s="488">
        <v>3483</v>
      </c>
      <c r="I26" s="488">
        <v>3320</v>
      </c>
      <c r="J26" s="488">
        <v>3549</v>
      </c>
      <c r="K26" s="488">
        <v>3841</v>
      </c>
      <c r="L26" s="488">
        <v>4423</v>
      </c>
      <c r="M26" s="487">
        <v>4878</v>
      </c>
      <c r="N26" s="487">
        <v>6050</v>
      </c>
      <c r="O26" s="487">
        <v>5824</v>
      </c>
      <c r="P26" s="487">
        <v>5292</v>
      </c>
      <c r="Q26" s="487">
        <v>4946</v>
      </c>
      <c r="S26" s="159"/>
    </row>
    <row r="27" spans="1:19" ht="13" customHeight="1">
      <c r="A27" s="151"/>
      <c r="B27" s="29" t="s">
        <v>45</v>
      </c>
      <c r="C27" s="477">
        <v>2054</v>
      </c>
      <c r="D27" s="477">
        <v>2114</v>
      </c>
      <c r="E27" s="486">
        <v>2154</v>
      </c>
      <c r="F27" s="486">
        <v>2197</v>
      </c>
      <c r="G27" s="486">
        <v>2327</v>
      </c>
      <c r="H27" s="488">
        <v>2404</v>
      </c>
      <c r="I27" s="488">
        <v>2505</v>
      </c>
      <c r="J27" s="488">
        <v>2569</v>
      </c>
      <c r="K27" s="488">
        <v>2588</v>
      </c>
      <c r="L27" s="488">
        <v>2628</v>
      </c>
      <c r="M27" s="487">
        <v>2372</v>
      </c>
      <c r="N27" s="487">
        <v>2501</v>
      </c>
      <c r="O27" s="487">
        <v>2540</v>
      </c>
      <c r="P27" s="487">
        <v>2563</v>
      </c>
      <c r="Q27" s="487">
        <v>2579</v>
      </c>
      <c r="S27" s="159"/>
    </row>
    <row r="28" spans="1:19" ht="13" customHeight="1">
      <c r="A28" s="151"/>
      <c r="B28" s="150" t="s">
        <v>46</v>
      </c>
      <c r="C28" s="477">
        <v>2844</v>
      </c>
      <c r="D28" s="477">
        <v>3057</v>
      </c>
      <c r="E28" s="486">
        <v>3228</v>
      </c>
      <c r="F28" s="486">
        <v>3053</v>
      </c>
      <c r="G28" s="486">
        <v>3084</v>
      </c>
      <c r="H28" s="488">
        <v>2939</v>
      </c>
      <c r="I28" s="488">
        <v>2762</v>
      </c>
      <c r="J28" s="488">
        <v>2357</v>
      </c>
      <c r="K28" s="488">
        <v>2289</v>
      </c>
      <c r="L28" s="488">
        <v>2650</v>
      </c>
      <c r="M28" s="489">
        <v>2606</v>
      </c>
      <c r="N28" s="489">
        <v>2861</v>
      </c>
      <c r="O28" s="489">
        <v>2636</v>
      </c>
      <c r="P28" s="489">
        <v>2933</v>
      </c>
      <c r="Q28" s="489">
        <v>3034</v>
      </c>
      <c r="S28" s="159"/>
    </row>
    <row r="29" spans="1:19" ht="13" customHeight="1">
      <c r="A29" s="151"/>
      <c r="B29" s="30" t="s">
        <v>47</v>
      </c>
      <c r="C29" s="477">
        <v>1199</v>
      </c>
      <c r="D29" s="477">
        <v>1103</v>
      </c>
      <c r="E29" s="486">
        <v>1147</v>
      </c>
      <c r="F29" s="486">
        <v>1325</v>
      </c>
      <c r="G29" s="486">
        <v>1562</v>
      </c>
      <c r="H29" s="488">
        <v>1796</v>
      </c>
      <c r="I29" s="488">
        <v>2027</v>
      </c>
      <c r="J29" s="488">
        <v>2192</v>
      </c>
      <c r="K29" s="488">
        <v>2265</v>
      </c>
      <c r="L29" s="488">
        <v>2371</v>
      </c>
      <c r="M29" s="489">
        <v>2026</v>
      </c>
      <c r="N29" s="489">
        <v>2083</v>
      </c>
      <c r="O29" s="489">
        <v>2381</v>
      </c>
      <c r="P29" s="489">
        <v>2998</v>
      </c>
      <c r="Q29" s="489">
        <v>2718</v>
      </c>
      <c r="S29" s="159"/>
    </row>
    <row r="30" spans="1:19" ht="13" customHeight="1">
      <c r="A30" s="151"/>
      <c r="B30" s="29" t="s">
        <v>48</v>
      </c>
      <c r="C30" s="477">
        <v>668</v>
      </c>
      <c r="D30" s="477">
        <v>704</v>
      </c>
      <c r="E30" s="486">
        <v>745</v>
      </c>
      <c r="F30" s="486">
        <v>725</v>
      </c>
      <c r="G30" s="486">
        <v>821</v>
      </c>
      <c r="H30" s="488">
        <v>922</v>
      </c>
      <c r="I30" s="488">
        <v>1089</v>
      </c>
      <c r="J30" s="488">
        <v>1104</v>
      </c>
      <c r="K30" s="488">
        <v>1114</v>
      </c>
      <c r="L30" s="488">
        <v>1145</v>
      </c>
      <c r="M30" s="489">
        <v>1189</v>
      </c>
      <c r="N30" s="489">
        <v>1235</v>
      </c>
      <c r="O30" s="489">
        <v>873</v>
      </c>
      <c r="P30" s="489">
        <v>863</v>
      </c>
      <c r="Q30" s="489">
        <v>848</v>
      </c>
      <c r="S30" s="159"/>
    </row>
    <row r="31" spans="1:19" ht="13" customHeight="1" thickBot="1">
      <c r="A31" s="453"/>
      <c r="B31" s="454" t="s">
        <v>49</v>
      </c>
      <c r="C31" s="482">
        <v>161</v>
      </c>
      <c r="D31" s="482">
        <v>156</v>
      </c>
      <c r="E31" s="491">
        <v>171</v>
      </c>
      <c r="F31" s="491">
        <v>188</v>
      </c>
      <c r="G31" s="491">
        <v>268</v>
      </c>
      <c r="H31" s="491">
        <v>216</v>
      </c>
      <c r="I31" s="491">
        <v>178</v>
      </c>
      <c r="J31" s="491">
        <v>254</v>
      </c>
      <c r="K31" s="491">
        <v>275</v>
      </c>
      <c r="L31" s="491">
        <v>300</v>
      </c>
      <c r="M31" s="492">
        <v>354</v>
      </c>
      <c r="N31" s="492">
        <v>798</v>
      </c>
      <c r="O31" s="492">
        <v>917</v>
      </c>
      <c r="P31" s="492">
        <v>902</v>
      </c>
      <c r="Q31" s="492">
        <v>1050</v>
      </c>
      <c r="S31" s="159"/>
    </row>
    <row r="32" spans="1:19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36">
    <tabColor theme="9" tint="0.59999389629810485"/>
  </sheetPr>
  <dimension ref="A2:Q36"/>
  <sheetViews>
    <sheetView showGridLines="0" topLeftCell="A2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7" ht="13" customHeight="1">
      <c r="A2" s="468" t="s">
        <v>377</v>
      </c>
      <c r="B2" s="469"/>
    </row>
    <row r="3" spans="1:17" ht="13" customHeight="1">
      <c r="A3" s="470" t="s">
        <v>384</v>
      </c>
      <c r="B3" s="470"/>
    </row>
    <row r="4" spans="1:17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7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7" ht="15" customHeight="1">
      <c r="A6" s="1102" t="s">
        <v>114</v>
      </c>
      <c r="B6" s="1102"/>
      <c r="C6" s="493">
        <v>3.43</v>
      </c>
      <c r="D6" s="493">
        <v>3.47</v>
      </c>
      <c r="E6" s="493">
        <v>3.5</v>
      </c>
      <c r="F6" s="493">
        <v>3.8</v>
      </c>
      <c r="G6" s="493">
        <v>4.12</v>
      </c>
      <c r="H6" s="493">
        <v>4.25</v>
      </c>
      <c r="I6" s="493">
        <v>5.05</v>
      </c>
      <c r="J6" s="493">
        <v>5.24</v>
      </c>
      <c r="K6" s="493">
        <v>5.91</v>
      </c>
      <c r="L6" s="493">
        <v>6.08</v>
      </c>
      <c r="M6" s="493">
        <v>6.43</v>
      </c>
      <c r="N6" s="493">
        <v>6.8</v>
      </c>
      <c r="O6" s="493">
        <v>6.97</v>
      </c>
      <c r="P6" s="493">
        <v>7.05</v>
      </c>
      <c r="Q6" s="493">
        <v>6.95</v>
      </c>
    </row>
    <row r="7" spans="1:17" ht="5" customHeight="1">
      <c r="A7" s="151"/>
      <c r="B7" s="152"/>
      <c r="C7" s="494"/>
      <c r="D7" s="494"/>
      <c r="E7" s="494"/>
      <c r="F7" s="494"/>
      <c r="G7" s="494"/>
      <c r="H7" s="494"/>
      <c r="I7" s="494"/>
      <c r="J7" s="494"/>
      <c r="K7" s="494"/>
      <c r="L7" s="494"/>
      <c r="M7" s="494"/>
      <c r="N7" s="494"/>
      <c r="O7" s="494"/>
      <c r="P7" s="494"/>
      <c r="Q7" s="494"/>
    </row>
    <row r="8" spans="1:17" ht="13" customHeight="1">
      <c r="A8" s="151"/>
      <c r="B8" s="29" t="s">
        <v>21</v>
      </c>
      <c r="C8" s="495">
        <v>3.6</v>
      </c>
      <c r="D8" s="495">
        <v>3.49</v>
      </c>
      <c r="E8" s="495">
        <v>3.47</v>
      </c>
      <c r="F8" s="495">
        <v>3.67</v>
      </c>
      <c r="G8" s="495">
        <v>3.75</v>
      </c>
      <c r="H8" s="495">
        <v>3.42</v>
      </c>
      <c r="I8" s="495">
        <v>3.45</v>
      </c>
      <c r="J8" s="495">
        <v>3.75</v>
      </c>
      <c r="K8" s="495">
        <v>4.99</v>
      </c>
      <c r="L8" s="495">
        <v>6.56</v>
      </c>
      <c r="M8" s="495">
        <v>6.61</v>
      </c>
      <c r="N8" s="495">
        <v>6.45</v>
      </c>
      <c r="O8" s="495">
        <v>6.21</v>
      </c>
      <c r="P8" s="495">
        <v>5.9</v>
      </c>
      <c r="Q8" s="495">
        <v>5.91</v>
      </c>
    </row>
    <row r="9" spans="1:17" ht="13" customHeight="1">
      <c r="A9" s="151"/>
      <c r="B9" s="29" t="s">
        <v>22</v>
      </c>
      <c r="C9" s="495">
        <v>3.11</v>
      </c>
      <c r="D9" s="495">
        <v>3.22</v>
      </c>
      <c r="E9" s="495">
        <v>3.27</v>
      </c>
      <c r="F9" s="495">
        <v>3.93</v>
      </c>
      <c r="G9" s="495">
        <v>4.05</v>
      </c>
      <c r="H9" s="495">
        <v>3.45</v>
      </c>
      <c r="I9" s="495">
        <v>3.58</v>
      </c>
      <c r="J9" s="495">
        <v>4.21</v>
      </c>
      <c r="K9" s="495">
        <v>4.38</v>
      </c>
      <c r="L9" s="495">
        <v>6.6</v>
      </c>
      <c r="M9" s="495">
        <v>6.38</v>
      </c>
      <c r="N9" s="495">
        <v>6.81</v>
      </c>
      <c r="O9" s="495">
        <v>6.61</v>
      </c>
      <c r="P9" s="495">
        <v>6.75</v>
      </c>
      <c r="Q9" s="495">
        <v>6.76</v>
      </c>
    </row>
    <row r="10" spans="1:17" ht="13" customHeight="1">
      <c r="A10" s="151"/>
      <c r="B10" s="29" t="s">
        <v>23</v>
      </c>
      <c r="C10" s="495">
        <v>3.36</v>
      </c>
      <c r="D10" s="495">
        <v>3.74</v>
      </c>
      <c r="E10" s="495">
        <v>3.59</v>
      </c>
      <c r="F10" s="495">
        <v>3.5</v>
      </c>
      <c r="G10" s="495">
        <v>4</v>
      </c>
      <c r="H10" s="495">
        <v>3.84</v>
      </c>
      <c r="I10" s="495">
        <v>4.1500000000000004</v>
      </c>
      <c r="J10" s="495">
        <v>4.32</v>
      </c>
      <c r="K10" s="495">
        <v>4.46</v>
      </c>
      <c r="L10" s="495">
        <v>6.72</v>
      </c>
      <c r="M10" s="495">
        <v>6.53</v>
      </c>
      <c r="N10" s="495">
        <v>6.7</v>
      </c>
      <c r="O10" s="495">
        <v>6.68</v>
      </c>
      <c r="P10" s="495">
        <v>6.88</v>
      </c>
      <c r="Q10" s="495">
        <v>6.88</v>
      </c>
    </row>
    <row r="11" spans="1:17" ht="13" customHeight="1">
      <c r="A11" s="151"/>
      <c r="B11" s="29" t="s">
        <v>24</v>
      </c>
      <c r="C11" s="495">
        <v>3.51</v>
      </c>
      <c r="D11" s="495">
        <v>3.31</v>
      </c>
      <c r="E11" s="495">
        <v>3.39</v>
      </c>
      <c r="F11" s="495">
        <v>3.75</v>
      </c>
      <c r="G11" s="495">
        <v>3.67</v>
      </c>
      <c r="H11" s="495">
        <v>3.67</v>
      </c>
      <c r="I11" s="495">
        <v>3.82</v>
      </c>
      <c r="J11" s="495">
        <v>4.58</v>
      </c>
      <c r="K11" s="495">
        <v>7.19</v>
      </c>
      <c r="L11" s="495">
        <v>7.19</v>
      </c>
      <c r="M11" s="495">
        <v>7.16</v>
      </c>
      <c r="N11" s="495">
        <v>7.15</v>
      </c>
      <c r="O11" s="495">
        <v>7.82</v>
      </c>
      <c r="P11" s="495">
        <v>7.72</v>
      </c>
      <c r="Q11" s="495">
        <v>7.69</v>
      </c>
    </row>
    <row r="12" spans="1:17" ht="13" customHeight="1">
      <c r="A12" s="151"/>
      <c r="B12" s="29" t="s">
        <v>25</v>
      </c>
      <c r="C12" s="495">
        <v>3.67</v>
      </c>
      <c r="D12" s="495">
        <v>3.57</v>
      </c>
      <c r="E12" s="495">
        <v>3.62</v>
      </c>
      <c r="F12" s="495">
        <v>3.81</v>
      </c>
      <c r="G12" s="495">
        <v>3.95</v>
      </c>
      <c r="H12" s="495">
        <v>4.4400000000000004</v>
      </c>
      <c r="I12" s="495">
        <v>4</v>
      </c>
      <c r="J12" s="495">
        <v>4.32</v>
      </c>
      <c r="K12" s="495">
        <v>4.5599999999999996</v>
      </c>
      <c r="L12" s="495">
        <v>5.81</v>
      </c>
      <c r="M12" s="495">
        <v>6.07</v>
      </c>
      <c r="N12" s="495">
        <v>6.38</v>
      </c>
      <c r="O12" s="495">
        <v>6.1</v>
      </c>
      <c r="P12" s="495">
        <v>6.19</v>
      </c>
      <c r="Q12" s="495">
        <v>5.92</v>
      </c>
    </row>
    <row r="13" spans="1:17" ht="13" customHeight="1">
      <c r="A13" s="151"/>
      <c r="B13" s="29" t="s">
        <v>29</v>
      </c>
      <c r="C13" s="495">
        <v>3.61</v>
      </c>
      <c r="D13" s="495">
        <v>3.61</v>
      </c>
      <c r="E13" s="495">
        <v>3.77</v>
      </c>
      <c r="F13" s="495">
        <v>3.75</v>
      </c>
      <c r="G13" s="495">
        <v>3.94</v>
      </c>
      <c r="H13" s="495">
        <v>3.95</v>
      </c>
      <c r="I13" s="495">
        <v>4.79</v>
      </c>
      <c r="J13" s="495">
        <v>4.4000000000000004</v>
      </c>
      <c r="K13" s="495">
        <v>4.58</v>
      </c>
      <c r="L13" s="495">
        <v>6.2</v>
      </c>
      <c r="M13" s="495">
        <v>5.25</v>
      </c>
      <c r="N13" s="495">
        <v>5.63</v>
      </c>
      <c r="O13" s="495">
        <v>5.76</v>
      </c>
      <c r="P13" s="495">
        <v>6.1</v>
      </c>
      <c r="Q13" s="495">
        <v>6.15</v>
      </c>
    </row>
    <row r="14" spans="1:17" ht="13" customHeight="1">
      <c r="A14" s="151"/>
      <c r="B14" s="29" t="s">
        <v>30</v>
      </c>
      <c r="C14" s="495">
        <v>3.32</v>
      </c>
      <c r="D14" s="495">
        <v>3.35</v>
      </c>
      <c r="E14" s="495">
        <v>3.69</v>
      </c>
      <c r="F14" s="495">
        <v>3.83</v>
      </c>
      <c r="G14" s="495">
        <v>4.09</v>
      </c>
      <c r="H14" s="495">
        <v>4.43</v>
      </c>
      <c r="I14" s="495">
        <v>4.1500000000000004</v>
      </c>
      <c r="J14" s="495">
        <v>4.28</v>
      </c>
      <c r="K14" s="495">
        <v>5.57</v>
      </c>
      <c r="L14" s="495">
        <v>7.23</v>
      </c>
      <c r="M14" s="495">
        <v>6.79</v>
      </c>
      <c r="N14" s="495">
        <v>6.66</v>
      </c>
      <c r="O14" s="495">
        <v>6.27</v>
      </c>
      <c r="P14" s="495">
        <v>7.02</v>
      </c>
      <c r="Q14" s="495">
        <v>6.97</v>
      </c>
    </row>
    <row r="15" spans="1:17" ht="13" customHeight="1">
      <c r="A15" s="151"/>
      <c r="B15" s="29" t="s">
        <v>31</v>
      </c>
      <c r="C15" s="495">
        <v>3.53</v>
      </c>
      <c r="D15" s="495">
        <v>3.6</v>
      </c>
      <c r="E15" s="495">
        <v>3.55</v>
      </c>
      <c r="F15" s="495">
        <v>3.85</v>
      </c>
      <c r="G15" s="495">
        <v>4.3</v>
      </c>
      <c r="H15" s="495">
        <v>4.3</v>
      </c>
      <c r="I15" s="495">
        <v>5.22</v>
      </c>
      <c r="J15" s="495">
        <v>5.33</v>
      </c>
      <c r="K15" s="495">
        <v>6.03</v>
      </c>
      <c r="L15" s="495">
        <v>5.67</v>
      </c>
      <c r="M15" s="495">
        <v>5.78</v>
      </c>
      <c r="N15" s="495">
        <v>6.32</v>
      </c>
      <c r="O15" s="495">
        <v>6.49</v>
      </c>
      <c r="P15" s="495">
        <v>6.72</v>
      </c>
      <c r="Q15" s="495">
        <v>6.71</v>
      </c>
    </row>
    <row r="16" spans="1:17" ht="13" customHeight="1">
      <c r="A16" s="151"/>
      <c r="B16" s="29" t="s">
        <v>32</v>
      </c>
      <c r="C16" s="495">
        <v>2.38</v>
      </c>
      <c r="D16" s="495">
        <v>2.4900000000000002</v>
      </c>
      <c r="E16" s="495">
        <v>2.94</v>
      </c>
      <c r="F16" s="495">
        <v>4.03</v>
      </c>
      <c r="G16" s="495">
        <v>4.34</v>
      </c>
      <c r="H16" s="495">
        <v>4.6900000000000004</v>
      </c>
      <c r="I16" s="495">
        <v>6.32</v>
      </c>
      <c r="J16" s="495">
        <v>6.9</v>
      </c>
      <c r="K16" s="495">
        <v>7.55</v>
      </c>
      <c r="L16" s="495">
        <v>5.92</v>
      </c>
      <c r="M16" s="495">
        <v>6.04</v>
      </c>
      <c r="N16" s="495">
        <v>7.14</v>
      </c>
      <c r="O16" s="495">
        <v>6.15</v>
      </c>
      <c r="P16" s="495">
        <v>6.47</v>
      </c>
      <c r="Q16" s="495">
        <v>6.39</v>
      </c>
    </row>
    <row r="17" spans="1:17" ht="13" customHeight="1">
      <c r="A17" s="151"/>
      <c r="B17" s="29" t="s">
        <v>33</v>
      </c>
      <c r="C17" s="495">
        <v>3.5</v>
      </c>
      <c r="D17" s="495">
        <v>3.46</v>
      </c>
      <c r="E17" s="495">
        <v>3.54</v>
      </c>
      <c r="F17" s="495">
        <v>3.62</v>
      </c>
      <c r="G17" s="495">
        <v>4.0199999999999996</v>
      </c>
      <c r="H17" s="495">
        <v>4.3600000000000003</v>
      </c>
      <c r="I17" s="495">
        <v>6.21</v>
      </c>
      <c r="J17" s="495">
        <v>5.87</v>
      </c>
      <c r="K17" s="495">
        <v>6.13</v>
      </c>
      <c r="L17" s="495">
        <v>6.68</v>
      </c>
      <c r="M17" s="495">
        <v>7.29</v>
      </c>
      <c r="N17" s="495">
        <v>7.12</v>
      </c>
      <c r="O17" s="495">
        <v>6.84</v>
      </c>
      <c r="P17" s="495">
        <v>7.12</v>
      </c>
      <c r="Q17" s="495">
        <v>7.06</v>
      </c>
    </row>
    <row r="18" spans="1:17" ht="13" customHeight="1">
      <c r="A18" s="151"/>
      <c r="B18" s="29" t="s">
        <v>34</v>
      </c>
      <c r="C18" s="495">
        <v>2.63</v>
      </c>
      <c r="D18" s="495">
        <v>2.75</v>
      </c>
      <c r="E18" s="495">
        <v>3.39</v>
      </c>
      <c r="F18" s="495">
        <v>3.62</v>
      </c>
      <c r="G18" s="495">
        <v>3.84</v>
      </c>
      <c r="H18" s="495">
        <v>4.1399999999999997</v>
      </c>
      <c r="I18" s="495">
        <v>5.64</v>
      </c>
      <c r="J18" s="495">
        <v>5.92</v>
      </c>
      <c r="K18" s="495">
        <v>5.69</v>
      </c>
      <c r="L18" s="495">
        <v>6.69</v>
      </c>
      <c r="M18" s="495">
        <v>6.22</v>
      </c>
      <c r="N18" s="495">
        <v>6.1</v>
      </c>
      <c r="O18" s="495">
        <v>6.22</v>
      </c>
      <c r="P18" s="495">
        <v>6.4</v>
      </c>
      <c r="Q18" s="495">
        <v>6.31</v>
      </c>
    </row>
    <row r="19" spans="1:17" ht="13" customHeight="1">
      <c r="A19" s="151"/>
      <c r="B19" s="29" t="s">
        <v>35</v>
      </c>
      <c r="C19" s="495">
        <v>2.82</v>
      </c>
      <c r="D19" s="495">
        <v>2.91</v>
      </c>
      <c r="E19" s="495">
        <v>3.13</v>
      </c>
      <c r="F19" s="495">
        <v>4.07</v>
      </c>
      <c r="G19" s="495">
        <v>3.96</v>
      </c>
      <c r="H19" s="495">
        <v>5.04</v>
      </c>
      <c r="I19" s="495">
        <v>6.48</v>
      </c>
      <c r="J19" s="495">
        <v>5.17</v>
      </c>
      <c r="K19" s="495">
        <v>5.58</v>
      </c>
      <c r="L19" s="495">
        <v>5.72</v>
      </c>
      <c r="M19" s="495">
        <v>6.35</v>
      </c>
      <c r="N19" s="495">
        <v>7.15</v>
      </c>
      <c r="O19" s="495">
        <v>6.8</v>
      </c>
      <c r="P19" s="495">
        <v>6.75</v>
      </c>
      <c r="Q19" s="495">
        <v>6.73</v>
      </c>
    </row>
    <row r="20" spans="1:17" ht="13" customHeight="1">
      <c r="A20" s="151"/>
      <c r="B20" s="29" t="s">
        <v>36</v>
      </c>
      <c r="C20" s="495">
        <v>3.61</v>
      </c>
      <c r="D20" s="495">
        <v>3.72</v>
      </c>
      <c r="E20" s="495">
        <v>3.25</v>
      </c>
      <c r="F20" s="495">
        <v>3.85</v>
      </c>
      <c r="G20" s="495">
        <v>3.73</v>
      </c>
      <c r="H20" s="495">
        <v>3.86</v>
      </c>
      <c r="I20" s="495">
        <v>5.21</v>
      </c>
      <c r="J20" s="495">
        <v>4.88</v>
      </c>
      <c r="K20" s="495">
        <v>5.57</v>
      </c>
      <c r="L20" s="495">
        <v>5.56</v>
      </c>
      <c r="M20" s="495">
        <v>5.53</v>
      </c>
      <c r="N20" s="495">
        <v>5.79</v>
      </c>
      <c r="O20" s="495">
        <v>5.64</v>
      </c>
      <c r="P20" s="495">
        <v>5.83</v>
      </c>
      <c r="Q20" s="495">
        <v>5.79</v>
      </c>
    </row>
    <row r="21" spans="1:17" ht="13" customHeight="1">
      <c r="A21" s="151"/>
      <c r="B21" s="29" t="s">
        <v>37</v>
      </c>
      <c r="C21" s="495">
        <v>3.67</v>
      </c>
      <c r="D21" s="495">
        <v>3.62</v>
      </c>
      <c r="E21" s="495">
        <v>3.26</v>
      </c>
      <c r="F21" s="495">
        <v>3.79</v>
      </c>
      <c r="G21" s="495">
        <v>4.09</v>
      </c>
      <c r="H21" s="495">
        <v>4.7300000000000004</v>
      </c>
      <c r="I21" s="495">
        <v>4.6900000000000004</v>
      </c>
      <c r="J21" s="495">
        <v>5.29</v>
      </c>
      <c r="K21" s="495">
        <v>6.39</v>
      </c>
      <c r="L21" s="495">
        <v>5.67</v>
      </c>
      <c r="M21" s="495">
        <v>6.02</v>
      </c>
      <c r="N21" s="495">
        <v>6.17</v>
      </c>
      <c r="O21" s="495">
        <v>5.88</v>
      </c>
      <c r="P21" s="495">
        <v>5.93</v>
      </c>
      <c r="Q21" s="495">
        <v>5.95</v>
      </c>
    </row>
    <row r="22" spans="1:17" ht="13" customHeight="1">
      <c r="A22" s="151"/>
      <c r="B22" s="29" t="s">
        <v>38</v>
      </c>
      <c r="C22" s="495">
        <v>3.24</v>
      </c>
      <c r="D22" s="495">
        <v>3.29</v>
      </c>
      <c r="E22" s="495">
        <v>3.3</v>
      </c>
      <c r="F22" s="495">
        <v>3.57</v>
      </c>
      <c r="G22" s="495">
        <v>4.01</v>
      </c>
      <c r="H22" s="495">
        <v>4.17</v>
      </c>
      <c r="I22" s="495">
        <v>5.33</v>
      </c>
      <c r="J22" s="495">
        <v>4.82</v>
      </c>
      <c r="K22" s="495">
        <v>5.0199999999999996</v>
      </c>
      <c r="L22" s="495">
        <v>5.05</v>
      </c>
      <c r="M22" s="495">
        <v>5.52</v>
      </c>
      <c r="N22" s="495">
        <v>5.64</v>
      </c>
      <c r="O22" s="495">
        <v>5.6</v>
      </c>
      <c r="P22" s="495">
        <v>5.64</v>
      </c>
      <c r="Q22" s="495">
        <v>5.73</v>
      </c>
    </row>
    <row r="23" spans="1:17" ht="13" customHeight="1">
      <c r="A23" s="151"/>
      <c r="B23" s="29" t="s">
        <v>39</v>
      </c>
      <c r="C23" s="495">
        <v>3.59</v>
      </c>
      <c r="D23" s="495">
        <v>3.34</v>
      </c>
      <c r="E23" s="495">
        <v>3.48</v>
      </c>
      <c r="F23" s="495">
        <v>3.59</v>
      </c>
      <c r="G23" s="495">
        <v>4.0199999999999996</v>
      </c>
      <c r="H23" s="495">
        <v>4.33</v>
      </c>
      <c r="I23" s="495">
        <v>4.54</v>
      </c>
      <c r="J23" s="495">
        <v>4.88</v>
      </c>
      <c r="K23" s="495">
        <v>5.12</v>
      </c>
      <c r="L23" s="495">
        <v>5.24</v>
      </c>
      <c r="M23" s="495">
        <v>5.93</v>
      </c>
      <c r="N23" s="495">
        <v>6.21</v>
      </c>
      <c r="O23" s="495">
        <v>5.93</v>
      </c>
      <c r="P23" s="495">
        <v>6.2</v>
      </c>
      <c r="Q23" s="495">
        <v>6.24</v>
      </c>
    </row>
    <row r="24" spans="1:17" ht="13" customHeight="1">
      <c r="A24" s="151"/>
      <c r="B24" s="29" t="s">
        <v>40</v>
      </c>
      <c r="C24" s="495">
        <v>3.6</v>
      </c>
      <c r="D24" s="495">
        <v>3.65</v>
      </c>
      <c r="E24" s="495">
        <v>3.7</v>
      </c>
      <c r="F24" s="495">
        <v>3.82</v>
      </c>
      <c r="G24" s="495">
        <v>4.09</v>
      </c>
      <c r="H24" s="495">
        <v>4.3099999999999996</v>
      </c>
      <c r="I24" s="495">
        <v>5.66</v>
      </c>
      <c r="J24" s="495">
        <v>5.48</v>
      </c>
      <c r="K24" s="495">
        <v>5.33</v>
      </c>
      <c r="L24" s="495">
        <v>6.08</v>
      </c>
      <c r="M24" s="495">
        <v>6.34</v>
      </c>
      <c r="N24" s="495">
        <v>6.55</v>
      </c>
      <c r="O24" s="495">
        <v>6.23</v>
      </c>
      <c r="P24" s="495">
        <v>6.27</v>
      </c>
      <c r="Q24" s="495">
        <v>6.22</v>
      </c>
    </row>
    <row r="25" spans="1:17" ht="13" customHeight="1">
      <c r="A25" s="151"/>
      <c r="B25" s="29" t="s">
        <v>41</v>
      </c>
      <c r="C25" s="495">
        <v>3.5</v>
      </c>
      <c r="D25" s="495">
        <v>3.53</v>
      </c>
      <c r="E25" s="495">
        <v>3.56</v>
      </c>
      <c r="F25" s="495">
        <v>3.74</v>
      </c>
      <c r="G25" s="495">
        <v>3.79</v>
      </c>
      <c r="H25" s="495">
        <v>4.24</v>
      </c>
      <c r="I25" s="495">
        <v>5.31</v>
      </c>
      <c r="J25" s="495">
        <v>5</v>
      </c>
      <c r="K25" s="495">
        <v>4.87</v>
      </c>
      <c r="L25" s="495">
        <v>5.28</v>
      </c>
      <c r="M25" s="495">
        <v>6.37</v>
      </c>
      <c r="N25" s="495">
        <v>5.85</v>
      </c>
      <c r="O25" s="495">
        <v>5.75</v>
      </c>
      <c r="P25" s="495">
        <v>6.12</v>
      </c>
      <c r="Q25" s="495">
        <v>6.15</v>
      </c>
    </row>
    <row r="26" spans="1:17" ht="13" customHeight="1">
      <c r="A26" s="151"/>
      <c r="B26" s="29" t="s">
        <v>44</v>
      </c>
      <c r="C26" s="495">
        <v>3.67</v>
      </c>
      <c r="D26" s="495">
        <v>3.64</v>
      </c>
      <c r="E26" s="495">
        <v>3.79</v>
      </c>
      <c r="F26" s="495">
        <v>3.84</v>
      </c>
      <c r="G26" s="495">
        <v>3.98</v>
      </c>
      <c r="H26" s="495">
        <v>4.66</v>
      </c>
      <c r="I26" s="495">
        <v>5.37</v>
      </c>
      <c r="J26" s="495">
        <v>5.94</v>
      </c>
      <c r="K26" s="495">
        <v>5.92</v>
      </c>
      <c r="L26" s="495">
        <v>6.79</v>
      </c>
      <c r="M26" s="495">
        <v>7.15</v>
      </c>
      <c r="N26" s="495">
        <v>8.18</v>
      </c>
      <c r="O26" s="495">
        <v>7.57</v>
      </c>
      <c r="P26" s="495">
        <v>7.37</v>
      </c>
      <c r="Q26" s="495">
        <v>7.37</v>
      </c>
    </row>
    <row r="27" spans="1:17" ht="13" customHeight="1">
      <c r="A27" s="151"/>
      <c r="B27" s="29" t="s">
        <v>45</v>
      </c>
      <c r="C27" s="495">
        <v>2.77</v>
      </c>
      <c r="D27" s="495">
        <v>3.13</v>
      </c>
      <c r="E27" s="495">
        <v>3.37</v>
      </c>
      <c r="F27" s="495">
        <v>3.97</v>
      </c>
      <c r="G27" s="495">
        <v>4.33</v>
      </c>
      <c r="H27" s="495">
        <v>4.41</v>
      </c>
      <c r="I27" s="495">
        <v>4.95</v>
      </c>
      <c r="J27" s="495">
        <v>5.66</v>
      </c>
      <c r="K27" s="495">
        <v>6.25</v>
      </c>
      <c r="L27" s="495">
        <v>7.12</v>
      </c>
      <c r="M27" s="495">
        <v>7.93</v>
      </c>
      <c r="N27" s="495">
        <v>7.64</v>
      </c>
      <c r="O27" s="495">
        <v>7.1</v>
      </c>
      <c r="P27" s="495">
        <v>7.23</v>
      </c>
      <c r="Q27" s="495">
        <v>7.28</v>
      </c>
    </row>
    <row r="28" spans="1:17" ht="13" customHeight="1">
      <c r="A28" s="151"/>
      <c r="B28" s="150" t="s">
        <v>46</v>
      </c>
      <c r="C28" s="495">
        <v>2.76</v>
      </c>
      <c r="D28" s="495">
        <v>3.02</v>
      </c>
      <c r="E28" s="495">
        <v>3.19</v>
      </c>
      <c r="F28" s="495">
        <v>3.41</v>
      </c>
      <c r="G28" s="495">
        <v>4.1100000000000003</v>
      </c>
      <c r="H28" s="495">
        <v>4.57</v>
      </c>
      <c r="I28" s="495">
        <v>6.93</v>
      </c>
      <c r="J28" s="495">
        <v>7.52</v>
      </c>
      <c r="K28" s="495">
        <v>7.6</v>
      </c>
      <c r="L28" s="495">
        <v>8</v>
      </c>
      <c r="M28" s="495">
        <v>6.56</v>
      </c>
      <c r="N28" s="495">
        <v>7.03</v>
      </c>
      <c r="O28" s="495">
        <v>7.3</v>
      </c>
      <c r="P28" s="495">
        <v>7.2</v>
      </c>
      <c r="Q28" s="495">
        <v>7.26</v>
      </c>
    </row>
    <row r="29" spans="1:17" ht="13" customHeight="1">
      <c r="A29" s="151"/>
      <c r="B29" s="30" t="s">
        <v>47</v>
      </c>
      <c r="C29" s="495">
        <v>3.22</v>
      </c>
      <c r="D29" s="495">
        <v>3.15</v>
      </c>
      <c r="E29" s="495">
        <v>3.37</v>
      </c>
      <c r="F29" s="495">
        <v>3.85</v>
      </c>
      <c r="G29" s="495">
        <v>4.05</v>
      </c>
      <c r="H29" s="495">
        <v>4.3899999999999997</v>
      </c>
      <c r="I29" s="495">
        <v>4.67</v>
      </c>
      <c r="J29" s="495">
        <v>4.87</v>
      </c>
      <c r="K29" s="495">
        <v>5.32</v>
      </c>
      <c r="L29" s="495">
        <v>5.9</v>
      </c>
      <c r="M29" s="495">
        <v>5.29</v>
      </c>
      <c r="N29" s="495">
        <v>6.24</v>
      </c>
      <c r="O29" s="495">
        <v>5.13</v>
      </c>
      <c r="P29" s="495">
        <v>5.44</v>
      </c>
      <c r="Q29" s="495">
        <v>5.57</v>
      </c>
    </row>
    <row r="30" spans="1:17" ht="13" customHeight="1">
      <c r="A30" s="151"/>
      <c r="B30" s="29" t="s">
        <v>48</v>
      </c>
      <c r="C30" s="495">
        <v>3.02</v>
      </c>
      <c r="D30" s="495">
        <v>3.09</v>
      </c>
      <c r="E30" s="495">
        <v>3.63</v>
      </c>
      <c r="F30" s="495">
        <v>3.98</v>
      </c>
      <c r="G30" s="495">
        <v>4.34</v>
      </c>
      <c r="H30" s="495">
        <v>4.71</v>
      </c>
      <c r="I30" s="495">
        <v>5.08</v>
      </c>
      <c r="J30" s="495">
        <v>5.39</v>
      </c>
      <c r="K30" s="495">
        <v>5.6</v>
      </c>
      <c r="L30" s="495">
        <v>5.82</v>
      </c>
      <c r="M30" s="495">
        <v>6.05</v>
      </c>
      <c r="N30" s="495">
        <v>6.33</v>
      </c>
      <c r="O30" s="495">
        <v>6.79</v>
      </c>
      <c r="P30" s="495">
        <v>7</v>
      </c>
      <c r="Q30" s="495">
        <v>6.67</v>
      </c>
    </row>
    <row r="31" spans="1:17" ht="13" customHeight="1" thickBot="1">
      <c r="A31" s="453"/>
      <c r="B31" s="454" t="s">
        <v>49</v>
      </c>
      <c r="C31" s="496">
        <v>3.88</v>
      </c>
      <c r="D31" s="496">
        <v>3.89</v>
      </c>
      <c r="E31" s="496">
        <v>3.95</v>
      </c>
      <c r="F31" s="496">
        <v>4.01</v>
      </c>
      <c r="G31" s="496">
        <v>4.3600000000000003</v>
      </c>
      <c r="H31" s="496">
        <v>4.6100000000000003</v>
      </c>
      <c r="I31" s="496">
        <v>6.14</v>
      </c>
      <c r="J31" s="496">
        <v>6.85</v>
      </c>
      <c r="K31" s="496">
        <v>6.28</v>
      </c>
      <c r="L31" s="496">
        <v>6.22</v>
      </c>
      <c r="M31" s="496">
        <v>6.59</v>
      </c>
      <c r="N31" s="496">
        <v>6.47</v>
      </c>
      <c r="O31" s="496">
        <v>6.47</v>
      </c>
      <c r="P31" s="496">
        <v>6.32</v>
      </c>
      <c r="Q31" s="496">
        <v>6.37</v>
      </c>
    </row>
    <row r="32" spans="1:17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  <row r="36" spans="1:17" ht="13" customHeight="1"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37">
    <tabColor theme="9" tint="0.59999389629810485"/>
  </sheetPr>
  <dimension ref="A2:Q61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7" ht="13" customHeight="1">
      <c r="A2" s="468" t="s">
        <v>357</v>
      </c>
      <c r="B2" s="469"/>
    </row>
    <row r="3" spans="1:17" ht="13" customHeight="1">
      <c r="A3" s="470" t="s">
        <v>325</v>
      </c>
      <c r="B3" s="470"/>
    </row>
    <row r="4" spans="1:17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7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7" ht="15" customHeight="1">
      <c r="A6" s="1102" t="s">
        <v>106</v>
      </c>
      <c r="B6" s="1102"/>
      <c r="C6" s="460">
        <f>(C8+C9+C10+C11+C12+C13+C14+C15+C16+C17+C18+C19+C20+C21+C22+C23+C24+C25+C26+C27+C28+C29+C30+C31)</f>
        <v>3594515</v>
      </c>
      <c r="D6" s="460">
        <f>(D8+D9+D10+D11+D12+D13+D14+D15+D16+D17+D18+D19+D20+D21+D22+D23+D24+D25+D26+D27+D28+D29+D30+D31)</f>
        <v>3625627</v>
      </c>
      <c r="E6" s="475">
        <v>3687340</v>
      </c>
      <c r="F6" s="475">
        <v>3780806</v>
      </c>
      <c r="G6" s="475">
        <v>4105582</v>
      </c>
      <c r="H6" s="475">
        <v>4177499</v>
      </c>
      <c r="I6" s="475">
        <v>4322258</v>
      </c>
      <c r="J6" s="475">
        <v>3927361</v>
      </c>
      <c r="K6" s="475">
        <v>4005315</v>
      </c>
      <c r="L6" s="475">
        <v>4315793</v>
      </c>
      <c r="M6" s="475">
        <v>4318457</v>
      </c>
      <c r="N6" s="475">
        <v>4319228</v>
      </c>
      <c r="O6" s="475">
        <v>4330710</v>
      </c>
      <c r="P6" s="475">
        <v>4384848</v>
      </c>
      <c r="Q6" s="475">
        <v>4449505</v>
      </c>
    </row>
    <row r="7" spans="1:17" ht="5" customHeight="1">
      <c r="A7" s="151"/>
      <c r="B7" s="152"/>
      <c r="C7" s="461"/>
      <c r="D7" s="461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</row>
    <row r="8" spans="1:17" ht="13" customHeight="1">
      <c r="A8" s="151"/>
      <c r="B8" s="29" t="s">
        <v>21</v>
      </c>
      <c r="C8" s="455">
        <v>0</v>
      </c>
      <c r="D8" s="455">
        <v>0</v>
      </c>
      <c r="E8" s="497" t="s">
        <v>378</v>
      </c>
      <c r="F8" s="497" t="s">
        <v>378</v>
      </c>
      <c r="G8" s="497" t="s">
        <v>378</v>
      </c>
      <c r="H8" s="497" t="s">
        <v>378</v>
      </c>
      <c r="I8" s="497" t="s">
        <v>378</v>
      </c>
      <c r="J8" s="497" t="s">
        <v>378</v>
      </c>
      <c r="K8" s="497" t="s">
        <v>378</v>
      </c>
      <c r="L8" s="497" t="s">
        <v>378</v>
      </c>
      <c r="M8" s="497" t="s">
        <v>378</v>
      </c>
      <c r="N8" s="497" t="s">
        <v>378</v>
      </c>
      <c r="O8" s="497" t="s">
        <v>378</v>
      </c>
      <c r="P8" s="497" t="s">
        <v>378</v>
      </c>
      <c r="Q8" s="497" t="s">
        <v>378</v>
      </c>
    </row>
    <row r="9" spans="1:17" ht="13" customHeight="1">
      <c r="A9" s="151"/>
      <c r="B9" s="29" t="s">
        <v>22</v>
      </c>
      <c r="C9" s="455">
        <v>0</v>
      </c>
      <c r="D9" s="455">
        <v>0</v>
      </c>
      <c r="E9" s="497" t="s">
        <v>378</v>
      </c>
      <c r="F9" s="497" t="s">
        <v>378</v>
      </c>
      <c r="G9" s="497" t="s">
        <v>378</v>
      </c>
      <c r="H9" s="497" t="s">
        <v>378</v>
      </c>
      <c r="I9" s="497" t="s">
        <v>378</v>
      </c>
      <c r="J9" s="497" t="s">
        <v>378</v>
      </c>
      <c r="K9" s="497" t="s">
        <v>378</v>
      </c>
      <c r="L9" s="497" t="s">
        <v>378</v>
      </c>
      <c r="M9" s="480">
        <v>135</v>
      </c>
      <c r="N9" s="480">
        <v>82</v>
      </c>
      <c r="O9" s="480">
        <v>79</v>
      </c>
      <c r="P9" s="480">
        <v>97</v>
      </c>
      <c r="Q9" s="480">
        <v>100</v>
      </c>
    </row>
    <row r="10" spans="1:17" ht="13" customHeight="1">
      <c r="A10" s="151"/>
      <c r="B10" s="29" t="s">
        <v>23</v>
      </c>
      <c r="C10" s="455">
        <v>0</v>
      </c>
      <c r="D10" s="455">
        <v>0</v>
      </c>
      <c r="E10" s="497" t="s">
        <v>378</v>
      </c>
      <c r="F10" s="497" t="s">
        <v>378</v>
      </c>
      <c r="G10" s="497" t="s">
        <v>378</v>
      </c>
      <c r="H10" s="497" t="s">
        <v>378</v>
      </c>
      <c r="I10" s="497" t="s">
        <v>378</v>
      </c>
      <c r="J10" s="497" t="s">
        <v>378</v>
      </c>
      <c r="K10" s="497" t="s">
        <v>378</v>
      </c>
      <c r="L10" s="497" t="s">
        <v>378</v>
      </c>
      <c r="M10" s="497" t="s">
        <v>378</v>
      </c>
      <c r="N10" s="497" t="s">
        <v>378</v>
      </c>
      <c r="O10" s="497" t="s">
        <v>378</v>
      </c>
      <c r="P10" s="497" t="s">
        <v>378</v>
      </c>
      <c r="Q10" s="497" t="s">
        <v>378</v>
      </c>
    </row>
    <row r="11" spans="1:17" ht="13" customHeight="1">
      <c r="A11" s="151"/>
      <c r="B11" s="29" t="s">
        <v>24</v>
      </c>
      <c r="C11" s="455">
        <v>7505</v>
      </c>
      <c r="D11" s="455">
        <v>7529</v>
      </c>
      <c r="E11" s="477">
        <v>7913</v>
      </c>
      <c r="F11" s="477">
        <v>7815</v>
      </c>
      <c r="G11" s="477">
        <v>7740</v>
      </c>
      <c r="H11" s="479">
        <v>7624</v>
      </c>
      <c r="I11" s="479">
        <v>8018</v>
      </c>
      <c r="J11" s="477">
        <v>7767</v>
      </c>
      <c r="K11" s="477">
        <v>7878</v>
      </c>
      <c r="L11" s="477">
        <v>7902</v>
      </c>
      <c r="M11" s="478">
        <v>7998</v>
      </c>
      <c r="N11" s="478">
        <v>7999</v>
      </c>
      <c r="O11" s="478">
        <v>7851</v>
      </c>
      <c r="P11" s="478">
        <v>7562</v>
      </c>
      <c r="Q11" s="478">
        <v>7710</v>
      </c>
    </row>
    <row r="12" spans="1:17" ht="13" customHeight="1">
      <c r="A12" s="151"/>
      <c r="B12" s="29" t="s">
        <v>25</v>
      </c>
      <c r="C12" s="455">
        <v>1333</v>
      </c>
      <c r="D12" s="455">
        <v>1285</v>
      </c>
      <c r="E12" s="477">
        <v>1380</v>
      </c>
      <c r="F12" s="477">
        <v>1200</v>
      </c>
      <c r="G12" s="477">
        <v>1280</v>
      </c>
      <c r="H12" s="477">
        <v>1296</v>
      </c>
      <c r="I12" s="477">
        <v>1120</v>
      </c>
      <c r="J12" s="477">
        <v>1120</v>
      </c>
      <c r="K12" s="477">
        <v>1210</v>
      </c>
      <c r="L12" s="477">
        <v>1165</v>
      </c>
      <c r="M12" s="478">
        <v>1190</v>
      </c>
      <c r="N12" s="478">
        <v>1150</v>
      </c>
      <c r="O12" s="478">
        <v>1180</v>
      </c>
      <c r="P12" s="478">
        <v>1173</v>
      </c>
      <c r="Q12" s="478">
        <v>1190</v>
      </c>
    </row>
    <row r="13" spans="1:17" ht="13" customHeight="1">
      <c r="A13" s="151"/>
      <c r="B13" s="29" t="s">
        <v>29</v>
      </c>
      <c r="C13" s="455">
        <v>0</v>
      </c>
      <c r="D13" s="455">
        <v>0</v>
      </c>
      <c r="E13" s="497" t="s">
        <v>378</v>
      </c>
      <c r="F13" s="497" t="s">
        <v>378</v>
      </c>
      <c r="G13" s="497" t="s">
        <v>378</v>
      </c>
      <c r="H13" s="497" t="s">
        <v>378</v>
      </c>
      <c r="I13" s="497" t="s">
        <v>378</v>
      </c>
      <c r="J13" s="497" t="s">
        <v>378</v>
      </c>
      <c r="K13" s="497" t="s">
        <v>378</v>
      </c>
      <c r="L13" s="497" t="s">
        <v>378</v>
      </c>
      <c r="M13" s="497" t="s">
        <v>378</v>
      </c>
      <c r="N13" s="497" t="s">
        <v>378</v>
      </c>
      <c r="O13" s="497" t="s">
        <v>378</v>
      </c>
      <c r="P13" s="497"/>
      <c r="Q13" s="497" t="s">
        <v>378</v>
      </c>
    </row>
    <row r="14" spans="1:17" ht="13" customHeight="1">
      <c r="A14" s="151"/>
      <c r="B14" s="29" t="s">
        <v>30</v>
      </c>
      <c r="C14" s="455">
        <v>12142</v>
      </c>
      <c r="D14" s="455">
        <v>11815</v>
      </c>
      <c r="E14" s="477">
        <v>12085</v>
      </c>
      <c r="F14" s="477">
        <v>12071</v>
      </c>
      <c r="G14" s="477">
        <v>11547</v>
      </c>
      <c r="H14" s="479">
        <v>11932</v>
      </c>
      <c r="I14" s="479">
        <v>11844</v>
      </c>
      <c r="J14" s="479">
        <v>10120</v>
      </c>
      <c r="K14" s="479">
        <v>8310</v>
      </c>
      <c r="L14" s="479">
        <v>10294</v>
      </c>
      <c r="M14" s="478">
        <v>9715</v>
      </c>
      <c r="N14" s="478">
        <v>10201</v>
      </c>
      <c r="O14" s="478">
        <v>10320</v>
      </c>
      <c r="P14" s="478">
        <v>10080</v>
      </c>
      <c r="Q14" s="478">
        <v>10200</v>
      </c>
    </row>
    <row r="15" spans="1:17" ht="13" customHeight="1">
      <c r="A15" s="151"/>
      <c r="B15" s="29" t="s">
        <v>31</v>
      </c>
      <c r="C15" s="455">
        <v>34173</v>
      </c>
      <c r="D15" s="455">
        <v>31300</v>
      </c>
      <c r="E15" s="477">
        <v>33948</v>
      </c>
      <c r="F15" s="477">
        <v>33888</v>
      </c>
      <c r="G15" s="477">
        <v>32560</v>
      </c>
      <c r="H15" s="479">
        <v>33174</v>
      </c>
      <c r="I15" s="479">
        <v>37345</v>
      </c>
      <c r="J15" s="479">
        <v>35259</v>
      </c>
      <c r="K15" s="479">
        <v>36140</v>
      </c>
      <c r="L15" s="479">
        <v>37044</v>
      </c>
      <c r="M15" s="478">
        <v>39756</v>
      </c>
      <c r="N15" s="478">
        <v>40511</v>
      </c>
      <c r="O15" s="478">
        <v>46625</v>
      </c>
      <c r="P15" s="478">
        <v>46870</v>
      </c>
      <c r="Q15" s="478">
        <v>46625</v>
      </c>
    </row>
    <row r="16" spans="1:17" ht="13" customHeight="1">
      <c r="A16" s="151"/>
      <c r="B16" s="29" t="s">
        <v>32</v>
      </c>
      <c r="C16" s="455">
        <v>0</v>
      </c>
      <c r="D16" s="457">
        <v>0</v>
      </c>
      <c r="E16" s="497" t="s">
        <v>378</v>
      </c>
      <c r="F16" s="497" t="s">
        <v>378</v>
      </c>
      <c r="G16" s="497" t="s">
        <v>378</v>
      </c>
      <c r="H16" s="497" t="s">
        <v>378</v>
      </c>
      <c r="I16" s="497" t="s">
        <v>378</v>
      </c>
      <c r="J16" s="497" t="s">
        <v>378</v>
      </c>
      <c r="K16" s="497" t="s">
        <v>378</v>
      </c>
      <c r="L16" s="497" t="s">
        <v>378</v>
      </c>
      <c r="M16" s="497" t="s">
        <v>378</v>
      </c>
      <c r="N16" s="497" t="s">
        <v>378</v>
      </c>
      <c r="O16" s="497" t="s">
        <v>378</v>
      </c>
      <c r="P16" s="497" t="s">
        <v>378</v>
      </c>
      <c r="Q16" s="497" t="s">
        <v>378</v>
      </c>
    </row>
    <row r="17" spans="1:17" ht="13" customHeight="1">
      <c r="A17" s="151"/>
      <c r="B17" s="29" t="s">
        <v>33</v>
      </c>
      <c r="C17" s="455">
        <v>2637</v>
      </c>
      <c r="D17" s="455">
        <v>2583</v>
      </c>
      <c r="E17" s="477">
        <v>4386</v>
      </c>
      <c r="F17" s="477">
        <v>4343</v>
      </c>
      <c r="G17" s="477">
        <v>4200</v>
      </c>
      <c r="H17" s="479">
        <v>3630</v>
      </c>
      <c r="I17" s="479">
        <v>3250</v>
      </c>
      <c r="J17" s="479">
        <v>4151</v>
      </c>
      <c r="K17" s="479">
        <v>5072</v>
      </c>
      <c r="L17" s="479">
        <v>5173</v>
      </c>
      <c r="M17" s="478">
        <v>5915</v>
      </c>
      <c r="N17" s="478">
        <v>6967</v>
      </c>
      <c r="O17" s="478">
        <v>6850</v>
      </c>
      <c r="P17" s="478">
        <v>6670</v>
      </c>
      <c r="Q17" s="478">
        <v>6760</v>
      </c>
    </row>
    <row r="18" spans="1:17" ht="13" customHeight="1">
      <c r="A18" s="151"/>
      <c r="B18" s="29" t="s">
        <v>34</v>
      </c>
      <c r="C18" s="455">
        <v>31823</v>
      </c>
      <c r="D18" s="455">
        <v>32205</v>
      </c>
      <c r="E18" s="477">
        <v>35557</v>
      </c>
      <c r="F18" s="477">
        <v>44657</v>
      </c>
      <c r="G18" s="477">
        <v>48902</v>
      </c>
      <c r="H18" s="479">
        <v>66112</v>
      </c>
      <c r="I18" s="479">
        <v>69640</v>
      </c>
      <c r="J18" s="479">
        <v>89091</v>
      </c>
      <c r="K18" s="479">
        <v>97491</v>
      </c>
      <c r="L18" s="479">
        <v>108023</v>
      </c>
      <c r="M18" s="478">
        <v>116664</v>
      </c>
      <c r="N18" s="478">
        <v>125956</v>
      </c>
      <c r="O18" s="478">
        <v>133225</v>
      </c>
      <c r="P18" s="478">
        <v>128330</v>
      </c>
      <c r="Q18" s="478">
        <v>130778</v>
      </c>
    </row>
    <row r="19" spans="1:17" ht="13" customHeight="1">
      <c r="A19" s="151"/>
      <c r="B19" s="29" t="s">
        <v>35</v>
      </c>
      <c r="C19" s="455">
        <v>36687</v>
      </c>
      <c r="D19" s="455">
        <v>38717</v>
      </c>
      <c r="E19" s="477">
        <v>40707</v>
      </c>
      <c r="F19" s="477">
        <v>35115</v>
      </c>
      <c r="G19" s="477">
        <v>36000</v>
      </c>
      <c r="H19" s="479">
        <v>39445</v>
      </c>
      <c r="I19" s="479">
        <v>45498</v>
      </c>
      <c r="J19" s="479">
        <v>84791</v>
      </c>
      <c r="K19" s="479">
        <v>88418</v>
      </c>
      <c r="L19" s="479">
        <v>90222</v>
      </c>
      <c r="M19" s="478">
        <v>81434</v>
      </c>
      <c r="N19" s="478">
        <v>82535</v>
      </c>
      <c r="O19" s="478">
        <v>91678</v>
      </c>
      <c r="P19" s="478">
        <v>96543</v>
      </c>
      <c r="Q19" s="478">
        <v>94111</v>
      </c>
    </row>
    <row r="20" spans="1:17" ht="13" customHeight="1">
      <c r="A20" s="151"/>
      <c r="B20" s="29" t="s">
        <v>36</v>
      </c>
      <c r="C20" s="455">
        <v>223704</v>
      </c>
      <c r="D20" s="455">
        <v>224045</v>
      </c>
      <c r="E20" s="477">
        <v>224720</v>
      </c>
      <c r="F20" s="477">
        <v>220709</v>
      </c>
      <c r="G20" s="477">
        <v>246980</v>
      </c>
      <c r="H20" s="479">
        <v>243032</v>
      </c>
      <c r="I20" s="479">
        <v>245816</v>
      </c>
      <c r="J20" s="479">
        <v>225470</v>
      </c>
      <c r="K20" s="479">
        <v>269650</v>
      </c>
      <c r="L20" s="479">
        <v>258403</v>
      </c>
      <c r="M20" s="478">
        <v>264220</v>
      </c>
      <c r="N20" s="478">
        <v>273249</v>
      </c>
      <c r="O20" s="478">
        <v>252713</v>
      </c>
      <c r="P20" s="478">
        <v>263410</v>
      </c>
      <c r="Q20" s="478">
        <v>270053</v>
      </c>
    </row>
    <row r="21" spans="1:17" ht="13" customHeight="1">
      <c r="A21" s="151"/>
      <c r="B21" s="29" t="s">
        <v>37</v>
      </c>
      <c r="C21" s="455">
        <v>346625</v>
      </c>
      <c r="D21" s="455">
        <v>357461</v>
      </c>
      <c r="E21" s="477">
        <v>356776</v>
      </c>
      <c r="F21" s="477">
        <v>357866</v>
      </c>
      <c r="G21" s="477">
        <v>491768</v>
      </c>
      <c r="H21" s="479">
        <v>486110</v>
      </c>
      <c r="I21" s="479">
        <v>494004</v>
      </c>
      <c r="J21" s="479">
        <v>500211</v>
      </c>
      <c r="K21" s="479">
        <v>466010</v>
      </c>
      <c r="L21" s="479">
        <v>465020</v>
      </c>
      <c r="M21" s="478">
        <v>442336</v>
      </c>
      <c r="N21" s="478">
        <v>430271</v>
      </c>
      <c r="O21" s="478">
        <v>421292</v>
      </c>
      <c r="P21" s="478">
        <v>422680</v>
      </c>
      <c r="Q21" s="478">
        <v>430134</v>
      </c>
    </row>
    <row r="22" spans="1:17" ht="13" customHeight="1">
      <c r="A22" s="151"/>
      <c r="B22" s="29" t="s">
        <v>38</v>
      </c>
      <c r="C22" s="455">
        <v>75189</v>
      </c>
      <c r="D22" s="455">
        <v>83042</v>
      </c>
      <c r="E22" s="477">
        <v>97966</v>
      </c>
      <c r="F22" s="477">
        <v>88220</v>
      </c>
      <c r="G22" s="477">
        <v>89200</v>
      </c>
      <c r="H22" s="479">
        <v>88723</v>
      </c>
      <c r="I22" s="479">
        <v>93947</v>
      </c>
      <c r="J22" s="479">
        <v>91335</v>
      </c>
      <c r="K22" s="479">
        <v>92410</v>
      </c>
      <c r="L22" s="479">
        <v>147535</v>
      </c>
      <c r="M22" s="478">
        <v>140718</v>
      </c>
      <c r="N22" s="478">
        <v>147754</v>
      </c>
      <c r="O22" s="478">
        <v>145310</v>
      </c>
      <c r="P22" s="478">
        <v>144630</v>
      </c>
      <c r="Q22" s="478">
        <v>144970</v>
      </c>
    </row>
    <row r="23" spans="1:17" ht="13" customHeight="1">
      <c r="A23" s="151"/>
      <c r="B23" s="29" t="s">
        <v>39</v>
      </c>
      <c r="C23" s="455">
        <v>40000</v>
      </c>
      <c r="D23" s="455">
        <v>40830</v>
      </c>
      <c r="E23" s="477">
        <v>39670</v>
      </c>
      <c r="F23" s="477">
        <v>40736</v>
      </c>
      <c r="G23" s="477">
        <v>44282</v>
      </c>
      <c r="H23" s="479">
        <v>54328</v>
      </c>
      <c r="I23" s="479">
        <v>55078</v>
      </c>
      <c r="J23" s="479">
        <v>54141</v>
      </c>
      <c r="K23" s="479">
        <v>77515</v>
      </c>
      <c r="L23" s="479">
        <v>80352</v>
      </c>
      <c r="M23" s="478">
        <v>74512</v>
      </c>
      <c r="N23" s="478">
        <v>78238</v>
      </c>
      <c r="O23" s="478">
        <v>78245</v>
      </c>
      <c r="P23" s="478">
        <v>75869</v>
      </c>
      <c r="Q23" s="478">
        <v>77057</v>
      </c>
    </row>
    <row r="24" spans="1:17" ht="13" customHeight="1">
      <c r="A24" s="151"/>
      <c r="B24" s="29" t="s">
        <v>40</v>
      </c>
      <c r="C24" s="455">
        <v>193467</v>
      </c>
      <c r="D24" s="455">
        <v>156155</v>
      </c>
      <c r="E24" s="477">
        <v>166666</v>
      </c>
      <c r="F24" s="477">
        <v>191739</v>
      </c>
      <c r="G24" s="477">
        <v>203016</v>
      </c>
      <c r="H24" s="479">
        <v>194281</v>
      </c>
      <c r="I24" s="479">
        <v>220945</v>
      </c>
      <c r="J24" s="479">
        <v>203520</v>
      </c>
      <c r="K24" s="479">
        <v>209947</v>
      </c>
      <c r="L24" s="479">
        <v>261049</v>
      </c>
      <c r="M24" s="478">
        <v>267950</v>
      </c>
      <c r="N24" s="478">
        <v>255377</v>
      </c>
      <c r="O24" s="478">
        <v>209143</v>
      </c>
      <c r="P24" s="478">
        <v>259727</v>
      </c>
      <c r="Q24" s="478">
        <v>309833</v>
      </c>
    </row>
    <row r="25" spans="1:17" ht="13" customHeight="1">
      <c r="A25" s="151"/>
      <c r="B25" s="29" t="s">
        <v>41</v>
      </c>
      <c r="C25" s="455">
        <v>149250</v>
      </c>
      <c r="D25" s="455">
        <v>188860</v>
      </c>
      <c r="E25" s="477">
        <v>184766</v>
      </c>
      <c r="F25" s="477">
        <v>191249</v>
      </c>
      <c r="G25" s="477">
        <v>193122</v>
      </c>
      <c r="H25" s="477">
        <v>191449</v>
      </c>
      <c r="I25" s="477">
        <v>188587</v>
      </c>
      <c r="J25" s="477">
        <v>203967</v>
      </c>
      <c r="K25" s="477">
        <v>212360</v>
      </c>
      <c r="L25" s="477">
        <v>207969</v>
      </c>
      <c r="M25" s="478">
        <v>215490</v>
      </c>
      <c r="N25" s="478">
        <v>216265</v>
      </c>
      <c r="O25" s="478">
        <v>215050</v>
      </c>
      <c r="P25" s="478">
        <v>215602</v>
      </c>
      <c r="Q25" s="478">
        <v>215340</v>
      </c>
    </row>
    <row r="26" spans="1:17" ht="13" customHeight="1">
      <c r="A26" s="151"/>
      <c r="B26" s="29" t="s">
        <v>44</v>
      </c>
      <c r="C26" s="455">
        <v>453190</v>
      </c>
      <c r="D26" s="455">
        <v>450200</v>
      </c>
      <c r="E26" s="477">
        <v>454200</v>
      </c>
      <c r="F26" s="477">
        <v>485468</v>
      </c>
      <c r="G26" s="477">
        <v>553985</v>
      </c>
      <c r="H26" s="479">
        <v>584483</v>
      </c>
      <c r="I26" s="479">
        <v>654726</v>
      </c>
      <c r="J26" s="479">
        <v>608978</v>
      </c>
      <c r="K26" s="479">
        <v>552509</v>
      </c>
      <c r="L26" s="479">
        <v>569352</v>
      </c>
      <c r="M26" s="478">
        <v>577964</v>
      </c>
      <c r="N26" s="478">
        <v>610184</v>
      </c>
      <c r="O26" s="478">
        <v>674939</v>
      </c>
      <c r="P26" s="478">
        <v>671585</v>
      </c>
      <c r="Q26" s="478">
        <v>669365</v>
      </c>
    </row>
    <row r="27" spans="1:17" ht="13" customHeight="1">
      <c r="A27" s="151"/>
      <c r="B27" s="29" t="s">
        <v>45</v>
      </c>
      <c r="C27" s="455">
        <v>1986790</v>
      </c>
      <c r="D27" s="455">
        <v>1999600</v>
      </c>
      <c r="E27" s="477">
        <v>2026600</v>
      </c>
      <c r="F27" s="477">
        <v>2065730</v>
      </c>
      <c r="G27" s="477">
        <v>2141000</v>
      </c>
      <c r="H27" s="479">
        <v>2171880</v>
      </c>
      <c r="I27" s="479">
        <v>2192440</v>
      </c>
      <c r="J27" s="479">
        <v>1807440</v>
      </c>
      <c r="K27" s="479">
        <v>1880395</v>
      </c>
      <c r="L27" s="479">
        <v>2066290</v>
      </c>
      <c r="M27" s="478">
        <v>2072460</v>
      </c>
      <c r="N27" s="478">
        <v>2032490</v>
      </c>
      <c r="O27" s="478">
        <v>2036210</v>
      </c>
      <c r="P27" s="478">
        <v>2034020</v>
      </c>
      <c r="Q27" s="478">
        <v>2035280</v>
      </c>
    </row>
    <row r="28" spans="1:17" ht="13" customHeight="1">
      <c r="A28" s="151"/>
      <c r="B28" s="150" t="s">
        <v>46</v>
      </c>
      <c r="C28" s="455">
        <v>0</v>
      </c>
      <c r="D28" s="455">
        <v>0</v>
      </c>
      <c r="E28" s="497" t="s">
        <v>378</v>
      </c>
      <c r="F28" s="497" t="s">
        <v>378</v>
      </c>
      <c r="G28" s="497" t="s">
        <v>378</v>
      </c>
      <c r="H28" s="497" t="s">
        <v>378</v>
      </c>
      <c r="I28" s="497" t="s">
        <v>378</v>
      </c>
      <c r="J28" s="497" t="s">
        <v>378</v>
      </c>
      <c r="K28" s="497" t="s">
        <v>378</v>
      </c>
      <c r="L28" s="497" t="s">
        <v>378</v>
      </c>
      <c r="M28" s="497" t="s">
        <v>378</v>
      </c>
      <c r="N28" s="497" t="s">
        <v>378</v>
      </c>
      <c r="O28" s="497" t="s">
        <v>378</v>
      </c>
      <c r="P28" s="497" t="s">
        <v>378</v>
      </c>
      <c r="Q28" s="497" t="s">
        <v>378</v>
      </c>
    </row>
    <row r="29" spans="1:17" ht="13" customHeight="1">
      <c r="A29" s="151"/>
      <c r="B29" s="30" t="s">
        <v>47</v>
      </c>
      <c r="C29" s="455">
        <v>0</v>
      </c>
      <c r="D29" s="455">
        <v>0</v>
      </c>
      <c r="E29" s="497" t="s">
        <v>378</v>
      </c>
      <c r="F29" s="497" t="s">
        <v>378</v>
      </c>
      <c r="G29" s="497" t="s">
        <v>378</v>
      </c>
      <c r="H29" s="497" t="s">
        <v>378</v>
      </c>
      <c r="I29" s="497" t="s">
        <v>378</v>
      </c>
      <c r="J29" s="497" t="s">
        <v>378</v>
      </c>
      <c r="K29" s="497" t="s">
        <v>378</v>
      </c>
      <c r="L29" s="497" t="s">
        <v>378</v>
      </c>
      <c r="M29" s="497" t="s">
        <v>378</v>
      </c>
      <c r="N29" s="497" t="s">
        <v>378</v>
      </c>
      <c r="O29" s="497" t="s">
        <v>378</v>
      </c>
      <c r="P29" s="497" t="s">
        <v>378</v>
      </c>
      <c r="Q29" s="497" t="s">
        <v>378</v>
      </c>
    </row>
    <row r="30" spans="1:17" ht="13" customHeight="1">
      <c r="A30" s="151"/>
      <c r="B30" s="29" t="s">
        <v>48</v>
      </c>
      <c r="C30" s="455">
        <v>0</v>
      </c>
      <c r="D30" s="455">
        <v>0</v>
      </c>
      <c r="E30" s="497" t="s">
        <v>378</v>
      </c>
      <c r="F30" s="497" t="s">
        <v>378</v>
      </c>
      <c r="G30" s="497" t="s">
        <v>378</v>
      </c>
      <c r="H30" s="497" t="s">
        <v>378</v>
      </c>
      <c r="I30" s="497" t="s">
        <v>378</v>
      </c>
      <c r="J30" s="497" t="s">
        <v>378</v>
      </c>
      <c r="K30" s="497" t="s">
        <v>378</v>
      </c>
      <c r="L30" s="497" t="s">
        <v>378</v>
      </c>
      <c r="M30" s="497" t="s">
        <v>378</v>
      </c>
      <c r="N30" s="497" t="s">
        <v>378</v>
      </c>
      <c r="O30" s="497" t="s">
        <v>378</v>
      </c>
      <c r="P30" s="497" t="s">
        <v>378</v>
      </c>
      <c r="Q30" s="497" t="s">
        <v>378</v>
      </c>
    </row>
    <row r="31" spans="1:17" ht="13" customHeight="1" thickBot="1">
      <c r="A31" s="453"/>
      <c r="B31" s="454" t="s">
        <v>49</v>
      </c>
      <c r="C31" s="458">
        <v>0</v>
      </c>
      <c r="D31" s="458">
        <v>0</v>
      </c>
      <c r="E31" s="498" t="s">
        <v>378</v>
      </c>
      <c r="F31" s="498" t="s">
        <v>378</v>
      </c>
      <c r="G31" s="498" t="s">
        <v>378</v>
      </c>
      <c r="H31" s="498" t="s">
        <v>378</v>
      </c>
      <c r="I31" s="498" t="s">
        <v>378</v>
      </c>
      <c r="J31" s="498" t="s">
        <v>378</v>
      </c>
      <c r="K31" s="498" t="s">
        <v>378</v>
      </c>
      <c r="L31" s="498" t="s">
        <v>378</v>
      </c>
      <c r="M31" s="498" t="s">
        <v>378</v>
      </c>
      <c r="N31" s="498" t="s">
        <v>378</v>
      </c>
      <c r="O31" s="498" t="s">
        <v>378</v>
      </c>
      <c r="P31" s="498" t="s">
        <v>378</v>
      </c>
      <c r="Q31" s="498" t="s">
        <v>378</v>
      </c>
    </row>
    <row r="32" spans="1:17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  <row r="35" spans="1:17" ht="13" customHeight="1">
      <c r="Q35" s="152"/>
    </row>
    <row r="36" spans="1:17" ht="13" customHeight="1">
      <c r="Q36" s="152"/>
    </row>
    <row r="37" spans="1:17" ht="13" customHeight="1">
      <c r="Q37" s="152"/>
    </row>
    <row r="38" spans="1:17" ht="13" customHeight="1">
      <c r="Q38" s="152"/>
    </row>
    <row r="39" spans="1:17" ht="13" customHeight="1">
      <c r="Q39" s="152"/>
    </row>
    <row r="40" spans="1:17" ht="13" customHeight="1">
      <c r="Q40" s="152"/>
    </row>
    <row r="41" spans="1:17" ht="13" customHeight="1">
      <c r="Q41" s="152"/>
    </row>
    <row r="42" spans="1:17" ht="13" customHeight="1">
      <c r="Q42" s="152"/>
    </row>
    <row r="43" spans="1:17" ht="13" customHeight="1">
      <c r="Q43" s="152"/>
    </row>
    <row r="44" spans="1:17" ht="13" customHeight="1">
      <c r="Q44" s="152"/>
    </row>
    <row r="45" spans="1:17" ht="13" customHeight="1">
      <c r="Q45" s="152"/>
    </row>
    <row r="46" spans="1:17" ht="13" customHeight="1">
      <c r="Q46" s="152"/>
    </row>
    <row r="47" spans="1:17" ht="13" customHeight="1">
      <c r="Q47" s="152"/>
    </row>
    <row r="48" spans="1:17" ht="13" customHeight="1">
      <c r="Q48" s="152"/>
    </row>
    <row r="49" spans="17:17" ht="13" customHeight="1">
      <c r="Q49" s="152"/>
    </row>
    <row r="50" spans="17:17" ht="13" customHeight="1">
      <c r="Q50" s="152"/>
    </row>
    <row r="51" spans="17:17" ht="13" customHeight="1">
      <c r="Q51" s="152"/>
    </row>
    <row r="52" spans="17:17" ht="13" customHeight="1">
      <c r="Q52" s="152"/>
    </row>
    <row r="53" spans="17:17" ht="13" customHeight="1">
      <c r="Q53" s="152"/>
    </row>
    <row r="54" spans="17:17" ht="13" customHeight="1">
      <c r="Q54" s="152"/>
    </row>
    <row r="55" spans="17:17" ht="13" customHeight="1">
      <c r="Q55" s="152"/>
    </row>
    <row r="56" spans="17:17" ht="13" customHeight="1">
      <c r="Q56" s="152"/>
    </row>
    <row r="57" spans="17:17" ht="13" customHeight="1">
      <c r="Q57" s="152"/>
    </row>
    <row r="58" spans="17:17" ht="13" customHeight="1">
      <c r="Q58" s="152"/>
    </row>
    <row r="59" spans="17:17" ht="13" customHeight="1">
      <c r="Q59" s="152"/>
    </row>
    <row r="60" spans="17:17" ht="13" customHeight="1">
      <c r="Q60" s="152"/>
    </row>
    <row r="61" spans="17:17" ht="13" customHeight="1">
      <c r="Q61" s="15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38">
    <tabColor theme="9" tint="0.59999389629810485"/>
  </sheetPr>
  <dimension ref="A2:S38"/>
  <sheetViews>
    <sheetView showGridLines="0" topLeftCell="A2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356</v>
      </c>
      <c r="B2" s="469"/>
    </row>
    <row r="3" spans="1:19" ht="13" customHeight="1">
      <c r="A3" s="470" t="s">
        <v>325</v>
      </c>
      <c r="B3" s="470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9" ht="15" customHeight="1">
      <c r="A6" s="1102" t="s">
        <v>106</v>
      </c>
      <c r="B6" s="1102"/>
      <c r="C6" s="475">
        <f>(C8+C9+C10+C11+C12+C13+C14+C15+C16+C17+C18+C19+C20+C21+C22+C23+C24+C25+C26+C27+C28+C29+C30+C31)</f>
        <v>321478</v>
      </c>
      <c r="D6" s="475">
        <f>(D8+D9+D10+D11+D12+D13+D14+D15+D16+D17+D18+D19+D20+D21+D22+D23+D24+D25+D26+D27+D28+D29+D30+D31)</f>
        <v>330072</v>
      </c>
      <c r="E6" s="484">
        <v>355174</v>
      </c>
      <c r="F6" s="484">
        <v>365555</v>
      </c>
      <c r="G6" s="484">
        <v>387980</v>
      </c>
      <c r="H6" s="484">
        <v>410085</v>
      </c>
      <c r="I6" s="484">
        <v>424100</v>
      </c>
      <c r="J6" s="484">
        <v>455558</v>
      </c>
      <c r="K6" s="484">
        <v>463354</v>
      </c>
      <c r="L6" s="484">
        <v>481847</v>
      </c>
      <c r="M6" s="484">
        <v>446199</v>
      </c>
      <c r="N6" s="484">
        <v>474135</v>
      </c>
      <c r="O6" s="484">
        <v>479063</v>
      </c>
      <c r="P6" s="484">
        <v>470464</v>
      </c>
      <c r="Q6" s="484">
        <v>473283</v>
      </c>
      <c r="S6" s="293"/>
    </row>
    <row r="7" spans="1:19" ht="4" customHeight="1">
      <c r="A7" s="151"/>
      <c r="B7" s="152"/>
      <c r="C7" s="476"/>
      <c r="D7" s="476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5"/>
      <c r="Q7" s="485"/>
    </row>
    <row r="8" spans="1:19" ht="13" customHeight="1">
      <c r="A8" s="151"/>
      <c r="B8" s="29" t="s">
        <v>21</v>
      </c>
      <c r="C8" s="497">
        <v>0</v>
      </c>
      <c r="D8" s="497">
        <v>0</v>
      </c>
      <c r="E8" s="499" t="s">
        <v>379</v>
      </c>
      <c r="F8" s="499" t="s">
        <v>379</v>
      </c>
      <c r="G8" s="499" t="s">
        <v>379</v>
      </c>
      <c r="H8" s="499" t="s">
        <v>379</v>
      </c>
      <c r="I8" s="499" t="s">
        <v>379</v>
      </c>
      <c r="J8" s="499" t="s">
        <v>379</v>
      </c>
      <c r="K8" s="499" t="s">
        <v>379</v>
      </c>
      <c r="L8" s="499" t="s">
        <v>379</v>
      </c>
      <c r="M8" s="499" t="s">
        <v>379</v>
      </c>
      <c r="N8" s="499" t="s">
        <v>379</v>
      </c>
      <c r="O8" s="499" t="s">
        <v>379</v>
      </c>
      <c r="P8" s="499" t="s">
        <v>379</v>
      </c>
      <c r="Q8" s="499" t="s">
        <v>379</v>
      </c>
    </row>
    <row r="9" spans="1:19" ht="13" customHeight="1">
      <c r="A9" s="151"/>
      <c r="B9" s="29" t="s">
        <v>22</v>
      </c>
      <c r="C9" s="497">
        <v>0</v>
      </c>
      <c r="D9" s="497">
        <v>0</v>
      </c>
      <c r="E9" s="499" t="s">
        <v>379</v>
      </c>
      <c r="F9" s="499" t="s">
        <v>379</v>
      </c>
      <c r="G9" s="499" t="s">
        <v>379</v>
      </c>
      <c r="H9" s="499" t="s">
        <v>379</v>
      </c>
      <c r="I9" s="499" t="s">
        <v>379</v>
      </c>
      <c r="J9" s="499" t="s">
        <v>379</v>
      </c>
      <c r="K9" s="499" t="s">
        <v>379</v>
      </c>
      <c r="L9" s="499" t="s">
        <v>379</v>
      </c>
      <c r="M9" s="499" t="s">
        <v>379</v>
      </c>
      <c r="N9" s="499" t="s">
        <v>379</v>
      </c>
      <c r="O9" s="499" t="s">
        <v>379</v>
      </c>
      <c r="P9" s="499" t="s">
        <v>379</v>
      </c>
      <c r="Q9" s="499" t="s">
        <v>379</v>
      </c>
      <c r="S9" s="159"/>
    </row>
    <row r="10" spans="1:19" ht="13" customHeight="1">
      <c r="A10" s="151"/>
      <c r="B10" s="29" t="s">
        <v>23</v>
      </c>
      <c r="C10" s="497">
        <v>0</v>
      </c>
      <c r="D10" s="497">
        <v>0</v>
      </c>
      <c r="E10" s="499" t="s">
        <v>379</v>
      </c>
      <c r="F10" s="499" t="s">
        <v>379</v>
      </c>
      <c r="G10" s="499" t="s">
        <v>379</v>
      </c>
      <c r="H10" s="499" t="s">
        <v>379</v>
      </c>
      <c r="I10" s="499" t="s">
        <v>379</v>
      </c>
      <c r="J10" s="499" t="s">
        <v>379</v>
      </c>
      <c r="K10" s="499" t="s">
        <v>379</v>
      </c>
      <c r="L10" s="499" t="s">
        <v>379</v>
      </c>
      <c r="M10" s="499" t="s">
        <v>379</v>
      </c>
      <c r="N10" s="499" t="s">
        <v>379</v>
      </c>
      <c r="O10" s="499" t="s">
        <v>379</v>
      </c>
      <c r="P10" s="499" t="s">
        <v>379</v>
      </c>
      <c r="Q10" s="499" t="s">
        <v>379</v>
      </c>
      <c r="S10" s="159"/>
    </row>
    <row r="11" spans="1:19" ht="13" customHeight="1">
      <c r="A11" s="151"/>
      <c r="B11" s="29" t="s">
        <v>24</v>
      </c>
      <c r="C11" s="497">
        <v>203</v>
      </c>
      <c r="D11" s="497">
        <v>241</v>
      </c>
      <c r="E11" s="499">
        <v>358</v>
      </c>
      <c r="F11" s="499">
        <v>381</v>
      </c>
      <c r="G11" s="499">
        <v>435</v>
      </c>
      <c r="H11" s="499">
        <v>480</v>
      </c>
      <c r="I11" s="499">
        <v>610</v>
      </c>
      <c r="J11" s="499">
        <v>742</v>
      </c>
      <c r="K11" s="499">
        <v>725</v>
      </c>
      <c r="L11" s="499">
        <v>828</v>
      </c>
      <c r="M11" s="499">
        <v>868</v>
      </c>
      <c r="N11" s="499">
        <v>949</v>
      </c>
      <c r="O11" s="499">
        <v>1144</v>
      </c>
      <c r="P11" s="499">
        <v>1259</v>
      </c>
      <c r="Q11" s="499">
        <v>1377</v>
      </c>
      <c r="S11" s="159"/>
    </row>
    <row r="12" spans="1:19" ht="13" customHeight="1">
      <c r="A12" s="151"/>
      <c r="B12" s="29" t="s">
        <v>25</v>
      </c>
      <c r="C12" s="497">
        <v>0</v>
      </c>
      <c r="D12" s="497">
        <v>0</v>
      </c>
      <c r="E12" s="499" t="s">
        <v>379</v>
      </c>
      <c r="F12" s="499" t="s">
        <v>379</v>
      </c>
      <c r="G12" s="499" t="s">
        <v>379</v>
      </c>
      <c r="H12" s="499" t="s">
        <v>379</v>
      </c>
      <c r="I12" s="499" t="s">
        <v>379</v>
      </c>
      <c r="J12" s="499" t="s">
        <v>379</v>
      </c>
      <c r="K12" s="499" t="s">
        <v>379</v>
      </c>
      <c r="L12" s="499" t="s">
        <v>379</v>
      </c>
      <c r="M12" s="499" t="s">
        <v>379</v>
      </c>
      <c r="N12" s="499" t="s">
        <v>379</v>
      </c>
      <c r="O12" s="499" t="s">
        <v>379</v>
      </c>
      <c r="P12" s="499" t="s">
        <v>379</v>
      </c>
      <c r="Q12" s="499" t="s">
        <v>379</v>
      </c>
      <c r="S12" s="159"/>
    </row>
    <row r="13" spans="1:19" ht="13" customHeight="1">
      <c r="A13" s="151"/>
      <c r="B13" s="29" t="s">
        <v>29</v>
      </c>
      <c r="C13" s="497">
        <v>0</v>
      </c>
      <c r="D13" s="497">
        <v>0</v>
      </c>
      <c r="E13" s="499" t="s">
        <v>379</v>
      </c>
      <c r="F13" s="499" t="s">
        <v>379</v>
      </c>
      <c r="G13" s="499" t="s">
        <v>379</v>
      </c>
      <c r="H13" s="499" t="s">
        <v>379</v>
      </c>
      <c r="I13" s="499" t="s">
        <v>379</v>
      </c>
      <c r="J13" s="499" t="s">
        <v>379</v>
      </c>
      <c r="K13" s="499" t="s">
        <v>379</v>
      </c>
      <c r="L13" s="499" t="s">
        <v>379</v>
      </c>
      <c r="M13" s="499" t="s">
        <v>379</v>
      </c>
      <c r="N13" s="499" t="s">
        <v>379</v>
      </c>
      <c r="O13" s="499" t="s">
        <v>379</v>
      </c>
      <c r="P13" s="499" t="s">
        <v>379</v>
      </c>
      <c r="Q13" s="499" t="s">
        <v>379</v>
      </c>
      <c r="S13" s="159"/>
    </row>
    <row r="14" spans="1:19" ht="13" customHeight="1">
      <c r="A14" s="151"/>
      <c r="B14" s="29" t="s">
        <v>30</v>
      </c>
      <c r="C14" s="497">
        <v>424</v>
      </c>
      <c r="D14" s="497">
        <v>332</v>
      </c>
      <c r="E14" s="499">
        <v>588</v>
      </c>
      <c r="F14" s="499">
        <v>323</v>
      </c>
      <c r="G14" s="499">
        <v>478</v>
      </c>
      <c r="H14" s="499">
        <v>395</v>
      </c>
      <c r="I14" s="499">
        <v>412</v>
      </c>
      <c r="J14" s="499">
        <v>275</v>
      </c>
      <c r="K14" s="499">
        <v>356</v>
      </c>
      <c r="L14" s="499">
        <v>412</v>
      </c>
      <c r="M14" s="499">
        <v>377</v>
      </c>
      <c r="N14" s="499">
        <v>242</v>
      </c>
      <c r="O14" s="499">
        <v>348</v>
      </c>
      <c r="P14" s="499">
        <v>381</v>
      </c>
      <c r="Q14" s="499">
        <v>390</v>
      </c>
      <c r="S14" s="159"/>
    </row>
    <row r="15" spans="1:19" ht="13" customHeight="1">
      <c r="A15" s="151"/>
      <c r="B15" s="29" t="s">
        <v>31</v>
      </c>
      <c r="C15" s="497">
        <v>4575</v>
      </c>
      <c r="D15" s="497">
        <v>4911</v>
      </c>
      <c r="E15" s="499">
        <v>5099</v>
      </c>
      <c r="F15" s="499">
        <v>4855</v>
      </c>
      <c r="G15" s="499">
        <v>4467</v>
      </c>
      <c r="H15" s="499">
        <v>3352</v>
      </c>
      <c r="I15" s="499">
        <v>2519</v>
      </c>
      <c r="J15" s="499">
        <v>3165</v>
      </c>
      <c r="K15" s="499">
        <v>3829</v>
      </c>
      <c r="L15" s="499">
        <v>3956</v>
      </c>
      <c r="M15" s="499">
        <v>3099</v>
      </c>
      <c r="N15" s="499">
        <v>2452</v>
      </c>
      <c r="O15" s="499">
        <v>2939</v>
      </c>
      <c r="P15" s="499">
        <v>2841</v>
      </c>
      <c r="Q15" s="499">
        <v>2831</v>
      </c>
      <c r="S15" s="159"/>
    </row>
    <row r="16" spans="1:19" ht="13" customHeight="1">
      <c r="A16" s="151"/>
      <c r="B16" s="29" t="s">
        <v>32</v>
      </c>
      <c r="C16" s="497">
        <v>0</v>
      </c>
      <c r="D16" s="497">
        <v>0</v>
      </c>
      <c r="E16" s="499" t="s">
        <v>379</v>
      </c>
      <c r="F16" s="499" t="s">
        <v>379</v>
      </c>
      <c r="G16" s="499" t="s">
        <v>379</v>
      </c>
      <c r="H16" s="499" t="s">
        <v>379</v>
      </c>
      <c r="I16" s="499" t="s">
        <v>379</v>
      </c>
      <c r="J16" s="499" t="s">
        <v>379</v>
      </c>
      <c r="K16" s="499" t="s">
        <v>379</v>
      </c>
      <c r="L16" s="499" t="s">
        <v>379</v>
      </c>
      <c r="M16" s="499" t="s">
        <v>379</v>
      </c>
      <c r="N16" s="499" t="s">
        <v>379</v>
      </c>
      <c r="O16" s="499" t="s">
        <v>379</v>
      </c>
      <c r="P16" s="499" t="s">
        <v>379</v>
      </c>
      <c r="Q16" s="499" t="s">
        <v>379</v>
      </c>
      <c r="S16" s="159"/>
    </row>
    <row r="17" spans="1:19" ht="13" customHeight="1">
      <c r="A17" s="151"/>
      <c r="B17" s="29" t="s">
        <v>33</v>
      </c>
      <c r="C17" s="497">
        <v>0</v>
      </c>
      <c r="D17" s="497">
        <v>0</v>
      </c>
      <c r="E17" s="499" t="s">
        <v>379</v>
      </c>
      <c r="F17" s="499" t="s">
        <v>379</v>
      </c>
      <c r="G17" s="499" t="s">
        <v>379</v>
      </c>
      <c r="H17" s="499" t="s">
        <v>379</v>
      </c>
      <c r="I17" s="499">
        <v>247</v>
      </c>
      <c r="J17" s="499">
        <v>217</v>
      </c>
      <c r="K17" s="499">
        <v>586</v>
      </c>
      <c r="L17" s="499">
        <v>568</v>
      </c>
      <c r="M17" s="499">
        <v>650</v>
      </c>
      <c r="N17" s="499">
        <v>837</v>
      </c>
      <c r="O17" s="499">
        <v>978</v>
      </c>
      <c r="P17" s="499">
        <v>1137</v>
      </c>
      <c r="Q17" s="499">
        <v>1256</v>
      </c>
      <c r="S17" s="159"/>
    </row>
    <row r="18" spans="1:19" ht="13" customHeight="1">
      <c r="A18" s="151"/>
      <c r="B18" s="29" t="s">
        <v>34</v>
      </c>
      <c r="C18" s="497">
        <v>3119</v>
      </c>
      <c r="D18" s="497">
        <v>3180</v>
      </c>
      <c r="E18" s="499">
        <v>4917</v>
      </c>
      <c r="F18" s="499">
        <v>5641</v>
      </c>
      <c r="G18" s="499">
        <v>6186</v>
      </c>
      <c r="H18" s="499">
        <v>6174</v>
      </c>
      <c r="I18" s="499">
        <v>7044</v>
      </c>
      <c r="J18" s="499">
        <v>5939</v>
      </c>
      <c r="K18" s="499">
        <v>6102</v>
      </c>
      <c r="L18" s="499">
        <v>6687</v>
      </c>
      <c r="M18" s="499">
        <v>6847</v>
      </c>
      <c r="N18" s="499">
        <v>12923</v>
      </c>
      <c r="O18" s="499">
        <v>13273</v>
      </c>
      <c r="P18" s="499">
        <v>15428</v>
      </c>
      <c r="Q18" s="499">
        <v>15701</v>
      </c>
      <c r="S18" s="159"/>
    </row>
    <row r="19" spans="1:19" ht="13" customHeight="1">
      <c r="A19" s="151"/>
      <c r="B19" s="29" t="s">
        <v>35</v>
      </c>
      <c r="C19" s="497">
        <v>3360</v>
      </c>
      <c r="D19" s="497">
        <v>2740</v>
      </c>
      <c r="E19" s="499">
        <v>3035</v>
      </c>
      <c r="F19" s="499">
        <v>2989</v>
      </c>
      <c r="G19" s="499">
        <v>4024</v>
      </c>
      <c r="H19" s="499">
        <v>5036</v>
      </c>
      <c r="I19" s="499">
        <v>8817</v>
      </c>
      <c r="J19" s="499">
        <v>10245</v>
      </c>
      <c r="K19" s="499">
        <v>11050</v>
      </c>
      <c r="L19" s="499">
        <v>12225</v>
      </c>
      <c r="M19" s="499">
        <v>12240</v>
      </c>
      <c r="N19" s="499">
        <v>13619</v>
      </c>
      <c r="O19" s="499">
        <v>14982</v>
      </c>
      <c r="P19" s="499">
        <v>11575</v>
      </c>
      <c r="Q19" s="499">
        <v>12751</v>
      </c>
      <c r="S19" s="159"/>
    </row>
    <row r="20" spans="1:19" ht="13" customHeight="1">
      <c r="A20" s="151"/>
      <c r="B20" s="29" t="s">
        <v>36</v>
      </c>
      <c r="C20" s="497">
        <v>26885</v>
      </c>
      <c r="D20" s="497">
        <v>25401</v>
      </c>
      <c r="E20" s="499">
        <v>26263</v>
      </c>
      <c r="F20" s="499">
        <v>26101</v>
      </c>
      <c r="G20" s="499">
        <v>28126</v>
      </c>
      <c r="H20" s="499">
        <v>26254</v>
      </c>
      <c r="I20" s="499">
        <v>28424</v>
      </c>
      <c r="J20" s="499">
        <v>33367</v>
      </c>
      <c r="K20" s="499">
        <v>36809</v>
      </c>
      <c r="L20" s="499">
        <v>38518</v>
      </c>
      <c r="M20" s="499">
        <v>31243</v>
      </c>
      <c r="N20" s="499">
        <v>33803</v>
      </c>
      <c r="O20" s="499">
        <v>30246</v>
      </c>
      <c r="P20" s="499">
        <v>25355</v>
      </c>
      <c r="Q20" s="499">
        <v>22349</v>
      </c>
      <c r="S20" s="159"/>
    </row>
    <row r="21" spans="1:19" ht="13" customHeight="1">
      <c r="A21" s="151"/>
      <c r="B21" s="29" t="s">
        <v>37</v>
      </c>
      <c r="C21" s="497">
        <v>30228</v>
      </c>
      <c r="D21" s="497">
        <v>34095</v>
      </c>
      <c r="E21" s="499">
        <v>40960</v>
      </c>
      <c r="F21" s="499">
        <v>41512</v>
      </c>
      <c r="G21" s="499">
        <v>46576</v>
      </c>
      <c r="H21" s="499">
        <v>52215</v>
      </c>
      <c r="I21" s="499">
        <v>45146</v>
      </c>
      <c r="J21" s="499">
        <v>55690</v>
      </c>
      <c r="K21" s="499">
        <v>58999</v>
      </c>
      <c r="L21" s="499">
        <v>61350</v>
      </c>
      <c r="M21" s="499">
        <v>50317</v>
      </c>
      <c r="N21" s="499">
        <v>49467</v>
      </c>
      <c r="O21" s="499">
        <v>47101</v>
      </c>
      <c r="P21" s="499">
        <v>41142</v>
      </c>
      <c r="Q21" s="499">
        <v>37588</v>
      </c>
      <c r="S21" s="159"/>
    </row>
    <row r="22" spans="1:19" ht="13" customHeight="1">
      <c r="A22" s="151"/>
      <c r="B22" s="29" t="s">
        <v>38</v>
      </c>
      <c r="C22" s="497">
        <v>3386</v>
      </c>
      <c r="D22" s="497">
        <v>3209</v>
      </c>
      <c r="E22" s="499">
        <v>3243</v>
      </c>
      <c r="F22" s="499">
        <v>2811</v>
      </c>
      <c r="G22" s="499">
        <v>3661</v>
      </c>
      <c r="H22" s="499">
        <v>3860</v>
      </c>
      <c r="I22" s="499">
        <v>4289</v>
      </c>
      <c r="J22" s="499">
        <v>4477</v>
      </c>
      <c r="K22" s="499">
        <v>4718</v>
      </c>
      <c r="L22" s="499">
        <v>3772</v>
      </c>
      <c r="M22" s="499">
        <v>3332</v>
      </c>
      <c r="N22" s="499">
        <v>3597</v>
      </c>
      <c r="O22" s="499">
        <v>4653</v>
      </c>
      <c r="P22" s="499">
        <v>4610</v>
      </c>
      <c r="Q22" s="499">
        <v>4117</v>
      </c>
      <c r="S22" s="159"/>
    </row>
    <row r="23" spans="1:19" ht="13" customHeight="1">
      <c r="A23" s="151"/>
      <c r="B23" s="29" t="s">
        <v>39</v>
      </c>
      <c r="C23" s="497">
        <v>6513</v>
      </c>
      <c r="D23" s="497">
        <v>6426</v>
      </c>
      <c r="E23" s="499">
        <v>5465</v>
      </c>
      <c r="F23" s="499">
        <v>5332</v>
      </c>
      <c r="G23" s="499">
        <v>5427</v>
      </c>
      <c r="H23" s="499">
        <v>5516</v>
      </c>
      <c r="I23" s="499">
        <v>5337</v>
      </c>
      <c r="J23" s="499">
        <v>5567</v>
      </c>
      <c r="K23" s="499">
        <v>5493</v>
      </c>
      <c r="L23" s="499">
        <v>5874</v>
      </c>
      <c r="M23" s="499">
        <v>5907</v>
      </c>
      <c r="N23" s="499">
        <v>6258</v>
      </c>
      <c r="O23" s="499">
        <v>6322</v>
      </c>
      <c r="P23" s="499">
        <v>7332</v>
      </c>
      <c r="Q23" s="499">
        <v>7956</v>
      </c>
      <c r="S23" s="159"/>
    </row>
    <row r="24" spans="1:19" ht="13" customHeight="1">
      <c r="A24" s="151"/>
      <c r="B24" s="29" t="s">
        <v>40</v>
      </c>
      <c r="C24" s="497">
        <v>19912</v>
      </c>
      <c r="D24" s="497">
        <v>16481</v>
      </c>
      <c r="E24" s="499">
        <v>19620</v>
      </c>
      <c r="F24" s="499">
        <v>21273</v>
      </c>
      <c r="G24" s="499">
        <v>22465</v>
      </c>
      <c r="H24" s="499">
        <v>22429</v>
      </c>
      <c r="I24" s="499">
        <v>22306</v>
      </c>
      <c r="J24" s="499">
        <v>23382</v>
      </c>
      <c r="K24" s="499">
        <v>22130</v>
      </c>
      <c r="L24" s="499">
        <v>28373</v>
      </c>
      <c r="M24" s="499">
        <v>30588</v>
      </c>
      <c r="N24" s="499">
        <v>36425</v>
      </c>
      <c r="O24" s="499">
        <v>42540</v>
      </c>
      <c r="P24" s="499">
        <v>41197</v>
      </c>
      <c r="Q24" s="499">
        <v>44781</v>
      </c>
      <c r="S24" s="159"/>
    </row>
    <row r="25" spans="1:19" ht="13" customHeight="1">
      <c r="A25" s="151"/>
      <c r="B25" s="29" t="s">
        <v>41</v>
      </c>
      <c r="C25" s="497">
        <v>16330</v>
      </c>
      <c r="D25" s="497">
        <v>16943</v>
      </c>
      <c r="E25" s="499">
        <v>17667</v>
      </c>
      <c r="F25" s="499">
        <v>17727</v>
      </c>
      <c r="G25" s="499">
        <v>17528</v>
      </c>
      <c r="H25" s="499">
        <v>17350</v>
      </c>
      <c r="I25" s="499">
        <v>16583</v>
      </c>
      <c r="J25" s="499">
        <v>23290</v>
      </c>
      <c r="K25" s="499">
        <v>23047</v>
      </c>
      <c r="L25" s="499">
        <v>22308</v>
      </c>
      <c r="M25" s="499">
        <v>22227</v>
      </c>
      <c r="N25" s="499">
        <v>22667</v>
      </c>
      <c r="O25" s="499">
        <v>22936</v>
      </c>
      <c r="P25" s="499">
        <v>22643</v>
      </c>
      <c r="Q25" s="499">
        <v>22860</v>
      </c>
      <c r="S25" s="159"/>
    </row>
    <row r="26" spans="1:19" ht="13" customHeight="1">
      <c r="A26" s="151"/>
      <c r="B26" s="29" t="s">
        <v>44</v>
      </c>
      <c r="C26" s="497">
        <v>31443</v>
      </c>
      <c r="D26" s="497">
        <v>36943</v>
      </c>
      <c r="E26" s="499">
        <v>43939</v>
      </c>
      <c r="F26" s="499">
        <v>48125</v>
      </c>
      <c r="G26" s="499">
        <v>52407</v>
      </c>
      <c r="H26" s="499">
        <v>61574</v>
      </c>
      <c r="I26" s="499">
        <v>72446</v>
      </c>
      <c r="J26" s="499">
        <v>79000</v>
      </c>
      <c r="K26" s="499">
        <v>74600</v>
      </c>
      <c r="L26" s="499">
        <v>77081</v>
      </c>
      <c r="M26" s="499">
        <v>81857</v>
      </c>
      <c r="N26" s="499">
        <v>83728</v>
      </c>
      <c r="O26" s="499">
        <v>83906</v>
      </c>
      <c r="P26" s="499">
        <v>85680</v>
      </c>
      <c r="Q26" s="499">
        <v>90127</v>
      </c>
      <c r="S26" s="159"/>
    </row>
    <row r="27" spans="1:19" ht="13" customHeight="1">
      <c r="A27" s="151"/>
      <c r="B27" s="29" t="s">
        <v>45</v>
      </c>
      <c r="C27" s="497">
        <v>175100</v>
      </c>
      <c r="D27" s="497">
        <v>179170</v>
      </c>
      <c r="E27" s="499">
        <v>184020</v>
      </c>
      <c r="F27" s="499">
        <v>188485</v>
      </c>
      <c r="G27" s="499">
        <v>196200</v>
      </c>
      <c r="H27" s="499">
        <v>205450</v>
      </c>
      <c r="I27" s="499">
        <v>209920</v>
      </c>
      <c r="J27" s="499">
        <v>210202</v>
      </c>
      <c r="K27" s="499">
        <v>214910</v>
      </c>
      <c r="L27" s="499">
        <v>219895</v>
      </c>
      <c r="M27" s="499">
        <v>196647</v>
      </c>
      <c r="N27" s="499">
        <v>207168</v>
      </c>
      <c r="O27" s="499">
        <v>207665</v>
      </c>
      <c r="P27" s="499">
        <v>209884</v>
      </c>
      <c r="Q27" s="499">
        <v>209199</v>
      </c>
      <c r="S27" s="159"/>
    </row>
    <row r="28" spans="1:19" ht="13" customHeight="1">
      <c r="A28" s="151"/>
      <c r="B28" s="150" t="s">
        <v>46</v>
      </c>
      <c r="C28" s="497">
        <v>0</v>
      </c>
      <c r="D28" s="497">
        <v>0</v>
      </c>
      <c r="E28" s="499" t="s">
        <v>379</v>
      </c>
      <c r="F28" s="499" t="s">
        <v>379</v>
      </c>
      <c r="G28" s="499" t="s">
        <v>379</v>
      </c>
      <c r="H28" s="499" t="s">
        <v>379</v>
      </c>
      <c r="I28" s="499" t="s">
        <v>379</v>
      </c>
      <c r="J28" s="499" t="s">
        <v>379</v>
      </c>
      <c r="K28" s="499" t="s">
        <v>379</v>
      </c>
      <c r="L28" s="499" t="s">
        <v>379</v>
      </c>
      <c r="M28" s="499" t="s">
        <v>379</v>
      </c>
      <c r="N28" s="499" t="s">
        <v>379</v>
      </c>
      <c r="O28" s="499" t="s">
        <v>379</v>
      </c>
      <c r="P28" s="499" t="s">
        <v>379</v>
      </c>
      <c r="Q28" s="499" t="s">
        <v>379</v>
      </c>
      <c r="S28" s="159"/>
    </row>
    <row r="29" spans="1:19" ht="13" customHeight="1">
      <c r="A29" s="151"/>
      <c r="B29" s="30" t="s">
        <v>47</v>
      </c>
      <c r="C29" s="497">
        <v>0</v>
      </c>
      <c r="D29" s="497">
        <v>0</v>
      </c>
      <c r="E29" s="499" t="s">
        <v>379</v>
      </c>
      <c r="F29" s="499" t="s">
        <v>379</v>
      </c>
      <c r="G29" s="499" t="s">
        <v>379</v>
      </c>
      <c r="H29" s="499" t="s">
        <v>379</v>
      </c>
      <c r="I29" s="499" t="s">
        <v>379</v>
      </c>
      <c r="J29" s="499" t="s">
        <v>379</v>
      </c>
      <c r="K29" s="499" t="s">
        <v>379</v>
      </c>
      <c r="L29" s="499" t="s">
        <v>379</v>
      </c>
      <c r="M29" s="499" t="s">
        <v>379</v>
      </c>
      <c r="N29" s="499" t="s">
        <v>379</v>
      </c>
      <c r="O29" s="499" t="s">
        <v>379</v>
      </c>
      <c r="P29" s="499" t="s">
        <v>379</v>
      </c>
      <c r="Q29" s="499" t="s">
        <v>379</v>
      </c>
      <c r="S29" s="159"/>
    </row>
    <row r="30" spans="1:19" ht="13" customHeight="1">
      <c r="A30" s="151"/>
      <c r="B30" s="29" t="s">
        <v>48</v>
      </c>
      <c r="C30" s="497">
        <v>0</v>
      </c>
      <c r="D30" s="497">
        <v>0</v>
      </c>
      <c r="E30" s="499" t="s">
        <v>379</v>
      </c>
      <c r="F30" s="499" t="s">
        <v>379</v>
      </c>
      <c r="G30" s="499" t="s">
        <v>379</v>
      </c>
      <c r="H30" s="499" t="s">
        <v>379</v>
      </c>
      <c r="I30" s="499" t="s">
        <v>379</v>
      </c>
      <c r="J30" s="499" t="s">
        <v>379</v>
      </c>
      <c r="K30" s="499" t="s">
        <v>379</v>
      </c>
      <c r="L30" s="499" t="s">
        <v>379</v>
      </c>
      <c r="M30" s="499" t="s">
        <v>379</v>
      </c>
      <c r="N30" s="499" t="s">
        <v>379</v>
      </c>
      <c r="O30" s="499" t="s">
        <v>379</v>
      </c>
      <c r="P30" s="499" t="s">
        <v>379</v>
      </c>
      <c r="Q30" s="499" t="s">
        <v>379</v>
      </c>
      <c r="S30" s="159"/>
    </row>
    <row r="31" spans="1:19" ht="13" customHeight="1" thickBot="1">
      <c r="A31" s="453"/>
      <c r="B31" s="454" t="s">
        <v>49</v>
      </c>
      <c r="C31" s="498">
        <v>0</v>
      </c>
      <c r="D31" s="498">
        <v>0</v>
      </c>
      <c r="E31" s="500" t="s">
        <v>379</v>
      </c>
      <c r="F31" s="500" t="s">
        <v>379</v>
      </c>
      <c r="G31" s="500" t="s">
        <v>379</v>
      </c>
      <c r="H31" s="500" t="s">
        <v>379</v>
      </c>
      <c r="I31" s="500" t="s">
        <v>379</v>
      </c>
      <c r="J31" s="500" t="s">
        <v>379</v>
      </c>
      <c r="K31" s="500" t="s">
        <v>379</v>
      </c>
      <c r="L31" s="500" t="s">
        <v>379</v>
      </c>
      <c r="M31" s="500" t="s">
        <v>379</v>
      </c>
      <c r="N31" s="500" t="s">
        <v>379</v>
      </c>
      <c r="O31" s="500" t="s">
        <v>379</v>
      </c>
      <c r="P31" s="500" t="s">
        <v>379</v>
      </c>
      <c r="Q31" s="500" t="s">
        <v>379</v>
      </c>
      <c r="S31" s="159"/>
    </row>
    <row r="32" spans="1:19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5"/>
      <c r="Q33" s="465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  <row r="35" spans="1:17" ht="13" customHeight="1">
      <c r="M35" s="152"/>
      <c r="N35" s="152"/>
      <c r="O35" s="152"/>
      <c r="P35" s="152"/>
      <c r="Q35" s="152"/>
    </row>
    <row r="36" spans="1:17" ht="13" customHeight="1"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2"/>
      <c r="N36" s="152"/>
      <c r="O36" s="152"/>
      <c r="P36" s="152"/>
      <c r="Q36" s="152"/>
    </row>
    <row r="37" spans="1:17" ht="13" customHeight="1">
      <c r="M37" s="152"/>
      <c r="N37" s="152"/>
      <c r="O37" s="152"/>
      <c r="P37" s="152"/>
      <c r="Q37" s="152"/>
    </row>
    <row r="38" spans="1:17" ht="13" customHeight="1">
      <c r="M38" s="152"/>
      <c r="N38" s="152"/>
      <c r="O38" s="152"/>
      <c r="P38" s="152"/>
      <c r="Q38" s="15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Hoja39">
    <tabColor theme="9" tint="0.59999389629810485"/>
  </sheetPr>
  <dimension ref="A2:S36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355</v>
      </c>
      <c r="B2" s="469"/>
    </row>
    <row r="3" spans="1:19" ht="13" customHeight="1">
      <c r="A3" s="470" t="s">
        <v>319</v>
      </c>
      <c r="B3" s="470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9" ht="15" customHeight="1">
      <c r="A6" s="1102" t="s">
        <v>106</v>
      </c>
      <c r="B6" s="1102"/>
      <c r="C6" s="484">
        <f>(C8+C9+C10+C11+C12+C13+C14+C15+C16+C17+C18+C19+C20+C21+C22+C23+C24+C25+C26+C27+C28+C29+C30+C31)</f>
        <v>8671</v>
      </c>
      <c r="D6" s="484">
        <f>(D8+D9+D10+D11+D12+D13+D14+D15+D16+D17+D18+D19+D20+D21+D22+D23+D24+D25+D26+D27+D28+D29+D30+D31)</f>
        <v>8794</v>
      </c>
      <c r="E6" s="484">
        <v>9366</v>
      </c>
      <c r="F6" s="484">
        <v>9527</v>
      </c>
      <c r="G6" s="484">
        <v>10189</v>
      </c>
      <c r="H6" s="484">
        <v>10761</v>
      </c>
      <c r="I6" s="484">
        <v>11318</v>
      </c>
      <c r="J6" s="484">
        <v>11999</v>
      </c>
      <c r="K6" s="484">
        <v>12169</v>
      </c>
      <c r="L6" s="484">
        <v>12594</v>
      </c>
      <c r="M6" s="484">
        <v>11917</v>
      </c>
      <c r="N6" s="484">
        <v>12445</v>
      </c>
      <c r="O6" s="484">
        <v>12747</v>
      </c>
      <c r="P6" s="484">
        <v>12689</v>
      </c>
      <c r="Q6" s="484">
        <f>SUM(Q11:Q31)</f>
        <v>12579</v>
      </c>
    </row>
    <row r="7" spans="1:19" ht="5" customHeight="1">
      <c r="A7" s="151"/>
      <c r="B7" s="152"/>
      <c r="C7" s="485"/>
      <c r="D7" s="485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5"/>
      <c r="Q7" s="485"/>
    </row>
    <row r="8" spans="1:19" ht="13" customHeight="1">
      <c r="A8" s="151"/>
      <c r="B8" s="29" t="s">
        <v>21</v>
      </c>
      <c r="C8" s="499">
        <v>0</v>
      </c>
      <c r="D8" s="499">
        <v>0</v>
      </c>
      <c r="E8" s="499" t="s">
        <v>379</v>
      </c>
      <c r="F8" s="499" t="s">
        <v>379</v>
      </c>
      <c r="G8" s="499" t="s">
        <v>379</v>
      </c>
      <c r="H8" s="499" t="s">
        <v>379</v>
      </c>
      <c r="I8" s="499" t="s">
        <v>379</v>
      </c>
      <c r="J8" s="499" t="s">
        <v>379</v>
      </c>
      <c r="K8" s="499" t="s">
        <v>379</v>
      </c>
      <c r="L8" s="499" t="s">
        <v>379</v>
      </c>
      <c r="M8" s="499" t="s">
        <v>379</v>
      </c>
      <c r="N8" s="499" t="s">
        <v>379</v>
      </c>
      <c r="O8" s="499" t="s">
        <v>379</v>
      </c>
      <c r="P8" s="499" t="s">
        <v>379</v>
      </c>
      <c r="Q8" s="499" t="s">
        <v>379</v>
      </c>
    </row>
    <row r="9" spans="1:19" ht="13" customHeight="1">
      <c r="A9" s="151"/>
      <c r="B9" s="29" t="s">
        <v>22</v>
      </c>
      <c r="C9" s="499">
        <v>0</v>
      </c>
      <c r="D9" s="499">
        <v>0</v>
      </c>
      <c r="E9" s="499" t="s">
        <v>379</v>
      </c>
      <c r="F9" s="499" t="s">
        <v>379</v>
      </c>
      <c r="G9" s="499" t="s">
        <v>379</v>
      </c>
      <c r="H9" s="499" t="s">
        <v>379</v>
      </c>
      <c r="I9" s="499" t="s">
        <v>379</v>
      </c>
      <c r="J9" s="499" t="s">
        <v>379</v>
      </c>
      <c r="K9" s="499" t="s">
        <v>379</v>
      </c>
      <c r="L9" s="499" t="s">
        <v>379</v>
      </c>
      <c r="M9" s="499" t="s">
        <v>379</v>
      </c>
      <c r="N9" s="499" t="s">
        <v>379</v>
      </c>
      <c r="O9" s="499" t="s">
        <v>379</v>
      </c>
      <c r="P9" s="499" t="s">
        <v>379</v>
      </c>
      <c r="Q9" s="499" t="s">
        <v>379</v>
      </c>
      <c r="S9" s="159"/>
    </row>
    <row r="10" spans="1:19" ht="13" customHeight="1">
      <c r="A10" s="151"/>
      <c r="B10" s="29" t="s">
        <v>23</v>
      </c>
      <c r="C10" s="499">
        <v>0</v>
      </c>
      <c r="D10" s="499">
        <v>0</v>
      </c>
      <c r="E10" s="499" t="s">
        <v>379</v>
      </c>
      <c r="F10" s="499" t="s">
        <v>379</v>
      </c>
      <c r="G10" s="499" t="s">
        <v>379</v>
      </c>
      <c r="H10" s="499" t="s">
        <v>379</v>
      </c>
      <c r="I10" s="499" t="s">
        <v>379</v>
      </c>
      <c r="J10" s="499" t="s">
        <v>379</v>
      </c>
      <c r="K10" s="499" t="s">
        <v>379</v>
      </c>
      <c r="L10" s="499" t="s">
        <v>379</v>
      </c>
      <c r="M10" s="499" t="s">
        <v>379</v>
      </c>
      <c r="N10" s="499" t="s">
        <v>379</v>
      </c>
      <c r="O10" s="499" t="s">
        <v>379</v>
      </c>
      <c r="P10" s="499" t="s">
        <v>379</v>
      </c>
      <c r="Q10" s="499" t="s">
        <v>379</v>
      </c>
      <c r="S10" s="159"/>
    </row>
    <row r="11" spans="1:19" ht="13" customHeight="1">
      <c r="A11" s="151"/>
      <c r="B11" s="29" t="s">
        <v>24</v>
      </c>
      <c r="C11" s="499">
        <v>5</v>
      </c>
      <c r="D11" s="499">
        <v>6</v>
      </c>
      <c r="E11" s="499">
        <v>9</v>
      </c>
      <c r="F11" s="499">
        <v>11</v>
      </c>
      <c r="G11" s="499">
        <v>11</v>
      </c>
      <c r="H11" s="499">
        <v>14</v>
      </c>
      <c r="I11" s="499">
        <v>17</v>
      </c>
      <c r="J11" s="499">
        <v>22</v>
      </c>
      <c r="K11" s="499">
        <v>21</v>
      </c>
      <c r="L11" s="499">
        <v>25</v>
      </c>
      <c r="M11" s="499">
        <v>27</v>
      </c>
      <c r="N11" s="499">
        <v>29</v>
      </c>
      <c r="O11" s="499">
        <v>35</v>
      </c>
      <c r="P11" s="499">
        <v>39</v>
      </c>
      <c r="Q11" s="499">
        <v>43</v>
      </c>
      <c r="S11" s="159"/>
    </row>
    <row r="12" spans="1:19" ht="13" customHeight="1">
      <c r="A12" s="151"/>
      <c r="B12" s="29" t="s">
        <v>25</v>
      </c>
      <c r="C12" s="499">
        <v>0</v>
      </c>
      <c r="D12" s="499">
        <v>0</v>
      </c>
      <c r="E12" s="499" t="s">
        <v>379</v>
      </c>
      <c r="F12" s="499" t="s">
        <v>379</v>
      </c>
      <c r="G12" s="499" t="s">
        <v>379</v>
      </c>
      <c r="H12" s="499" t="s">
        <v>379</v>
      </c>
      <c r="I12" s="499" t="s">
        <v>379</v>
      </c>
      <c r="J12" s="499" t="s">
        <v>379</v>
      </c>
      <c r="K12" s="499" t="s">
        <v>379</v>
      </c>
      <c r="L12" s="499" t="s">
        <v>379</v>
      </c>
      <c r="M12" s="499" t="s">
        <v>379</v>
      </c>
      <c r="N12" s="499" t="s">
        <v>379</v>
      </c>
      <c r="O12" s="499" t="s">
        <v>379</v>
      </c>
      <c r="P12" s="499" t="s">
        <v>379</v>
      </c>
      <c r="Q12" s="499" t="s">
        <v>379</v>
      </c>
      <c r="S12" s="159"/>
    </row>
    <row r="13" spans="1:19" ht="13" customHeight="1">
      <c r="A13" s="151"/>
      <c r="B13" s="29" t="s">
        <v>29</v>
      </c>
      <c r="C13" s="499">
        <v>0</v>
      </c>
      <c r="D13" s="499">
        <v>0</v>
      </c>
      <c r="E13" s="499" t="s">
        <v>379</v>
      </c>
      <c r="F13" s="499" t="s">
        <v>379</v>
      </c>
      <c r="G13" s="499" t="s">
        <v>379</v>
      </c>
      <c r="H13" s="499" t="s">
        <v>379</v>
      </c>
      <c r="I13" s="499" t="s">
        <v>379</v>
      </c>
      <c r="J13" s="499" t="s">
        <v>379</v>
      </c>
      <c r="K13" s="499" t="s">
        <v>379</v>
      </c>
      <c r="L13" s="499" t="s">
        <v>379</v>
      </c>
      <c r="M13" s="499" t="s">
        <v>379</v>
      </c>
      <c r="N13" s="499" t="s">
        <v>379</v>
      </c>
      <c r="O13" s="499" t="s">
        <v>379</v>
      </c>
      <c r="P13" s="499" t="s">
        <v>379</v>
      </c>
      <c r="Q13" s="499" t="s">
        <v>379</v>
      </c>
      <c r="S13" s="159"/>
    </row>
    <row r="14" spans="1:19" ht="13" customHeight="1">
      <c r="A14" s="151"/>
      <c r="B14" s="29" t="s">
        <v>30</v>
      </c>
      <c r="C14" s="499">
        <v>13</v>
      </c>
      <c r="D14" s="499">
        <v>11</v>
      </c>
      <c r="E14" s="499">
        <v>18</v>
      </c>
      <c r="F14" s="499">
        <v>11</v>
      </c>
      <c r="G14" s="499">
        <v>13</v>
      </c>
      <c r="H14" s="499">
        <v>11</v>
      </c>
      <c r="I14" s="499">
        <v>10</v>
      </c>
      <c r="J14" s="499">
        <v>7</v>
      </c>
      <c r="K14" s="499">
        <v>10</v>
      </c>
      <c r="L14" s="499">
        <v>10</v>
      </c>
      <c r="M14" s="499">
        <v>10</v>
      </c>
      <c r="N14" s="499">
        <v>7</v>
      </c>
      <c r="O14" s="499">
        <v>10</v>
      </c>
      <c r="P14" s="499">
        <v>11</v>
      </c>
      <c r="Q14" s="499">
        <v>11</v>
      </c>
      <c r="S14" s="159"/>
    </row>
    <row r="15" spans="1:19" ht="13" customHeight="1">
      <c r="A15" s="151"/>
      <c r="B15" s="29" t="s">
        <v>31</v>
      </c>
      <c r="C15" s="499">
        <v>138</v>
      </c>
      <c r="D15" s="499">
        <v>145</v>
      </c>
      <c r="E15" s="499">
        <v>152</v>
      </c>
      <c r="F15" s="499">
        <v>144</v>
      </c>
      <c r="G15" s="499">
        <v>129</v>
      </c>
      <c r="H15" s="499">
        <v>102</v>
      </c>
      <c r="I15" s="499">
        <v>81</v>
      </c>
      <c r="J15" s="499">
        <v>94</v>
      </c>
      <c r="K15" s="499">
        <v>119</v>
      </c>
      <c r="L15" s="499">
        <v>124</v>
      </c>
      <c r="M15" s="499">
        <v>100</v>
      </c>
      <c r="N15" s="499">
        <v>71</v>
      </c>
      <c r="O15" s="499">
        <v>80</v>
      </c>
      <c r="P15" s="499">
        <v>76</v>
      </c>
      <c r="Q15" s="499">
        <v>76</v>
      </c>
      <c r="S15" s="159"/>
    </row>
    <row r="16" spans="1:19" ht="13" customHeight="1">
      <c r="A16" s="151"/>
      <c r="B16" s="29" t="s">
        <v>32</v>
      </c>
      <c r="C16" s="499">
        <v>0</v>
      </c>
      <c r="D16" s="499">
        <v>0</v>
      </c>
      <c r="E16" s="499" t="s">
        <v>379</v>
      </c>
      <c r="F16" s="499" t="s">
        <v>379</v>
      </c>
      <c r="G16" s="499" t="s">
        <v>379</v>
      </c>
      <c r="H16" s="499" t="s">
        <v>379</v>
      </c>
      <c r="I16" s="499" t="s">
        <v>379</v>
      </c>
      <c r="J16" s="499" t="s">
        <v>379</v>
      </c>
      <c r="K16" s="499" t="s">
        <v>379</v>
      </c>
      <c r="L16" s="499" t="s">
        <v>379</v>
      </c>
      <c r="M16" s="499" t="s">
        <v>379</v>
      </c>
      <c r="N16" s="499">
        <v>0</v>
      </c>
      <c r="O16" s="499">
        <v>0</v>
      </c>
      <c r="P16" s="499">
        <v>0</v>
      </c>
      <c r="Q16" s="499">
        <v>0</v>
      </c>
      <c r="S16" s="159"/>
    </row>
    <row r="17" spans="1:19" ht="13" customHeight="1">
      <c r="A17" s="151"/>
      <c r="B17" s="29" t="s">
        <v>33</v>
      </c>
      <c r="C17" s="499">
        <v>0</v>
      </c>
      <c r="D17" s="499">
        <v>0</v>
      </c>
      <c r="E17" s="499" t="s">
        <v>379</v>
      </c>
      <c r="F17" s="499" t="s">
        <v>379</v>
      </c>
      <c r="G17" s="499" t="s">
        <v>379</v>
      </c>
      <c r="H17" s="499" t="s">
        <v>379</v>
      </c>
      <c r="I17" s="499">
        <v>5</v>
      </c>
      <c r="J17" s="499">
        <v>5</v>
      </c>
      <c r="K17" s="499">
        <v>16</v>
      </c>
      <c r="L17" s="499">
        <v>16</v>
      </c>
      <c r="M17" s="499">
        <v>19</v>
      </c>
      <c r="N17" s="499">
        <v>22</v>
      </c>
      <c r="O17" s="499">
        <v>26</v>
      </c>
      <c r="P17" s="499">
        <v>34</v>
      </c>
      <c r="Q17" s="499">
        <v>34</v>
      </c>
      <c r="S17" s="159"/>
    </row>
    <row r="18" spans="1:19" ht="13" customHeight="1">
      <c r="A18" s="151"/>
      <c r="B18" s="29" t="s">
        <v>34</v>
      </c>
      <c r="C18" s="499">
        <v>97</v>
      </c>
      <c r="D18" s="499">
        <v>93</v>
      </c>
      <c r="E18" s="499">
        <v>137</v>
      </c>
      <c r="F18" s="499">
        <v>141</v>
      </c>
      <c r="G18" s="499">
        <v>160</v>
      </c>
      <c r="H18" s="499">
        <v>153</v>
      </c>
      <c r="I18" s="499">
        <v>171</v>
      </c>
      <c r="J18" s="499">
        <v>146</v>
      </c>
      <c r="K18" s="499">
        <v>149</v>
      </c>
      <c r="L18" s="499">
        <v>162</v>
      </c>
      <c r="M18" s="499">
        <v>173</v>
      </c>
      <c r="N18" s="499">
        <v>312</v>
      </c>
      <c r="O18" s="499">
        <v>321</v>
      </c>
      <c r="P18" s="499">
        <v>361</v>
      </c>
      <c r="Q18" s="499">
        <v>361</v>
      </c>
      <c r="S18" s="159"/>
    </row>
    <row r="19" spans="1:19" ht="13" customHeight="1">
      <c r="A19" s="151"/>
      <c r="B19" s="29" t="s">
        <v>35</v>
      </c>
      <c r="C19" s="499">
        <v>94</v>
      </c>
      <c r="D19" s="499">
        <v>77</v>
      </c>
      <c r="E19" s="499">
        <v>86</v>
      </c>
      <c r="F19" s="499">
        <v>81</v>
      </c>
      <c r="G19" s="499">
        <v>90</v>
      </c>
      <c r="H19" s="499">
        <v>110</v>
      </c>
      <c r="I19" s="499">
        <v>196</v>
      </c>
      <c r="J19" s="499">
        <v>228</v>
      </c>
      <c r="K19" s="499">
        <v>242</v>
      </c>
      <c r="L19" s="499">
        <v>265</v>
      </c>
      <c r="M19" s="499">
        <v>264</v>
      </c>
      <c r="N19" s="499">
        <v>290</v>
      </c>
      <c r="O19" s="499">
        <v>321</v>
      </c>
      <c r="P19" s="499">
        <v>281</v>
      </c>
      <c r="Q19" s="499">
        <v>281</v>
      </c>
      <c r="S19" s="159"/>
    </row>
    <row r="20" spans="1:19" ht="13" customHeight="1">
      <c r="A20" s="151"/>
      <c r="B20" s="29" t="s">
        <v>36</v>
      </c>
      <c r="C20" s="499">
        <v>694</v>
      </c>
      <c r="D20" s="499">
        <v>654</v>
      </c>
      <c r="E20" s="499">
        <v>676</v>
      </c>
      <c r="F20" s="499">
        <v>660</v>
      </c>
      <c r="G20" s="499">
        <v>702</v>
      </c>
      <c r="H20" s="499">
        <v>677</v>
      </c>
      <c r="I20" s="499">
        <v>831</v>
      </c>
      <c r="J20" s="499">
        <v>864</v>
      </c>
      <c r="K20" s="499">
        <v>934</v>
      </c>
      <c r="L20" s="499">
        <v>954</v>
      </c>
      <c r="M20" s="499">
        <v>831</v>
      </c>
      <c r="N20" s="499">
        <v>781</v>
      </c>
      <c r="O20" s="499">
        <v>783</v>
      </c>
      <c r="P20" s="499">
        <v>564</v>
      </c>
      <c r="Q20" s="499">
        <v>564</v>
      </c>
      <c r="S20" s="159"/>
    </row>
    <row r="21" spans="1:19" ht="13" customHeight="1">
      <c r="A21" s="151"/>
      <c r="B21" s="29" t="s">
        <v>37</v>
      </c>
      <c r="C21" s="499">
        <v>843</v>
      </c>
      <c r="D21" s="499">
        <v>916</v>
      </c>
      <c r="E21" s="499">
        <v>996</v>
      </c>
      <c r="F21" s="499">
        <v>1005</v>
      </c>
      <c r="G21" s="499">
        <v>1196</v>
      </c>
      <c r="H21" s="499">
        <v>1287</v>
      </c>
      <c r="I21" s="499">
        <v>1294</v>
      </c>
      <c r="J21" s="499">
        <v>1389</v>
      </c>
      <c r="K21" s="499">
        <v>1439</v>
      </c>
      <c r="L21" s="499">
        <v>1529</v>
      </c>
      <c r="M21" s="499">
        <v>1233</v>
      </c>
      <c r="N21" s="499">
        <v>1209</v>
      </c>
      <c r="O21" s="499">
        <v>1189</v>
      </c>
      <c r="P21" s="499">
        <v>926</v>
      </c>
      <c r="Q21" s="499">
        <v>926</v>
      </c>
      <c r="S21" s="159"/>
    </row>
    <row r="22" spans="1:19" ht="13" customHeight="1">
      <c r="A22" s="151"/>
      <c r="B22" s="29" t="s">
        <v>38</v>
      </c>
      <c r="C22" s="499">
        <v>112</v>
      </c>
      <c r="D22" s="499">
        <v>106</v>
      </c>
      <c r="E22" s="499">
        <v>103</v>
      </c>
      <c r="F22" s="499">
        <v>90</v>
      </c>
      <c r="G22" s="499">
        <v>112</v>
      </c>
      <c r="H22" s="499">
        <v>117</v>
      </c>
      <c r="I22" s="499">
        <v>129</v>
      </c>
      <c r="J22" s="499">
        <v>130</v>
      </c>
      <c r="K22" s="499">
        <v>134</v>
      </c>
      <c r="L22" s="499">
        <v>114</v>
      </c>
      <c r="M22" s="499">
        <v>103</v>
      </c>
      <c r="N22" s="499">
        <v>110</v>
      </c>
      <c r="O22" s="499">
        <v>145</v>
      </c>
      <c r="P22" s="499">
        <v>127</v>
      </c>
      <c r="Q22" s="499">
        <v>127</v>
      </c>
      <c r="S22" s="159"/>
    </row>
    <row r="23" spans="1:19" ht="13" customHeight="1">
      <c r="A23" s="151"/>
      <c r="B23" s="29" t="s">
        <v>39</v>
      </c>
      <c r="C23" s="499">
        <v>210</v>
      </c>
      <c r="D23" s="499">
        <v>189</v>
      </c>
      <c r="E23" s="499">
        <v>159</v>
      </c>
      <c r="F23" s="499">
        <v>158</v>
      </c>
      <c r="G23" s="499">
        <v>157</v>
      </c>
      <c r="H23" s="499">
        <v>156</v>
      </c>
      <c r="I23" s="499">
        <v>152</v>
      </c>
      <c r="J23" s="499">
        <v>159</v>
      </c>
      <c r="K23" s="499">
        <v>166</v>
      </c>
      <c r="L23" s="499">
        <v>177</v>
      </c>
      <c r="M23" s="499">
        <v>171</v>
      </c>
      <c r="N23" s="499">
        <v>177</v>
      </c>
      <c r="O23" s="499">
        <v>182</v>
      </c>
      <c r="P23" s="499">
        <v>226</v>
      </c>
      <c r="Q23" s="499">
        <v>226</v>
      </c>
      <c r="S23" s="159"/>
    </row>
    <row r="24" spans="1:19" ht="13" customHeight="1">
      <c r="A24" s="151"/>
      <c r="B24" s="29" t="s">
        <v>40</v>
      </c>
      <c r="C24" s="499">
        <v>502</v>
      </c>
      <c r="D24" s="499">
        <v>430</v>
      </c>
      <c r="E24" s="499">
        <v>531</v>
      </c>
      <c r="F24" s="499">
        <v>562</v>
      </c>
      <c r="G24" s="499">
        <v>607</v>
      </c>
      <c r="H24" s="499">
        <v>586</v>
      </c>
      <c r="I24" s="499">
        <v>567</v>
      </c>
      <c r="J24" s="499">
        <v>598</v>
      </c>
      <c r="K24" s="499">
        <v>578</v>
      </c>
      <c r="L24" s="499">
        <v>735</v>
      </c>
      <c r="M24" s="499">
        <v>807</v>
      </c>
      <c r="N24" s="499">
        <v>973</v>
      </c>
      <c r="O24" s="499">
        <v>1132</v>
      </c>
      <c r="P24" s="499">
        <v>1193</v>
      </c>
      <c r="Q24" s="499">
        <v>1193</v>
      </c>
      <c r="S24" s="159"/>
    </row>
    <row r="25" spans="1:19" ht="13" customHeight="1">
      <c r="A25" s="151"/>
      <c r="B25" s="29" t="s">
        <v>41</v>
      </c>
      <c r="C25" s="499">
        <v>392</v>
      </c>
      <c r="D25" s="499">
        <v>396</v>
      </c>
      <c r="E25" s="499">
        <v>432</v>
      </c>
      <c r="F25" s="499">
        <v>405</v>
      </c>
      <c r="G25" s="499">
        <v>413</v>
      </c>
      <c r="H25" s="499">
        <v>405</v>
      </c>
      <c r="I25" s="499">
        <v>432</v>
      </c>
      <c r="J25" s="499">
        <v>598</v>
      </c>
      <c r="K25" s="499">
        <v>573</v>
      </c>
      <c r="L25" s="499">
        <v>568</v>
      </c>
      <c r="M25" s="499">
        <v>562</v>
      </c>
      <c r="N25" s="499">
        <v>570</v>
      </c>
      <c r="O25" s="499">
        <v>569</v>
      </c>
      <c r="P25" s="499">
        <v>556</v>
      </c>
      <c r="Q25" s="499">
        <v>556</v>
      </c>
      <c r="S25" s="159"/>
    </row>
    <row r="26" spans="1:19" ht="13" customHeight="1">
      <c r="A26" s="151"/>
      <c r="B26" s="29" t="s">
        <v>44</v>
      </c>
      <c r="C26" s="499">
        <v>952</v>
      </c>
      <c r="D26" s="499">
        <v>1095</v>
      </c>
      <c r="E26" s="499">
        <v>1240</v>
      </c>
      <c r="F26" s="499">
        <v>1316</v>
      </c>
      <c r="G26" s="499">
        <v>1417</v>
      </c>
      <c r="H26" s="499">
        <v>1622</v>
      </c>
      <c r="I26" s="499">
        <v>1809</v>
      </c>
      <c r="J26" s="499">
        <v>2074</v>
      </c>
      <c r="K26" s="499">
        <v>1891</v>
      </c>
      <c r="L26" s="499">
        <v>1954</v>
      </c>
      <c r="M26" s="499">
        <v>2209</v>
      </c>
      <c r="N26" s="499">
        <v>2265</v>
      </c>
      <c r="O26" s="499">
        <v>2267</v>
      </c>
      <c r="P26" s="499">
        <v>2397</v>
      </c>
      <c r="Q26" s="499">
        <v>2397</v>
      </c>
      <c r="S26" s="159"/>
    </row>
    <row r="27" spans="1:19" ht="13" customHeight="1">
      <c r="A27" s="151"/>
      <c r="B27" s="29" t="s">
        <v>45</v>
      </c>
      <c r="C27" s="499">
        <v>4619</v>
      </c>
      <c r="D27" s="499">
        <v>4676</v>
      </c>
      <c r="E27" s="499">
        <v>4828</v>
      </c>
      <c r="F27" s="499">
        <v>4943</v>
      </c>
      <c r="G27" s="499">
        <v>5179</v>
      </c>
      <c r="H27" s="499">
        <v>5520</v>
      </c>
      <c r="I27" s="499">
        <v>5624</v>
      </c>
      <c r="J27" s="499">
        <v>5685</v>
      </c>
      <c r="K27" s="499">
        <v>5897</v>
      </c>
      <c r="L27" s="499">
        <v>5961</v>
      </c>
      <c r="M27" s="499">
        <v>5407</v>
      </c>
      <c r="N27" s="499">
        <v>5627</v>
      </c>
      <c r="O27" s="499">
        <v>5687</v>
      </c>
      <c r="P27" s="499">
        <v>5784</v>
      </c>
      <c r="Q27" s="499">
        <v>5784</v>
      </c>
      <c r="S27" s="159"/>
    </row>
    <row r="28" spans="1:19" ht="13" customHeight="1">
      <c r="A28" s="151"/>
      <c r="B28" s="150" t="s">
        <v>46</v>
      </c>
      <c r="C28" s="499">
        <v>0</v>
      </c>
      <c r="D28" s="499">
        <v>0</v>
      </c>
      <c r="E28" s="499" t="s">
        <v>379</v>
      </c>
      <c r="F28" s="499" t="s">
        <v>379</v>
      </c>
      <c r="G28" s="499" t="s">
        <v>379</v>
      </c>
      <c r="H28" s="499" t="s">
        <v>379</v>
      </c>
      <c r="I28" s="499" t="s">
        <v>379</v>
      </c>
      <c r="J28" s="499" t="s">
        <v>379</v>
      </c>
      <c r="K28" s="499" t="s">
        <v>379</v>
      </c>
      <c r="L28" s="499" t="s">
        <v>379</v>
      </c>
      <c r="M28" s="499" t="s">
        <v>379</v>
      </c>
      <c r="N28" s="499" t="s">
        <v>379</v>
      </c>
      <c r="O28" s="499" t="s">
        <v>379</v>
      </c>
      <c r="P28" s="499" t="s">
        <v>379</v>
      </c>
      <c r="Q28" s="499" t="s">
        <v>379</v>
      </c>
      <c r="S28" s="159"/>
    </row>
    <row r="29" spans="1:19" ht="13" customHeight="1">
      <c r="A29" s="151"/>
      <c r="B29" s="30" t="s">
        <v>47</v>
      </c>
      <c r="C29" s="499">
        <v>0</v>
      </c>
      <c r="D29" s="499">
        <v>0</v>
      </c>
      <c r="E29" s="499" t="s">
        <v>379</v>
      </c>
      <c r="F29" s="499" t="s">
        <v>379</v>
      </c>
      <c r="G29" s="499" t="s">
        <v>379</v>
      </c>
      <c r="H29" s="499" t="s">
        <v>379</v>
      </c>
      <c r="I29" s="499" t="s">
        <v>379</v>
      </c>
      <c r="J29" s="499" t="s">
        <v>379</v>
      </c>
      <c r="K29" s="499" t="s">
        <v>379</v>
      </c>
      <c r="L29" s="499" t="s">
        <v>379</v>
      </c>
      <c r="M29" s="499" t="s">
        <v>379</v>
      </c>
      <c r="N29" s="499" t="s">
        <v>379</v>
      </c>
      <c r="O29" s="499" t="s">
        <v>379</v>
      </c>
      <c r="P29" s="499" t="s">
        <v>379</v>
      </c>
      <c r="Q29" s="499" t="s">
        <v>379</v>
      </c>
      <c r="S29" s="159"/>
    </row>
    <row r="30" spans="1:19" ht="13" customHeight="1">
      <c r="A30" s="151"/>
      <c r="B30" s="29" t="s">
        <v>48</v>
      </c>
      <c r="C30" s="499">
        <v>0</v>
      </c>
      <c r="D30" s="499">
        <v>0</v>
      </c>
      <c r="E30" s="499" t="s">
        <v>379</v>
      </c>
      <c r="F30" s="499" t="s">
        <v>379</v>
      </c>
      <c r="G30" s="499" t="s">
        <v>379</v>
      </c>
      <c r="H30" s="499" t="s">
        <v>379</v>
      </c>
      <c r="I30" s="499" t="s">
        <v>379</v>
      </c>
      <c r="J30" s="499" t="s">
        <v>379</v>
      </c>
      <c r="K30" s="499" t="s">
        <v>379</v>
      </c>
      <c r="L30" s="499" t="s">
        <v>379</v>
      </c>
      <c r="M30" s="499" t="s">
        <v>379</v>
      </c>
      <c r="N30" s="499" t="s">
        <v>379</v>
      </c>
      <c r="O30" s="499" t="s">
        <v>379</v>
      </c>
      <c r="P30" s="499" t="s">
        <v>379</v>
      </c>
      <c r="Q30" s="499" t="s">
        <v>379</v>
      </c>
      <c r="S30" s="159"/>
    </row>
    <row r="31" spans="1:19" ht="13" customHeight="1" thickBot="1">
      <c r="A31" s="453"/>
      <c r="B31" s="454" t="s">
        <v>49</v>
      </c>
      <c r="C31" s="500">
        <v>0</v>
      </c>
      <c r="D31" s="500">
        <v>0</v>
      </c>
      <c r="E31" s="500" t="s">
        <v>379</v>
      </c>
      <c r="F31" s="500" t="s">
        <v>379</v>
      </c>
      <c r="G31" s="500" t="s">
        <v>379</v>
      </c>
      <c r="H31" s="500" t="s">
        <v>379</v>
      </c>
      <c r="I31" s="500" t="s">
        <v>379</v>
      </c>
      <c r="J31" s="500" t="s">
        <v>379</v>
      </c>
      <c r="K31" s="500" t="s">
        <v>379</v>
      </c>
      <c r="L31" s="500" t="s">
        <v>379</v>
      </c>
      <c r="M31" s="500" t="s">
        <v>379</v>
      </c>
      <c r="N31" s="500" t="s">
        <v>379</v>
      </c>
      <c r="O31" s="500" t="s">
        <v>379</v>
      </c>
      <c r="P31" s="500" t="s">
        <v>379</v>
      </c>
      <c r="Q31" s="500" t="s">
        <v>379</v>
      </c>
      <c r="S31" s="159"/>
    </row>
    <row r="32" spans="1:19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4"/>
      <c r="Q34" s="464"/>
    </row>
    <row r="36" spans="1:17" ht="13" customHeight="1"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Hoja40">
    <tabColor theme="9" tint="0.59999389629810485"/>
  </sheetPr>
  <dimension ref="A2:Q36"/>
  <sheetViews>
    <sheetView showGridLines="0" topLeftCell="A2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7" ht="13" customHeight="1">
      <c r="A2" s="468" t="s">
        <v>354</v>
      </c>
      <c r="B2" s="469"/>
    </row>
    <row r="3" spans="1:17" ht="13" customHeight="1">
      <c r="A3" s="470" t="s">
        <v>384</v>
      </c>
      <c r="B3" s="470"/>
    </row>
    <row r="4" spans="1:17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7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7" ht="15" customHeight="1">
      <c r="A6" s="1102" t="s">
        <v>114</v>
      </c>
      <c r="B6" s="1102"/>
      <c r="C6" s="493">
        <v>2.61</v>
      </c>
      <c r="D6" s="493">
        <v>2.5099999999999998</v>
      </c>
      <c r="E6" s="493">
        <v>2.5</v>
      </c>
      <c r="F6" s="493">
        <v>2.91</v>
      </c>
      <c r="G6" s="493">
        <v>3.13</v>
      </c>
      <c r="H6" s="493">
        <v>3.43</v>
      </c>
      <c r="I6" s="493">
        <v>3.65</v>
      </c>
      <c r="J6" s="493">
        <v>4.03</v>
      </c>
      <c r="K6" s="493">
        <v>4.43</v>
      </c>
      <c r="L6" s="493">
        <v>4.78</v>
      </c>
      <c r="M6" s="493">
        <v>4.6399999999999997</v>
      </c>
      <c r="N6" s="493">
        <v>4.83</v>
      </c>
      <c r="O6" s="493">
        <v>4.92</v>
      </c>
      <c r="P6" s="493">
        <v>4.96</v>
      </c>
      <c r="Q6" s="493">
        <v>4.9400000000000004</v>
      </c>
    </row>
    <row r="7" spans="1:17" ht="5" customHeight="1">
      <c r="A7" s="151"/>
      <c r="B7" s="152"/>
      <c r="C7" s="494"/>
      <c r="D7" s="494"/>
      <c r="E7" s="494"/>
      <c r="F7" s="494"/>
      <c r="G7" s="494"/>
      <c r="H7" s="494"/>
      <c r="I7" s="494"/>
      <c r="J7" s="494"/>
      <c r="K7" s="494"/>
      <c r="L7" s="494"/>
      <c r="M7" s="494"/>
      <c r="N7" s="494"/>
      <c r="O7" s="494"/>
      <c r="P7" s="494"/>
      <c r="Q7" s="494"/>
    </row>
    <row r="8" spans="1:17" ht="13" customHeight="1">
      <c r="A8" s="151"/>
      <c r="B8" s="29" t="s">
        <v>21</v>
      </c>
      <c r="C8" s="495" t="s">
        <v>81</v>
      </c>
      <c r="D8" s="495" t="s">
        <v>81</v>
      </c>
      <c r="E8" s="495" t="s">
        <v>81</v>
      </c>
      <c r="F8" s="495" t="s">
        <v>81</v>
      </c>
      <c r="G8" s="495" t="s">
        <v>81</v>
      </c>
      <c r="H8" s="495" t="s">
        <v>81</v>
      </c>
      <c r="I8" s="495" t="s">
        <v>81</v>
      </c>
      <c r="J8" s="495" t="s">
        <v>81</v>
      </c>
      <c r="K8" s="495" t="s">
        <v>81</v>
      </c>
      <c r="L8" s="495" t="s">
        <v>81</v>
      </c>
      <c r="M8" s="495" t="s">
        <v>81</v>
      </c>
      <c r="N8" s="495" t="s">
        <v>81</v>
      </c>
      <c r="O8" s="495" t="s">
        <v>81</v>
      </c>
      <c r="P8" s="495" t="s">
        <v>81</v>
      </c>
      <c r="Q8" s="495" t="s">
        <v>81</v>
      </c>
    </row>
    <row r="9" spans="1:17" ht="13" customHeight="1">
      <c r="A9" s="151"/>
      <c r="B9" s="29" t="s">
        <v>22</v>
      </c>
      <c r="C9" s="495" t="s">
        <v>81</v>
      </c>
      <c r="D9" s="495" t="s">
        <v>81</v>
      </c>
      <c r="E9" s="495" t="s">
        <v>81</v>
      </c>
      <c r="F9" s="495" t="s">
        <v>81</v>
      </c>
      <c r="G9" s="495" t="s">
        <v>81</v>
      </c>
      <c r="H9" s="495" t="s">
        <v>81</v>
      </c>
      <c r="I9" s="495" t="s">
        <v>81</v>
      </c>
      <c r="J9" s="495" t="s">
        <v>81</v>
      </c>
      <c r="K9" s="495" t="s">
        <v>81</v>
      </c>
      <c r="L9" s="495" t="s">
        <v>81</v>
      </c>
      <c r="M9" s="495" t="s">
        <v>81</v>
      </c>
      <c r="N9" s="495" t="s">
        <v>81</v>
      </c>
      <c r="O9" s="495" t="s">
        <v>81</v>
      </c>
      <c r="P9" s="495" t="s">
        <v>81</v>
      </c>
      <c r="Q9" s="495" t="s">
        <v>81</v>
      </c>
    </row>
    <row r="10" spans="1:17" ht="13" customHeight="1">
      <c r="A10" s="151"/>
      <c r="B10" s="29" t="s">
        <v>23</v>
      </c>
      <c r="C10" s="495" t="s">
        <v>81</v>
      </c>
      <c r="D10" s="495" t="s">
        <v>81</v>
      </c>
      <c r="E10" s="495" t="s">
        <v>81</v>
      </c>
      <c r="F10" s="495" t="s">
        <v>81</v>
      </c>
      <c r="G10" s="495" t="s">
        <v>81</v>
      </c>
      <c r="H10" s="495" t="s">
        <v>81</v>
      </c>
      <c r="I10" s="495" t="s">
        <v>81</v>
      </c>
      <c r="J10" s="495" t="s">
        <v>81</v>
      </c>
      <c r="K10" s="495" t="s">
        <v>81</v>
      </c>
      <c r="L10" s="495" t="s">
        <v>81</v>
      </c>
      <c r="M10" s="495" t="s">
        <v>81</v>
      </c>
      <c r="N10" s="495" t="s">
        <v>81</v>
      </c>
      <c r="O10" s="495" t="s">
        <v>81</v>
      </c>
      <c r="P10" s="495" t="s">
        <v>81</v>
      </c>
      <c r="Q10" s="495" t="s">
        <v>81</v>
      </c>
    </row>
    <row r="11" spans="1:17" ht="13" customHeight="1">
      <c r="A11" s="151"/>
      <c r="B11" s="29" t="s">
        <v>24</v>
      </c>
      <c r="C11" s="495">
        <v>2.56</v>
      </c>
      <c r="D11" s="495">
        <v>2.6</v>
      </c>
      <c r="E11" s="495">
        <v>2.1800000000000002</v>
      </c>
      <c r="F11" s="495">
        <v>2.72</v>
      </c>
      <c r="G11" s="495">
        <v>2.93</v>
      </c>
      <c r="H11" s="495">
        <v>2.92</v>
      </c>
      <c r="I11" s="495">
        <v>3.11</v>
      </c>
      <c r="J11" s="495">
        <v>3.07</v>
      </c>
      <c r="K11" s="495">
        <v>3.07</v>
      </c>
      <c r="L11" s="495">
        <v>4.67</v>
      </c>
      <c r="M11" s="495">
        <v>4.7</v>
      </c>
      <c r="N11" s="495">
        <v>4.5599999999999996</v>
      </c>
      <c r="O11" s="495">
        <v>4.68</v>
      </c>
      <c r="P11" s="495">
        <v>4.57</v>
      </c>
      <c r="Q11" s="495">
        <v>4.63</v>
      </c>
    </row>
    <row r="12" spans="1:17" ht="13" customHeight="1">
      <c r="A12" s="151"/>
      <c r="B12" s="29" t="s">
        <v>25</v>
      </c>
      <c r="C12" s="495" t="s">
        <v>81</v>
      </c>
      <c r="D12" s="495" t="s">
        <v>81</v>
      </c>
      <c r="E12" s="495" t="s">
        <v>81</v>
      </c>
      <c r="F12" s="495" t="s">
        <v>81</v>
      </c>
      <c r="G12" s="495" t="s">
        <v>81</v>
      </c>
      <c r="H12" s="495" t="s">
        <v>81</v>
      </c>
      <c r="I12" s="495" t="s">
        <v>81</v>
      </c>
      <c r="J12" s="495" t="s">
        <v>81</v>
      </c>
      <c r="K12" s="495" t="s">
        <v>81</v>
      </c>
      <c r="L12" s="495" t="s">
        <v>81</v>
      </c>
      <c r="M12" s="495" t="s">
        <v>81</v>
      </c>
      <c r="N12" s="495" t="s">
        <v>81</v>
      </c>
      <c r="O12" s="495" t="s">
        <v>81</v>
      </c>
      <c r="P12" s="495" t="s">
        <v>81</v>
      </c>
      <c r="Q12" s="495" t="s">
        <v>81</v>
      </c>
    </row>
    <row r="13" spans="1:17" ht="13" customHeight="1">
      <c r="A13" s="151"/>
      <c r="B13" s="29" t="s">
        <v>29</v>
      </c>
      <c r="C13" s="495" t="s">
        <v>81</v>
      </c>
      <c r="D13" s="495" t="s">
        <v>81</v>
      </c>
      <c r="E13" s="495" t="s">
        <v>81</v>
      </c>
      <c r="F13" s="495" t="s">
        <v>81</v>
      </c>
      <c r="G13" s="495" t="s">
        <v>81</v>
      </c>
      <c r="H13" s="495" t="s">
        <v>81</v>
      </c>
      <c r="I13" s="495" t="s">
        <v>81</v>
      </c>
      <c r="J13" s="495" t="s">
        <v>81</v>
      </c>
      <c r="K13" s="495" t="s">
        <v>81</v>
      </c>
      <c r="L13" s="495" t="s">
        <v>81</v>
      </c>
      <c r="M13" s="495" t="s">
        <v>81</v>
      </c>
      <c r="N13" s="495" t="s">
        <v>81</v>
      </c>
      <c r="O13" s="495" t="s">
        <v>81</v>
      </c>
      <c r="P13" s="495" t="s">
        <v>81</v>
      </c>
      <c r="Q13" s="495" t="s">
        <v>81</v>
      </c>
    </row>
    <row r="14" spans="1:17" ht="13" customHeight="1">
      <c r="A14" s="151"/>
      <c r="B14" s="29" t="s">
        <v>30</v>
      </c>
      <c r="C14" s="495">
        <v>2.4</v>
      </c>
      <c r="D14" s="495">
        <v>2.5</v>
      </c>
      <c r="E14" s="495">
        <v>2.41</v>
      </c>
      <c r="F14" s="495">
        <v>2.34</v>
      </c>
      <c r="G14" s="495">
        <v>2.4900000000000002</v>
      </c>
      <c r="H14" s="495">
        <v>2.77</v>
      </c>
      <c r="I14" s="495">
        <v>3.08</v>
      </c>
      <c r="J14" s="495">
        <v>3.36</v>
      </c>
      <c r="K14" s="495">
        <v>3.39</v>
      </c>
      <c r="L14" s="495">
        <v>3.78</v>
      </c>
      <c r="M14" s="495">
        <v>3.94</v>
      </c>
      <c r="N14" s="495">
        <v>4.04</v>
      </c>
      <c r="O14" s="495">
        <v>4</v>
      </c>
      <c r="P14" s="495">
        <v>3.95</v>
      </c>
      <c r="Q14" s="495">
        <v>4.09</v>
      </c>
    </row>
    <row r="15" spans="1:17" ht="13" customHeight="1">
      <c r="A15" s="151"/>
      <c r="B15" s="29" t="s">
        <v>31</v>
      </c>
      <c r="C15" s="495">
        <v>2.78</v>
      </c>
      <c r="D15" s="495">
        <v>2.89</v>
      </c>
      <c r="E15" s="495">
        <v>2.8</v>
      </c>
      <c r="F15" s="495">
        <v>3.13</v>
      </c>
      <c r="G15" s="495">
        <v>3.02</v>
      </c>
      <c r="H15" s="495">
        <v>3.18</v>
      </c>
      <c r="I15" s="495">
        <v>3.34</v>
      </c>
      <c r="J15" s="495">
        <v>3.28</v>
      </c>
      <c r="K15" s="495">
        <v>3.58</v>
      </c>
      <c r="L15" s="495">
        <v>3.78</v>
      </c>
      <c r="M15" s="495">
        <v>4.29</v>
      </c>
      <c r="N15" s="495">
        <v>4.93</v>
      </c>
      <c r="O15" s="495">
        <v>4.24</v>
      </c>
      <c r="P15" s="495">
        <v>4.25</v>
      </c>
      <c r="Q15" s="495">
        <v>4.21</v>
      </c>
    </row>
    <row r="16" spans="1:17" ht="13" customHeight="1">
      <c r="A16" s="151"/>
      <c r="B16" s="29" t="s">
        <v>32</v>
      </c>
      <c r="C16" s="495" t="s">
        <v>81</v>
      </c>
      <c r="D16" s="495" t="s">
        <v>81</v>
      </c>
      <c r="E16" s="495" t="s">
        <v>81</v>
      </c>
      <c r="F16" s="495" t="s">
        <v>81</v>
      </c>
      <c r="G16" s="495" t="s">
        <v>81</v>
      </c>
      <c r="H16" s="495" t="s">
        <v>81</v>
      </c>
      <c r="I16" s="495" t="s">
        <v>81</v>
      </c>
      <c r="J16" s="495" t="s">
        <v>81</v>
      </c>
      <c r="K16" s="495" t="s">
        <v>81</v>
      </c>
      <c r="L16" s="495" t="s">
        <v>81</v>
      </c>
      <c r="M16" s="495" t="s">
        <v>81</v>
      </c>
      <c r="N16" s="495" t="s">
        <v>81</v>
      </c>
      <c r="O16" s="495" t="s">
        <v>81</v>
      </c>
      <c r="P16" s="495" t="s">
        <v>81</v>
      </c>
      <c r="Q16" s="495" t="s">
        <v>81</v>
      </c>
    </row>
    <row r="17" spans="1:17" ht="13" customHeight="1">
      <c r="A17" s="151"/>
      <c r="B17" s="29" t="s">
        <v>33</v>
      </c>
      <c r="C17" s="495" t="s">
        <v>81</v>
      </c>
      <c r="D17" s="495" t="s">
        <v>81</v>
      </c>
      <c r="E17" s="495" t="s">
        <v>81</v>
      </c>
      <c r="F17" s="495" t="s">
        <v>81</v>
      </c>
      <c r="G17" s="495" t="s">
        <v>81</v>
      </c>
      <c r="H17" s="495" t="s">
        <v>81</v>
      </c>
      <c r="I17" s="495" t="s">
        <v>81</v>
      </c>
      <c r="J17" s="495" t="s">
        <v>81</v>
      </c>
      <c r="K17" s="495" t="s">
        <v>81</v>
      </c>
      <c r="L17" s="495">
        <v>4.4000000000000004</v>
      </c>
      <c r="M17" s="495">
        <v>4.71</v>
      </c>
      <c r="N17" s="495">
        <v>4.91</v>
      </c>
      <c r="O17" s="495">
        <v>4.84</v>
      </c>
      <c r="P17" s="495">
        <v>4.84</v>
      </c>
      <c r="Q17" s="495">
        <v>4.79</v>
      </c>
    </row>
    <row r="18" spans="1:17" ht="13" customHeight="1">
      <c r="A18" s="151"/>
      <c r="B18" s="29" t="s">
        <v>34</v>
      </c>
      <c r="C18" s="495">
        <v>2.21</v>
      </c>
      <c r="D18" s="495">
        <v>2.27</v>
      </c>
      <c r="E18" s="495">
        <v>2.85</v>
      </c>
      <c r="F18" s="495">
        <v>3.27</v>
      </c>
      <c r="G18" s="495">
        <v>3.54</v>
      </c>
      <c r="H18" s="495">
        <v>3.48</v>
      </c>
      <c r="I18" s="495">
        <v>4.0999999999999996</v>
      </c>
      <c r="J18" s="495">
        <v>3.71</v>
      </c>
      <c r="K18" s="495">
        <v>3.64</v>
      </c>
      <c r="L18" s="495">
        <v>4.2300000000000004</v>
      </c>
      <c r="M18" s="495">
        <v>5.19</v>
      </c>
      <c r="N18" s="495">
        <v>4.92</v>
      </c>
      <c r="O18" s="495">
        <v>4.8099999999999996</v>
      </c>
      <c r="P18" s="495">
        <v>4.78</v>
      </c>
      <c r="Q18" s="495">
        <v>4.72</v>
      </c>
    </row>
    <row r="19" spans="1:17" ht="13" customHeight="1">
      <c r="A19" s="151"/>
      <c r="B19" s="29" t="s">
        <v>35</v>
      </c>
      <c r="C19" s="495">
        <v>2.17</v>
      </c>
      <c r="D19" s="495">
        <v>2.2400000000000002</v>
      </c>
      <c r="E19" s="495">
        <v>2.35</v>
      </c>
      <c r="F19" s="495">
        <v>2.95</v>
      </c>
      <c r="G19" s="495">
        <v>3.4</v>
      </c>
      <c r="H19" s="495">
        <v>3.39</v>
      </c>
      <c r="I19" s="495">
        <v>3.58</v>
      </c>
      <c r="J19" s="495">
        <v>3.8</v>
      </c>
      <c r="K19" s="495">
        <v>3.9</v>
      </c>
      <c r="L19" s="495">
        <v>3.99</v>
      </c>
      <c r="M19" s="495">
        <v>4.25</v>
      </c>
      <c r="N19" s="495">
        <v>4.57</v>
      </c>
      <c r="O19" s="495">
        <v>4.96</v>
      </c>
      <c r="P19" s="495">
        <v>4.75</v>
      </c>
      <c r="Q19" s="495">
        <v>4.96</v>
      </c>
    </row>
    <row r="20" spans="1:17" ht="13" customHeight="1">
      <c r="A20" s="151"/>
      <c r="B20" s="29" t="s">
        <v>36</v>
      </c>
      <c r="C20" s="495">
        <v>3.1</v>
      </c>
      <c r="D20" s="495">
        <v>2.4700000000000002</v>
      </c>
      <c r="E20" s="495">
        <v>2.23</v>
      </c>
      <c r="F20" s="495">
        <v>2.72</v>
      </c>
      <c r="G20" s="495">
        <v>3.53</v>
      </c>
      <c r="H20" s="495">
        <v>3.29</v>
      </c>
      <c r="I20" s="495">
        <v>3.65</v>
      </c>
      <c r="J20" s="495">
        <v>3.67</v>
      </c>
      <c r="K20" s="495">
        <v>4.09</v>
      </c>
      <c r="L20" s="495">
        <v>3.84</v>
      </c>
      <c r="M20" s="495">
        <v>4.5</v>
      </c>
      <c r="N20" s="495">
        <v>4.66</v>
      </c>
      <c r="O20" s="495">
        <v>4.5199999999999996</v>
      </c>
      <c r="P20" s="495">
        <v>4.5</v>
      </c>
      <c r="Q20" s="495">
        <v>4.49</v>
      </c>
    </row>
    <row r="21" spans="1:17" ht="13" customHeight="1">
      <c r="A21" s="151"/>
      <c r="B21" s="29" t="s">
        <v>37</v>
      </c>
      <c r="C21" s="495">
        <v>2.61</v>
      </c>
      <c r="D21" s="495">
        <v>2.23</v>
      </c>
      <c r="E21" s="495">
        <v>1.89</v>
      </c>
      <c r="F21" s="495">
        <v>2.81</v>
      </c>
      <c r="G21" s="495">
        <v>3.02</v>
      </c>
      <c r="H21" s="495">
        <v>3.17</v>
      </c>
      <c r="I21" s="495">
        <v>3.49</v>
      </c>
      <c r="J21" s="495">
        <v>4.1900000000000004</v>
      </c>
      <c r="K21" s="495">
        <v>4.68</v>
      </c>
      <c r="L21" s="495">
        <v>4.7300000000000004</v>
      </c>
      <c r="M21" s="495">
        <v>4.68</v>
      </c>
      <c r="N21" s="495">
        <v>4.67</v>
      </c>
      <c r="O21" s="495">
        <v>4.8499999999999996</v>
      </c>
      <c r="P21" s="495">
        <v>4.93</v>
      </c>
      <c r="Q21" s="495">
        <v>4.9800000000000004</v>
      </c>
    </row>
    <row r="22" spans="1:17" ht="13" customHeight="1">
      <c r="A22" s="151"/>
      <c r="B22" s="29" t="s">
        <v>38</v>
      </c>
      <c r="C22" s="495">
        <v>2.31</v>
      </c>
      <c r="D22" s="495">
        <v>2.2799999999999998</v>
      </c>
      <c r="E22" s="495">
        <v>2.2999999999999998</v>
      </c>
      <c r="F22" s="495">
        <v>2.61</v>
      </c>
      <c r="G22" s="495">
        <v>2.9</v>
      </c>
      <c r="H22" s="495">
        <v>3</v>
      </c>
      <c r="I22" s="495">
        <v>3.25</v>
      </c>
      <c r="J22" s="495">
        <v>3.7</v>
      </c>
      <c r="K22" s="495">
        <v>3.91</v>
      </c>
      <c r="L22" s="495">
        <v>4.6500000000000004</v>
      </c>
      <c r="M22" s="495">
        <v>4.67</v>
      </c>
      <c r="N22" s="495">
        <v>4.5999999999999996</v>
      </c>
      <c r="O22" s="495">
        <v>4.54</v>
      </c>
      <c r="P22" s="495">
        <v>4.7</v>
      </c>
      <c r="Q22" s="495">
        <v>4.6900000000000004</v>
      </c>
    </row>
    <row r="23" spans="1:17" ht="13" customHeight="1">
      <c r="A23" s="151"/>
      <c r="B23" s="29" t="s">
        <v>39</v>
      </c>
      <c r="C23" s="495">
        <v>2.81</v>
      </c>
      <c r="D23" s="495">
        <v>3.06</v>
      </c>
      <c r="E23" s="495">
        <v>2.42</v>
      </c>
      <c r="F23" s="495">
        <v>2.74</v>
      </c>
      <c r="G23" s="495">
        <v>2.91</v>
      </c>
      <c r="H23" s="495">
        <v>3.11</v>
      </c>
      <c r="I23" s="495">
        <v>3.31</v>
      </c>
      <c r="J23" s="495">
        <v>3.8</v>
      </c>
      <c r="K23" s="495">
        <v>4.01</v>
      </c>
      <c r="L23" s="495">
        <v>4.7699999999999996</v>
      </c>
      <c r="M23" s="495">
        <v>4.87</v>
      </c>
      <c r="N23" s="495">
        <v>4.74</v>
      </c>
      <c r="O23" s="495">
        <v>4.72</v>
      </c>
      <c r="P23" s="495">
        <v>4.8499999999999996</v>
      </c>
      <c r="Q23" s="495">
        <v>4.93</v>
      </c>
    </row>
    <row r="24" spans="1:17" ht="13" customHeight="1">
      <c r="A24" s="151"/>
      <c r="B24" s="29" t="s">
        <v>40</v>
      </c>
      <c r="C24" s="495">
        <v>2.44</v>
      </c>
      <c r="D24" s="495">
        <v>2.4300000000000002</v>
      </c>
      <c r="E24" s="495">
        <v>2.37</v>
      </c>
      <c r="F24" s="495">
        <v>2.83</v>
      </c>
      <c r="G24" s="495">
        <v>3.09</v>
      </c>
      <c r="H24" s="495">
        <v>3.5</v>
      </c>
      <c r="I24" s="495">
        <v>3.52</v>
      </c>
      <c r="J24" s="495">
        <v>3.75</v>
      </c>
      <c r="K24" s="495">
        <v>3.88</v>
      </c>
      <c r="L24" s="495">
        <v>4.03</v>
      </c>
      <c r="M24" s="495">
        <v>4.2300000000000004</v>
      </c>
      <c r="N24" s="495">
        <v>4.54</v>
      </c>
      <c r="O24" s="495">
        <v>4.5</v>
      </c>
      <c r="P24" s="495">
        <v>4.57</v>
      </c>
      <c r="Q24" s="495">
        <v>4.5599999999999996</v>
      </c>
    </row>
    <row r="25" spans="1:17" ht="13" customHeight="1">
      <c r="A25" s="151"/>
      <c r="B25" s="29" t="s">
        <v>41</v>
      </c>
      <c r="C25" s="495">
        <v>2.85</v>
      </c>
      <c r="D25" s="495">
        <v>2.67</v>
      </c>
      <c r="E25" s="495">
        <v>2.38</v>
      </c>
      <c r="F25" s="495">
        <v>2.36</v>
      </c>
      <c r="G25" s="495">
        <v>2.4900000000000002</v>
      </c>
      <c r="H25" s="495">
        <v>2.77</v>
      </c>
      <c r="I25" s="495">
        <v>3.69</v>
      </c>
      <c r="J25" s="495">
        <v>3.91</v>
      </c>
      <c r="K25" s="495">
        <v>3.46</v>
      </c>
      <c r="L25" s="495">
        <v>3.64</v>
      </c>
      <c r="M25" s="495">
        <v>3.7</v>
      </c>
      <c r="N25" s="495">
        <v>3.69</v>
      </c>
      <c r="O25" s="495">
        <v>3.73</v>
      </c>
      <c r="P25" s="495">
        <v>3.85</v>
      </c>
      <c r="Q25" s="495">
        <v>3.87</v>
      </c>
    </row>
    <row r="26" spans="1:17" ht="13" customHeight="1">
      <c r="A26" s="151"/>
      <c r="B26" s="29" t="s">
        <v>44</v>
      </c>
      <c r="C26" s="495">
        <v>2.86</v>
      </c>
      <c r="D26" s="495">
        <v>2.98</v>
      </c>
      <c r="E26" s="495">
        <v>2.65</v>
      </c>
      <c r="F26" s="495">
        <v>2.72</v>
      </c>
      <c r="G26" s="495">
        <v>2.72</v>
      </c>
      <c r="H26" s="495">
        <v>3.07</v>
      </c>
      <c r="I26" s="495">
        <v>3.47</v>
      </c>
      <c r="J26" s="495">
        <v>3.72</v>
      </c>
      <c r="K26" s="495">
        <v>3.97</v>
      </c>
      <c r="L26" s="495">
        <v>4.0999999999999996</v>
      </c>
      <c r="M26" s="495">
        <v>4.1500000000000004</v>
      </c>
      <c r="N26" s="495">
        <v>4.16</v>
      </c>
      <c r="O26" s="495">
        <v>4.12</v>
      </c>
      <c r="P26" s="495">
        <v>4.33</v>
      </c>
      <c r="Q26" s="495">
        <v>4.46</v>
      </c>
    </row>
    <row r="27" spans="1:17" ht="13" customHeight="1">
      <c r="A27" s="151"/>
      <c r="B27" s="29" t="s">
        <v>45</v>
      </c>
      <c r="C27" s="495">
        <v>2.5</v>
      </c>
      <c r="D27" s="495">
        <v>2.4300000000000002</v>
      </c>
      <c r="E27" s="495">
        <v>2.64</v>
      </c>
      <c r="F27" s="495">
        <v>3.06</v>
      </c>
      <c r="G27" s="495">
        <v>3.28</v>
      </c>
      <c r="H27" s="495">
        <v>3.67</v>
      </c>
      <c r="I27" s="495">
        <v>3.78</v>
      </c>
      <c r="J27" s="495">
        <v>4.25</v>
      </c>
      <c r="K27" s="495">
        <v>4.8099999999999996</v>
      </c>
      <c r="L27" s="495">
        <v>5.45</v>
      </c>
      <c r="M27" s="495">
        <v>4.99</v>
      </c>
      <c r="N27" s="495">
        <v>5.33</v>
      </c>
      <c r="O27" s="495">
        <v>5.55</v>
      </c>
      <c r="P27" s="495">
        <v>5.49</v>
      </c>
      <c r="Q27" s="495">
        <v>5.38</v>
      </c>
    </row>
    <row r="28" spans="1:17" ht="13" customHeight="1">
      <c r="A28" s="151"/>
      <c r="B28" s="150" t="s">
        <v>46</v>
      </c>
      <c r="C28" s="495" t="s">
        <v>81</v>
      </c>
      <c r="D28" s="495" t="s">
        <v>81</v>
      </c>
      <c r="E28" s="495" t="s">
        <v>81</v>
      </c>
      <c r="F28" s="495" t="s">
        <v>81</v>
      </c>
      <c r="G28" s="495" t="s">
        <v>81</v>
      </c>
      <c r="H28" s="495" t="s">
        <v>81</v>
      </c>
      <c r="I28" s="495" t="s">
        <v>81</v>
      </c>
      <c r="J28" s="495" t="s">
        <v>81</v>
      </c>
      <c r="K28" s="495" t="s">
        <v>81</v>
      </c>
      <c r="L28" s="495" t="s">
        <v>81</v>
      </c>
      <c r="M28" s="495" t="s">
        <v>81</v>
      </c>
      <c r="N28" s="495" t="s">
        <v>81</v>
      </c>
      <c r="O28" s="495" t="s">
        <v>81</v>
      </c>
      <c r="P28" s="495" t="s">
        <v>81</v>
      </c>
      <c r="Q28" s="495" t="s">
        <v>81</v>
      </c>
    </row>
    <row r="29" spans="1:17" ht="13" customHeight="1">
      <c r="A29" s="151"/>
      <c r="B29" s="30" t="s">
        <v>47</v>
      </c>
      <c r="C29" s="495" t="s">
        <v>81</v>
      </c>
      <c r="D29" s="495" t="s">
        <v>81</v>
      </c>
      <c r="E29" s="495" t="s">
        <v>81</v>
      </c>
      <c r="F29" s="495" t="s">
        <v>81</v>
      </c>
      <c r="G29" s="495" t="s">
        <v>81</v>
      </c>
      <c r="H29" s="495" t="s">
        <v>81</v>
      </c>
      <c r="I29" s="495" t="s">
        <v>81</v>
      </c>
      <c r="J29" s="495" t="s">
        <v>81</v>
      </c>
      <c r="K29" s="495" t="s">
        <v>81</v>
      </c>
      <c r="L29" s="495" t="s">
        <v>81</v>
      </c>
      <c r="M29" s="495" t="s">
        <v>81</v>
      </c>
      <c r="N29" s="495" t="s">
        <v>81</v>
      </c>
      <c r="O29" s="495" t="s">
        <v>81</v>
      </c>
      <c r="P29" s="495" t="s">
        <v>81</v>
      </c>
      <c r="Q29" s="495" t="s">
        <v>81</v>
      </c>
    </row>
    <row r="30" spans="1:17" ht="13" customHeight="1">
      <c r="A30" s="151"/>
      <c r="B30" s="29" t="s">
        <v>48</v>
      </c>
      <c r="C30" s="495" t="s">
        <v>81</v>
      </c>
      <c r="D30" s="495" t="s">
        <v>81</v>
      </c>
      <c r="E30" s="495" t="s">
        <v>81</v>
      </c>
      <c r="F30" s="495" t="s">
        <v>81</v>
      </c>
      <c r="G30" s="495" t="s">
        <v>81</v>
      </c>
      <c r="H30" s="495" t="s">
        <v>81</v>
      </c>
      <c r="I30" s="495" t="s">
        <v>81</v>
      </c>
      <c r="J30" s="495" t="s">
        <v>81</v>
      </c>
      <c r="K30" s="495" t="s">
        <v>81</v>
      </c>
      <c r="L30" s="495" t="s">
        <v>81</v>
      </c>
      <c r="M30" s="495" t="s">
        <v>81</v>
      </c>
      <c r="N30" s="495" t="s">
        <v>81</v>
      </c>
      <c r="O30" s="495" t="s">
        <v>81</v>
      </c>
      <c r="P30" s="495" t="s">
        <v>81</v>
      </c>
      <c r="Q30" s="495" t="s">
        <v>81</v>
      </c>
    </row>
    <row r="31" spans="1:17" ht="13" customHeight="1" thickBot="1">
      <c r="A31" s="453"/>
      <c r="B31" s="454" t="s">
        <v>49</v>
      </c>
      <c r="C31" s="496" t="s">
        <v>81</v>
      </c>
      <c r="D31" s="496" t="s">
        <v>81</v>
      </c>
      <c r="E31" s="496" t="s">
        <v>81</v>
      </c>
      <c r="F31" s="496" t="s">
        <v>81</v>
      </c>
      <c r="G31" s="496" t="s">
        <v>81</v>
      </c>
      <c r="H31" s="496" t="s">
        <v>81</v>
      </c>
      <c r="I31" s="496" t="s">
        <v>81</v>
      </c>
      <c r="J31" s="496" t="s">
        <v>81</v>
      </c>
      <c r="K31" s="496" t="s">
        <v>81</v>
      </c>
      <c r="L31" s="496" t="s">
        <v>81</v>
      </c>
      <c r="M31" s="496" t="s">
        <v>81</v>
      </c>
      <c r="N31" s="496" t="s">
        <v>81</v>
      </c>
      <c r="O31" s="496" t="s">
        <v>81</v>
      </c>
      <c r="P31" s="496" t="s">
        <v>81</v>
      </c>
      <c r="Q31" s="496" t="s">
        <v>81</v>
      </c>
    </row>
    <row r="32" spans="1:17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4"/>
      <c r="Q34" s="464"/>
    </row>
    <row r="36" spans="1:17" ht="13" customHeight="1"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41">
    <tabColor theme="9" tint="0.59999389629810485"/>
  </sheetPr>
  <dimension ref="A2:S36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353</v>
      </c>
      <c r="B2" s="469"/>
    </row>
    <row r="3" spans="1:19" ht="13" customHeight="1">
      <c r="A3" s="470" t="s">
        <v>325</v>
      </c>
      <c r="B3" s="470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9" ht="15" customHeight="1">
      <c r="A6" s="1102" t="s">
        <v>106</v>
      </c>
      <c r="B6" s="1102"/>
      <c r="C6" s="460">
        <f>(C8+C9+C10+C11+C12+C13+C14+C15+C16+C17+C18+C19+C20+C21+C22+C23+C24+C25+C26+C27+C28+C29+C30+C31)</f>
        <v>1995906</v>
      </c>
      <c r="D6" s="460">
        <f>(D8+D9+D10+D11+D12+D13+D14+D15+D16+D17+D18+D19+D20+D21+D22+D23+D24+D25+D26+D27+D28+D29+D30+D31)</f>
        <v>1980553</v>
      </c>
      <c r="E6" s="460">
        <v>2208305</v>
      </c>
      <c r="F6" s="460">
        <v>2325284</v>
      </c>
      <c r="G6" s="460">
        <v>2513106</v>
      </c>
      <c r="H6" s="460">
        <v>2481124</v>
      </c>
      <c r="I6" s="460">
        <v>2573193</v>
      </c>
      <c r="J6" s="460">
        <v>2636389</v>
      </c>
      <c r="K6" s="460">
        <v>2391039</v>
      </c>
      <c r="L6" s="460">
        <v>2894758</v>
      </c>
      <c r="M6" s="460">
        <v>2372976</v>
      </c>
      <c r="N6" s="460">
        <v>2420549</v>
      </c>
      <c r="O6" s="460">
        <v>2296839</v>
      </c>
      <c r="P6" s="460">
        <v>2365529</v>
      </c>
      <c r="Q6" s="460">
        <f>SUM(Q8:Q31)</f>
        <v>2254980</v>
      </c>
    </row>
    <row r="7" spans="1:19" ht="5" customHeight="1">
      <c r="A7" s="151"/>
      <c r="B7" s="152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1"/>
      <c r="Q7" s="461"/>
    </row>
    <row r="8" spans="1:19" ht="13" customHeight="1">
      <c r="A8" s="151"/>
      <c r="B8" s="29" t="s">
        <v>21</v>
      </c>
      <c r="C8" s="462">
        <v>0</v>
      </c>
      <c r="D8" s="462">
        <v>0</v>
      </c>
      <c r="E8" s="462" t="s">
        <v>380</v>
      </c>
      <c r="F8" s="462" t="s">
        <v>380</v>
      </c>
      <c r="G8" s="462" t="s">
        <v>380</v>
      </c>
      <c r="H8" s="462" t="s">
        <v>380</v>
      </c>
      <c r="I8" s="462" t="s">
        <v>380</v>
      </c>
      <c r="J8" s="462" t="s">
        <v>380</v>
      </c>
      <c r="K8" s="462" t="s">
        <v>380</v>
      </c>
      <c r="L8" s="462" t="s">
        <v>380</v>
      </c>
      <c r="M8" s="462" t="s">
        <v>380</v>
      </c>
      <c r="N8" s="462" t="s">
        <v>380</v>
      </c>
      <c r="O8" s="462" t="s">
        <v>380</v>
      </c>
      <c r="P8" s="462" t="s">
        <v>380</v>
      </c>
      <c r="Q8" s="462" t="s">
        <v>380</v>
      </c>
    </row>
    <row r="9" spans="1:19" ht="13" customHeight="1">
      <c r="A9" s="151"/>
      <c r="B9" s="29" t="s">
        <v>22</v>
      </c>
      <c r="C9" s="462">
        <v>0</v>
      </c>
      <c r="D9" s="462">
        <v>0</v>
      </c>
      <c r="E9" s="462" t="s">
        <v>380</v>
      </c>
      <c r="F9" s="462" t="s">
        <v>380</v>
      </c>
      <c r="G9" s="462" t="s">
        <v>380</v>
      </c>
      <c r="H9" s="462" t="s">
        <v>380</v>
      </c>
      <c r="I9" s="462" t="s">
        <v>380</v>
      </c>
      <c r="J9" s="462" t="s">
        <v>380</v>
      </c>
      <c r="K9" s="462" t="s">
        <v>380</v>
      </c>
      <c r="L9" s="462" t="s">
        <v>380</v>
      </c>
      <c r="M9" s="462">
        <v>135</v>
      </c>
      <c r="N9" s="462">
        <v>33</v>
      </c>
      <c r="O9" s="462">
        <v>74</v>
      </c>
      <c r="P9" s="462">
        <v>48</v>
      </c>
      <c r="Q9" s="462">
        <v>53</v>
      </c>
      <c r="S9" s="159"/>
    </row>
    <row r="10" spans="1:19" ht="13" customHeight="1">
      <c r="A10" s="151"/>
      <c r="B10" s="29" t="s">
        <v>23</v>
      </c>
      <c r="C10" s="462">
        <v>0</v>
      </c>
      <c r="D10" s="462">
        <v>0</v>
      </c>
      <c r="E10" s="462" t="s">
        <v>380</v>
      </c>
      <c r="F10" s="462" t="s">
        <v>380</v>
      </c>
      <c r="G10" s="462" t="s">
        <v>380</v>
      </c>
      <c r="H10" s="462" t="s">
        <v>380</v>
      </c>
      <c r="I10" s="462" t="s">
        <v>380</v>
      </c>
      <c r="J10" s="462" t="s">
        <v>380</v>
      </c>
      <c r="K10" s="462" t="s">
        <v>380</v>
      </c>
      <c r="L10" s="462" t="s">
        <v>380</v>
      </c>
      <c r="M10" s="462" t="s">
        <v>380</v>
      </c>
      <c r="N10" s="462" t="s">
        <v>380</v>
      </c>
      <c r="O10" s="462" t="s">
        <v>380</v>
      </c>
      <c r="P10" s="462" t="s">
        <v>380</v>
      </c>
      <c r="Q10" s="462" t="s">
        <v>380</v>
      </c>
      <c r="S10" s="159"/>
    </row>
    <row r="11" spans="1:19" ht="13" customHeight="1">
      <c r="A11" s="151"/>
      <c r="B11" s="29" t="s">
        <v>24</v>
      </c>
      <c r="C11" s="462">
        <v>4028</v>
      </c>
      <c r="D11" s="462">
        <v>4320</v>
      </c>
      <c r="E11" s="462">
        <v>4415</v>
      </c>
      <c r="F11" s="462">
        <v>3804</v>
      </c>
      <c r="G11" s="462">
        <v>5953</v>
      </c>
      <c r="H11" s="462">
        <v>5366</v>
      </c>
      <c r="I11" s="462">
        <v>5072</v>
      </c>
      <c r="J11" s="462">
        <v>5594</v>
      </c>
      <c r="K11" s="462">
        <v>5899</v>
      </c>
      <c r="L11" s="462">
        <v>5988</v>
      </c>
      <c r="M11" s="462">
        <v>6189</v>
      </c>
      <c r="N11" s="462">
        <v>6140</v>
      </c>
      <c r="O11" s="462">
        <v>6568</v>
      </c>
      <c r="P11" s="462">
        <v>6590</v>
      </c>
      <c r="Q11" s="462">
        <v>6520</v>
      </c>
      <c r="S11" s="159"/>
    </row>
    <row r="12" spans="1:19" ht="13" customHeight="1">
      <c r="A12" s="151"/>
      <c r="B12" s="29" t="s">
        <v>25</v>
      </c>
      <c r="C12" s="462">
        <v>615</v>
      </c>
      <c r="D12" s="462">
        <v>670</v>
      </c>
      <c r="E12" s="462">
        <v>540</v>
      </c>
      <c r="F12" s="462">
        <v>125</v>
      </c>
      <c r="G12" s="462">
        <v>150</v>
      </c>
      <c r="H12" s="462" t="s">
        <v>380</v>
      </c>
      <c r="I12" s="462" t="s">
        <v>380</v>
      </c>
      <c r="J12" s="462" t="s">
        <v>380</v>
      </c>
      <c r="K12" s="462" t="s">
        <v>380</v>
      </c>
      <c r="L12" s="462" t="s">
        <v>380</v>
      </c>
      <c r="M12" s="462" t="s">
        <v>380</v>
      </c>
      <c r="N12" s="462" t="s">
        <v>380</v>
      </c>
      <c r="O12" s="462" t="s">
        <v>380</v>
      </c>
      <c r="P12" s="462" t="s">
        <v>380</v>
      </c>
      <c r="Q12" s="462" t="s">
        <v>380</v>
      </c>
      <c r="S12" s="159"/>
    </row>
    <row r="13" spans="1:19" ht="13" customHeight="1">
      <c r="A13" s="151"/>
      <c r="B13" s="29" t="s">
        <v>29</v>
      </c>
      <c r="C13" s="462">
        <v>0</v>
      </c>
      <c r="D13" s="462">
        <v>0</v>
      </c>
      <c r="E13" s="462" t="s">
        <v>380</v>
      </c>
      <c r="F13" s="462" t="s">
        <v>380</v>
      </c>
      <c r="G13" s="462" t="s">
        <v>380</v>
      </c>
      <c r="H13" s="462" t="s">
        <v>380</v>
      </c>
      <c r="I13" s="462" t="s">
        <v>380</v>
      </c>
      <c r="J13" s="462" t="s">
        <v>380</v>
      </c>
      <c r="K13" s="462" t="s">
        <v>380</v>
      </c>
      <c r="L13" s="462" t="s">
        <v>380</v>
      </c>
      <c r="M13" s="462" t="s">
        <v>380</v>
      </c>
      <c r="N13" s="462" t="s">
        <v>380</v>
      </c>
      <c r="O13" s="462" t="s">
        <v>380</v>
      </c>
      <c r="P13" s="462" t="s">
        <v>380</v>
      </c>
      <c r="Q13" s="462" t="s">
        <v>380</v>
      </c>
      <c r="S13" s="159"/>
    </row>
    <row r="14" spans="1:19" ht="13" customHeight="1">
      <c r="A14" s="151"/>
      <c r="B14" s="29" t="s">
        <v>30</v>
      </c>
      <c r="C14" s="462">
        <v>4285</v>
      </c>
      <c r="D14" s="462">
        <v>3089</v>
      </c>
      <c r="E14" s="462">
        <v>5010</v>
      </c>
      <c r="F14" s="462">
        <v>1737</v>
      </c>
      <c r="G14" s="462">
        <v>1683</v>
      </c>
      <c r="H14" s="462">
        <v>1520</v>
      </c>
      <c r="I14" s="462">
        <v>1683</v>
      </c>
      <c r="J14" s="462">
        <v>1420</v>
      </c>
      <c r="K14" s="462" t="s">
        <v>380</v>
      </c>
      <c r="L14" s="462" t="s">
        <v>380</v>
      </c>
      <c r="M14" s="462" t="s">
        <v>380</v>
      </c>
      <c r="N14" s="462" t="s">
        <v>380</v>
      </c>
      <c r="O14" s="462" t="s">
        <v>380</v>
      </c>
      <c r="P14" s="462" t="s">
        <v>380</v>
      </c>
      <c r="Q14" s="462" t="s">
        <v>380</v>
      </c>
      <c r="S14" s="159"/>
    </row>
    <row r="15" spans="1:19" ht="13" customHeight="1">
      <c r="A15" s="151"/>
      <c r="B15" s="29" t="s">
        <v>31</v>
      </c>
      <c r="C15" s="462">
        <v>485</v>
      </c>
      <c r="D15" s="462">
        <v>3369</v>
      </c>
      <c r="E15" s="462">
        <v>3708</v>
      </c>
      <c r="F15" s="462">
        <v>4565</v>
      </c>
      <c r="G15" s="462">
        <v>3148</v>
      </c>
      <c r="H15" s="462">
        <v>2941</v>
      </c>
      <c r="I15" s="462">
        <v>2086</v>
      </c>
      <c r="J15" s="462">
        <v>3080</v>
      </c>
      <c r="K15" s="462">
        <v>3155</v>
      </c>
      <c r="L15" s="462">
        <v>2891</v>
      </c>
      <c r="M15" s="462">
        <v>3695</v>
      </c>
      <c r="N15" s="462">
        <v>22803</v>
      </c>
      <c r="O15" s="462">
        <v>20363</v>
      </c>
      <c r="P15" s="462">
        <v>19639</v>
      </c>
      <c r="Q15" s="462">
        <v>18461</v>
      </c>
      <c r="S15" s="159"/>
    </row>
    <row r="16" spans="1:19" ht="13" customHeight="1">
      <c r="A16" s="151"/>
      <c r="B16" s="29" t="s">
        <v>32</v>
      </c>
      <c r="C16" s="462">
        <v>0</v>
      </c>
      <c r="D16" s="462">
        <v>0</v>
      </c>
      <c r="E16" s="462" t="s">
        <v>380</v>
      </c>
      <c r="F16" s="462" t="s">
        <v>380</v>
      </c>
      <c r="G16" s="462" t="s">
        <v>380</v>
      </c>
      <c r="H16" s="462" t="s">
        <v>380</v>
      </c>
      <c r="I16" s="462" t="s">
        <v>380</v>
      </c>
      <c r="J16" s="462" t="s">
        <v>380</v>
      </c>
      <c r="K16" s="462" t="s">
        <v>380</v>
      </c>
      <c r="L16" s="462" t="s">
        <v>380</v>
      </c>
      <c r="M16" s="462" t="s">
        <v>380</v>
      </c>
      <c r="N16" s="462" t="s">
        <v>380</v>
      </c>
      <c r="O16" s="462" t="s">
        <v>380</v>
      </c>
      <c r="P16" s="462" t="s">
        <v>380</v>
      </c>
      <c r="Q16" s="462" t="s">
        <v>380</v>
      </c>
      <c r="S16" s="159"/>
    </row>
    <row r="17" spans="1:19" ht="13" customHeight="1">
      <c r="A17" s="151"/>
      <c r="B17" s="29" t="s">
        <v>33</v>
      </c>
      <c r="C17" s="462">
        <v>1154</v>
      </c>
      <c r="D17" s="462">
        <v>1002</v>
      </c>
      <c r="E17" s="462">
        <v>613</v>
      </c>
      <c r="F17" s="462">
        <v>978</v>
      </c>
      <c r="G17" s="462">
        <v>100</v>
      </c>
      <c r="H17" s="462">
        <v>17</v>
      </c>
      <c r="I17" s="462">
        <v>0</v>
      </c>
      <c r="J17" s="462">
        <v>723</v>
      </c>
      <c r="K17" s="462">
        <v>187</v>
      </c>
      <c r="L17" s="462">
        <v>250</v>
      </c>
      <c r="M17" s="462">
        <v>773</v>
      </c>
      <c r="N17" s="462">
        <v>2084</v>
      </c>
      <c r="O17" s="462">
        <v>2742</v>
      </c>
      <c r="P17" s="462">
        <v>2772</v>
      </c>
      <c r="Q17" s="462">
        <v>1457</v>
      </c>
      <c r="S17" s="159"/>
    </row>
    <row r="18" spans="1:19" ht="13" customHeight="1">
      <c r="A18" s="151"/>
      <c r="B18" s="29" t="s">
        <v>34</v>
      </c>
      <c r="C18" s="462">
        <v>17989</v>
      </c>
      <c r="D18" s="462">
        <v>21293</v>
      </c>
      <c r="E18" s="462">
        <v>31731</v>
      </c>
      <c r="F18" s="462">
        <v>35641</v>
      </c>
      <c r="G18" s="462">
        <v>35058</v>
      </c>
      <c r="H18" s="462">
        <v>34872</v>
      </c>
      <c r="I18" s="462">
        <v>46412</v>
      </c>
      <c r="J18" s="462">
        <v>48600</v>
      </c>
      <c r="K18" s="462">
        <v>49774</v>
      </c>
      <c r="L18" s="462">
        <v>56683</v>
      </c>
      <c r="M18" s="462">
        <v>65388</v>
      </c>
      <c r="N18" s="462">
        <v>71070</v>
      </c>
      <c r="O18" s="462">
        <v>74094</v>
      </c>
      <c r="P18" s="462">
        <v>81469</v>
      </c>
      <c r="Q18" s="462">
        <v>85162</v>
      </c>
      <c r="S18" s="159"/>
    </row>
    <row r="19" spans="1:19" ht="13" customHeight="1">
      <c r="A19" s="151"/>
      <c r="B19" s="29" t="s">
        <v>35</v>
      </c>
      <c r="C19" s="462">
        <v>20030</v>
      </c>
      <c r="D19" s="462">
        <v>20420</v>
      </c>
      <c r="E19" s="462">
        <v>13605</v>
      </c>
      <c r="F19" s="462">
        <v>34313</v>
      </c>
      <c r="G19" s="462">
        <v>33970</v>
      </c>
      <c r="H19" s="462">
        <v>33616</v>
      </c>
      <c r="I19" s="462">
        <v>48775</v>
      </c>
      <c r="J19" s="462">
        <v>53277</v>
      </c>
      <c r="K19" s="462">
        <v>41363</v>
      </c>
      <c r="L19" s="462">
        <v>57138</v>
      </c>
      <c r="M19" s="462">
        <v>49034</v>
      </c>
      <c r="N19" s="462">
        <v>51378</v>
      </c>
      <c r="O19" s="462">
        <v>50060</v>
      </c>
      <c r="P19" s="462">
        <v>55627</v>
      </c>
      <c r="Q19" s="462">
        <v>55889</v>
      </c>
      <c r="S19" s="159"/>
    </row>
    <row r="20" spans="1:19" ht="13" customHeight="1">
      <c r="A20" s="151"/>
      <c r="B20" s="29" t="s">
        <v>36</v>
      </c>
      <c r="C20" s="462">
        <v>93497</v>
      </c>
      <c r="D20" s="462">
        <v>87269</v>
      </c>
      <c r="E20" s="462">
        <v>70402</v>
      </c>
      <c r="F20" s="462">
        <v>37578</v>
      </c>
      <c r="G20" s="462">
        <v>62597</v>
      </c>
      <c r="H20" s="462">
        <v>60037</v>
      </c>
      <c r="I20" s="462">
        <v>57757</v>
      </c>
      <c r="J20" s="462">
        <v>79033</v>
      </c>
      <c r="K20" s="462">
        <v>43508</v>
      </c>
      <c r="L20" s="462">
        <v>33261</v>
      </c>
      <c r="M20" s="462">
        <v>46571</v>
      </c>
      <c r="N20" s="462">
        <v>76383</v>
      </c>
      <c r="O20" s="462">
        <v>64571</v>
      </c>
      <c r="P20" s="462">
        <v>89649</v>
      </c>
      <c r="Q20" s="462">
        <v>57877</v>
      </c>
      <c r="S20" s="159"/>
    </row>
    <row r="21" spans="1:19" ht="13" customHeight="1">
      <c r="A21" s="151"/>
      <c r="B21" s="29" t="s">
        <v>37</v>
      </c>
      <c r="C21" s="462">
        <v>119251</v>
      </c>
      <c r="D21" s="462">
        <v>153477</v>
      </c>
      <c r="E21" s="462">
        <v>179722</v>
      </c>
      <c r="F21" s="462">
        <v>192907</v>
      </c>
      <c r="G21" s="462">
        <v>228350</v>
      </c>
      <c r="H21" s="462">
        <v>224945</v>
      </c>
      <c r="I21" s="462">
        <v>213292</v>
      </c>
      <c r="J21" s="462">
        <v>195858</v>
      </c>
      <c r="K21" s="462">
        <v>187980</v>
      </c>
      <c r="L21" s="462">
        <v>210921</v>
      </c>
      <c r="M21" s="462">
        <v>150095</v>
      </c>
      <c r="N21" s="462">
        <v>140598</v>
      </c>
      <c r="O21" s="462">
        <v>105822</v>
      </c>
      <c r="P21" s="462">
        <v>96849</v>
      </c>
      <c r="Q21" s="462">
        <v>94709</v>
      </c>
      <c r="S21" s="159"/>
    </row>
    <row r="22" spans="1:19" ht="13" customHeight="1">
      <c r="A22" s="151"/>
      <c r="B22" s="29" t="s">
        <v>38</v>
      </c>
      <c r="C22" s="462">
        <v>5254</v>
      </c>
      <c r="D22" s="462">
        <v>5629</v>
      </c>
      <c r="E22" s="462">
        <v>9022</v>
      </c>
      <c r="F22" s="462">
        <v>8934</v>
      </c>
      <c r="G22" s="462">
        <v>3729</v>
      </c>
      <c r="H22" s="462">
        <v>18308</v>
      </c>
      <c r="I22" s="462">
        <v>54487</v>
      </c>
      <c r="J22" s="462">
        <v>49180</v>
      </c>
      <c r="K22" s="462">
        <v>23680</v>
      </c>
      <c r="L22" s="462">
        <v>17423</v>
      </c>
      <c r="M22" s="462">
        <v>32525</v>
      </c>
      <c r="N22" s="462">
        <v>26987</v>
      </c>
      <c r="O22" s="462">
        <v>35831</v>
      </c>
      <c r="P22" s="462">
        <v>41211</v>
      </c>
      <c r="Q22" s="462">
        <v>37844</v>
      </c>
      <c r="S22" s="159"/>
    </row>
    <row r="23" spans="1:19" ht="13" customHeight="1">
      <c r="A23" s="151"/>
      <c r="B23" s="29" t="s">
        <v>39</v>
      </c>
      <c r="C23" s="462">
        <v>5100</v>
      </c>
      <c r="D23" s="462">
        <v>3970</v>
      </c>
      <c r="E23" s="462">
        <v>7768</v>
      </c>
      <c r="F23" s="462">
        <v>3100</v>
      </c>
      <c r="G23" s="462">
        <v>1968</v>
      </c>
      <c r="H23" s="462">
        <v>13802</v>
      </c>
      <c r="I23" s="462">
        <v>11800</v>
      </c>
      <c r="J23" s="462">
        <v>24119</v>
      </c>
      <c r="K23" s="462">
        <v>16561</v>
      </c>
      <c r="L23" s="462">
        <v>15450</v>
      </c>
      <c r="M23" s="462">
        <v>39643</v>
      </c>
      <c r="N23" s="462">
        <v>32160</v>
      </c>
      <c r="O23" s="462">
        <v>32501</v>
      </c>
      <c r="P23" s="462">
        <v>61545</v>
      </c>
      <c r="Q23" s="462">
        <v>53650</v>
      </c>
      <c r="S23" s="159"/>
    </row>
    <row r="24" spans="1:19" ht="13" customHeight="1">
      <c r="A24" s="151"/>
      <c r="B24" s="29" t="s">
        <v>40</v>
      </c>
      <c r="C24" s="462">
        <v>67180</v>
      </c>
      <c r="D24" s="462">
        <v>53218</v>
      </c>
      <c r="E24" s="462">
        <v>62264</v>
      </c>
      <c r="F24" s="462">
        <v>61204</v>
      </c>
      <c r="G24" s="462">
        <v>75043</v>
      </c>
      <c r="H24" s="462">
        <v>53567</v>
      </c>
      <c r="I24" s="462">
        <v>74721</v>
      </c>
      <c r="J24" s="462">
        <v>85040</v>
      </c>
      <c r="K24" s="462">
        <v>89479</v>
      </c>
      <c r="L24" s="462">
        <v>80283</v>
      </c>
      <c r="M24" s="462">
        <v>75801</v>
      </c>
      <c r="N24" s="462">
        <v>93171</v>
      </c>
      <c r="O24" s="462">
        <v>95838</v>
      </c>
      <c r="P24" s="462">
        <v>97555</v>
      </c>
      <c r="Q24" s="462">
        <v>109742</v>
      </c>
      <c r="S24" s="159"/>
    </row>
    <row r="25" spans="1:19" ht="13" customHeight="1">
      <c r="A25" s="151"/>
      <c r="B25" s="29" t="s">
        <v>41</v>
      </c>
      <c r="C25" s="462">
        <v>110926</v>
      </c>
      <c r="D25" s="462">
        <v>100982</v>
      </c>
      <c r="E25" s="462">
        <v>115710</v>
      </c>
      <c r="F25" s="462">
        <v>113568</v>
      </c>
      <c r="G25" s="462">
        <v>78155</v>
      </c>
      <c r="H25" s="462">
        <v>77382</v>
      </c>
      <c r="I25" s="462">
        <v>109546</v>
      </c>
      <c r="J25" s="462">
        <v>78748</v>
      </c>
      <c r="K25" s="462">
        <v>72850</v>
      </c>
      <c r="L25" s="462">
        <v>65394</v>
      </c>
      <c r="M25" s="462">
        <v>61614</v>
      </c>
      <c r="N25" s="462">
        <v>54680</v>
      </c>
      <c r="O25" s="462">
        <v>45100</v>
      </c>
      <c r="P25" s="462">
        <v>40810</v>
      </c>
      <c r="Q25" s="462">
        <v>40458</v>
      </c>
      <c r="S25" s="159"/>
    </row>
    <row r="26" spans="1:19" ht="13" customHeight="1">
      <c r="A26" s="151"/>
      <c r="B26" s="29" t="s">
        <v>44</v>
      </c>
      <c r="C26" s="462">
        <v>167952</v>
      </c>
      <c r="D26" s="462">
        <v>117405</v>
      </c>
      <c r="E26" s="462">
        <v>272075</v>
      </c>
      <c r="F26" s="462">
        <v>352710</v>
      </c>
      <c r="G26" s="462">
        <v>447362</v>
      </c>
      <c r="H26" s="462">
        <v>393621</v>
      </c>
      <c r="I26" s="462">
        <v>355242</v>
      </c>
      <c r="J26" s="462">
        <v>399422</v>
      </c>
      <c r="K26" s="462">
        <v>312713</v>
      </c>
      <c r="L26" s="462">
        <v>326344</v>
      </c>
      <c r="M26" s="462">
        <v>330367</v>
      </c>
      <c r="N26" s="462">
        <v>320643</v>
      </c>
      <c r="O26" s="462">
        <v>314905</v>
      </c>
      <c r="P26" s="462">
        <v>355005</v>
      </c>
      <c r="Q26" s="462">
        <v>323548</v>
      </c>
      <c r="S26" s="159"/>
    </row>
    <row r="27" spans="1:19" ht="13" customHeight="1">
      <c r="A27" s="151"/>
      <c r="B27" s="29" t="s">
        <v>45</v>
      </c>
      <c r="C27" s="462">
        <v>1378160</v>
      </c>
      <c r="D27" s="462">
        <v>1404440</v>
      </c>
      <c r="E27" s="462">
        <v>1431720</v>
      </c>
      <c r="F27" s="462">
        <v>1474120</v>
      </c>
      <c r="G27" s="462">
        <v>1535840</v>
      </c>
      <c r="H27" s="462">
        <v>1561130</v>
      </c>
      <c r="I27" s="462">
        <v>1592320</v>
      </c>
      <c r="J27" s="462">
        <v>1612295</v>
      </c>
      <c r="K27" s="462">
        <v>1543890</v>
      </c>
      <c r="L27" s="462">
        <v>2022732</v>
      </c>
      <c r="M27" s="462">
        <v>1511145</v>
      </c>
      <c r="N27" s="462">
        <v>1522420</v>
      </c>
      <c r="O27" s="462">
        <v>1448371</v>
      </c>
      <c r="P27" s="462">
        <v>1416760</v>
      </c>
      <c r="Q27" s="462">
        <v>1369610</v>
      </c>
      <c r="S27" s="159"/>
    </row>
    <row r="28" spans="1:19" ht="13" customHeight="1">
      <c r="A28" s="151"/>
      <c r="B28" s="150" t="s">
        <v>46</v>
      </c>
      <c r="C28" s="462">
        <v>0</v>
      </c>
      <c r="D28" s="462">
        <v>0</v>
      </c>
      <c r="E28" s="462" t="s">
        <v>380</v>
      </c>
      <c r="F28" s="462" t="s">
        <v>380</v>
      </c>
      <c r="G28" s="462" t="s">
        <v>380</v>
      </c>
      <c r="H28" s="462" t="s">
        <v>380</v>
      </c>
      <c r="I28" s="462" t="s">
        <v>380</v>
      </c>
      <c r="J28" s="462" t="s">
        <v>380</v>
      </c>
      <c r="K28" s="462" t="s">
        <v>380</v>
      </c>
      <c r="L28" s="462" t="s">
        <v>380</v>
      </c>
      <c r="M28" s="462" t="s">
        <v>380</v>
      </c>
      <c r="N28" s="462" t="s">
        <v>380</v>
      </c>
      <c r="O28" s="462" t="s">
        <v>380</v>
      </c>
      <c r="P28" s="462" t="s">
        <v>380</v>
      </c>
      <c r="Q28" s="462" t="s">
        <v>380</v>
      </c>
      <c r="S28" s="159"/>
    </row>
    <row r="29" spans="1:19" ht="13" customHeight="1">
      <c r="A29" s="151"/>
      <c r="B29" s="30" t="s">
        <v>47</v>
      </c>
      <c r="C29" s="462">
        <v>0</v>
      </c>
      <c r="D29" s="462">
        <v>0</v>
      </c>
      <c r="E29" s="462" t="s">
        <v>380</v>
      </c>
      <c r="F29" s="462" t="s">
        <v>380</v>
      </c>
      <c r="G29" s="462" t="s">
        <v>380</v>
      </c>
      <c r="H29" s="462" t="s">
        <v>380</v>
      </c>
      <c r="I29" s="462" t="s">
        <v>380</v>
      </c>
      <c r="J29" s="462" t="s">
        <v>380</v>
      </c>
      <c r="K29" s="462" t="s">
        <v>380</v>
      </c>
      <c r="L29" s="462" t="s">
        <v>380</v>
      </c>
      <c r="M29" s="462" t="s">
        <v>380</v>
      </c>
      <c r="N29" s="462" t="s">
        <v>380</v>
      </c>
      <c r="O29" s="462" t="s">
        <v>380</v>
      </c>
      <c r="P29" s="462" t="s">
        <v>380</v>
      </c>
      <c r="Q29" s="462" t="s">
        <v>380</v>
      </c>
      <c r="S29" s="159"/>
    </row>
    <row r="30" spans="1:19" ht="13" customHeight="1">
      <c r="A30" s="151"/>
      <c r="B30" s="29" t="s">
        <v>48</v>
      </c>
      <c r="C30" s="462">
        <v>0</v>
      </c>
      <c r="D30" s="462">
        <v>0</v>
      </c>
      <c r="E30" s="462" t="s">
        <v>380</v>
      </c>
      <c r="F30" s="462" t="s">
        <v>380</v>
      </c>
      <c r="G30" s="462" t="s">
        <v>380</v>
      </c>
      <c r="H30" s="462" t="s">
        <v>380</v>
      </c>
      <c r="I30" s="462" t="s">
        <v>380</v>
      </c>
      <c r="J30" s="462" t="s">
        <v>380</v>
      </c>
      <c r="K30" s="462" t="s">
        <v>380</v>
      </c>
      <c r="L30" s="462" t="s">
        <v>380</v>
      </c>
      <c r="M30" s="462" t="s">
        <v>380</v>
      </c>
      <c r="N30" s="462" t="s">
        <v>380</v>
      </c>
      <c r="O30" s="462" t="s">
        <v>380</v>
      </c>
      <c r="P30" s="462" t="s">
        <v>380</v>
      </c>
      <c r="Q30" s="462" t="s">
        <v>380</v>
      </c>
      <c r="S30" s="159"/>
    </row>
    <row r="31" spans="1:19" ht="13" customHeight="1" thickBot="1">
      <c r="A31" s="453"/>
      <c r="B31" s="454" t="s">
        <v>49</v>
      </c>
      <c r="C31" s="473">
        <v>0</v>
      </c>
      <c r="D31" s="473">
        <v>0</v>
      </c>
      <c r="E31" s="473" t="s">
        <v>380</v>
      </c>
      <c r="F31" s="473" t="s">
        <v>380</v>
      </c>
      <c r="G31" s="473" t="s">
        <v>380</v>
      </c>
      <c r="H31" s="473" t="s">
        <v>380</v>
      </c>
      <c r="I31" s="473" t="s">
        <v>380</v>
      </c>
      <c r="J31" s="473" t="s">
        <v>380</v>
      </c>
      <c r="K31" s="473" t="s">
        <v>380</v>
      </c>
      <c r="L31" s="473" t="s">
        <v>380</v>
      </c>
      <c r="M31" s="473" t="s">
        <v>380</v>
      </c>
      <c r="N31" s="473" t="s">
        <v>380</v>
      </c>
      <c r="O31" s="473" t="s">
        <v>380</v>
      </c>
      <c r="P31" s="473" t="s">
        <v>380</v>
      </c>
      <c r="Q31" s="473" t="s">
        <v>380</v>
      </c>
      <c r="S31" s="159"/>
    </row>
    <row r="32" spans="1:19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4"/>
      <c r="Q34" s="464"/>
    </row>
    <row r="36" spans="1:17" ht="13" customHeight="1"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42">
    <tabColor theme="9" tint="0.59999389629810485"/>
  </sheetPr>
  <dimension ref="A2:S36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352</v>
      </c>
      <c r="B2" s="469"/>
    </row>
    <row r="3" spans="1:19" ht="13" customHeight="1">
      <c r="A3" s="470" t="s">
        <v>319</v>
      </c>
      <c r="B3" s="470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9" ht="15" customHeight="1">
      <c r="A6" s="1102" t="s">
        <v>106</v>
      </c>
      <c r="B6" s="1102"/>
      <c r="C6" s="484">
        <f>(C8+C9+C10+C11+C12+C13+C14+C15+C16+C17+C18+C19+C20+C21+C22+C23+C24+C25+C26+C27+C28+C29+C30+C31)</f>
        <v>3596</v>
      </c>
      <c r="D6" s="484">
        <f>(D8+D9+D10+D11+D12+D13+D14+D15+D16+D17+D18+D19+D20+D21+D22+D23+D24+D25+D26+D27+D28+D29+D30+D31)</f>
        <v>3510</v>
      </c>
      <c r="E6" s="484">
        <v>3895</v>
      </c>
      <c r="F6" s="484">
        <v>4019</v>
      </c>
      <c r="G6" s="484">
        <v>4387</v>
      </c>
      <c r="H6" s="484">
        <v>4352</v>
      </c>
      <c r="I6" s="484">
        <v>4661</v>
      </c>
      <c r="J6" s="484">
        <v>4797</v>
      </c>
      <c r="K6" s="484">
        <v>4420</v>
      </c>
      <c r="L6" s="484">
        <v>4485</v>
      </c>
      <c r="M6" s="484">
        <v>4438</v>
      </c>
      <c r="N6" s="484">
        <v>4508</v>
      </c>
      <c r="O6" s="484">
        <v>4314</v>
      </c>
      <c r="P6" s="484">
        <v>4575</v>
      </c>
      <c r="Q6" s="484">
        <f>SUM(Q8:Q31)</f>
        <v>4453.1000000000004</v>
      </c>
    </row>
    <row r="7" spans="1:19" ht="5" customHeight="1">
      <c r="A7" s="151"/>
      <c r="B7" s="152"/>
      <c r="C7" s="485"/>
      <c r="D7" s="485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5"/>
      <c r="Q7" s="485"/>
    </row>
    <row r="8" spans="1:19" ht="13" customHeight="1">
      <c r="A8" s="151"/>
      <c r="B8" s="29" t="s">
        <v>21</v>
      </c>
      <c r="C8" s="499">
        <v>0</v>
      </c>
      <c r="D8" s="499">
        <v>0</v>
      </c>
      <c r="E8" s="499" t="s">
        <v>381</v>
      </c>
      <c r="F8" s="499" t="s">
        <v>381</v>
      </c>
      <c r="G8" s="499" t="s">
        <v>381</v>
      </c>
      <c r="H8" s="499" t="s">
        <v>381</v>
      </c>
      <c r="I8" s="499" t="s">
        <v>381</v>
      </c>
      <c r="J8" s="499" t="s">
        <v>381</v>
      </c>
      <c r="K8" s="499" t="s">
        <v>381</v>
      </c>
      <c r="L8" s="499" t="s">
        <v>381</v>
      </c>
      <c r="M8" s="499" t="s">
        <v>381</v>
      </c>
      <c r="N8" s="499" t="s">
        <v>381</v>
      </c>
      <c r="O8" s="499" t="s">
        <v>381</v>
      </c>
      <c r="P8" s="499"/>
      <c r="Q8" s="499" t="s">
        <v>381</v>
      </c>
    </row>
    <row r="9" spans="1:19" ht="13" customHeight="1">
      <c r="A9" s="151"/>
      <c r="B9" s="29" t="s">
        <v>22</v>
      </c>
      <c r="C9" s="499">
        <v>0</v>
      </c>
      <c r="D9" s="499">
        <v>0</v>
      </c>
      <c r="E9" s="499" t="s">
        <v>381</v>
      </c>
      <c r="F9" s="499" t="s">
        <v>381</v>
      </c>
      <c r="G9" s="499" t="s">
        <v>381</v>
      </c>
      <c r="H9" s="499" t="s">
        <v>381</v>
      </c>
      <c r="I9" s="499" t="s">
        <v>381</v>
      </c>
      <c r="J9" s="499" t="s">
        <v>381</v>
      </c>
      <c r="K9" s="499" t="s">
        <v>381</v>
      </c>
      <c r="L9" s="499" t="s">
        <v>381</v>
      </c>
      <c r="M9" s="499">
        <v>0.2</v>
      </c>
      <c r="N9" s="499">
        <v>0</v>
      </c>
      <c r="O9" s="499">
        <v>0.1</v>
      </c>
      <c r="P9" s="499">
        <v>0.1</v>
      </c>
      <c r="Q9" s="499">
        <v>0.1</v>
      </c>
      <c r="S9" s="159"/>
    </row>
    <row r="10" spans="1:19" ht="13" customHeight="1">
      <c r="A10" s="151"/>
      <c r="B10" s="29" t="s">
        <v>23</v>
      </c>
      <c r="C10" s="499">
        <v>0</v>
      </c>
      <c r="D10" s="499">
        <v>0</v>
      </c>
      <c r="E10" s="499" t="s">
        <v>381</v>
      </c>
      <c r="F10" s="499" t="s">
        <v>381</v>
      </c>
      <c r="G10" s="499" t="s">
        <v>381</v>
      </c>
      <c r="H10" s="499" t="s">
        <v>381</v>
      </c>
      <c r="I10" s="499" t="s">
        <v>381</v>
      </c>
      <c r="J10" s="499" t="s">
        <v>381</v>
      </c>
      <c r="K10" s="499" t="s">
        <v>381</v>
      </c>
      <c r="L10" s="499" t="s">
        <v>381</v>
      </c>
      <c r="M10" s="499" t="s">
        <v>381</v>
      </c>
      <c r="N10" s="499" t="s">
        <v>381</v>
      </c>
      <c r="O10" s="499" t="s">
        <v>381</v>
      </c>
      <c r="P10" s="499"/>
      <c r="Q10" s="499" t="s">
        <v>381</v>
      </c>
      <c r="S10" s="159"/>
    </row>
    <row r="11" spans="1:19" ht="13" customHeight="1">
      <c r="A11" s="151"/>
      <c r="B11" s="29" t="s">
        <v>24</v>
      </c>
      <c r="C11" s="499">
        <v>12</v>
      </c>
      <c r="D11" s="499">
        <v>13</v>
      </c>
      <c r="E11" s="499">
        <v>13</v>
      </c>
      <c r="F11" s="499">
        <v>11</v>
      </c>
      <c r="G11" s="499">
        <v>14</v>
      </c>
      <c r="H11" s="499">
        <v>14</v>
      </c>
      <c r="I11" s="499">
        <v>14</v>
      </c>
      <c r="J11" s="499">
        <v>15</v>
      </c>
      <c r="K11" s="499">
        <v>17</v>
      </c>
      <c r="L11" s="499">
        <v>17</v>
      </c>
      <c r="M11" s="499">
        <v>17</v>
      </c>
      <c r="N11" s="499">
        <v>18</v>
      </c>
      <c r="O11" s="499">
        <v>18</v>
      </c>
      <c r="P11" s="499">
        <v>18</v>
      </c>
      <c r="Q11" s="499">
        <v>17</v>
      </c>
      <c r="S11" s="159"/>
    </row>
    <row r="12" spans="1:19" ht="13" customHeight="1">
      <c r="A12" s="151"/>
      <c r="B12" s="29" t="s">
        <v>25</v>
      </c>
      <c r="C12" s="499">
        <v>2</v>
      </c>
      <c r="D12" s="499">
        <v>2</v>
      </c>
      <c r="E12" s="499">
        <v>1</v>
      </c>
      <c r="F12" s="499">
        <v>0.4</v>
      </c>
      <c r="G12" s="499">
        <v>0.4</v>
      </c>
      <c r="H12" s="499" t="s">
        <v>381</v>
      </c>
      <c r="I12" s="499" t="s">
        <v>381</v>
      </c>
      <c r="J12" s="499" t="s">
        <v>381</v>
      </c>
      <c r="K12" s="499" t="s">
        <v>381</v>
      </c>
      <c r="L12" s="499" t="s">
        <v>381</v>
      </c>
      <c r="M12" s="499" t="s">
        <v>381</v>
      </c>
      <c r="N12" s="499" t="s">
        <v>381</v>
      </c>
      <c r="O12" s="499" t="s">
        <v>381</v>
      </c>
      <c r="P12" s="499"/>
      <c r="Q12" s="499" t="s">
        <v>381</v>
      </c>
      <c r="S12" s="159"/>
    </row>
    <row r="13" spans="1:19" ht="13" customHeight="1">
      <c r="A13" s="151"/>
      <c r="B13" s="29" t="s">
        <v>29</v>
      </c>
      <c r="C13" s="499">
        <v>0</v>
      </c>
      <c r="D13" s="499">
        <v>0</v>
      </c>
      <c r="E13" s="499" t="s">
        <v>381</v>
      </c>
      <c r="F13" s="499" t="s">
        <v>381</v>
      </c>
      <c r="G13" s="499" t="s">
        <v>381</v>
      </c>
      <c r="H13" s="499" t="s">
        <v>381</v>
      </c>
      <c r="I13" s="499" t="s">
        <v>381</v>
      </c>
      <c r="J13" s="499" t="s">
        <v>381</v>
      </c>
      <c r="K13" s="499" t="s">
        <v>381</v>
      </c>
      <c r="L13" s="499" t="s">
        <v>381</v>
      </c>
      <c r="M13" s="499" t="s">
        <v>381</v>
      </c>
      <c r="N13" s="499" t="s">
        <v>381</v>
      </c>
      <c r="O13" s="499" t="s">
        <v>381</v>
      </c>
      <c r="P13" s="499"/>
      <c r="Q13" s="499" t="s">
        <v>381</v>
      </c>
      <c r="S13" s="159"/>
    </row>
    <row r="14" spans="1:19" ht="13" customHeight="1">
      <c r="A14" s="151"/>
      <c r="B14" s="29" t="s">
        <v>30</v>
      </c>
      <c r="C14" s="499">
        <v>10</v>
      </c>
      <c r="D14" s="499">
        <v>7</v>
      </c>
      <c r="E14" s="499">
        <v>12</v>
      </c>
      <c r="F14" s="499">
        <v>5</v>
      </c>
      <c r="G14" s="499">
        <v>4</v>
      </c>
      <c r="H14" s="499">
        <v>3</v>
      </c>
      <c r="I14" s="499">
        <v>4</v>
      </c>
      <c r="J14" s="499">
        <v>3</v>
      </c>
      <c r="K14" s="499" t="s">
        <v>381</v>
      </c>
      <c r="L14" s="499" t="s">
        <v>381</v>
      </c>
      <c r="M14" s="499" t="s">
        <v>381</v>
      </c>
      <c r="N14" s="499" t="s">
        <v>381</v>
      </c>
      <c r="O14" s="499" t="s">
        <v>381</v>
      </c>
      <c r="P14" s="499"/>
      <c r="Q14" s="499" t="s">
        <v>381</v>
      </c>
      <c r="S14" s="159"/>
    </row>
    <row r="15" spans="1:19" ht="13" customHeight="1">
      <c r="A15" s="151"/>
      <c r="B15" s="29" t="s">
        <v>31</v>
      </c>
      <c r="C15" s="499">
        <v>1</v>
      </c>
      <c r="D15" s="499">
        <v>6</v>
      </c>
      <c r="E15" s="499">
        <v>5</v>
      </c>
      <c r="F15" s="499">
        <v>7</v>
      </c>
      <c r="G15" s="499">
        <v>5</v>
      </c>
      <c r="H15" s="499">
        <v>4</v>
      </c>
      <c r="I15" s="499">
        <v>5</v>
      </c>
      <c r="J15" s="499">
        <v>8</v>
      </c>
      <c r="K15" s="499">
        <v>4</v>
      </c>
      <c r="L15" s="499">
        <v>4</v>
      </c>
      <c r="M15" s="499">
        <v>5</v>
      </c>
      <c r="N15" s="499">
        <v>33</v>
      </c>
      <c r="O15" s="499">
        <v>31</v>
      </c>
      <c r="P15" s="499">
        <v>35</v>
      </c>
      <c r="Q15" s="499">
        <v>29</v>
      </c>
      <c r="S15" s="159"/>
    </row>
    <row r="16" spans="1:19" ht="13" customHeight="1">
      <c r="A16" s="151"/>
      <c r="B16" s="29" t="s">
        <v>32</v>
      </c>
      <c r="C16" s="499">
        <v>0</v>
      </c>
      <c r="D16" s="499">
        <v>0</v>
      </c>
      <c r="E16" s="499" t="s">
        <v>381</v>
      </c>
      <c r="F16" s="499" t="s">
        <v>381</v>
      </c>
      <c r="G16" s="499" t="s">
        <v>381</v>
      </c>
      <c r="H16" s="499" t="s">
        <v>381</v>
      </c>
      <c r="I16" s="499" t="s">
        <v>381</v>
      </c>
      <c r="J16" s="499" t="s">
        <v>381</v>
      </c>
      <c r="K16" s="499" t="s">
        <v>381</v>
      </c>
      <c r="L16" s="499" t="s">
        <v>381</v>
      </c>
      <c r="M16" s="499" t="s">
        <v>381</v>
      </c>
      <c r="N16" s="499">
        <v>0</v>
      </c>
      <c r="O16" s="499">
        <v>0</v>
      </c>
      <c r="P16" s="499">
        <v>0</v>
      </c>
      <c r="Q16" s="499">
        <v>0</v>
      </c>
      <c r="S16" s="159"/>
    </row>
    <row r="17" spans="1:19" ht="13" customHeight="1">
      <c r="A17" s="151"/>
      <c r="B17" s="29" t="s">
        <v>33</v>
      </c>
      <c r="C17" s="499">
        <v>2</v>
      </c>
      <c r="D17" s="499">
        <v>2</v>
      </c>
      <c r="E17" s="499">
        <v>1</v>
      </c>
      <c r="F17" s="499">
        <v>2</v>
      </c>
      <c r="G17" s="499">
        <v>0.2</v>
      </c>
      <c r="H17" s="499">
        <v>0</v>
      </c>
      <c r="I17" s="499" t="s">
        <v>381</v>
      </c>
      <c r="J17" s="499">
        <v>1.2</v>
      </c>
      <c r="K17" s="499">
        <v>0.5</v>
      </c>
      <c r="L17" s="499">
        <v>1</v>
      </c>
      <c r="M17" s="499">
        <v>2</v>
      </c>
      <c r="N17" s="499">
        <v>5</v>
      </c>
      <c r="O17" s="499">
        <v>6</v>
      </c>
      <c r="P17" s="499">
        <v>6</v>
      </c>
      <c r="Q17" s="499">
        <v>4</v>
      </c>
      <c r="S17" s="159"/>
    </row>
    <row r="18" spans="1:19" ht="13" customHeight="1">
      <c r="A18" s="151"/>
      <c r="B18" s="29" t="s">
        <v>34</v>
      </c>
      <c r="C18" s="499">
        <v>47</v>
      </c>
      <c r="D18" s="499">
        <v>49</v>
      </c>
      <c r="E18" s="499">
        <v>76</v>
      </c>
      <c r="F18" s="499">
        <v>70</v>
      </c>
      <c r="G18" s="499">
        <v>77</v>
      </c>
      <c r="H18" s="499">
        <v>89</v>
      </c>
      <c r="I18" s="499">
        <v>109</v>
      </c>
      <c r="J18" s="499">
        <v>108</v>
      </c>
      <c r="K18" s="499">
        <v>130</v>
      </c>
      <c r="L18" s="499">
        <v>124</v>
      </c>
      <c r="M18" s="499">
        <v>149</v>
      </c>
      <c r="N18" s="499">
        <v>178</v>
      </c>
      <c r="O18" s="499">
        <v>162</v>
      </c>
      <c r="P18" s="499">
        <v>177</v>
      </c>
      <c r="Q18" s="499">
        <v>188</v>
      </c>
      <c r="S18" s="159"/>
    </row>
    <row r="19" spans="1:19" ht="13" customHeight="1">
      <c r="A19" s="151"/>
      <c r="B19" s="29" t="s">
        <v>35</v>
      </c>
      <c r="C19" s="499">
        <v>44</v>
      </c>
      <c r="D19" s="499">
        <v>45</v>
      </c>
      <c r="E19" s="499">
        <v>33</v>
      </c>
      <c r="F19" s="499">
        <v>82</v>
      </c>
      <c r="G19" s="499">
        <v>84</v>
      </c>
      <c r="H19" s="499">
        <v>80</v>
      </c>
      <c r="I19" s="499">
        <v>116</v>
      </c>
      <c r="J19" s="499">
        <v>120</v>
      </c>
      <c r="K19" s="499">
        <v>102</v>
      </c>
      <c r="L19" s="499">
        <v>139</v>
      </c>
      <c r="M19" s="499">
        <v>118</v>
      </c>
      <c r="N19" s="499">
        <v>125</v>
      </c>
      <c r="O19" s="499">
        <v>141</v>
      </c>
      <c r="P19" s="499">
        <v>188</v>
      </c>
      <c r="Q19" s="499">
        <v>149</v>
      </c>
      <c r="S19" s="159"/>
    </row>
    <row r="20" spans="1:19" ht="13" customHeight="1">
      <c r="A20" s="151"/>
      <c r="B20" s="29" t="s">
        <v>36</v>
      </c>
      <c r="C20" s="499">
        <v>229</v>
      </c>
      <c r="D20" s="499">
        <v>167</v>
      </c>
      <c r="E20" s="499">
        <v>135</v>
      </c>
      <c r="F20" s="499">
        <v>73</v>
      </c>
      <c r="G20" s="499">
        <v>122</v>
      </c>
      <c r="H20" s="499">
        <v>119</v>
      </c>
      <c r="I20" s="499">
        <v>140</v>
      </c>
      <c r="J20" s="499">
        <v>168</v>
      </c>
      <c r="K20" s="499">
        <v>100</v>
      </c>
      <c r="L20" s="499">
        <v>69</v>
      </c>
      <c r="M20" s="499">
        <v>94</v>
      </c>
      <c r="N20" s="499">
        <v>117</v>
      </c>
      <c r="O20" s="499">
        <v>152</v>
      </c>
      <c r="P20" s="499">
        <v>164</v>
      </c>
      <c r="Q20" s="499">
        <v>104</v>
      </c>
      <c r="S20" s="159"/>
    </row>
    <row r="21" spans="1:19" ht="13" customHeight="1">
      <c r="A21" s="151"/>
      <c r="B21" s="29" t="s">
        <v>37</v>
      </c>
      <c r="C21" s="499">
        <v>228</v>
      </c>
      <c r="D21" s="499">
        <v>292</v>
      </c>
      <c r="E21" s="499">
        <v>346</v>
      </c>
      <c r="F21" s="499">
        <v>362</v>
      </c>
      <c r="G21" s="499">
        <v>444</v>
      </c>
      <c r="H21" s="499">
        <v>408</v>
      </c>
      <c r="I21" s="499">
        <v>413</v>
      </c>
      <c r="J21" s="499">
        <v>385</v>
      </c>
      <c r="K21" s="499">
        <v>370</v>
      </c>
      <c r="L21" s="499">
        <v>415</v>
      </c>
      <c r="M21" s="499">
        <v>296</v>
      </c>
      <c r="N21" s="499">
        <v>277</v>
      </c>
      <c r="O21" s="499">
        <v>209</v>
      </c>
      <c r="P21" s="499">
        <v>186</v>
      </c>
      <c r="Q21" s="499">
        <v>183</v>
      </c>
      <c r="S21" s="159"/>
    </row>
    <row r="22" spans="1:19" ht="13" customHeight="1">
      <c r="A22" s="151"/>
      <c r="B22" s="29" t="s">
        <v>38</v>
      </c>
      <c r="C22" s="499">
        <v>11</v>
      </c>
      <c r="D22" s="499">
        <v>14</v>
      </c>
      <c r="E22" s="499">
        <v>18</v>
      </c>
      <c r="F22" s="499">
        <v>22</v>
      </c>
      <c r="G22" s="499">
        <v>8</v>
      </c>
      <c r="H22" s="499">
        <v>33</v>
      </c>
      <c r="I22" s="499">
        <v>108</v>
      </c>
      <c r="J22" s="499">
        <v>98</v>
      </c>
      <c r="K22" s="499">
        <v>49</v>
      </c>
      <c r="L22" s="499">
        <v>41</v>
      </c>
      <c r="M22" s="499">
        <v>76</v>
      </c>
      <c r="N22" s="499">
        <v>55</v>
      </c>
      <c r="O22" s="499">
        <v>78</v>
      </c>
      <c r="P22" s="499">
        <v>83</v>
      </c>
      <c r="Q22" s="499">
        <v>77</v>
      </c>
      <c r="S22" s="159"/>
    </row>
    <row r="23" spans="1:19" ht="13" customHeight="1">
      <c r="A23" s="151"/>
      <c r="B23" s="29" t="s">
        <v>39</v>
      </c>
      <c r="C23" s="499">
        <v>12</v>
      </c>
      <c r="D23" s="499">
        <v>10</v>
      </c>
      <c r="E23" s="499">
        <v>22</v>
      </c>
      <c r="F23" s="499">
        <v>6</v>
      </c>
      <c r="G23" s="499">
        <v>3</v>
      </c>
      <c r="H23" s="499">
        <v>29</v>
      </c>
      <c r="I23" s="499">
        <v>20</v>
      </c>
      <c r="J23" s="499">
        <v>47</v>
      </c>
      <c r="K23" s="499">
        <v>31</v>
      </c>
      <c r="L23" s="499">
        <v>26</v>
      </c>
      <c r="M23" s="499">
        <v>71</v>
      </c>
      <c r="N23" s="499">
        <v>60</v>
      </c>
      <c r="O23" s="499">
        <v>63</v>
      </c>
      <c r="P23" s="499">
        <v>119</v>
      </c>
      <c r="Q23" s="499">
        <v>109</v>
      </c>
      <c r="S23" s="159"/>
    </row>
    <row r="24" spans="1:19" ht="13" customHeight="1">
      <c r="A24" s="151"/>
      <c r="B24" s="29" t="s">
        <v>40</v>
      </c>
      <c r="C24" s="499">
        <v>124</v>
      </c>
      <c r="D24" s="499">
        <v>92</v>
      </c>
      <c r="E24" s="499">
        <v>110</v>
      </c>
      <c r="F24" s="499">
        <v>104</v>
      </c>
      <c r="G24" s="499">
        <v>126</v>
      </c>
      <c r="H24" s="499">
        <v>86</v>
      </c>
      <c r="I24" s="499">
        <v>139</v>
      </c>
      <c r="J24" s="499">
        <v>157</v>
      </c>
      <c r="K24" s="499">
        <v>173</v>
      </c>
      <c r="L24" s="499">
        <v>139</v>
      </c>
      <c r="M24" s="499">
        <v>133</v>
      </c>
      <c r="N24" s="499">
        <v>164</v>
      </c>
      <c r="O24" s="499">
        <v>154</v>
      </c>
      <c r="P24" s="499">
        <v>180</v>
      </c>
      <c r="Q24" s="499">
        <v>219</v>
      </c>
      <c r="S24" s="159"/>
    </row>
    <row r="25" spans="1:19" ht="13" customHeight="1">
      <c r="A25" s="151"/>
      <c r="B25" s="29" t="s">
        <v>41</v>
      </c>
      <c r="C25" s="499">
        <v>186</v>
      </c>
      <c r="D25" s="499">
        <v>181</v>
      </c>
      <c r="E25" s="499">
        <v>207</v>
      </c>
      <c r="F25" s="499">
        <v>206</v>
      </c>
      <c r="G25" s="499">
        <v>142</v>
      </c>
      <c r="H25" s="499">
        <v>135</v>
      </c>
      <c r="I25" s="499">
        <v>220</v>
      </c>
      <c r="J25" s="499">
        <v>156</v>
      </c>
      <c r="K25" s="499">
        <v>154</v>
      </c>
      <c r="L25" s="499">
        <v>147</v>
      </c>
      <c r="M25" s="499">
        <v>138</v>
      </c>
      <c r="N25" s="499">
        <v>122</v>
      </c>
      <c r="O25" s="499">
        <v>91</v>
      </c>
      <c r="P25" s="499">
        <v>81</v>
      </c>
      <c r="Q25" s="499">
        <v>80</v>
      </c>
      <c r="S25" s="159"/>
    </row>
    <row r="26" spans="1:19" ht="13" customHeight="1">
      <c r="A26" s="151"/>
      <c r="B26" s="29" t="s">
        <v>44</v>
      </c>
      <c r="C26" s="499">
        <v>318</v>
      </c>
      <c r="D26" s="499">
        <v>217</v>
      </c>
      <c r="E26" s="499">
        <v>464</v>
      </c>
      <c r="F26" s="499">
        <v>528</v>
      </c>
      <c r="G26" s="499">
        <v>736</v>
      </c>
      <c r="H26" s="499">
        <v>659</v>
      </c>
      <c r="I26" s="499">
        <v>637</v>
      </c>
      <c r="J26" s="499">
        <v>727</v>
      </c>
      <c r="K26" s="499">
        <v>583</v>
      </c>
      <c r="L26" s="499">
        <v>598</v>
      </c>
      <c r="M26" s="499">
        <v>605</v>
      </c>
      <c r="N26" s="499">
        <v>621</v>
      </c>
      <c r="O26" s="499">
        <v>569</v>
      </c>
      <c r="P26" s="499">
        <v>694</v>
      </c>
      <c r="Q26" s="499">
        <v>634</v>
      </c>
      <c r="S26" s="159"/>
    </row>
    <row r="27" spans="1:19" ht="13" customHeight="1">
      <c r="A27" s="151"/>
      <c r="B27" s="29" t="s">
        <v>45</v>
      </c>
      <c r="C27" s="499">
        <v>2370</v>
      </c>
      <c r="D27" s="499">
        <v>2413</v>
      </c>
      <c r="E27" s="499">
        <v>2450</v>
      </c>
      <c r="F27" s="499">
        <v>2540</v>
      </c>
      <c r="G27" s="499">
        <v>2620</v>
      </c>
      <c r="H27" s="499">
        <v>2691</v>
      </c>
      <c r="I27" s="499">
        <v>2736</v>
      </c>
      <c r="J27" s="499">
        <v>2805</v>
      </c>
      <c r="K27" s="499">
        <v>2707</v>
      </c>
      <c r="L27" s="499">
        <v>2764</v>
      </c>
      <c r="M27" s="499">
        <v>2732</v>
      </c>
      <c r="N27" s="499">
        <v>2733</v>
      </c>
      <c r="O27" s="499">
        <v>2642</v>
      </c>
      <c r="P27" s="499">
        <v>2644</v>
      </c>
      <c r="Q27" s="499">
        <v>2660</v>
      </c>
      <c r="S27" s="159"/>
    </row>
    <row r="28" spans="1:19" ht="13" customHeight="1">
      <c r="A28" s="151"/>
      <c r="B28" s="150" t="s">
        <v>46</v>
      </c>
      <c r="C28" s="499">
        <v>0</v>
      </c>
      <c r="D28" s="499">
        <v>0</v>
      </c>
      <c r="E28" s="499" t="s">
        <v>381</v>
      </c>
      <c r="F28" s="499" t="s">
        <v>381</v>
      </c>
      <c r="G28" s="499" t="s">
        <v>381</v>
      </c>
      <c r="H28" s="499" t="s">
        <v>381</v>
      </c>
      <c r="I28" s="499" t="s">
        <v>381</v>
      </c>
      <c r="J28" s="499" t="s">
        <v>381</v>
      </c>
      <c r="K28" s="499" t="s">
        <v>381</v>
      </c>
      <c r="L28" s="499" t="s">
        <v>381</v>
      </c>
      <c r="M28" s="499" t="s">
        <v>381</v>
      </c>
      <c r="N28" s="499" t="s">
        <v>381</v>
      </c>
      <c r="O28" s="499" t="s">
        <v>381</v>
      </c>
      <c r="P28" s="499" t="s">
        <v>381</v>
      </c>
      <c r="Q28" s="499" t="s">
        <v>381</v>
      </c>
      <c r="S28" s="159"/>
    </row>
    <row r="29" spans="1:19" ht="13" customHeight="1">
      <c r="A29" s="151"/>
      <c r="B29" s="30" t="s">
        <v>47</v>
      </c>
      <c r="C29" s="499">
        <v>0</v>
      </c>
      <c r="D29" s="499">
        <v>0</v>
      </c>
      <c r="E29" s="499" t="s">
        <v>381</v>
      </c>
      <c r="F29" s="499" t="s">
        <v>381</v>
      </c>
      <c r="G29" s="499" t="s">
        <v>381</v>
      </c>
      <c r="H29" s="499" t="s">
        <v>381</v>
      </c>
      <c r="I29" s="499" t="s">
        <v>381</v>
      </c>
      <c r="J29" s="499" t="s">
        <v>381</v>
      </c>
      <c r="K29" s="499" t="s">
        <v>381</v>
      </c>
      <c r="L29" s="499" t="s">
        <v>381</v>
      </c>
      <c r="M29" s="499" t="s">
        <v>381</v>
      </c>
      <c r="N29" s="499" t="s">
        <v>381</v>
      </c>
      <c r="O29" s="499" t="s">
        <v>381</v>
      </c>
      <c r="P29" s="499" t="s">
        <v>381</v>
      </c>
      <c r="Q29" s="499" t="s">
        <v>381</v>
      </c>
      <c r="S29" s="159"/>
    </row>
    <row r="30" spans="1:19" ht="13" customHeight="1">
      <c r="A30" s="151"/>
      <c r="B30" s="29" t="s">
        <v>48</v>
      </c>
      <c r="C30" s="499">
        <v>0</v>
      </c>
      <c r="D30" s="499">
        <v>0</v>
      </c>
      <c r="E30" s="499" t="s">
        <v>381</v>
      </c>
      <c r="F30" s="499" t="s">
        <v>381</v>
      </c>
      <c r="G30" s="499" t="s">
        <v>381</v>
      </c>
      <c r="H30" s="499" t="s">
        <v>381</v>
      </c>
      <c r="I30" s="499" t="s">
        <v>381</v>
      </c>
      <c r="J30" s="499" t="s">
        <v>381</v>
      </c>
      <c r="K30" s="499" t="s">
        <v>381</v>
      </c>
      <c r="L30" s="499" t="s">
        <v>381</v>
      </c>
      <c r="M30" s="499" t="s">
        <v>381</v>
      </c>
      <c r="N30" s="499" t="s">
        <v>381</v>
      </c>
      <c r="O30" s="499" t="s">
        <v>381</v>
      </c>
      <c r="P30" s="499" t="s">
        <v>381</v>
      </c>
      <c r="Q30" s="499" t="s">
        <v>381</v>
      </c>
      <c r="S30" s="159"/>
    </row>
    <row r="31" spans="1:19" ht="13" customHeight="1" thickBot="1">
      <c r="A31" s="453"/>
      <c r="B31" s="454" t="s">
        <v>49</v>
      </c>
      <c r="C31" s="500">
        <v>0</v>
      </c>
      <c r="D31" s="500">
        <v>0</v>
      </c>
      <c r="E31" s="500" t="s">
        <v>381</v>
      </c>
      <c r="F31" s="500" t="s">
        <v>381</v>
      </c>
      <c r="G31" s="500" t="s">
        <v>381</v>
      </c>
      <c r="H31" s="500" t="s">
        <v>381</v>
      </c>
      <c r="I31" s="500" t="s">
        <v>381</v>
      </c>
      <c r="J31" s="500" t="s">
        <v>381</v>
      </c>
      <c r="K31" s="500" t="s">
        <v>381</v>
      </c>
      <c r="L31" s="500" t="s">
        <v>381</v>
      </c>
      <c r="M31" s="500" t="s">
        <v>381</v>
      </c>
      <c r="N31" s="500" t="s">
        <v>381</v>
      </c>
      <c r="O31" s="500" t="s">
        <v>381</v>
      </c>
      <c r="P31" s="500" t="s">
        <v>381</v>
      </c>
      <c r="Q31" s="500" t="s">
        <v>381</v>
      </c>
      <c r="S31" s="159"/>
    </row>
    <row r="32" spans="1:19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4"/>
      <c r="Q34" s="464"/>
    </row>
    <row r="36" spans="1:17" ht="13" customHeight="1"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Hoja43">
    <tabColor theme="9" tint="0.59999389629810485"/>
  </sheetPr>
  <dimension ref="A2:Q3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7" ht="13" customHeight="1">
      <c r="A2" s="468" t="s">
        <v>351</v>
      </c>
      <c r="B2" s="469"/>
    </row>
    <row r="3" spans="1:17" ht="13" customHeight="1">
      <c r="A3" s="470" t="s">
        <v>384</v>
      </c>
      <c r="B3" s="470"/>
    </row>
    <row r="4" spans="1:17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7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7" ht="15" customHeight="1">
      <c r="A6" s="1102" t="s">
        <v>114</v>
      </c>
      <c r="B6" s="1102"/>
      <c r="C6" s="493">
        <v>11.5</v>
      </c>
      <c r="D6" s="493">
        <v>16.96</v>
      </c>
      <c r="E6" s="493">
        <v>18.39</v>
      </c>
      <c r="F6" s="493">
        <v>18.7</v>
      </c>
      <c r="G6" s="493">
        <v>12.17</v>
      </c>
      <c r="H6" s="493">
        <v>12.86</v>
      </c>
      <c r="I6" s="493">
        <v>14.69</v>
      </c>
      <c r="J6" s="493">
        <v>14.8</v>
      </c>
      <c r="K6" s="493">
        <v>16.07</v>
      </c>
      <c r="L6" s="493">
        <v>17.100000000000001</v>
      </c>
      <c r="M6" s="493">
        <v>17.850000000000001</v>
      </c>
      <c r="N6" s="493">
        <v>17.2</v>
      </c>
      <c r="O6" s="493">
        <v>17.39</v>
      </c>
      <c r="P6" s="493">
        <v>17.489999999999998</v>
      </c>
      <c r="Q6" s="493">
        <v>16.05</v>
      </c>
    </row>
    <row r="7" spans="1:17" ht="5" customHeight="1">
      <c r="A7" s="151"/>
      <c r="B7" s="152"/>
      <c r="C7" s="494"/>
      <c r="D7" s="494"/>
      <c r="E7" s="494"/>
      <c r="F7" s="494"/>
      <c r="G7" s="494"/>
      <c r="H7" s="494"/>
      <c r="I7" s="494"/>
      <c r="J7" s="494"/>
      <c r="K7" s="494"/>
      <c r="L7" s="494"/>
      <c r="M7" s="494"/>
      <c r="N7" s="494"/>
      <c r="O7" s="494"/>
      <c r="P7" s="494"/>
      <c r="Q7" s="494"/>
    </row>
    <row r="8" spans="1:17" ht="13" customHeight="1">
      <c r="A8" s="151"/>
      <c r="B8" s="29" t="s">
        <v>21</v>
      </c>
      <c r="C8" s="495" t="s">
        <v>81</v>
      </c>
      <c r="D8" s="495" t="s">
        <v>81</v>
      </c>
      <c r="E8" s="495" t="s">
        <v>81</v>
      </c>
      <c r="F8" s="495" t="s">
        <v>81</v>
      </c>
      <c r="G8" s="495" t="s">
        <v>81</v>
      </c>
      <c r="H8" s="495" t="s">
        <v>81</v>
      </c>
      <c r="I8" s="495" t="s">
        <v>81</v>
      </c>
      <c r="J8" s="495" t="s">
        <v>81</v>
      </c>
      <c r="K8" s="495" t="s">
        <v>81</v>
      </c>
      <c r="L8" s="495" t="s">
        <v>81</v>
      </c>
      <c r="M8" s="495" t="s">
        <v>81</v>
      </c>
      <c r="N8" s="495" t="s">
        <v>81</v>
      </c>
      <c r="O8" s="495" t="s">
        <v>81</v>
      </c>
      <c r="P8" s="495" t="s">
        <v>81</v>
      </c>
      <c r="Q8" s="495" t="s">
        <v>81</v>
      </c>
    </row>
    <row r="9" spans="1:17" ht="13" customHeight="1">
      <c r="A9" s="151"/>
      <c r="B9" s="29" t="s">
        <v>22</v>
      </c>
      <c r="C9" s="495" t="s">
        <v>81</v>
      </c>
      <c r="D9" s="495" t="s">
        <v>81</v>
      </c>
      <c r="E9" s="495" t="s">
        <v>81</v>
      </c>
      <c r="F9" s="495" t="s">
        <v>81</v>
      </c>
      <c r="G9" s="495" t="s">
        <v>81</v>
      </c>
      <c r="H9" s="495" t="s">
        <v>81</v>
      </c>
      <c r="I9" s="495" t="s">
        <v>81</v>
      </c>
      <c r="J9" s="495" t="s">
        <v>81</v>
      </c>
      <c r="K9" s="495" t="s">
        <v>81</v>
      </c>
      <c r="L9" s="495" t="s">
        <v>81</v>
      </c>
      <c r="M9" s="495">
        <v>12.17</v>
      </c>
      <c r="N9" s="495" t="s">
        <v>81</v>
      </c>
      <c r="O9" s="495">
        <v>12</v>
      </c>
      <c r="P9" s="495" t="s">
        <v>81</v>
      </c>
      <c r="Q9" s="495">
        <v>12.84</v>
      </c>
    </row>
    <row r="10" spans="1:17" ht="13" customHeight="1">
      <c r="A10" s="151"/>
      <c r="B10" s="29" t="s">
        <v>23</v>
      </c>
      <c r="C10" s="495" t="s">
        <v>81</v>
      </c>
      <c r="D10" s="495" t="s">
        <v>81</v>
      </c>
      <c r="E10" s="495" t="s">
        <v>81</v>
      </c>
      <c r="F10" s="495" t="s">
        <v>81</v>
      </c>
      <c r="G10" s="495" t="s">
        <v>81</v>
      </c>
      <c r="H10" s="495" t="s">
        <v>81</v>
      </c>
      <c r="I10" s="495" t="s">
        <v>81</v>
      </c>
      <c r="J10" s="495" t="s">
        <v>81</v>
      </c>
      <c r="K10" s="495" t="s">
        <v>81</v>
      </c>
      <c r="L10" s="495" t="s">
        <v>81</v>
      </c>
      <c r="M10" s="495" t="s">
        <v>81</v>
      </c>
      <c r="N10" s="495" t="s">
        <v>81</v>
      </c>
      <c r="O10" s="495" t="s">
        <v>81</v>
      </c>
      <c r="P10" s="495" t="s">
        <v>81</v>
      </c>
      <c r="Q10" s="495">
        <v>0</v>
      </c>
    </row>
    <row r="11" spans="1:17" ht="13" customHeight="1">
      <c r="A11" s="151"/>
      <c r="B11" s="29" t="s">
        <v>24</v>
      </c>
      <c r="C11" s="495">
        <v>11.35</v>
      </c>
      <c r="D11" s="495">
        <v>11.12</v>
      </c>
      <c r="E11" s="495">
        <v>11.55</v>
      </c>
      <c r="F11" s="495">
        <v>13.39</v>
      </c>
      <c r="G11" s="495">
        <v>11.59</v>
      </c>
      <c r="H11" s="495">
        <v>11.73</v>
      </c>
      <c r="I11" s="495">
        <v>12.32</v>
      </c>
      <c r="J11" s="495">
        <v>17.940000000000001</v>
      </c>
      <c r="K11" s="495">
        <v>20.82</v>
      </c>
      <c r="L11" s="495">
        <v>10.36</v>
      </c>
      <c r="M11" s="495">
        <v>12.37</v>
      </c>
      <c r="N11" s="495">
        <v>12.11</v>
      </c>
      <c r="O11" s="495">
        <v>12.52</v>
      </c>
      <c r="P11" s="495">
        <v>12.39</v>
      </c>
      <c r="Q11" s="495">
        <v>13.17</v>
      </c>
    </row>
    <row r="12" spans="1:17" ht="13" customHeight="1">
      <c r="A12" s="151"/>
      <c r="B12" s="29" t="s">
        <v>25</v>
      </c>
      <c r="C12" s="495">
        <v>11.04</v>
      </c>
      <c r="D12" s="495">
        <v>12.14</v>
      </c>
      <c r="E12" s="495">
        <v>15.45</v>
      </c>
      <c r="F12" s="495">
        <v>17.66</v>
      </c>
      <c r="G12" s="495">
        <v>13.25</v>
      </c>
      <c r="H12" s="495" t="s">
        <v>81</v>
      </c>
      <c r="I12" s="495" t="s">
        <v>81</v>
      </c>
      <c r="J12" s="495" t="s">
        <v>81</v>
      </c>
      <c r="K12" s="495" t="s">
        <v>81</v>
      </c>
      <c r="L12" s="495" t="s">
        <v>81</v>
      </c>
      <c r="M12" s="495" t="s">
        <v>81</v>
      </c>
      <c r="N12" s="495" t="s">
        <v>81</v>
      </c>
      <c r="O12" s="495" t="s">
        <v>81</v>
      </c>
      <c r="P12" s="495" t="s">
        <v>81</v>
      </c>
      <c r="Q12" s="495" t="s">
        <v>81</v>
      </c>
    </row>
    <row r="13" spans="1:17" ht="13" customHeight="1">
      <c r="A13" s="151"/>
      <c r="B13" s="29" t="s">
        <v>29</v>
      </c>
      <c r="C13" s="495" t="s">
        <v>81</v>
      </c>
      <c r="D13" s="495" t="s">
        <v>81</v>
      </c>
      <c r="E13" s="495" t="s">
        <v>81</v>
      </c>
      <c r="F13" s="495" t="s">
        <v>81</v>
      </c>
      <c r="G13" s="495" t="s">
        <v>81</v>
      </c>
      <c r="H13" s="495" t="s">
        <v>81</v>
      </c>
      <c r="I13" s="495" t="s">
        <v>81</v>
      </c>
      <c r="J13" s="495" t="s">
        <v>81</v>
      </c>
      <c r="K13" s="495" t="s">
        <v>81</v>
      </c>
      <c r="L13" s="495" t="s">
        <v>81</v>
      </c>
      <c r="M13" s="495" t="s">
        <v>81</v>
      </c>
      <c r="N13" s="495" t="s">
        <v>81</v>
      </c>
      <c r="O13" s="495" t="s">
        <v>81</v>
      </c>
      <c r="P13" s="495" t="s">
        <v>81</v>
      </c>
      <c r="Q13" s="495" t="s">
        <v>81</v>
      </c>
    </row>
    <row r="14" spans="1:17" ht="13" customHeight="1">
      <c r="A14" s="151"/>
      <c r="B14" s="29" t="s">
        <v>30</v>
      </c>
      <c r="C14" s="495">
        <v>10.6</v>
      </c>
      <c r="D14" s="495">
        <v>12.58</v>
      </c>
      <c r="E14" s="495">
        <v>12.76</v>
      </c>
      <c r="F14" s="495">
        <v>14.22</v>
      </c>
      <c r="G14" s="495">
        <v>12.36</v>
      </c>
      <c r="H14" s="495">
        <v>12.14</v>
      </c>
      <c r="I14" s="495">
        <v>11.04</v>
      </c>
      <c r="J14" s="495">
        <v>13.25</v>
      </c>
      <c r="K14" s="495" t="s">
        <v>81</v>
      </c>
      <c r="L14" s="495" t="s">
        <v>81</v>
      </c>
      <c r="M14" s="495" t="s">
        <v>81</v>
      </c>
      <c r="N14" s="495" t="s">
        <v>81</v>
      </c>
      <c r="O14" s="495" t="s">
        <v>81</v>
      </c>
      <c r="P14" s="495" t="s">
        <v>81</v>
      </c>
      <c r="Q14" s="495" t="s">
        <v>81</v>
      </c>
    </row>
    <row r="15" spans="1:17" ht="13" customHeight="1">
      <c r="A15" s="151"/>
      <c r="B15" s="29" t="s">
        <v>31</v>
      </c>
      <c r="C15" s="495">
        <v>10.82</v>
      </c>
      <c r="D15" s="495">
        <v>10.71</v>
      </c>
      <c r="E15" s="495">
        <v>11.02</v>
      </c>
      <c r="F15" s="495">
        <v>11.56</v>
      </c>
      <c r="G15" s="495">
        <v>10.84</v>
      </c>
      <c r="H15" s="495">
        <v>12.45</v>
      </c>
      <c r="I15" s="495">
        <v>11.8</v>
      </c>
      <c r="J15" s="495">
        <v>13.52</v>
      </c>
      <c r="K15" s="495">
        <v>11.3</v>
      </c>
      <c r="L15" s="495">
        <v>14.51</v>
      </c>
      <c r="M15" s="495">
        <v>14.58</v>
      </c>
      <c r="N15" s="495">
        <v>14.74</v>
      </c>
      <c r="O15" s="495">
        <v>12.79</v>
      </c>
      <c r="P15" s="495">
        <v>14.04</v>
      </c>
      <c r="Q15" s="495">
        <v>14.06</v>
      </c>
    </row>
    <row r="16" spans="1:17" ht="13" customHeight="1">
      <c r="A16" s="151"/>
      <c r="B16" s="29" t="s">
        <v>32</v>
      </c>
      <c r="C16" s="495" t="s">
        <v>81</v>
      </c>
      <c r="D16" s="495" t="s">
        <v>81</v>
      </c>
      <c r="E16" s="495" t="s">
        <v>81</v>
      </c>
      <c r="F16" s="495" t="s">
        <v>81</v>
      </c>
      <c r="G16" s="495" t="s">
        <v>81</v>
      </c>
      <c r="H16" s="495" t="s">
        <v>81</v>
      </c>
      <c r="I16" s="495" t="s">
        <v>81</v>
      </c>
      <c r="J16" s="495" t="s">
        <v>81</v>
      </c>
      <c r="K16" s="495" t="s">
        <v>81</v>
      </c>
      <c r="L16" s="495" t="s">
        <v>81</v>
      </c>
      <c r="M16" s="495" t="s">
        <v>81</v>
      </c>
      <c r="N16" s="495" t="s">
        <v>81</v>
      </c>
      <c r="O16" s="495" t="s">
        <v>81</v>
      </c>
      <c r="P16" s="495" t="s">
        <v>81</v>
      </c>
      <c r="Q16" s="495" t="s">
        <v>81</v>
      </c>
    </row>
    <row r="17" spans="1:17" ht="13" customHeight="1">
      <c r="A17" s="151"/>
      <c r="B17" s="29" t="s">
        <v>33</v>
      </c>
      <c r="C17" s="495">
        <v>9.89</v>
      </c>
      <c r="D17" s="495">
        <v>9.93</v>
      </c>
      <c r="E17" s="495">
        <v>10.039999999999999</v>
      </c>
      <c r="F17" s="495">
        <v>10.27</v>
      </c>
      <c r="G17" s="495">
        <v>11.04</v>
      </c>
      <c r="H17" s="495">
        <v>9.93</v>
      </c>
      <c r="I17" s="495">
        <v>0</v>
      </c>
      <c r="J17" s="495">
        <v>14.46</v>
      </c>
      <c r="K17" s="495">
        <v>10.52</v>
      </c>
      <c r="L17" s="495">
        <v>12.44</v>
      </c>
      <c r="M17" s="495">
        <v>12.79</v>
      </c>
      <c r="N17" s="495">
        <v>12.1</v>
      </c>
      <c r="O17" s="495">
        <v>13.21</v>
      </c>
      <c r="P17" s="495">
        <v>13.43</v>
      </c>
      <c r="Q17" s="495">
        <v>13.66</v>
      </c>
    </row>
    <row r="18" spans="1:17" ht="13" customHeight="1">
      <c r="A18" s="151"/>
      <c r="B18" s="29" t="s">
        <v>34</v>
      </c>
      <c r="C18" s="495">
        <v>11.26</v>
      </c>
      <c r="D18" s="495">
        <v>11.43</v>
      </c>
      <c r="E18" s="495">
        <v>15.45</v>
      </c>
      <c r="F18" s="495">
        <v>13.25</v>
      </c>
      <c r="G18" s="495">
        <v>9.74</v>
      </c>
      <c r="H18" s="495">
        <v>10.07</v>
      </c>
      <c r="I18" s="495">
        <v>12.3</v>
      </c>
      <c r="J18" s="495">
        <v>13</v>
      </c>
      <c r="K18" s="495">
        <v>13.24</v>
      </c>
      <c r="L18" s="495">
        <v>15.12</v>
      </c>
      <c r="M18" s="495">
        <v>14.81</v>
      </c>
      <c r="N18" s="495">
        <v>12.47</v>
      </c>
      <c r="O18" s="495">
        <v>13.58</v>
      </c>
      <c r="P18" s="495">
        <v>13.49</v>
      </c>
      <c r="Q18" s="495">
        <v>13.5</v>
      </c>
    </row>
    <row r="19" spans="1:17" ht="13" customHeight="1">
      <c r="A19" s="151"/>
      <c r="B19" s="29" t="s">
        <v>35</v>
      </c>
      <c r="C19" s="495">
        <v>11.74</v>
      </c>
      <c r="D19" s="495">
        <v>14.42</v>
      </c>
      <c r="E19" s="495">
        <v>14.86</v>
      </c>
      <c r="F19" s="495">
        <v>16.739999999999998</v>
      </c>
      <c r="G19" s="495">
        <v>10.18</v>
      </c>
      <c r="H19" s="495">
        <v>12.56</v>
      </c>
      <c r="I19" s="495">
        <v>11.69</v>
      </c>
      <c r="J19" s="495">
        <v>13.24</v>
      </c>
      <c r="K19" s="495">
        <v>14.18</v>
      </c>
      <c r="L19" s="495">
        <v>14.96</v>
      </c>
      <c r="M19" s="495">
        <v>14.67</v>
      </c>
      <c r="N19" s="495">
        <v>18.649999999999999</v>
      </c>
      <c r="O19" s="495">
        <v>16.82</v>
      </c>
      <c r="P19" s="495">
        <v>15.98</v>
      </c>
      <c r="Q19" s="495">
        <v>15.55</v>
      </c>
    </row>
    <row r="20" spans="1:17" ht="13" customHeight="1">
      <c r="A20" s="151"/>
      <c r="B20" s="29" t="s">
        <v>36</v>
      </c>
      <c r="C20" s="495">
        <v>9.85</v>
      </c>
      <c r="D20" s="495">
        <v>10.98</v>
      </c>
      <c r="E20" s="495">
        <v>12.3</v>
      </c>
      <c r="F20" s="495">
        <v>15.67</v>
      </c>
      <c r="G20" s="495">
        <v>7.76</v>
      </c>
      <c r="H20" s="495">
        <v>9.4</v>
      </c>
      <c r="I20" s="495">
        <v>13.46</v>
      </c>
      <c r="J20" s="495">
        <v>11.73</v>
      </c>
      <c r="K20" s="495">
        <v>11.5</v>
      </c>
      <c r="L20" s="495">
        <v>14.12</v>
      </c>
      <c r="M20" s="495">
        <v>14.51</v>
      </c>
      <c r="N20" s="495">
        <v>14.98</v>
      </c>
      <c r="O20" s="495">
        <v>16.79</v>
      </c>
      <c r="P20" s="495">
        <v>15.1</v>
      </c>
      <c r="Q20" s="495">
        <v>15.78</v>
      </c>
    </row>
    <row r="21" spans="1:17" ht="13" customHeight="1">
      <c r="A21" s="151"/>
      <c r="B21" s="29" t="s">
        <v>37</v>
      </c>
      <c r="C21" s="495">
        <v>10.98</v>
      </c>
      <c r="D21" s="495">
        <v>11.83</v>
      </c>
      <c r="E21" s="495">
        <v>14.9</v>
      </c>
      <c r="F21" s="495">
        <v>16.04</v>
      </c>
      <c r="G21" s="495">
        <v>9.52</v>
      </c>
      <c r="H21" s="495">
        <v>11.98</v>
      </c>
      <c r="I21" s="495">
        <v>13.8</v>
      </c>
      <c r="J21" s="495">
        <v>13.34</v>
      </c>
      <c r="K21" s="495">
        <v>11.94</v>
      </c>
      <c r="L21" s="495">
        <v>16.940000000000001</v>
      </c>
      <c r="M21" s="495">
        <v>16.93</v>
      </c>
      <c r="N21" s="495">
        <v>16.170000000000002</v>
      </c>
      <c r="O21" s="495">
        <v>16.38</v>
      </c>
      <c r="P21" s="495">
        <v>15.81</v>
      </c>
      <c r="Q21" s="495">
        <v>17.03</v>
      </c>
    </row>
    <row r="22" spans="1:17" ht="13" customHeight="1">
      <c r="A22" s="151"/>
      <c r="B22" s="29" t="s">
        <v>38</v>
      </c>
      <c r="C22" s="495">
        <v>11.23</v>
      </c>
      <c r="D22" s="495">
        <v>12.41</v>
      </c>
      <c r="E22" s="495">
        <v>13.35</v>
      </c>
      <c r="F22" s="495">
        <v>14</v>
      </c>
      <c r="G22" s="495">
        <v>9.7899999999999991</v>
      </c>
      <c r="H22" s="495">
        <v>12.56</v>
      </c>
      <c r="I22" s="495">
        <v>14.7</v>
      </c>
      <c r="J22" s="495">
        <v>13.58</v>
      </c>
      <c r="K22" s="495">
        <v>10.64</v>
      </c>
      <c r="L22" s="495">
        <v>13.26</v>
      </c>
      <c r="M22" s="495">
        <v>13.62</v>
      </c>
      <c r="N22" s="495">
        <v>13.74</v>
      </c>
      <c r="O22" s="495">
        <v>14.86</v>
      </c>
      <c r="P22" s="495">
        <v>14.59</v>
      </c>
      <c r="Q22" s="495">
        <v>15.08</v>
      </c>
    </row>
    <row r="23" spans="1:17" ht="13" customHeight="1">
      <c r="A23" s="151"/>
      <c r="B23" s="29" t="s">
        <v>39</v>
      </c>
      <c r="C23" s="495">
        <v>10.6</v>
      </c>
      <c r="D23" s="495">
        <v>11.26</v>
      </c>
      <c r="E23" s="495">
        <v>16.18</v>
      </c>
      <c r="F23" s="495">
        <v>15.45</v>
      </c>
      <c r="G23" s="495">
        <v>11.29</v>
      </c>
      <c r="H23" s="495">
        <v>10.01</v>
      </c>
      <c r="I23" s="495">
        <v>13.41</v>
      </c>
      <c r="J23" s="495">
        <v>11.35</v>
      </c>
      <c r="K23" s="495">
        <v>11.04</v>
      </c>
      <c r="L23" s="495">
        <v>12.8</v>
      </c>
      <c r="M23" s="495">
        <v>14.49</v>
      </c>
      <c r="N23" s="495">
        <v>13.75</v>
      </c>
      <c r="O23" s="495">
        <v>14.35</v>
      </c>
      <c r="P23" s="495">
        <v>14.59</v>
      </c>
      <c r="Q23" s="495">
        <v>15.43</v>
      </c>
    </row>
    <row r="24" spans="1:17" ht="13" customHeight="1">
      <c r="A24" s="151"/>
      <c r="B24" s="29" t="s">
        <v>40</v>
      </c>
      <c r="C24" s="495">
        <v>10.49</v>
      </c>
      <c r="D24" s="495">
        <v>10.24</v>
      </c>
      <c r="E24" s="495">
        <v>10.44</v>
      </c>
      <c r="F24" s="495">
        <v>11.84</v>
      </c>
      <c r="G24" s="495">
        <v>9.2899999999999991</v>
      </c>
      <c r="H24" s="495">
        <v>8.67</v>
      </c>
      <c r="I24" s="495">
        <v>11.73</v>
      </c>
      <c r="J24" s="495">
        <v>7.47</v>
      </c>
      <c r="K24" s="495">
        <v>12.79</v>
      </c>
      <c r="L24" s="495">
        <v>12.86</v>
      </c>
      <c r="M24" s="495">
        <v>13.01</v>
      </c>
      <c r="N24" s="495">
        <v>14.21</v>
      </c>
      <c r="O24" s="495">
        <v>11.18</v>
      </c>
      <c r="P24" s="495">
        <v>12.73</v>
      </c>
      <c r="Q24" s="495">
        <v>13</v>
      </c>
    </row>
    <row r="25" spans="1:17" ht="13" customHeight="1">
      <c r="A25" s="151"/>
      <c r="B25" s="150" t="s">
        <v>41</v>
      </c>
      <c r="C25" s="495">
        <v>9.82</v>
      </c>
      <c r="D25" s="495">
        <v>9.7200000000000006</v>
      </c>
      <c r="E25" s="495">
        <v>10.11</v>
      </c>
      <c r="F25" s="495">
        <v>11.28</v>
      </c>
      <c r="G25" s="495">
        <v>11.19</v>
      </c>
      <c r="H25" s="495">
        <v>11.32</v>
      </c>
      <c r="I25" s="495">
        <v>11.84</v>
      </c>
      <c r="J25" s="495">
        <v>11.88</v>
      </c>
      <c r="K25" s="495">
        <v>12.25</v>
      </c>
      <c r="L25" s="495">
        <v>13.41</v>
      </c>
      <c r="M25" s="495">
        <v>12.82</v>
      </c>
      <c r="N25" s="495">
        <v>12.74</v>
      </c>
      <c r="O25" s="495">
        <v>12.46</v>
      </c>
      <c r="P25" s="495">
        <v>12.51</v>
      </c>
      <c r="Q25" s="495">
        <v>12.55</v>
      </c>
    </row>
    <row r="26" spans="1:17" ht="13" customHeight="1">
      <c r="A26" s="151"/>
      <c r="B26" s="30" t="s">
        <v>44</v>
      </c>
      <c r="C26" s="495">
        <v>11.93</v>
      </c>
      <c r="D26" s="495">
        <v>12.26</v>
      </c>
      <c r="E26" s="495">
        <v>13.75</v>
      </c>
      <c r="F26" s="495">
        <v>14.91</v>
      </c>
      <c r="G26" s="495">
        <v>12.27</v>
      </c>
      <c r="H26" s="495">
        <v>13.19</v>
      </c>
      <c r="I26" s="495">
        <v>14.22</v>
      </c>
      <c r="J26" s="495">
        <v>15.28</v>
      </c>
      <c r="K26" s="495">
        <v>17.690000000000001</v>
      </c>
      <c r="L26" s="495">
        <v>17.899999999999999</v>
      </c>
      <c r="M26" s="495">
        <v>16.46</v>
      </c>
      <c r="N26" s="495">
        <v>14.68</v>
      </c>
      <c r="O26" s="495">
        <v>13.21</v>
      </c>
      <c r="P26" s="495">
        <v>14.6</v>
      </c>
      <c r="Q26" s="495">
        <v>14.44</v>
      </c>
    </row>
    <row r="27" spans="1:17" ht="13" customHeight="1">
      <c r="A27" s="151"/>
      <c r="B27" s="294" t="s">
        <v>45</v>
      </c>
      <c r="C27" s="495">
        <v>13.19</v>
      </c>
      <c r="D27" s="495">
        <v>13.8</v>
      </c>
      <c r="E27" s="495">
        <v>14.68</v>
      </c>
      <c r="F27" s="495">
        <v>15.76</v>
      </c>
      <c r="G27" s="495">
        <v>13.22</v>
      </c>
      <c r="H27" s="495">
        <v>13.99</v>
      </c>
      <c r="I27" s="495">
        <v>15.63</v>
      </c>
      <c r="J27" s="495">
        <v>15.86</v>
      </c>
      <c r="K27" s="495">
        <v>17.22</v>
      </c>
      <c r="L27" s="495">
        <v>17.78</v>
      </c>
      <c r="M27" s="495">
        <v>17.7</v>
      </c>
      <c r="N27" s="495">
        <v>18.809999999999999</v>
      </c>
      <c r="O27" s="495">
        <v>14.84</v>
      </c>
      <c r="P27" s="495">
        <v>19.68</v>
      </c>
      <c r="Q27" s="495">
        <v>17.03</v>
      </c>
    </row>
    <row r="28" spans="1:17" ht="13" customHeight="1">
      <c r="A28" s="59"/>
      <c r="B28" s="30" t="s">
        <v>46</v>
      </c>
      <c r="C28" s="495" t="s">
        <v>81</v>
      </c>
      <c r="D28" s="495" t="s">
        <v>81</v>
      </c>
      <c r="E28" s="495" t="s">
        <v>81</v>
      </c>
      <c r="F28" s="495" t="s">
        <v>81</v>
      </c>
      <c r="G28" s="495" t="s">
        <v>81</v>
      </c>
      <c r="H28" s="495" t="s">
        <v>81</v>
      </c>
      <c r="I28" s="495" t="s">
        <v>81</v>
      </c>
      <c r="J28" s="495" t="s">
        <v>81</v>
      </c>
      <c r="K28" s="495" t="s">
        <v>81</v>
      </c>
      <c r="L28" s="495" t="s">
        <v>81</v>
      </c>
      <c r="M28" s="495" t="s">
        <v>81</v>
      </c>
      <c r="N28" s="495" t="s">
        <v>81</v>
      </c>
      <c r="O28" s="495" t="s">
        <v>81</v>
      </c>
      <c r="P28" s="495" t="s">
        <v>81</v>
      </c>
      <c r="Q28" s="495" t="s">
        <v>81</v>
      </c>
    </row>
    <row r="29" spans="1:17" ht="13" customHeight="1">
      <c r="A29" s="60"/>
      <c r="B29" s="61" t="s">
        <v>47</v>
      </c>
      <c r="C29" s="495" t="s">
        <v>81</v>
      </c>
      <c r="D29" s="495" t="s">
        <v>81</v>
      </c>
      <c r="E29" s="495" t="s">
        <v>81</v>
      </c>
      <c r="F29" s="495" t="s">
        <v>81</v>
      </c>
      <c r="G29" s="495" t="s">
        <v>81</v>
      </c>
      <c r="H29" s="495" t="s">
        <v>81</v>
      </c>
      <c r="I29" s="495" t="s">
        <v>81</v>
      </c>
      <c r="J29" s="495" t="s">
        <v>81</v>
      </c>
      <c r="K29" s="495" t="s">
        <v>81</v>
      </c>
      <c r="L29" s="495" t="s">
        <v>81</v>
      </c>
      <c r="M29" s="495" t="s">
        <v>81</v>
      </c>
      <c r="N29" s="495" t="s">
        <v>81</v>
      </c>
      <c r="O29" s="495" t="s">
        <v>81</v>
      </c>
      <c r="P29" s="495" t="s">
        <v>81</v>
      </c>
      <c r="Q29" s="495" t="s">
        <v>81</v>
      </c>
    </row>
    <row r="30" spans="1:17" ht="13" customHeight="1">
      <c r="A30" s="70"/>
      <c r="B30" s="70" t="s">
        <v>48</v>
      </c>
      <c r="C30" s="495" t="s">
        <v>81</v>
      </c>
      <c r="D30" s="495" t="s">
        <v>81</v>
      </c>
      <c r="E30" s="495" t="s">
        <v>81</v>
      </c>
      <c r="F30" s="495" t="s">
        <v>81</v>
      </c>
      <c r="G30" s="495" t="s">
        <v>81</v>
      </c>
      <c r="H30" s="495" t="s">
        <v>81</v>
      </c>
      <c r="I30" s="495" t="s">
        <v>81</v>
      </c>
      <c r="J30" s="495" t="s">
        <v>81</v>
      </c>
      <c r="K30" s="495" t="s">
        <v>81</v>
      </c>
      <c r="L30" s="495" t="s">
        <v>81</v>
      </c>
      <c r="M30" s="495" t="s">
        <v>81</v>
      </c>
      <c r="N30" s="495" t="s">
        <v>81</v>
      </c>
      <c r="O30" s="495" t="s">
        <v>81</v>
      </c>
      <c r="P30" s="495" t="s">
        <v>81</v>
      </c>
      <c r="Q30" s="495" t="s">
        <v>81</v>
      </c>
    </row>
    <row r="31" spans="1:17" ht="13" customHeight="1" thickBot="1">
      <c r="A31" s="471"/>
      <c r="B31" s="472" t="s">
        <v>49</v>
      </c>
      <c r="C31" s="496" t="s">
        <v>81</v>
      </c>
      <c r="D31" s="496" t="s">
        <v>81</v>
      </c>
      <c r="E31" s="496" t="s">
        <v>81</v>
      </c>
      <c r="F31" s="496" t="s">
        <v>81</v>
      </c>
      <c r="G31" s="496" t="s">
        <v>81</v>
      </c>
      <c r="H31" s="496" t="s">
        <v>81</v>
      </c>
      <c r="I31" s="496" t="s">
        <v>81</v>
      </c>
      <c r="J31" s="496" t="s">
        <v>81</v>
      </c>
      <c r="K31" s="496" t="s">
        <v>81</v>
      </c>
      <c r="L31" s="496" t="s">
        <v>81</v>
      </c>
      <c r="M31" s="496" t="s">
        <v>81</v>
      </c>
      <c r="N31" s="496" t="s">
        <v>81</v>
      </c>
      <c r="O31" s="496" t="s">
        <v>81</v>
      </c>
      <c r="P31" s="496" t="s">
        <v>81</v>
      </c>
      <c r="Q31" s="496" t="s">
        <v>81</v>
      </c>
    </row>
    <row r="32" spans="1:17" ht="10" customHeight="1">
      <c r="A32" s="28" t="s">
        <v>238</v>
      </c>
      <c r="B32" s="40"/>
      <c r="C32" s="464"/>
      <c r="D32" s="464"/>
      <c r="E32" s="464"/>
      <c r="F32" s="464"/>
      <c r="G32" s="464"/>
      <c r="H32" s="464"/>
      <c r="I32" s="464"/>
      <c r="J32" s="464"/>
      <c r="K32" s="464"/>
      <c r="L32" s="464"/>
      <c r="M32" s="464"/>
      <c r="N32" s="464"/>
      <c r="O32" s="464"/>
      <c r="P32" s="464"/>
      <c r="Q32" s="464"/>
    </row>
    <row r="33" spans="1:17" ht="10" customHeight="1">
      <c r="A33" s="28" t="s">
        <v>192</v>
      </c>
      <c r="B33" s="40"/>
      <c r="C33" s="464"/>
      <c r="D33" s="464"/>
      <c r="E33" s="464"/>
      <c r="F33" s="464"/>
      <c r="G33" s="464"/>
      <c r="H33" s="464"/>
      <c r="I33" s="464"/>
      <c r="J33" s="464"/>
      <c r="K33" s="464"/>
      <c r="L33" s="464"/>
      <c r="M33" s="464"/>
      <c r="N33" s="464"/>
      <c r="O33" s="464"/>
      <c r="P33" s="464"/>
      <c r="Q33" s="464"/>
    </row>
    <row r="34" spans="1:17" ht="10" customHeight="1">
      <c r="A34" s="40" t="s">
        <v>261</v>
      </c>
      <c r="B34" s="320"/>
      <c r="C34" s="464"/>
      <c r="D34" s="464"/>
      <c r="E34" s="464"/>
      <c r="F34" s="464"/>
      <c r="G34" s="464"/>
      <c r="H34" s="464"/>
      <c r="I34" s="464"/>
      <c r="J34" s="464"/>
      <c r="K34" s="464"/>
      <c r="L34" s="464"/>
      <c r="M34" s="464"/>
      <c r="N34" s="464"/>
      <c r="O34" s="464"/>
      <c r="P34" s="464"/>
      <c r="Q34" s="46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44">
    <tabColor theme="9" tint="0.59999389629810485"/>
  </sheetPr>
  <dimension ref="A2:Q62"/>
  <sheetViews>
    <sheetView showGridLines="0" topLeftCell="B1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7" ht="13" customHeight="1">
      <c r="A2" s="468" t="s">
        <v>350</v>
      </c>
      <c r="B2" s="469"/>
    </row>
    <row r="3" spans="1:17" ht="13" customHeight="1">
      <c r="A3" s="470" t="s">
        <v>312</v>
      </c>
      <c r="B3" s="470"/>
    </row>
    <row r="4" spans="1:17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7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7" ht="15" customHeight="1">
      <c r="A6" s="1102" t="s">
        <v>106</v>
      </c>
      <c r="B6" s="1102"/>
      <c r="C6" s="460">
        <f>(C8+C9+C10+C11+C12+C13+C14+C15+C16+C17+C18+C19+C20+C21+C22+C23+C24+C25+C26+C27+C28+C29+C30+C31)</f>
        <v>1269979</v>
      </c>
      <c r="D6" s="460">
        <f>(D8+D9+D10+D11+D12+D13+D14+D15+D16+D17+D18+D19+D20+D21+D22+D23+D24+D25+D26+D27+D28+D29+D30+D31)</f>
        <v>1256101</v>
      </c>
      <c r="E6" s="460">
        <v>1274425</v>
      </c>
      <c r="F6" s="460">
        <v>1262782</v>
      </c>
      <c r="G6" s="460">
        <v>1237593</v>
      </c>
      <c r="H6" s="460">
        <v>1245169</v>
      </c>
      <c r="I6" s="460">
        <v>1226612</v>
      </c>
      <c r="J6" s="460">
        <v>1194404</v>
      </c>
      <c r="K6" s="460">
        <v>1234089</v>
      </c>
      <c r="L6" s="460">
        <v>1211917</v>
      </c>
      <c r="M6" s="460">
        <v>1194708</v>
      </c>
      <c r="N6" s="460">
        <v>1105018</v>
      </c>
      <c r="O6" s="460">
        <v>1106201</v>
      </c>
      <c r="P6" s="460">
        <v>1093043</v>
      </c>
      <c r="Q6" s="460">
        <v>1089699</v>
      </c>
    </row>
    <row r="7" spans="1:17" ht="5" customHeight="1">
      <c r="A7" s="151"/>
      <c r="B7" s="152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1"/>
      <c r="Q7" s="461"/>
    </row>
    <row r="8" spans="1:17" ht="13" customHeight="1">
      <c r="A8" s="151"/>
      <c r="B8" s="29" t="s">
        <v>21</v>
      </c>
      <c r="C8" s="455">
        <v>0</v>
      </c>
      <c r="D8" s="455">
        <v>0</v>
      </c>
      <c r="E8" s="462" t="s">
        <v>378</v>
      </c>
      <c r="F8" s="462" t="s">
        <v>378</v>
      </c>
      <c r="G8" s="462" t="s">
        <v>378</v>
      </c>
      <c r="H8" s="462" t="s">
        <v>378</v>
      </c>
      <c r="I8" s="462" t="s">
        <v>378</v>
      </c>
      <c r="J8" s="462" t="s">
        <v>378</v>
      </c>
      <c r="K8" s="462" t="s">
        <v>378</v>
      </c>
      <c r="L8" s="462" t="s">
        <v>378</v>
      </c>
      <c r="M8" s="462" t="s">
        <v>378</v>
      </c>
      <c r="N8" s="462" t="s">
        <v>378</v>
      </c>
      <c r="O8" s="462" t="s">
        <v>378</v>
      </c>
      <c r="P8" s="462" t="s">
        <v>378</v>
      </c>
      <c r="Q8" s="462" t="s">
        <v>378</v>
      </c>
    </row>
    <row r="9" spans="1:17" ht="13" customHeight="1">
      <c r="A9" s="151"/>
      <c r="B9" s="29" t="s">
        <v>22</v>
      </c>
      <c r="C9" s="455">
        <v>0</v>
      </c>
      <c r="D9" s="455">
        <v>0</v>
      </c>
      <c r="E9" s="462" t="s">
        <v>378</v>
      </c>
      <c r="F9" s="462" t="s">
        <v>378</v>
      </c>
      <c r="G9" s="462" t="s">
        <v>378</v>
      </c>
      <c r="H9" s="462" t="s">
        <v>378</v>
      </c>
      <c r="I9" s="462" t="s">
        <v>378</v>
      </c>
      <c r="J9" s="462" t="s">
        <v>378</v>
      </c>
      <c r="K9" s="462" t="s">
        <v>378</v>
      </c>
      <c r="L9" s="462" t="s">
        <v>378</v>
      </c>
      <c r="M9" s="462" t="s">
        <v>378</v>
      </c>
      <c r="N9" s="462" t="s">
        <v>378</v>
      </c>
      <c r="O9" s="462" t="s">
        <v>378</v>
      </c>
      <c r="P9" s="462" t="s">
        <v>378</v>
      </c>
      <c r="Q9" s="462" t="s">
        <v>378</v>
      </c>
    </row>
    <row r="10" spans="1:17" ht="13" customHeight="1">
      <c r="A10" s="151"/>
      <c r="B10" s="29" t="s">
        <v>23</v>
      </c>
      <c r="C10" s="455">
        <v>0</v>
      </c>
      <c r="D10" s="455">
        <v>0</v>
      </c>
      <c r="E10" s="462" t="s">
        <v>378</v>
      </c>
      <c r="F10" s="462" t="s">
        <v>378</v>
      </c>
      <c r="G10" s="462" t="s">
        <v>378</v>
      </c>
      <c r="H10" s="462" t="s">
        <v>378</v>
      </c>
      <c r="I10" s="462" t="s">
        <v>378</v>
      </c>
      <c r="J10" s="462" t="s">
        <v>378</v>
      </c>
      <c r="K10" s="462" t="s">
        <v>378</v>
      </c>
      <c r="L10" s="462" t="s">
        <v>378</v>
      </c>
      <c r="M10" s="462" t="s">
        <v>378</v>
      </c>
      <c r="N10" s="462" t="s">
        <v>378</v>
      </c>
      <c r="O10" s="462" t="s">
        <v>378</v>
      </c>
      <c r="P10" s="462" t="s">
        <v>378</v>
      </c>
      <c r="Q10" s="462" t="s">
        <v>378</v>
      </c>
    </row>
    <row r="11" spans="1:17" ht="13" customHeight="1">
      <c r="A11" s="151"/>
      <c r="B11" s="29" t="s">
        <v>24</v>
      </c>
      <c r="C11" s="455">
        <v>0</v>
      </c>
      <c r="D11" s="455">
        <v>0</v>
      </c>
      <c r="E11" s="462" t="s">
        <v>378</v>
      </c>
      <c r="F11" s="462" t="s">
        <v>378</v>
      </c>
      <c r="G11" s="462" t="s">
        <v>378</v>
      </c>
      <c r="H11" s="462" t="s">
        <v>378</v>
      </c>
      <c r="I11" s="462" t="s">
        <v>378</v>
      </c>
      <c r="J11" s="462" t="s">
        <v>378</v>
      </c>
      <c r="K11" s="462" t="s">
        <v>378</v>
      </c>
      <c r="L11" s="462" t="s">
        <v>378</v>
      </c>
      <c r="M11" s="462" t="s">
        <v>378</v>
      </c>
      <c r="N11" s="462" t="s">
        <v>378</v>
      </c>
      <c r="O11" s="462" t="s">
        <v>378</v>
      </c>
      <c r="P11" s="462" t="s">
        <v>378</v>
      </c>
      <c r="Q11" s="462" t="s">
        <v>378</v>
      </c>
    </row>
    <row r="12" spans="1:17" ht="13" customHeight="1">
      <c r="A12" s="151"/>
      <c r="B12" s="29" t="s">
        <v>25</v>
      </c>
      <c r="C12" s="455">
        <v>0</v>
      </c>
      <c r="D12" s="455">
        <v>0</v>
      </c>
      <c r="E12" s="462" t="s">
        <v>378</v>
      </c>
      <c r="F12" s="462" t="s">
        <v>378</v>
      </c>
      <c r="G12" s="462" t="s">
        <v>378</v>
      </c>
      <c r="H12" s="462" t="s">
        <v>378</v>
      </c>
      <c r="I12" s="462" t="s">
        <v>378</v>
      </c>
      <c r="J12" s="462" t="s">
        <v>378</v>
      </c>
      <c r="K12" s="462" t="s">
        <v>378</v>
      </c>
      <c r="L12" s="462" t="s">
        <v>378</v>
      </c>
      <c r="M12" s="462" t="s">
        <v>378</v>
      </c>
      <c r="N12" s="462" t="s">
        <v>378</v>
      </c>
      <c r="O12" s="462" t="s">
        <v>378</v>
      </c>
      <c r="P12" s="462" t="s">
        <v>378</v>
      </c>
      <c r="Q12" s="462" t="s">
        <v>378</v>
      </c>
    </row>
    <row r="13" spans="1:17" ht="13" customHeight="1">
      <c r="A13" s="151"/>
      <c r="B13" s="29" t="s">
        <v>29</v>
      </c>
      <c r="C13" s="455">
        <v>0</v>
      </c>
      <c r="D13" s="455">
        <v>0</v>
      </c>
      <c r="E13" s="462" t="s">
        <v>378</v>
      </c>
      <c r="F13" s="462" t="s">
        <v>378</v>
      </c>
      <c r="G13" s="462" t="s">
        <v>378</v>
      </c>
      <c r="H13" s="462" t="s">
        <v>378</v>
      </c>
      <c r="I13" s="462" t="s">
        <v>378</v>
      </c>
      <c r="J13" s="462" t="s">
        <v>378</v>
      </c>
      <c r="K13" s="462" t="s">
        <v>378</v>
      </c>
      <c r="L13" s="462" t="s">
        <v>378</v>
      </c>
      <c r="M13" s="462" t="s">
        <v>378</v>
      </c>
      <c r="N13" s="462" t="s">
        <v>378</v>
      </c>
      <c r="O13" s="462" t="s">
        <v>378</v>
      </c>
      <c r="P13" s="462" t="s">
        <v>378</v>
      </c>
      <c r="Q13" s="462" t="s">
        <v>378</v>
      </c>
    </row>
    <row r="14" spans="1:17" ht="13" customHeight="1">
      <c r="A14" s="151"/>
      <c r="B14" s="29" t="s">
        <v>30</v>
      </c>
      <c r="C14" s="455">
        <v>1500</v>
      </c>
      <c r="D14" s="455">
        <v>0</v>
      </c>
      <c r="E14" s="462" t="s">
        <v>378</v>
      </c>
      <c r="F14" s="462" t="s">
        <v>378</v>
      </c>
      <c r="G14" s="462" t="s">
        <v>378</v>
      </c>
      <c r="H14" s="462" t="s">
        <v>378</v>
      </c>
      <c r="I14" s="462" t="s">
        <v>378</v>
      </c>
      <c r="J14" s="462" t="s">
        <v>378</v>
      </c>
      <c r="K14" s="462" t="s">
        <v>378</v>
      </c>
      <c r="L14" s="462" t="s">
        <v>378</v>
      </c>
      <c r="M14" s="462" t="s">
        <v>378</v>
      </c>
      <c r="N14" s="462" t="s">
        <v>378</v>
      </c>
      <c r="O14" s="462" t="s">
        <v>378</v>
      </c>
      <c r="P14" s="462" t="s">
        <v>378</v>
      </c>
      <c r="Q14" s="462" t="s">
        <v>378</v>
      </c>
    </row>
    <row r="15" spans="1:17" ht="13" customHeight="1">
      <c r="A15" s="151"/>
      <c r="B15" s="29" t="s">
        <v>31</v>
      </c>
      <c r="C15" s="455">
        <v>21456</v>
      </c>
      <c r="D15" s="455">
        <v>23600</v>
      </c>
      <c r="E15" s="455">
        <v>23748</v>
      </c>
      <c r="F15" s="455">
        <v>21894</v>
      </c>
      <c r="G15" s="455">
        <v>22000</v>
      </c>
      <c r="H15" s="456">
        <v>22540</v>
      </c>
      <c r="I15" s="456">
        <v>22202</v>
      </c>
      <c r="J15" s="456">
        <v>23710</v>
      </c>
      <c r="K15" s="456">
        <v>23890</v>
      </c>
      <c r="L15" s="456">
        <v>24487</v>
      </c>
      <c r="M15" s="324">
        <v>24111</v>
      </c>
      <c r="N15" s="324">
        <v>20152</v>
      </c>
      <c r="O15" s="324">
        <v>21904</v>
      </c>
      <c r="P15" s="324">
        <v>22126</v>
      </c>
      <c r="Q15" s="324">
        <v>21780</v>
      </c>
    </row>
    <row r="16" spans="1:17" ht="13" customHeight="1">
      <c r="A16" s="151"/>
      <c r="B16" s="29" t="s">
        <v>32</v>
      </c>
      <c r="C16" s="455">
        <v>0</v>
      </c>
      <c r="D16" s="457">
        <v>0</v>
      </c>
      <c r="E16" s="462" t="s">
        <v>378</v>
      </c>
      <c r="F16" s="462" t="s">
        <v>378</v>
      </c>
      <c r="G16" s="462" t="s">
        <v>378</v>
      </c>
      <c r="H16" s="462" t="s">
        <v>378</v>
      </c>
      <c r="I16" s="462" t="s">
        <v>378</v>
      </c>
      <c r="J16" s="462" t="s">
        <v>378</v>
      </c>
      <c r="K16" s="462" t="s">
        <v>378</v>
      </c>
      <c r="L16" s="462" t="s">
        <v>378</v>
      </c>
      <c r="M16" s="462" t="s">
        <v>378</v>
      </c>
      <c r="N16" s="462" t="s">
        <v>378</v>
      </c>
      <c r="O16" s="462" t="s">
        <v>378</v>
      </c>
      <c r="P16" s="462" t="s">
        <v>378</v>
      </c>
      <c r="Q16" s="462" t="s">
        <v>378</v>
      </c>
    </row>
    <row r="17" spans="1:17" ht="13" customHeight="1">
      <c r="A17" s="151"/>
      <c r="B17" s="29" t="s">
        <v>33</v>
      </c>
      <c r="C17" s="455">
        <v>6405</v>
      </c>
      <c r="D17" s="455">
        <v>0</v>
      </c>
      <c r="E17" s="462" t="s">
        <v>378</v>
      </c>
      <c r="F17" s="462" t="s">
        <v>378</v>
      </c>
      <c r="G17" s="462" t="s">
        <v>378</v>
      </c>
      <c r="H17" s="462" t="s">
        <v>378</v>
      </c>
      <c r="I17" s="462" t="s">
        <v>378</v>
      </c>
      <c r="J17" s="456">
        <v>3750</v>
      </c>
      <c r="K17" s="456">
        <v>3800</v>
      </c>
      <c r="L17" s="456">
        <v>4000</v>
      </c>
      <c r="M17" s="324">
        <v>3500</v>
      </c>
      <c r="N17" s="324">
        <v>3450</v>
      </c>
      <c r="O17" s="324">
        <v>3530</v>
      </c>
      <c r="P17" s="324">
        <v>3495</v>
      </c>
      <c r="Q17" s="324">
        <v>3513</v>
      </c>
    </row>
    <row r="18" spans="1:17" ht="13" customHeight="1">
      <c r="A18" s="151"/>
      <c r="B18" s="29" t="s">
        <v>34</v>
      </c>
      <c r="C18" s="455">
        <v>44590</v>
      </c>
      <c r="D18" s="455">
        <v>43194</v>
      </c>
      <c r="E18" s="455">
        <v>44310</v>
      </c>
      <c r="F18" s="455">
        <v>43124</v>
      </c>
      <c r="G18" s="455">
        <v>40880</v>
      </c>
      <c r="H18" s="456">
        <v>38635</v>
      </c>
      <c r="I18" s="456">
        <v>35755</v>
      </c>
      <c r="J18" s="456">
        <v>34591</v>
      </c>
      <c r="K18" s="456">
        <v>33297</v>
      </c>
      <c r="L18" s="456">
        <v>33924</v>
      </c>
      <c r="M18" s="324">
        <v>33584</v>
      </c>
      <c r="N18" s="324">
        <v>33250</v>
      </c>
      <c r="O18" s="324">
        <v>44169</v>
      </c>
      <c r="P18" s="324">
        <v>43590</v>
      </c>
      <c r="Q18" s="324">
        <v>43880</v>
      </c>
    </row>
    <row r="19" spans="1:17" ht="13" customHeight="1">
      <c r="A19" s="151"/>
      <c r="B19" s="29" t="s">
        <v>35</v>
      </c>
      <c r="C19" s="455">
        <v>38340</v>
      </c>
      <c r="D19" s="455">
        <v>36650</v>
      </c>
      <c r="E19" s="455">
        <v>38340</v>
      </c>
      <c r="F19" s="455">
        <v>40385</v>
      </c>
      <c r="G19" s="455">
        <v>39200</v>
      </c>
      <c r="H19" s="456">
        <v>37583</v>
      </c>
      <c r="I19" s="456">
        <v>40495</v>
      </c>
      <c r="J19" s="456">
        <v>60081</v>
      </c>
      <c r="K19" s="456">
        <v>51560</v>
      </c>
      <c r="L19" s="456">
        <v>52446</v>
      </c>
      <c r="M19" s="324">
        <v>52954</v>
      </c>
      <c r="N19" s="324">
        <v>52868</v>
      </c>
      <c r="O19" s="324">
        <v>59605</v>
      </c>
      <c r="P19" s="324">
        <v>62556</v>
      </c>
      <c r="Q19" s="324">
        <v>61081</v>
      </c>
    </row>
    <row r="20" spans="1:17" ht="13" customHeight="1">
      <c r="A20" s="151"/>
      <c r="B20" s="29" t="s">
        <v>36</v>
      </c>
      <c r="C20" s="455">
        <v>133333</v>
      </c>
      <c r="D20" s="455">
        <v>134065</v>
      </c>
      <c r="E20" s="455">
        <v>133670</v>
      </c>
      <c r="F20" s="455">
        <v>129100</v>
      </c>
      <c r="G20" s="455">
        <v>130864</v>
      </c>
      <c r="H20" s="456">
        <v>132206</v>
      </c>
      <c r="I20" s="456">
        <v>130987</v>
      </c>
      <c r="J20" s="456">
        <v>131420</v>
      </c>
      <c r="K20" s="456">
        <v>141096</v>
      </c>
      <c r="L20" s="456">
        <v>143295</v>
      </c>
      <c r="M20" s="324">
        <v>139124</v>
      </c>
      <c r="N20" s="324">
        <v>131758</v>
      </c>
      <c r="O20" s="324">
        <v>127731</v>
      </c>
      <c r="P20" s="324">
        <v>128540</v>
      </c>
      <c r="Q20" s="324">
        <v>131322</v>
      </c>
    </row>
    <row r="21" spans="1:17" ht="13" customHeight="1">
      <c r="A21" s="151"/>
      <c r="B21" s="29" t="s">
        <v>37</v>
      </c>
      <c r="C21" s="455">
        <v>115265</v>
      </c>
      <c r="D21" s="455">
        <v>116940</v>
      </c>
      <c r="E21" s="455">
        <v>114410</v>
      </c>
      <c r="F21" s="455">
        <v>112650</v>
      </c>
      <c r="G21" s="455">
        <v>108990</v>
      </c>
      <c r="H21" s="456">
        <v>105753</v>
      </c>
      <c r="I21" s="456">
        <v>107261</v>
      </c>
      <c r="J21" s="456">
        <v>106033</v>
      </c>
      <c r="K21" s="456">
        <v>101370</v>
      </c>
      <c r="L21" s="456">
        <v>102450</v>
      </c>
      <c r="M21" s="324">
        <v>99937</v>
      </c>
      <c r="N21" s="324">
        <v>91070</v>
      </c>
      <c r="O21" s="324">
        <v>87181</v>
      </c>
      <c r="P21" s="324">
        <v>90122</v>
      </c>
      <c r="Q21" s="324">
        <v>88209</v>
      </c>
    </row>
    <row r="22" spans="1:17" ht="13" customHeight="1">
      <c r="A22" s="151"/>
      <c r="B22" s="29" t="s">
        <v>38</v>
      </c>
      <c r="C22" s="455">
        <v>40508</v>
      </c>
      <c r="D22" s="455">
        <v>36448</v>
      </c>
      <c r="E22" s="455">
        <v>42803</v>
      </c>
      <c r="F22" s="455">
        <v>39301</v>
      </c>
      <c r="G22" s="455">
        <v>39600</v>
      </c>
      <c r="H22" s="456">
        <v>39732</v>
      </c>
      <c r="I22" s="456">
        <v>38737</v>
      </c>
      <c r="J22" s="456">
        <v>37450</v>
      </c>
      <c r="K22" s="456">
        <v>36980</v>
      </c>
      <c r="L22" s="456">
        <v>37027</v>
      </c>
      <c r="M22" s="324">
        <v>37704</v>
      </c>
      <c r="N22" s="324">
        <v>39589</v>
      </c>
      <c r="O22" s="324">
        <v>38640</v>
      </c>
      <c r="P22" s="324">
        <v>38670</v>
      </c>
      <c r="Q22" s="324">
        <v>38655</v>
      </c>
    </row>
    <row r="23" spans="1:17" ht="13" customHeight="1">
      <c r="A23" s="151"/>
      <c r="B23" s="29" t="s">
        <v>39</v>
      </c>
      <c r="C23" s="455">
        <v>18555</v>
      </c>
      <c r="D23" s="455">
        <v>18980</v>
      </c>
      <c r="E23" s="455">
        <v>14575</v>
      </c>
      <c r="F23" s="455">
        <v>19865</v>
      </c>
      <c r="G23" s="455">
        <v>18404</v>
      </c>
      <c r="H23" s="456">
        <v>20680</v>
      </c>
      <c r="I23" s="456">
        <v>20968</v>
      </c>
      <c r="J23" s="456">
        <v>21445</v>
      </c>
      <c r="K23" s="456">
        <v>27998</v>
      </c>
      <c r="L23" s="456">
        <v>27046</v>
      </c>
      <c r="M23" s="324">
        <v>28326</v>
      </c>
      <c r="N23" s="324">
        <v>29742</v>
      </c>
      <c r="O23" s="324">
        <v>28405</v>
      </c>
      <c r="P23" s="324">
        <v>28405</v>
      </c>
      <c r="Q23" s="324">
        <v>28405</v>
      </c>
    </row>
    <row r="24" spans="1:17" ht="13" customHeight="1">
      <c r="A24" s="151"/>
      <c r="B24" s="29" t="s">
        <v>40</v>
      </c>
      <c r="C24" s="455">
        <v>128288</v>
      </c>
      <c r="D24" s="455">
        <v>119003</v>
      </c>
      <c r="E24" s="455">
        <v>129320</v>
      </c>
      <c r="F24" s="455">
        <v>134210</v>
      </c>
      <c r="G24" s="455">
        <v>121678</v>
      </c>
      <c r="H24" s="456">
        <v>131132</v>
      </c>
      <c r="I24" s="456">
        <v>136942</v>
      </c>
      <c r="J24" s="456">
        <v>127960</v>
      </c>
      <c r="K24" s="456">
        <v>150209</v>
      </c>
      <c r="L24" s="456">
        <v>136915</v>
      </c>
      <c r="M24" s="324">
        <v>129387</v>
      </c>
      <c r="N24" s="324">
        <v>95020</v>
      </c>
      <c r="O24" s="324">
        <v>85162</v>
      </c>
      <c r="P24" s="324">
        <v>82871</v>
      </c>
      <c r="Q24" s="324">
        <v>79754</v>
      </c>
    </row>
    <row r="25" spans="1:17" ht="13" customHeight="1">
      <c r="A25" s="151"/>
      <c r="B25" s="29" t="s">
        <v>41</v>
      </c>
      <c r="C25" s="455">
        <v>51610</v>
      </c>
      <c r="D25" s="455">
        <v>57945</v>
      </c>
      <c r="E25" s="455">
        <v>58370</v>
      </c>
      <c r="F25" s="455">
        <v>66971</v>
      </c>
      <c r="G25" s="455">
        <v>65430</v>
      </c>
      <c r="H25" s="455">
        <v>63065</v>
      </c>
      <c r="I25" s="455">
        <v>61554</v>
      </c>
      <c r="J25" s="455">
        <v>63014</v>
      </c>
      <c r="K25" s="455">
        <v>67160</v>
      </c>
      <c r="L25" s="455">
        <v>67839</v>
      </c>
      <c r="M25" s="324">
        <v>69980</v>
      </c>
      <c r="N25" s="324">
        <v>73479</v>
      </c>
      <c r="O25" s="324">
        <v>72980</v>
      </c>
      <c r="P25" s="324">
        <v>72160</v>
      </c>
      <c r="Q25" s="324">
        <v>72611</v>
      </c>
    </row>
    <row r="26" spans="1:17" ht="13" customHeight="1">
      <c r="A26" s="151"/>
      <c r="B26" s="29" t="s">
        <v>44</v>
      </c>
      <c r="C26" s="455">
        <v>233219</v>
      </c>
      <c r="D26" s="455">
        <v>235396</v>
      </c>
      <c r="E26" s="455">
        <v>237789</v>
      </c>
      <c r="F26" s="455">
        <v>209672</v>
      </c>
      <c r="G26" s="455">
        <v>201287</v>
      </c>
      <c r="H26" s="456">
        <v>201473</v>
      </c>
      <c r="I26" s="456">
        <v>184421</v>
      </c>
      <c r="J26" s="456">
        <v>179650</v>
      </c>
      <c r="K26" s="456">
        <v>161609</v>
      </c>
      <c r="L26" s="456">
        <v>158708</v>
      </c>
      <c r="M26" s="324">
        <v>152251</v>
      </c>
      <c r="N26" s="324">
        <v>139859</v>
      </c>
      <c r="O26" s="324">
        <v>142064</v>
      </c>
      <c r="P26" s="324">
        <v>150238</v>
      </c>
      <c r="Q26" s="324">
        <v>150801</v>
      </c>
    </row>
    <row r="27" spans="1:17" ht="13" customHeight="1">
      <c r="A27" s="151"/>
      <c r="B27" s="29" t="s">
        <v>45</v>
      </c>
      <c r="C27" s="455">
        <v>436910</v>
      </c>
      <c r="D27" s="455">
        <v>433880</v>
      </c>
      <c r="E27" s="455">
        <v>437090</v>
      </c>
      <c r="F27" s="455">
        <v>445610</v>
      </c>
      <c r="G27" s="455">
        <v>449260</v>
      </c>
      <c r="H27" s="456">
        <v>452370</v>
      </c>
      <c r="I27" s="456">
        <v>447290</v>
      </c>
      <c r="J27" s="456">
        <v>405300</v>
      </c>
      <c r="K27" s="456">
        <v>435120</v>
      </c>
      <c r="L27" s="456">
        <v>423780</v>
      </c>
      <c r="M27" s="324">
        <v>423850</v>
      </c>
      <c r="N27" s="324">
        <v>394780</v>
      </c>
      <c r="O27" s="324">
        <v>394830</v>
      </c>
      <c r="P27" s="324">
        <v>370270</v>
      </c>
      <c r="Q27" s="324">
        <v>369690</v>
      </c>
    </row>
    <row r="28" spans="1:17" ht="13" customHeight="1">
      <c r="A28" s="151"/>
      <c r="B28" s="150" t="s">
        <v>46</v>
      </c>
      <c r="C28" s="455">
        <v>0</v>
      </c>
      <c r="D28" s="455">
        <v>0</v>
      </c>
      <c r="E28" s="462" t="s">
        <v>378</v>
      </c>
      <c r="F28" s="462" t="s">
        <v>378</v>
      </c>
      <c r="G28" s="462" t="s">
        <v>378</v>
      </c>
      <c r="H28" s="462" t="s">
        <v>378</v>
      </c>
      <c r="I28" s="462" t="s">
        <v>378</v>
      </c>
      <c r="J28" s="462" t="s">
        <v>378</v>
      </c>
      <c r="K28" s="462" t="s">
        <v>378</v>
      </c>
      <c r="L28" s="462" t="s">
        <v>378</v>
      </c>
      <c r="M28" s="462" t="s">
        <v>378</v>
      </c>
      <c r="N28" s="462" t="s">
        <v>378</v>
      </c>
      <c r="O28" s="462" t="s">
        <v>378</v>
      </c>
      <c r="P28" s="462" t="s">
        <v>378</v>
      </c>
      <c r="Q28" s="462" t="s">
        <v>378</v>
      </c>
    </row>
    <row r="29" spans="1:17" ht="13" customHeight="1">
      <c r="A29" s="151"/>
      <c r="B29" s="30" t="s">
        <v>47</v>
      </c>
      <c r="C29" s="455">
        <v>0</v>
      </c>
      <c r="D29" s="455">
        <v>0</v>
      </c>
      <c r="E29" s="462" t="s">
        <v>378</v>
      </c>
      <c r="F29" s="462" t="s">
        <v>378</v>
      </c>
      <c r="G29" s="462" t="s">
        <v>378</v>
      </c>
      <c r="H29" s="462" t="s">
        <v>378</v>
      </c>
      <c r="I29" s="462" t="s">
        <v>378</v>
      </c>
      <c r="J29" s="462" t="s">
        <v>378</v>
      </c>
      <c r="K29" s="462" t="s">
        <v>378</v>
      </c>
      <c r="L29" s="462" t="s">
        <v>378</v>
      </c>
      <c r="M29" s="462" t="s">
        <v>378</v>
      </c>
      <c r="N29" s="462" t="s">
        <v>378</v>
      </c>
      <c r="O29" s="462" t="s">
        <v>378</v>
      </c>
      <c r="P29" s="462" t="s">
        <v>378</v>
      </c>
      <c r="Q29" s="462" t="s">
        <v>378</v>
      </c>
    </row>
    <row r="30" spans="1:17" ht="13" customHeight="1">
      <c r="A30" s="151"/>
      <c r="B30" s="29" t="s">
        <v>48</v>
      </c>
      <c r="C30" s="455">
        <v>0</v>
      </c>
      <c r="D30" s="455">
        <v>0</v>
      </c>
      <c r="E30" s="462" t="s">
        <v>378</v>
      </c>
      <c r="F30" s="462" t="s">
        <v>378</v>
      </c>
      <c r="G30" s="462" t="s">
        <v>378</v>
      </c>
      <c r="H30" s="462" t="s">
        <v>378</v>
      </c>
      <c r="I30" s="462" t="s">
        <v>378</v>
      </c>
      <c r="J30" s="462" t="s">
        <v>378</v>
      </c>
      <c r="K30" s="462" t="s">
        <v>378</v>
      </c>
      <c r="L30" s="462" t="s">
        <v>378</v>
      </c>
      <c r="M30" s="462" t="s">
        <v>378</v>
      </c>
      <c r="N30" s="462" t="s">
        <v>378</v>
      </c>
      <c r="O30" s="462" t="s">
        <v>378</v>
      </c>
      <c r="P30" s="462" t="s">
        <v>378</v>
      </c>
      <c r="Q30" s="462" t="s">
        <v>378</v>
      </c>
    </row>
    <row r="31" spans="1:17" ht="13" customHeight="1" thickBot="1">
      <c r="A31" s="453"/>
      <c r="B31" s="454" t="s">
        <v>49</v>
      </c>
      <c r="C31" s="458">
        <v>0</v>
      </c>
      <c r="D31" s="458">
        <v>0</v>
      </c>
      <c r="E31" s="473" t="s">
        <v>378</v>
      </c>
      <c r="F31" s="473" t="s">
        <v>378</v>
      </c>
      <c r="G31" s="473" t="s">
        <v>378</v>
      </c>
      <c r="H31" s="473" t="s">
        <v>378</v>
      </c>
      <c r="I31" s="473" t="s">
        <v>378</v>
      </c>
      <c r="J31" s="473" t="s">
        <v>378</v>
      </c>
      <c r="K31" s="473" t="s">
        <v>378</v>
      </c>
      <c r="L31" s="473" t="s">
        <v>378</v>
      </c>
      <c r="M31" s="473" t="s">
        <v>378</v>
      </c>
      <c r="N31" s="473" t="s">
        <v>378</v>
      </c>
      <c r="O31" s="473" t="s">
        <v>378</v>
      </c>
      <c r="P31" s="473" t="s">
        <v>378</v>
      </c>
      <c r="Q31" s="473" t="s">
        <v>378</v>
      </c>
    </row>
    <row r="32" spans="1:17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3"/>
      <c r="Q33" s="463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3"/>
      <c r="Q34" s="463"/>
    </row>
    <row r="35" spans="1:17" ht="13" customHeight="1">
      <c r="Q35" s="152"/>
    </row>
    <row r="36" spans="1:17" ht="13" customHeight="1">
      <c r="Q36" s="152"/>
    </row>
    <row r="37" spans="1:17" ht="13" customHeight="1">
      <c r="Q37" s="152"/>
    </row>
    <row r="38" spans="1:17" ht="13" customHeight="1">
      <c r="Q38" s="152"/>
    </row>
    <row r="39" spans="1:17" ht="13" customHeight="1">
      <c r="Q39" s="152"/>
    </row>
    <row r="40" spans="1:17" ht="13" customHeight="1">
      <c r="Q40" s="152"/>
    </row>
    <row r="41" spans="1:17" ht="13" customHeight="1">
      <c r="Q41" s="152"/>
    </row>
    <row r="42" spans="1:17" ht="13" customHeight="1">
      <c r="Q42" s="152"/>
    </row>
    <row r="43" spans="1:17" ht="13" customHeight="1">
      <c r="Q43" s="152"/>
    </row>
    <row r="44" spans="1:17" ht="13" customHeight="1">
      <c r="Q44" s="152"/>
    </row>
    <row r="45" spans="1:17" ht="13" customHeight="1">
      <c r="Q45" s="152"/>
    </row>
    <row r="46" spans="1:17" ht="13" customHeight="1">
      <c r="Q46" s="152"/>
    </row>
    <row r="47" spans="1:17" ht="13" customHeight="1">
      <c r="Q47" s="152"/>
    </row>
    <row r="48" spans="1:17" ht="13" customHeight="1">
      <c r="Q48" s="152"/>
    </row>
    <row r="49" spans="17:17" ht="13" customHeight="1">
      <c r="Q49" s="152"/>
    </row>
    <row r="50" spans="17:17" ht="13" customHeight="1">
      <c r="Q50" s="152"/>
    </row>
    <row r="51" spans="17:17" ht="13" customHeight="1">
      <c r="Q51" s="152"/>
    </row>
    <row r="52" spans="17:17" ht="13" customHeight="1">
      <c r="Q52" s="152"/>
    </row>
    <row r="53" spans="17:17" ht="13" customHeight="1">
      <c r="Q53" s="152"/>
    </row>
    <row r="54" spans="17:17" ht="13" customHeight="1">
      <c r="Q54" s="152"/>
    </row>
    <row r="55" spans="17:17" ht="13" customHeight="1">
      <c r="Q55" s="152"/>
    </row>
    <row r="56" spans="17:17" ht="13" customHeight="1">
      <c r="Q56" s="152"/>
    </row>
    <row r="57" spans="17:17" ht="13" customHeight="1">
      <c r="Q57" s="152"/>
    </row>
    <row r="58" spans="17:17" ht="13" customHeight="1">
      <c r="Q58" s="152"/>
    </row>
    <row r="59" spans="17:17" ht="13" customHeight="1">
      <c r="Q59" s="152"/>
    </row>
    <row r="60" spans="17:17" ht="13" customHeight="1">
      <c r="Q60" s="152"/>
    </row>
    <row r="61" spans="17:17" ht="13" customHeight="1">
      <c r="Q61" s="152"/>
    </row>
    <row r="62" spans="17:17" ht="13" customHeight="1">
      <c r="Q62" s="15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Hoja45">
    <tabColor theme="9" tint="0.59999389629810485"/>
  </sheetPr>
  <dimension ref="A2:S36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349</v>
      </c>
      <c r="B2" s="469"/>
    </row>
    <row r="3" spans="1:19" ht="13" customHeight="1">
      <c r="A3" s="470" t="s">
        <v>325</v>
      </c>
      <c r="B3" s="470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9" ht="15" customHeight="1">
      <c r="A6" s="1102" t="s">
        <v>106</v>
      </c>
      <c r="B6" s="1102"/>
      <c r="C6" s="475">
        <f>(C8+C9+C10+C11+C12+C13+C14+C15+C16+C17+C18+C19+C20+C21+C22+C23+C24+C25+C26+C27+C28+C29+C30+C31)</f>
        <v>112106</v>
      </c>
      <c r="D6" s="475">
        <f>(D8+D9+D10+D11+D12+D13+D14+D15+D16+D17+D18+D19+D20+D21+D22+D23+D24+D25+D26+D27+D28+D29+D30+D31)</f>
        <v>113801</v>
      </c>
      <c r="E6" s="475">
        <v>118399</v>
      </c>
      <c r="F6" s="475">
        <v>119237</v>
      </c>
      <c r="G6" s="475">
        <v>127316</v>
      </c>
      <c r="H6" s="475">
        <v>123384</v>
      </c>
      <c r="I6" s="475">
        <v>128346</v>
      </c>
      <c r="J6" s="475">
        <v>130530</v>
      </c>
      <c r="K6" s="475">
        <v>125729</v>
      </c>
      <c r="L6" s="475">
        <v>123360</v>
      </c>
      <c r="M6" s="475">
        <v>119806</v>
      </c>
      <c r="N6" s="475">
        <v>119195</v>
      </c>
      <c r="O6" s="475">
        <v>120748</v>
      </c>
      <c r="P6" s="475">
        <v>119726</v>
      </c>
      <c r="Q6" s="475">
        <f>SUM(Q8:Q31)</f>
        <v>115790</v>
      </c>
    </row>
    <row r="7" spans="1:19" ht="5" customHeight="1">
      <c r="A7" s="151"/>
      <c r="B7" s="152"/>
      <c r="C7" s="476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</row>
    <row r="8" spans="1:19" ht="13" customHeight="1">
      <c r="A8" s="151"/>
      <c r="B8" s="29" t="s">
        <v>21</v>
      </c>
      <c r="C8" s="497">
        <v>0</v>
      </c>
      <c r="D8" s="497">
        <v>0</v>
      </c>
      <c r="E8" s="497" t="s">
        <v>378</v>
      </c>
      <c r="F8" s="497" t="s">
        <v>378</v>
      </c>
      <c r="G8" s="497" t="s">
        <v>378</v>
      </c>
      <c r="H8" s="497" t="s">
        <v>378</v>
      </c>
      <c r="I8" s="497" t="s">
        <v>378</v>
      </c>
      <c r="J8" s="497" t="s">
        <v>378</v>
      </c>
      <c r="K8" s="497" t="s">
        <v>378</v>
      </c>
      <c r="L8" s="497" t="s">
        <v>378</v>
      </c>
      <c r="M8" s="497" t="s">
        <v>378</v>
      </c>
      <c r="N8" s="497" t="s">
        <v>378</v>
      </c>
      <c r="O8" s="497" t="s">
        <v>378</v>
      </c>
      <c r="P8" s="497" t="s">
        <v>378</v>
      </c>
      <c r="Q8" s="497"/>
    </row>
    <row r="9" spans="1:19" ht="13" customHeight="1">
      <c r="A9" s="151"/>
      <c r="B9" s="29" t="s">
        <v>22</v>
      </c>
      <c r="C9" s="497">
        <v>0</v>
      </c>
      <c r="D9" s="497">
        <v>0</v>
      </c>
      <c r="E9" s="497" t="s">
        <v>378</v>
      </c>
      <c r="F9" s="497" t="s">
        <v>378</v>
      </c>
      <c r="G9" s="497" t="s">
        <v>378</v>
      </c>
      <c r="H9" s="497" t="s">
        <v>378</v>
      </c>
      <c r="I9" s="497" t="s">
        <v>378</v>
      </c>
      <c r="J9" s="497" t="s">
        <v>378</v>
      </c>
      <c r="K9" s="497" t="s">
        <v>378</v>
      </c>
      <c r="L9" s="497" t="s">
        <v>378</v>
      </c>
      <c r="M9" s="497" t="s">
        <v>378</v>
      </c>
      <c r="N9" s="497" t="s">
        <v>378</v>
      </c>
      <c r="O9" s="497" t="s">
        <v>378</v>
      </c>
      <c r="P9" s="497" t="s">
        <v>378</v>
      </c>
      <c r="Q9" s="497"/>
      <c r="S9" s="159"/>
    </row>
    <row r="10" spans="1:19" ht="13" customHeight="1">
      <c r="A10" s="151"/>
      <c r="B10" s="29" t="s">
        <v>23</v>
      </c>
      <c r="C10" s="497">
        <v>0</v>
      </c>
      <c r="D10" s="497">
        <v>0</v>
      </c>
      <c r="E10" s="497" t="s">
        <v>378</v>
      </c>
      <c r="F10" s="497" t="s">
        <v>378</v>
      </c>
      <c r="G10" s="497" t="s">
        <v>378</v>
      </c>
      <c r="H10" s="497" t="s">
        <v>378</v>
      </c>
      <c r="I10" s="497" t="s">
        <v>378</v>
      </c>
      <c r="J10" s="497" t="s">
        <v>378</v>
      </c>
      <c r="K10" s="497" t="s">
        <v>378</v>
      </c>
      <c r="L10" s="497" t="s">
        <v>378</v>
      </c>
      <c r="M10" s="497" t="s">
        <v>378</v>
      </c>
      <c r="N10" s="497" t="s">
        <v>378</v>
      </c>
      <c r="O10" s="497" t="s">
        <v>378</v>
      </c>
      <c r="P10" s="497" t="s">
        <v>378</v>
      </c>
      <c r="Q10" s="497"/>
      <c r="S10" s="159"/>
    </row>
    <row r="11" spans="1:19" ht="13" customHeight="1">
      <c r="A11" s="151"/>
      <c r="B11" s="29" t="s">
        <v>24</v>
      </c>
      <c r="C11" s="497">
        <v>0</v>
      </c>
      <c r="D11" s="497">
        <v>0</v>
      </c>
      <c r="E11" s="497" t="s">
        <v>378</v>
      </c>
      <c r="F11" s="497" t="s">
        <v>378</v>
      </c>
      <c r="G11" s="497" t="s">
        <v>378</v>
      </c>
      <c r="H11" s="497" t="s">
        <v>378</v>
      </c>
      <c r="I11" s="497" t="s">
        <v>378</v>
      </c>
      <c r="J11" s="497" t="s">
        <v>378</v>
      </c>
      <c r="K11" s="497" t="s">
        <v>378</v>
      </c>
      <c r="L11" s="497" t="s">
        <v>378</v>
      </c>
      <c r="M11" s="497" t="s">
        <v>378</v>
      </c>
      <c r="N11" s="497" t="s">
        <v>378</v>
      </c>
      <c r="O11" s="497" t="s">
        <v>378</v>
      </c>
      <c r="P11" s="497" t="s">
        <v>378</v>
      </c>
      <c r="Q11" s="497"/>
      <c r="S11" s="159"/>
    </row>
    <row r="12" spans="1:19" ht="13" customHeight="1">
      <c r="A12" s="151"/>
      <c r="B12" s="29" t="s">
        <v>25</v>
      </c>
      <c r="C12" s="497">
        <v>0</v>
      </c>
      <c r="D12" s="497">
        <v>0</v>
      </c>
      <c r="E12" s="497" t="s">
        <v>378</v>
      </c>
      <c r="F12" s="497" t="s">
        <v>378</v>
      </c>
      <c r="G12" s="497" t="s">
        <v>378</v>
      </c>
      <c r="H12" s="497" t="s">
        <v>378</v>
      </c>
      <c r="I12" s="497" t="s">
        <v>378</v>
      </c>
      <c r="J12" s="497" t="s">
        <v>378</v>
      </c>
      <c r="K12" s="497" t="s">
        <v>378</v>
      </c>
      <c r="L12" s="497" t="s">
        <v>378</v>
      </c>
      <c r="M12" s="497" t="s">
        <v>378</v>
      </c>
      <c r="N12" s="497" t="s">
        <v>378</v>
      </c>
      <c r="O12" s="497" t="s">
        <v>378</v>
      </c>
      <c r="P12" s="497" t="s">
        <v>378</v>
      </c>
      <c r="Q12" s="497"/>
      <c r="S12" s="159"/>
    </row>
    <row r="13" spans="1:19" ht="13" customHeight="1">
      <c r="A13" s="151"/>
      <c r="B13" s="29" t="s">
        <v>29</v>
      </c>
      <c r="C13" s="497">
        <v>0</v>
      </c>
      <c r="D13" s="497">
        <v>0</v>
      </c>
      <c r="E13" s="497" t="s">
        <v>378</v>
      </c>
      <c r="F13" s="497" t="s">
        <v>378</v>
      </c>
      <c r="G13" s="497" t="s">
        <v>378</v>
      </c>
      <c r="H13" s="497" t="s">
        <v>378</v>
      </c>
      <c r="I13" s="497" t="s">
        <v>378</v>
      </c>
      <c r="J13" s="497" t="s">
        <v>378</v>
      </c>
      <c r="K13" s="497" t="s">
        <v>378</v>
      </c>
      <c r="L13" s="497" t="s">
        <v>378</v>
      </c>
      <c r="M13" s="497" t="s">
        <v>378</v>
      </c>
      <c r="N13" s="497" t="s">
        <v>378</v>
      </c>
      <c r="O13" s="497" t="s">
        <v>378</v>
      </c>
      <c r="P13" s="497" t="s">
        <v>378</v>
      </c>
      <c r="Q13" s="497"/>
      <c r="S13" s="159"/>
    </row>
    <row r="14" spans="1:19" ht="13" customHeight="1">
      <c r="A14" s="151"/>
      <c r="B14" s="29" t="s">
        <v>30</v>
      </c>
      <c r="C14" s="497">
        <v>0</v>
      </c>
      <c r="D14" s="497">
        <v>0</v>
      </c>
      <c r="E14" s="497" t="s">
        <v>378</v>
      </c>
      <c r="F14" s="497" t="s">
        <v>378</v>
      </c>
      <c r="G14" s="497" t="s">
        <v>378</v>
      </c>
      <c r="H14" s="497" t="s">
        <v>378</v>
      </c>
      <c r="I14" s="497" t="s">
        <v>378</v>
      </c>
      <c r="J14" s="497" t="s">
        <v>378</v>
      </c>
      <c r="K14" s="497" t="s">
        <v>378</v>
      </c>
      <c r="L14" s="497" t="s">
        <v>378</v>
      </c>
      <c r="M14" s="497" t="s">
        <v>378</v>
      </c>
      <c r="N14" s="497" t="s">
        <v>378</v>
      </c>
      <c r="O14" s="497" t="s">
        <v>378</v>
      </c>
      <c r="P14" s="497" t="s">
        <v>378</v>
      </c>
      <c r="Q14" s="497"/>
      <c r="S14" s="159"/>
    </row>
    <row r="15" spans="1:19" ht="13" customHeight="1">
      <c r="A15" s="151"/>
      <c r="B15" s="29" t="s">
        <v>31</v>
      </c>
      <c r="C15" s="497">
        <v>2867</v>
      </c>
      <c r="D15" s="497">
        <v>2944</v>
      </c>
      <c r="E15" s="497">
        <v>2849</v>
      </c>
      <c r="F15" s="497">
        <v>2439</v>
      </c>
      <c r="G15" s="497">
        <v>2693</v>
      </c>
      <c r="H15" s="497">
        <v>2398</v>
      </c>
      <c r="I15" s="497">
        <v>2046</v>
      </c>
      <c r="J15" s="497">
        <v>2270</v>
      </c>
      <c r="K15" s="497">
        <v>1703</v>
      </c>
      <c r="L15" s="497">
        <v>1724</v>
      </c>
      <c r="M15" s="497">
        <v>1627</v>
      </c>
      <c r="N15" s="497">
        <v>1675</v>
      </c>
      <c r="O15" s="497">
        <v>1597</v>
      </c>
      <c r="P15" s="497">
        <v>2354</v>
      </c>
      <c r="Q15" s="497">
        <v>2030</v>
      </c>
      <c r="S15" s="159"/>
    </row>
    <row r="16" spans="1:19" ht="13" customHeight="1">
      <c r="A16" s="151"/>
      <c r="B16" s="29" t="s">
        <v>32</v>
      </c>
      <c r="C16" s="497">
        <v>0</v>
      </c>
      <c r="D16" s="497">
        <v>0</v>
      </c>
      <c r="E16" s="497" t="s">
        <v>378</v>
      </c>
      <c r="F16" s="497" t="s">
        <v>378</v>
      </c>
      <c r="G16" s="497" t="s">
        <v>378</v>
      </c>
      <c r="H16" s="497" t="s">
        <v>378</v>
      </c>
      <c r="I16" s="497" t="s">
        <v>378</v>
      </c>
      <c r="J16" s="497" t="s">
        <v>378</v>
      </c>
      <c r="K16" s="497" t="s">
        <v>378</v>
      </c>
      <c r="L16" s="497" t="s">
        <v>378</v>
      </c>
      <c r="M16" s="497" t="s">
        <v>378</v>
      </c>
      <c r="N16" s="497" t="s">
        <v>378</v>
      </c>
      <c r="O16" s="497" t="s">
        <v>378</v>
      </c>
      <c r="P16" s="497" t="s">
        <v>378</v>
      </c>
      <c r="Q16" s="497">
        <v>0</v>
      </c>
      <c r="S16" s="159"/>
    </row>
    <row r="17" spans="1:19" ht="13" customHeight="1">
      <c r="A17" s="151"/>
      <c r="B17" s="29" t="s">
        <v>33</v>
      </c>
      <c r="C17" s="497">
        <v>0</v>
      </c>
      <c r="D17" s="497">
        <v>0</v>
      </c>
      <c r="E17" s="497" t="s">
        <v>378</v>
      </c>
      <c r="F17" s="497" t="s">
        <v>378</v>
      </c>
      <c r="G17" s="497" t="s">
        <v>378</v>
      </c>
      <c r="H17" s="497" t="s">
        <v>378</v>
      </c>
      <c r="I17" s="497" t="s">
        <v>378</v>
      </c>
      <c r="J17" s="497" t="s">
        <v>378</v>
      </c>
      <c r="K17" s="497">
        <v>351</v>
      </c>
      <c r="L17" s="497">
        <v>310</v>
      </c>
      <c r="M17" s="497">
        <v>112</v>
      </c>
      <c r="N17" s="497">
        <v>26</v>
      </c>
      <c r="O17" s="497">
        <v>45</v>
      </c>
      <c r="P17" s="497">
        <v>0</v>
      </c>
      <c r="Q17" s="497">
        <v>0</v>
      </c>
      <c r="S17" s="159"/>
    </row>
    <row r="18" spans="1:19" ht="13" customHeight="1">
      <c r="A18" s="151"/>
      <c r="B18" s="29" t="s">
        <v>34</v>
      </c>
      <c r="C18" s="497">
        <v>1843</v>
      </c>
      <c r="D18" s="497">
        <v>3268</v>
      </c>
      <c r="E18" s="497">
        <v>3527</v>
      </c>
      <c r="F18" s="497">
        <v>3142</v>
      </c>
      <c r="G18" s="497">
        <v>3243</v>
      </c>
      <c r="H18" s="497">
        <v>3189</v>
      </c>
      <c r="I18" s="497">
        <v>3300</v>
      </c>
      <c r="J18" s="497">
        <v>3605</v>
      </c>
      <c r="K18" s="497">
        <v>3577</v>
      </c>
      <c r="L18" s="497">
        <v>3224</v>
      </c>
      <c r="M18" s="497">
        <v>3860</v>
      </c>
      <c r="N18" s="497">
        <v>3759</v>
      </c>
      <c r="O18" s="497">
        <v>3896</v>
      </c>
      <c r="P18" s="497">
        <v>4117</v>
      </c>
      <c r="Q18" s="497">
        <v>3832</v>
      </c>
      <c r="S18" s="159"/>
    </row>
    <row r="19" spans="1:19" ht="13" customHeight="1">
      <c r="A19" s="151"/>
      <c r="B19" s="29" t="s">
        <v>35</v>
      </c>
      <c r="C19" s="497">
        <v>2900</v>
      </c>
      <c r="D19" s="497">
        <v>2940</v>
      </c>
      <c r="E19" s="497">
        <v>3097</v>
      </c>
      <c r="F19" s="497">
        <v>2769</v>
      </c>
      <c r="G19" s="497">
        <v>3470</v>
      </c>
      <c r="H19" s="497">
        <v>3896</v>
      </c>
      <c r="I19" s="497">
        <v>5687</v>
      </c>
      <c r="J19" s="497">
        <v>6316</v>
      </c>
      <c r="K19" s="497">
        <v>6675</v>
      </c>
      <c r="L19" s="497">
        <v>6957</v>
      </c>
      <c r="M19" s="497">
        <v>7433</v>
      </c>
      <c r="N19" s="497">
        <v>8230</v>
      </c>
      <c r="O19" s="497">
        <v>9563</v>
      </c>
      <c r="P19" s="497">
        <v>11275</v>
      </c>
      <c r="Q19" s="497">
        <v>8636</v>
      </c>
      <c r="S19" s="159"/>
    </row>
    <row r="20" spans="1:19" ht="13" customHeight="1">
      <c r="A20" s="151"/>
      <c r="B20" s="29" t="s">
        <v>36</v>
      </c>
      <c r="C20" s="497">
        <v>11379</v>
      </c>
      <c r="D20" s="497">
        <v>10991</v>
      </c>
      <c r="E20" s="497">
        <v>10579</v>
      </c>
      <c r="F20" s="497">
        <v>10568</v>
      </c>
      <c r="G20" s="497">
        <v>11106</v>
      </c>
      <c r="H20" s="497">
        <v>10706</v>
      </c>
      <c r="I20" s="497">
        <v>10873</v>
      </c>
      <c r="J20" s="497">
        <v>12370</v>
      </c>
      <c r="K20" s="497">
        <v>12347</v>
      </c>
      <c r="L20" s="497">
        <v>12785</v>
      </c>
      <c r="M20" s="497">
        <v>13393</v>
      </c>
      <c r="N20" s="497">
        <v>12123</v>
      </c>
      <c r="O20" s="497">
        <v>11023</v>
      </c>
      <c r="P20" s="497">
        <v>9733</v>
      </c>
      <c r="Q20" s="497">
        <v>7899</v>
      </c>
      <c r="S20" s="159"/>
    </row>
    <row r="21" spans="1:19" ht="13" customHeight="1">
      <c r="A21" s="151"/>
      <c r="B21" s="29" t="s">
        <v>37</v>
      </c>
      <c r="C21" s="497">
        <v>14649</v>
      </c>
      <c r="D21" s="497">
        <v>14501</v>
      </c>
      <c r="E21" s="497">
        <v>14873</v>
      </c>
      <c r="F21" s="497">
        <v>15399</v>
      </c>
      <c r="G21" s="497">
        <v>15610</v>
      </c>
      <c r="H21" s="497">
        <v>10056</v>
      </c>
      <c r="I21" s="497">
        <v>9726</v>
      </c>
      <c r="J21" s="497">
        <v>10478</v>
      </c>
      <c r="K21" s="497">
        <v>11988</v>
      </c>
      <c r="L21" s="497">
        <v>15265</v>
      </c>
      <c r="M21" s="497">
        <v>14037</v>
      </c>
      <c r="N21" s="497">
        <v>10375</v>
      </c>
      <c r="O21" s="497">
        <v>11994</v>
      </c>
      <c r="P21" s="497">
        <v>10331</v>
      </c>
      <c r="Q21" s="497">
        <v>9379</v>
      </c>
      <c r="S21" s="159"/>
    </row>
    <row r="22" spans="1:19" ht="13" customHeight="1">
      <c r="A22" s="151"/>
      <c r="B22" s="29" t="s">
        <v>38</v>
      </c>
      <c r="C22" s="497">
        <v>2087</v>
      </c>
      <c r="D22" s="497">
        <v>2060</v>
      </c>
      <c r="E22" s="497">
        <v>2155</v>
      </c>
      <c r="F22" s="497">
        <v>1848</v>
      </c>
      <c r="G22" s="497">
        <v>2566</v>
      </c>
      <c r="H22" s="497">
        <v>2781</v>
      </c>
      <c r="I22" s="497">
        <v>2996</v>
      </c>
      <c r="J22" s="497">
        <v>2649</v>
      </c>
      <c r="K22" s="497">
        <v>2841</v>
      </c>
      <c r="L22" s="497">
        <v>2216</v>
      </c>
      <c r="M22" s="497">
        <v>2209</v>
      </c>
      <c r="N22" s="497">
        <v>2586</v>
      </c>
      <c r="O22" s="497">
        <v>1788</v>
      </c>
      <c r="P22" s="497">
        <v>1454</v>
      </c>
      <c r="Q22" s="497">
        <v>1353</v>
      </c>
      <c r="S22" s="159"/>
    </row>
    <row r="23" spans="1:19" ht="13" customHeight="1">
      <c r="A23" s="151"/>
      <c r="B23" s="29" t="s">
        <v>39</v>
      </c>
      <c r="C23" s="497">
        <v>4239</v>
      </c>
      <c r="D23" s="497">
        <v>4243</v>
      </c>
      <c r="E23" s="497">
        <v>3798</v>
      </c>
      <c r="F23" s="497">
        <v>3552</v>
      </c>
      <c r="G23" s="497">
        <v>3191</v>
      </c>
      <c r="H23" s="497">
        <v>3491</v>
      </c>
      <c r="I23" s="497">
        <v>3582</v>
      </c>
      <c r="J23" s="497">
        <v>3658</v>
      </c>
      <c r="K23" s="497">
        <v>3872</v>
      </c>
      <c r="L23" s="497">
        <v>4238</v>
      </c>
      <c r="M23" s="497">
        <v>4103</v>
      </c>
      <c r="N23" s="497">
        <v>4326</v>
      </c>
      <c r="O23" s="497">
        <v>4418</v>
      </c>
      <c r="P23" s="497">
        <v>4469</v>
      </c>
      <c r="Q23" s="497">
        <v>4650</v>
      </c>
      <c r="S23" s="159"/>
    </row>
    <row r="24" spans="1:19" ht="13" customHeight="1">
      <c r="A24" s="151"/>
      <c r="B24" s="29" t="s">
        <v>40</v>
      </c>
      <c r="C24" s="497">
        <v>12781</v>
      </c>
      <c r="D24" s="497">
        <v>11464</v>
      </c>
      <c r="E24" s="497">
        <v>13170</v>
      </c>
      <c r="F24" s="497">
        <v>12957</v>
      </c>
      <c r="G24" s="497">
        <v>14449</v>
      </c>
      <c r="H24" s="497">
        <v>14367</v>
      </c>
      <c r="I24" s="497">
        <v>15796</v>
      </c>
      <c r="J24" s="497">
        <v>13982</v>
      </c>
      <c r="K24" s="497">
        <v>13479</v>
      </c>
      <c r="L24" s="497">
        <v>8793</v>
      </c>
      <c r="M24" s="497">
        <v>9682</v>
      </c>
      <c r="N24" s="497">
        <v>8666</v>
      </c>
      <c r="O24" s="497">
        <v>8586</v>
      </c>
      <c r="P24" s="497">
        <v>8081</v>
      </c>
      <c r="Q24" s="497">
        <v>8451</v>
      </c>
      <c r="S24" s="159"/>
    </row>
    <row r="25" spans="1:19" ht="13" customHeight="1">
      <c r="A25" s="151"/>
      <c r="B25" s="29" t="s">
        <v>41</v>
      </c>
      <c r="C25" s="497">
        <v>6157</v>
      </c>
      <c r="D25" s="497">
        <v>6926</v>
      </c>
      <c r="E25" s="497">
        <v>7952</v>
      </c>
      <c r="F25" s="497">
        <v>7975</v>
      </c>
      <c r="G25" s="497">
        <v>8696</v>
      </c>
      <c r="H25" s="497">
        <v>9012</v>
      </c>
      <c r="I25" s="497">
        <v>9372</v>
      </c>
      <c r="J25" s="497">
        <v>9382</v>
      </c>
      <c r="K25" s="497">
        <v>9395</v>
      </c>
      <c r="L25" s="497">
        <v>8866</v>
      </c>
      <c r="M25" s="497">
        <v>9039</v>
      </c>
      <c r="N25" s="497">
        <v>9459</v>
      </c>
      <c r="O25" s="497">
        <v>9871</v>
      </c>
      <c r="P25" s="497">
        <v>9623</v>
      </c>
      <c r="Q25" s="497">
        <v>9923</v>
      </c>
      <c r="S25" s="159"/>
    </row>
    <row r="26" spans="1:19" ht="13" customHeight="1">
      <c r="A26" s="151"/>
      <c r="B26" s="29" t="s">
        <v>44</v>
      </c>
      <c r="C26" s="497">
        <v>14894</v>
      </c>
      <c r="D26" s="497">
        <v>14894</v>
      </c>
      <c r="E26" s="497">
        <v>15559</v>
      </c>
      <c r="F26" s="497">
        <v>17113</v>
      </c>
      <c r="G26" s="497">
        <v>19842</v>
      </c>
      <c r="H26" s="497">
        <v>21448</v>
      </c>
      <c r="I26" s="497">
        <v>21154</v>
      </c>
      <c r="J26" s="497">
        <v>22572</v>
      </c>
      <c r="K26" s="497">
        <v>16076</v>
      </c>
      <c r="L26" s="497">
        <v>15807</v>
      </c>
      <c r="M26" s="497">
        <v>17606</v>
      </c>
      <c r="N26" s="497">
        <v>18183</v>
      </c>
      <c r="O26" s="497">
        <v>17966</v>
      </c>
      <c r="P26" s="497">
        <v>18455</v>
      </c>
      <c r="Q26" s="497">
        <v>19710</v>
      </c>
      <c r="S26" s="159"/>
    </row>
    <row r="27" spans="1:19" ht="13" customHeight="1">
      <c r="A27" s="151"/>
      <c r="B27" s="29" t="s">
        <v>45</v>
      </c>
      <c r="C27" s="497">
        <v>38310</v>
      </c>
      <c r="D27" s="497">
        <v>39570</v>
      </c>
      <c r="E27" s="497">
        <v>40840</v>
      </c>
      <c r="F27" s="497">
        <v>41475</v>
      </c>
      <c r="G27" s="497">
        <v>42450</v>
      </c>
      <c r="H27" s="497">
        <v>42040</v>
      </c>
      <c r="I27" s="497">
        <v>43814</v>
      </c>
      <c r="J27" s="497">
        <v>43248</v>
      </c>
      <c r="K27" s="497">
        <v>43425</v>
      </c>
      <c r="L27" s="497">
        <v>43175</v>
      </c>
      <c r="M27" s="497">
        <v>36705</v>
      </c>
      <c r="N27" s="497">
        <v>39787</v>
      </c>
      <c r="O27" s="497">
        <v>40001</v>
      </c>
      <c r="P27" s="497">
        <v>39834</v>
      </c>
      <c r="Q27" s="497">
        <v>39927</v>
      </c>
      <c r="S27" s="159"/>
    </row>
    <row r="28" spans="1:19" ht="13" customHeight="1">
      <c r="A28" s="151"/>
      <c r="B28" s="150" t="s">
        <v>46</v>
      </c>
      <c r="C28" s="497">
        <v>0</v>
      </c>
      <c r="D28" s="497">
        <v>0</v>
      </c>
      <c r="E28" s="497" t="s">
        <v>378</v>
      </c>
      <c r="F28" s="497" t="s">
        <v>378</v>
      </c>
      <c r="G28" s="497" t="s">
        <v>378</v>
      </c>
      <c r="H28" s="497" t="s">
        <v>378</v>
      </c>
      <c r="I28" s="497" t="s">
        <v>378</v>
      </c>
      <c r="J28" s="497" t="s">
        <v>378</v>
      </c>
      <c r="K28" s="497" t="s">
        <v>378</v>
      </c>
      <c r="L28" s="497" t="s">
        <v>378</v>
      </c>
      <c r="M28" s="497" t="s">
        <v>378</v>
      </c>
      <c r="N28" s="497" t="s">
        <v>378</v>
      </c>
      <c r="O28" s="497" t="s">
        <v>378</v>
      </c>
      <c r="P28" s="497" t="s">
        <v>378</v>
      </c>
      <c r="Q28" s="497" t="s">
        <v>378</v>
      </c>
      <c r="S28" s="159"/>
    </row>
    <row r="29" spans="1:19" ht="13" customHeight="1">
      <c r="A29" s="151"/>
      <c r="B29" s="30" t="s">
        <v>47</v>
      </c>
      <c r="C29" s="497">
        <v>0</v>
      </c>
      <c r="D29" s="497">
        <v>0</v>
      </c>
      <c r="E29" s="497" t="s">
        <v>378</v>
      </c>
      <c r="F29" s="497" t="s">
        <v>378</v>
      </c>
      <c r="G29" s="497" t="s">
        <v>378</v>
      </c>
      <c r="H29" s="497" t="s">
        <v>378</v>
      </c>
      <c r="I29" s="497" t="s">
        <v>378</v>
      </c>
      <c r="J29" s="497" t="s">
        <v>378</v>
      </c>
      <c r="K29" s="497" t="s">
        <v>378</v>
      </c>
      <c r="L29" s="497" t="s">
        <v>378</v>
      </c>
      <c r="M29" s="497" t="s">
        <v>378</v>
      </c>
      <c r="N29" s="497" t="s">
        <v>378</v>
      </c>
      <c r="O29" s="497" t="s">
        <v>378</v>
      </c>
      <c r="P29" s="497" t="s">
        <v>378</v>
      </c>
      <c r="Q29" s="497" t="s">
        <v>378</v>
      </c>
      <c r="S29" s="159"/>
    </row>
    <row r="30" spans="1:19" ht="13" customHeight="1">
      <c r="A30" s="151"/>
      <c r="B30" s="29" t="s">
        <v>48</v>
      </c>
      <c r="C30" s="497">
        <v>0</v>
      </c>
      <c r="D30" s="497">
        <v>0</v>
      </c>
      <c r="E30" s="497" t="s">
        <v>378</v>
      </c>
      <c r="F30" s="497" t="s">
        <v>378</v>
      </c>
      <c r="G30" s="497" t="s">
        <v>378</v>
      </c>
      <c r="H30" s="497" t="s">
        <v>378</v>
      </c>
      <c r="I30" s="497" t="s">
        <v>378</v>
      </c>
      <c r="J30" s="497" t="s">
        <v>378</v>
      </c>
      <c r="K30" s="497" t="s">
        <v>378</v>
      </c>
      <c r="L30" s="497" t="s">
        <v>378</v>
      </c>
      <c r="M30" s="497" t="s">
        <v>378</v>
      </c>
      <c r="N30" s="497" t="s">
        <v>378</v>
      </c>
      <c r="O30" s="497" t="s">
        <v>378</v>
      </c>
      <c r="P30" s="497" t="s">
        <v>378</v>
      </c>
      <c r="Q30" s="497" t="s">
        <v>378</v>
      </c>
      <c r="S30" s="159"/>
    </row>
    <row r="31" spans="1:19" ht="13" customHeight="1" thickBot="1">
      <c r="A31" s="453"/>
      <c r="B31" s="454" t="s">
        <v>49</v>
      </c>
      <c r="C31" s="498">
        <v>0</v>
      </c>
      <c r="D31" s="498">
        <v>0</v>
      </c>
      <c r="E31" s="498" t="s">
        <v>378</v>
      </c>
      <c r="F31" s="498" t="s">
        <v>378</v>
      </c>
      <c r="G31" s="498" t="s">
        <v>378</v>
      </c>
      <c r="H31" s="498" t="s">
        <v>378</v>
      </c>
      <c r="I31" s="498" t="s">
        <v>378</v>
      </c>
      <c r="J31" s="498" t="s">
        <v>378</v>
      </c>
      <c r="K31" s="498" t="s">
        <v>378</v>
      </c>
      <c r="L31" s="498" t="s">
        <v>378</v>
      </c>
      <c r="M31" s="498" t="s">
        <v>378</v>
      </c>
      <c r="N31" s="498" t="s">
        <v>378</v>
      </c>
      <c r="O31" s="498" t="s">
        <v>378</v>
      </c>
      <c r="P31" s="498" t="s">
        <v>378</v>
      </c>
      <c r="Q31" s="498" t="s">
        <v>378</v>
      </c>
      <c r="S31" s="159"/>
    </row>
    <row r="32" spans="1:19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4"/>
      <c r="Q33" s="464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4"/>
      <c r="Q34" s="464"/>
    </row>
    <row r="36" spans="1:17" ht="13" customHeight="1"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Hoja46">
    <tabColor theme="9" tint="0.59999389629810485"/>
  </sheetPr>
  <dimension ref="A2:S36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348</v>
      </c>
      <c r="B2" s="469"/>
    </row>
    <row r="3" spans="1:19" ht="13" customHeight="1">
      <c r="A3" s="470" t="s">
        <v>319</v>
      </c>
      <c r="B3" s="470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9" ht="15" customHeight="1">
      <c r="A6" s="1102" t="s">
        <v>106</v>
      </c>
      <c r="B6" s="1102"/>
      <c r="C6" s="484">
        <f>(C8+C9+C10+C11+C12+C13+C14+C15+C16+C17+C18+C19+C20+C21+C22+C23+C24+C25+C26+C27+C28+C29+C30+C31)</f>
        <v>3862</v>
      </c>
      <c r="D6" s="484">
        <f>(D8+D9+D10+D11+D12+D13+D14+D15+D16+D17+D18+D19+D20+D21+D22+D23+D24+D25+D26+D27+D28+D29+D30+D31)</f>
        <v>3839</v>
      </c>
      <c r="E6" s="484">
        <v>4053</v>
      </c>
      <c r="F6" s="484">
        <v>3971</v>
      </c>
      <c r="G6" s="484">
        <v>4175</v>
      </c>
      <c r="H6" s="484">
        <v>4075</v>
      </c>
      <c r="I6" s="484">
        <v>4235</v>
      </c>
      <c r="J6" s="484">
        <v>4350</v>
      </c>
      <c r="K6" s="484">
        <v>4179</v>
      </c>
      <c r="L6" s="484">
        <v>4170</v>
      </c>
      <c r="M6" s="484">
        <v>3980</v>
      </c>
      <c r="N6" s="484">
        <v>3977</v>
      </c>
      <c r="O6" s="484">
        <v>4009</v>
      </c>
      <c r="P6" s="484">
        <v>4003</v>
      </c>
      <c r="Q6" s="484">
        <f>SUM(Q8:Q31)</f>
        <v>3849</v>
      </c>
    </row>
    <row r="7" spans="1:19" ht="5" customHeight="1">
      <c r="A7" s="151"/>
      <c r="B7" s="152"/>
      <c r="C7" s="485"/>
      <c r="D7" s="485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5"/>
      <c r="Q7" s="485"/>
    </row>
    <row r="8" spans="1:19" ht="13" customHeight="1">
      <c r="A8" s="151"/>
      <c r="B8" s="29" t="s">
        <v>21</v>
      </c>
      <c r="C8" s="499">
        <v>0</v>
      </c>
      <c r="D8" s="499">
        <v>0</v>
      </c>
      <c r="E8" s="499" t="s">
        <v>379</v>
      </c>
      <c r="F8" s="499" t="s">
        <v>379</v>
      </c>
      <c r="G8" s="499" t="s">
        <v>379</v>
      </c>
      <c r="H8" s="499" t="s">
        <v>379</v>
      </c>
      <c r="I8" s="499" t="s">
        <v>379</v>
      </c>
      <c r="J8" s="499" t="s">
        <v>379</v>
      </c>
      <c r="K8" s="499" t="s">
        <v>379</v>
      </c>
      <c r="L8" s="499" t="s">
        <v>379</v>
      </c>
      <c r="M8" s="499" t="s">
        <v>379</v>
      </c>
      <c r="N8" s="499" t="s">
        <v>379</v>
      </c>
      <c r="O8" s="499" t="s">
        <v>379</v>
      </c>
      <c r="P8" s="499" t="s">
        <v>379</v>
      </c>
      <c r="Q8" s="499" t="s">
        <v>379</v>
      </c>
    </row>
    <row r="9" spans="1:19" ht="13" customHeight="1">
      <c r="A9" s="151"/>
      <c r="B9" s="29" t="s">
        <v>22</v>
      </c>
      <c r="C9" s="499">
        <v>0</v>
      </c>
      <c r="D9" s="499">
        <v>0</v>
      </c>
      <c r="E9" s="499" t="s">
        <v>379</v>
      </c>
      <c r="F9" s="499" t="s">
        <v>379</v>
      </c>
      <c r="G9" s="499" t="s">
        <v>379</v>
      </c>
      <c r="H9" s="499" t="s">
        <v>379</v>
      </c>
      <c r="I9" s="499" t="s">
        <v>379</v>
      </c>
      <c r="J9" s="499" t="s">
        <v>379</v>
      </c>
      <c r="K9" s="499" t="s">
        <v>379</v>
      </c>
      <c r="L9" s="499" t="s">
        <v>379</v>
      </c>
      <c r="M9" s="499" t="s">
        <v>379</v>
      </c>
      <c r="N9" s="499" t="s">
        <v>379</v>
      </c>
      <c r="O9" s="499" t="s">
        <v>379</v>
      </c>
      <c r="P9" s="499" t="s">
        <v>379</v>
      </c>
      <c r="Q9" s="499" t="s">
        <v>379</v>
      </c>
      <c r="S9" s="159"/>
    </row>
    <row r="10" spans="1:19" ht="13" customHeight="1">
      <c r="A10" s="151"/>
      <c r="B10" s="29" t="s">
        <v>23</v>
      </c>
      <c r="C10" s="499">
        <v>0</v>
      </c>
      <c r="D10" s="499">
        <v>0</v>
      </c>
      <c r="E10" s="499" t="s">
        <v>379</v>
      </c>
      <c r="F10" s="499" t="s">
        <v>379</v>
      </c>
      <c r="G10" s="499" t="s">
        <v>379</v>
      </c>
      <c r="H10" s="499" t="s">
        <v>379</v>
      </c>
      <c r="I10" s="499" t="s">
        <v>379</v>
      </c>
      <c r="J10" s="499" t="s">
        <v>379</v>
      </c>
      <c r="K10" s="499" t="s">
        <v>379</v>
      </c>
      <c r="L10" s="499" t="s">
        <v>379</v>
      </c>
      <c r="M10" s="499" t="s">
        <v>379</v>
      </c>
      <c r="N10" s="499" t="s">
        <v>379</v>
      </c>
      <c r="O10" s="499" t="s">
        <v>379</v>
      </c>
      <c r="P10" s="499" t="s">
        <v>379</v>
      </c>
      <c r="Q10" s="499" t="s">
        <v>379</v>
      </c>
      <c r="S10" s="159"/>
    </row>
    <row r="11" spans="1:19" ht="13" customHeight="1">
      <c r="A11" s="151"/>
      <c r="B11" s="29" t="s">
        <v>24</v>
      </c>
      <c r="C11" s="499">
        <v>0</v>
      </c>
      <c r="D11" s="499">
        <v>0</v>
      </c>
      <c r="E11" s="499" t="s">
        <v>379</v>
      </c>
      <c r="F11" s="499" t="s">
        <v>379</v>
      </c>
      <c r="G11" s="499" t="s">
        <v>379</v>
      </c>
      <c r="H11" s="499" t="s">
        <v>379</v>
      </c>
      <c r="I11" s="499" t="s">
        <v>379</v>
      </c>
      <c r="J11" s="499" t="s">
        <v>379</v>
      </c>
      <c r="K11" s="499" t="s">
        <v>379</v>
      </c>
      <c r="L11" s="499" t="s">
        <v>379</v>
      </c>
      <c r="M11" s="499" t="s">
        <v>379</v>
      </c>
      <c r="N11" s="499" t="s">
        <v>379</v>
      </c>
      <c r="O11" s="499" t="s">
        <v>379</v>
      </c>
      <c r="P11" s="499" t="s">
        <v>379</v>
      </c>
      <c r="Q11" s="499" t="s">
        <v>379</v>
      </c>
      <c r="S11" s="159"/>
    </row>
    <row r="12" spans="1:19" ht="13" customHeight="1">
      <c r="A12" s="151"/>
      <c r="B12" s="29" t="s">
        <v>25</v>
      </c>
      <c r="C12" s="499">
        <v>0</v>
      </c>
      <c r="D12" s="499">
        <v>0</v>
      </c>
      <c r="E12" s="499" t="s">
        <v>379</v>
      </c>
      <c r="F12" s="499" t="s">
        <v>379</v>
      </c>
      <c r="G12" s="499" t="s">
        <v>379</v>
      </c>
      <c r="H12" s="499" t="s">
        <v>379</v>
      </c>
      <c r="I12" s="499" t="s">
        <v>379</v>
      </c>
      <c r="J12" s="499" t="s">
        <v>379</v>
      </c>
      <c r="K12" s="499" t="s">
        <v>379</v>
      </c>
      <c r="L12" s="499" t="s">
        <v>379</v>
      </c>
      <c r="M12" s="499" t="s">
        <v>379</v>
      </c>
      <c r="N12" s="499" t="s">
        <v>379</v>
      </c>
      <c r="O12" s="499" t="s">
        <v>379</v>
      </c>
      <c r="P12" s="499" t="s">
        <v>379</v>
      </c>
      <c r="Q12" s="499" t="s">
        <v>379</v>
      </c>
      <c r="S12" s="159"/>
    </row>
    <row r="13" spans="1:19" ht="13" customHeight="1">
      <c r="A13" s="151"/>
      <c r="B13" s="29" t="s">
        <v>29</v>
      </c>
      <c r="C13" s="499">
        <v>0</v>
      </c>
      <c r="D13" s="499">
        <v>0</v>
      </c>
      <c r="E13" s="499" t="s">
        <v>379</v>
      </c>
      <c r="F13" s="499" t="s">
        <v>379</v>
      </c>
      <c r="G13" s="499" t="s">
        <v>379</v>
      </c>
      <c r="H13" s="499" t="s">
        <v>379</v>
      </c>
      <c r="I13" s="499" t="s">
        <v>379</v>
      </c>
      <c r="J13" s="499" t="s">
        <v>379</v>
      </c>
      <c r="K13" s="499" t="s">
        <v>379</v>
      </c>
      <c r="L13" s="499" t="s">
        <v>379</v>
      </c>
      <c r="M13" s="499" t="s">
        <v>379</v>
      </c>
      <c r="N13" s="499" t="s">
        <v>379</v>
      </c>
      <c r="O13" s="499" t="s">
        <v>379</v>
      </c>
      <c r="P13" s="499" t="s">
        <v>379</v>
      </c>
      <c r="Q13" s="499" t="s">
        <v>379</v>
      </c>
      <c r="S13" s="159"/>
    </row>
    <row r="14" spans="1:19" ht="13" customHeight="1">
      <c r="A14" s="151"/>
      <c r="B14" s="29" t="s">
        <v>30</v>
      </c>
      <c r="C14" s="499">
        <v>0</v>
      </c>
      <c r="D14" s="499">
        <v>0</v>
      </c>
      <c r="E14" s="499" t="s">
        <v>379</v>
      </c>
      <c r="F14" s="499" t="s">
        <v>379</v>
      </c>
      <c r="G14" s="499" t="s">
        <v>379</v>
      </c>
      <c r="H14" s="499" t="s">
        <v>379</v>
      </c>
      <c r="I14" s="499" t="s">
        <v>379</v>
      </c>
      <c r="J14" s="499" t="s">
        <v>379</v>
      </c>
      <c r="K14" s="499" t="s">
        <v>379</v>
      </c>
      <c r="L14" s="499" t="s">
        <v>379</v>
      </c>
      <c r="M14" s="499" t="s">
        <v>379</v>
      </c>
      <c r="N14" s="499" t="s">
        <v>379</v>
      </c>
      <c r="O14" s="499" t="s">
        <v>379</v>
      </c>
      <c r="P14" s="499" t="s">
        <v>379</v>
      </c>
      <c r="Q14" s="499" t="s">
        <v>379</v>
      </c>
      <c r="S14" s="159"/>
    </row>
    <row r="15" spans="1:19" ht="13" customHeight="1">
      <c r="A15" s="151"/>
      <c r="B15" s="29" t="s">
        <v>31</v>
      </c>
      <c r="C15" s="499">
        <v>107</v>
      </c>
      <c r="D15" s="499">
        <v>109</v>
      </c>
      <c r="E15" s="499">
        <v>110</v>
      </c>
      <c r="F15" s="499">
        <v>96</v>
      </c>
      <c r="G15" s="499">
        <v>106</v>
      </c>
      <c r="H15" s="499">
        <v>88</v>
      </c>
      <c r="I15" s="499">
        <v>70</v>
      </c>
      <c r="J15" s="499">
        <v>72</v>
      </c>
      <c r="K15" s="499">
        <v>56</v>
      </c>
      <c r="L15" s="499">
        <v>57</v>
      </c>
      <c r="M15" s="499">
        <v>53</v>
      </c>
      <c r="N15" s="499">
        <v>55</v>
      </c>
      <c r="O15" s="499">
        <v>50</v>
      </c>
      <c r="P15" s="499">
        <v>75</v>
      </c>
      <c r="Q15" s="499">
        <v>63</v>
      </c>
      <c r="S15" s="159"/>
    </row>
    <row r="16" spans="1:19" ht="13" customHeight="1">
      <c r="A16" s="151"/>
      <c r="B16" s="29" t="s">
        <v>32</v>
      </c>
      <c r="C16" s="499">
        <v>0</v>
      </c>
      <c r="D16" s="499">
        <v>0</v>
      </c>
      <c r="E16" s="499" t="s">
        <v>379</v>
      </c>
      <c r="F16" s="499" t="s">
        <v>379</v>
      </c>
      <c r="G16" s="499" t="s">
        <v>379</v>
      </c>
      <c r="H16" s="499" t="s">
        <v>379</v>
      </c>
      <c r="I16" s="499" t="s">
        <v>379</v>
      </c>
      <c r="J16" s="499" t="s">
        <v>379</v>
      </c>
      <c r="K16" s="499" t="s">
        <v>379</v>
      </c>
      <c r="L16" s="499" t="s">
        <v>379</v>
      </c>
      <c r="M16" s="499" t="s">
        <v>379</v>
      </c>
      <c r="N16" s="499" t="s">
        <v>379</v>
      </c>
      <c r="O16" s="499" t="s">
        <v>379</v>
      </c>
      <c r="P16" s="499" t="s">
        <v>379</v>
      </c>
      <c r="Q16" s="499" t="s">
        <v>379</v>
      </c>
      <c r="S16" s="159"/>
    </row>
    <row r="17" spans="1:19" ht="13" customHeight="1">
      <c r="A17" s="151"/>
      <c r="B17" s="29" t="s">
        <v>33</v>
      </c>
      <c r="C17" s="499">
        <v>0</v>
      </c>
      <c r="D17" s="499">
        <v>0</v>
      </c>
      <c r="E17" s="499" t="s">
        <v>379</v>
      </c>
      <c r="F17" s="499" t="s">
        <v>379</v>
      </c>
      <c r="G17" s="499" t="s">
        <v>379</v>
      </c>
      <c r="H17" s="499" t="s">
        <v>379</v>
      </c>
      <c r="I17" s="499" t="s">
        <v>379</v>
      </c>
      <c r="J17" s="499" t="s">
        <v>379</v>
      </c>
      <c r="K17" s="499">
        <v>11</v>
      </c>
      <c r="L17" s="499">
        <v>10</v>
      </c>
      <c r="M17" s="499">
        <v>4</v>
      </c>
      <c r="N17" s="499">
        <v>1</v>
      </c>
      <c r="O17" s="499">
        <v>1</v>
      </c>
      <c r="P17" s="499" t="s">
        <v>379</v>
      </c>
      <c r="Q17" s="499" t="s">
        <v>379</v>
      </c>
      <c r="S17" s="159"/>
    </row>
    <row r="18" spans="1:19" ht="13" customHeight="1">
      <c r="A18" s="151"/>
      <c r="B18" s="29" t="s">
        <v>34</v>
      </c>
      <c r="C18" s="499">
        <v>64</v>
      </c>
      <c r="D18" s="499">
        <v>100</v>
      </c>
      <c r="E18" s="499">
        <v>109</v>
      </c>
      <c r="F18" s="499">
        <v>90</v>
      </c>
      <c r="G18" s="499">
        <v>90</v>
      </c>
      <c r="H18" s="499">
        <v>89</v>
      </c>
      <c r="I18" s="499">
        <v>94</v>
      </c>
      <c r="J18" s="499">
        <v>106</v>
      </c>
      <c r="K18" s="499">
        <v>106</v>
      </c>
      <c r="L18" s="499">
        <v>98</v>
      </c>
      <c r="M18" s="499">
        <v>106</v>
      </c>
      <c r="N18" s="499">
        <v>107</v>
      </c>
      <c r="O18" s="499">
        <v>115</v>
      </c>
      <c r="P18" s="499">
        <v>119</v>
      </c>
      <c r="Q18" s="499">
        <v>111</v>
      </c>
      <c r="S18" s="159"/>
    </row>
    <row r="19" spans="1:19" ht="13" customHeight="1">
      <c r="A19" s="151"/>
      <c r="B19" s="29" t="s">
        <v>35</v>
      </c>
      <c r="C19" s="499">
        <v>97</v>
      </c>
      <c r="D19" s="499">
        <v>98</v>
      </c>
      <c r="E19" s="499">
        <v>105</v>
      </c>
      <c r="F19" s="499">
        <v>95</v>
      </c>
      <c r="G19" s="499">
        <v>104</v>
      </c>
      <c r="H19" s="499">
        <v>109</v>
      </c>
      <c r="I19" s="499">
        <v>157</v>
      </c>
      <c r="J19" s="499">
        <v>176</v>
      </c>
      <c r="K19" s="499">
        <v>182</v>
      </c>
      <c r="L19" s="499">
        <v>194</v>
      </c>
      <c r="M19" s="499">
        <v>202</v>
      </c>
      <c r="N19" s="499">
        <v>233</v>
      </c>
      <c r="O19" s="499">
        <v>273</v>
      </c>
      <c r="P19" s="499">
        <v>324</v>
      </c>
      <c r="Q19" s="499">
        <v>240</v>
      </c>
      <c r="S19" s="159"/>
    </row>
    <row r="20" spans="1:19" ht="13" customHeight="1">
      <c r="A20" s="151"/>
      <c r="B20" s="29" t="s">
        <v>36</v>
      </c>
      <c r="C20" s="499">
        <v>384</v>
      </c>
      <c r="D20" s="499">
        <v>370</v>
      </c>
      <c r="E20" s="499">
        <v>356</v>
      </c>
      <c r="F20" s="499">
        <v>354</v>
      </c>
      <c r="G20" s="499">
        <v>359</v>
      </c>
      <c r="H20" s="499">
        <v>343</v>
      </c>
      <c r="I20" s="499">
        <v>387</v>
      </c>
      <c r="J20" s="499">
        <v>445</v>
      </c>
      <c r="K20" s="499">
        <v>406</v>
      </c>
      <c r="L20" s="499">
        <v>426</v>
      </c>
      <c r="M20" s="499">
        <v>432</v>
      </c>
      <c r="N20" s="499">
        <v>356</v>
      </c>
      <c r="O20" s="499">
        <v>376</v>
      </c>
      <c r="P20" s="499">
        <v>339</v>
      </c>
      <c r="Q20" s="499">
        <v>269</v>
      </c>
      <c r="S20" s="159"/>
    </row>
    <row r="21" spans="1:19" ht="13" customHeight="1">
      <c r="A21" s="151"/>
      <c r="B21" s="29" t="s">
        <v>37</v>
      </c>
      <c r="C21" s="499">
        <v>523</v>
      </c>
      <c r="D21" s="499">
        <v>497</v>
      </c>
      <c r="E21" s="499">
        <v>511</v>
      </c>
      <c r="F21" s="499">
        <v>506</v>
      </c>
      <c r="G21" s="499">
        <v>513</v>
      </c>
      <c r="H21" s="499">
        <v>334</v>
      </c>
      <c r="I21" s="499">
        <v>331</v>
      </c>
      <c r="J21" s="499">
        <v>365</v>
      </c>
      <c r="K21" s="499">
        <v>415</v>
      </c>
      <c r="L21" s="499">
        <v>526</v>
      </c>
      <c r="M21" s="499">
        <v>479</v>
      </c>
      <c r="N21" s="499">
        <v>358</v>
      </c>
      <c r="O21" s="499">
        <v>380</v>
      </c>
      <c r="P21" s="499">
        <v>354</v>
      </c>
      <c r="Q21" s="499">
        <v>324</v>
      </c>
      <c r="S21" s="159"/>
    </row>
    <row r="22" spans="1:19" ht="13" customHeight="1">
      <c r="A22" s="151"/>
      <c r="B22" s="29" t="s">
        <v>38</v>
      </c>
      <c r="C22" s="499">
        <v>89</v>
      </c>
      <c r="D22" s="499">
        <v>89</v>
      </c>
      <c r="E22" s="499">
        <v>91</v>
      </c>
      <c r="F22" s="499">
        <v>77</v>
      </c>
      <c r="G22" s="499">
        <v>93</v>
      </c>
      <c r="H22" s="499">
        <v>112</v>
      </c>
      <c r="I22" s="499">
        <v>117</v>
      </c>
      <c r="J22" s="499">
        <v>110</v>
      </c>
      <c r="K22" s="499">
        <v>123</v>
      </c>
      <c r="L22" s="499">
        <v>101</v>
      </c>
      <c r="M22" s="499">
        <v>98</v>
      </c>
      <c r="N22" s="499">
        <v>101</v>
      </c>
      <c r="O22" s="499">
        <v>77</v>
      </c>
      <c r="P22" s="499">
        <v>62</v>
      </c>
      <c r="Q22" s="499">
        <v>59</v>
      </c>
      <c r="S22" s="159"/>
    </row>
    <row r="23" spans="1:19" ht="13" customHeight="1">
      <c r="A23" s="151"/>
      <c r="B23" s="29" t="s">
        <v>39</v>
      </c>
      <c r="C23" s="499">
        <v>135</v>
      </c>
      <c r="D23" s="499">
        <v>134</v>
      </c>
      <c r="E23" s="499">
        <v>119</v>
      </c>
      <c r="F23" s="499">
        <v>116</v>
      </c>
      <c r="G23" s="499">
        <v>101</v>
      </c>
      <c r="H23" s="499">
        <v>106</v>
      </c>
      <c r="I23" s="499">
        <v>109</v>
      </c>
      <c r="J23" s="499">
        <v>113</v>
      </c>
      <c r="K23" s="499">
        <v>123</v>
      </c>
      <c r="L23" s="499">
        <v>135</v>
      </c>
      <c r="M23" s="499">
        <v>125</v>
      </c>
      <c r="N23" s="499">
        <v>128</v>
      </c>
      <c r="O23" s="499">
        <v>129</v>
      </c>
      <c r="P23" s="499">
        <v>131</v>
      </c>
      <c r="Q23" s="499">
        <v>137</v>
      </c>
      <c r="S23" s="159"/>
    </row>
    <row r="24" spans="1:19" ht="13" customHeight="1">
      <c r="A24" s="151"/>
      <c r="B24" s="29" t="s">
        <v>40</v>
      </c>
      <c r="C24" s="499">
        <v>404</v>
      </c>
      <c r="D24" s="499">
        <v>377</v>
      </c>
      <c r="E24" s="499">
        <v>447</v>
      </c>
      <c r="F24" s="499">
        <v>389</v>
      </c>
      <c r="G24" s="499">
        <v>435</v>
      </c>
      <c r="H24" s="499">
        <v>421</v>
      </c>
      <c r="I24" s="499">
        <v>463</v>
      </c>
      <c r="J24" s="499">
        <v>403</v>
      </c>
      <c r="K24" s="499">
        <v>396</v>
      </c>
      <c r="L24" s="499">
        <v>262</v>
      </c>
      <c r="M24" s="499">
        <v>288</v>
      </c>
      <c r="N24" s="499">
        <v>296</v>
      </c>
      <c r="O24" s="499">
        <v>260</v>
      </c>
      <c r="P24" s="499">
        <v>244</v>
      </c>
      <c r="Q24" s="499">
        <v>252</v>
      </c>
      <c r="S24" s="159"/>
    </row>
    <row r="25" spans="1:19" ht="13" customHeight="1">
      <c r="A25" s="151"/>
      <c r="B25" s="29" t="s">
        <v>41</v>
      </c>
      <c r="C25" s="499">
        <v>190</v>
      </c>
      <c r="D25" s="499">
        <v>204</v>
      </c>
      <c r="E25" s="499">
        <v>255</v>
      </c>
      <c r="F25" s="499">
        <v>244</v>
      </c>
      <c r="G25" s="499">
        <v>269</v>
      </c>
      <c r="H25" s="499">
        <v>275</v>
      </c>
      <c r="I25" s="499">
        <v>290</v>
      </c>
      <c r="J25" s="499">
        <v>299</v>
      </c>
      <c r="K25" s="499">
        <v>292</v>
      </c>
      <c r="L25" s="499">
        <v>289</v>
      </c>
      <c r="M25" s="499">
        <v>288</v>
      </c>
      <c r="N25" s="499">
        <v>291</v>
      </c>
      <c r="O25" s="499">
        <v>291</v>
      </c>
      <c r="P25" s="499">
        <v>286</v>
      </c>
      <c r="Q25" s="499">
        <v>284</v>
      </c>
      <c r="S25" s="159"/>
    </row>
    <row r="26" spans="1:19" ht="13" customHeight="1">
      <c r="A26" s="151"/>
      <c r="B26" s="29" t="s">
        <v>44</v>
      </c>
      <c r="C26" s="499">
        <v>484</v>
      </c>
      <c r="D26" s="499">
        <v>458</v>
      </c>
      <c r="E26" s="499">
        <v>500</v>
      </c>
      <c r="F26" s="499">
        <v>507</v>
      </c>
      <c r="G26" s="499">
        <v>582</v>
      </c>
      <c r="H26" s="499">
        <v>628</v>
      </c>
      <c r="I26" s="499">
        <v>614</v>
      </c>
      <c r="J26" s="499">
        <v>642</v>
      </c>
      <c r="K26" s="499">
        <v>437</v>
      </c>
      <c r="L26" s="499">
        <v>435</v>
      </c>
      <c r="M26" s="499">
        <v>515</v>
      </c>
      <c r="N26" s="499">
        <v>532</v>
      </c>
      <c r="O26" s="499">
        <v>526</v>
      </c>
      <c r="P26" s="499">
        <v>539</v>
      </c>
      <c r="Q26" s="499">
        <v>573</v>
      </c>
      <c r="S26" s="159"/>
    </row>
    <row r="27" spans="1:19" ht="13" customHeight="1">
      <c r="A27" s="151"/>
      <c r="B27" s="29" t="s">
        <v>45</v>
      </c>
      <c r="C27" s="499">
        <v>1385</v>
      </c>
      <c r="D27" s="499">
        <v>1403</v>
      </c>
      <c r="E27" s="499">
        <v>1451</v>
      </c>
      <c r="F27" s="499">
        <v>1498</v>
      </c>
      <c r="G27" s="499">
        <v>1524</v>
      </c>
      <c r="H27" s="499">
        <v>1569</v>
      </c>
      <c r="I27" s="499">
        <v>1604</v>
      </c>
      <c r="J27" s="499">
        <v>1619</v>
      </c>
      <c r="K27" s="499">
        <v>1632</v>
      </c>
      <c r="L27" s="499">
        <v>1637</v>
      </c>
      <c r="M27" s="499">
        <v>1390</v>
      </c>
      <c r="N27" s="499">
        <v>1520</v>
      </c>
      <c r="O27" s="499">
        <v>1529</v>
      </c>
      <c r="P27" s="499">
        <v>1528</v>
      </c>
      <c r="Q27" s="499">
        <v>1537</v>
      </c>
      <c r="S27" s="159"/>
    </row>
    <row r="28" spans="1:19" ht="13" customHeight="1">
      <c r="A28" s="151"/>
      <c r="B28" s="150" t="s">
        <v>46</v>
      </c>
      <c r="C28" s="499">
        <v>0</v>
      </c>
      <c r="D28" s="499">
        <v>0</v>
      </c>
      <c r="E28" s="499" t="s">
        <v>379</v>
      </c>
      <c r="F28" s="499" t="s">
        <v>379</v>
      </c>
      <c r="G28" s="499" t="s">
        <v>379</v>
      </c>
      <c r="H28" s="499" t="s">
        <v>379</v>
      </c>
      <c r="I28" s="499" t="s">
        <v>379</v>
      </c>
      <c r="J28" s="499" t="s">
        <v>379</v>
      </c>
      <c r="K28" s="499" t="s">
        <v>379</v>
      </c>
      <c r="L28" s="499" t="s">
        <v>379</v>
      </c>
      <c r="M28" s="499" t="s">
        <v>379</v>
      </c>
      <c r="N28" s="499" t="s">
        <v>379</v>
      </c>
      <c r="O28" s="499" t="s">
        <v>379</v>
      </c>
      <c r="P28" s="499" t="s">
        <v>379</v>
      </c>
      <c r="Q28" s="499" t="s">
        <v>379</v>
      </c>
      <c r="S28" s="159"/>
    </row>
    <row r="29" spans="1:19" ht="13" customHeight="1">
      <c r="A29" s="151"/>
      <c r="B29" s="30" t="s">
        <v>47</v>
      </c>
      <c r="C29" s="499">
        <v>0</v>
      </c>
      <c r="D29" s="499">
        <v>0</v>
      </c>
      <c r="E29" s="499" t="s">
        <v>379</v>
      </c>
      <c r="F29" s="499" t="s">
        <v>379</v>
      </c>
      <c r="G29" s="499" t="s">
        <v>379</v>
      </c>
      <c r="H29" s="499" t="s">
        <v>379</v>
      </c>
      <c r="I29" s="499" t="s">
        <v>379</v>
      </c>
      <c r="J29" s="499" t="s">
        <v>379</v>
      </c>
      <c r="K29" s="499" t="s">
        <v>379</v>
      </c>
      <c r="L29" s="499" t="s">
        <v>379</v>
      </c>
      <c r="M29" s="499" t="s">
        <v>379</v>
      </c>
      <c r="N29" s="499" t="s">
        <v>379</v>
      </c>
      <c r="O29" s="499" t="s">
        <v>379</v>
      </c>
      <c r="P29" s="499" t="s">
        <v>379</v>
      </c>
      <c r="Q29" s="499" t="s">
        <v>379</v>
      </c>
      <c r="S29" s="159"/>
    </row>
    <row r="30" spans="1:19" ht="13" customHeight="1">
      <c r="A30" s="151"/>
      <c r="B30" s="29" t="s">
        <v>48</v>
      </c>
      <c r="C30" s="499">
        <v>0</v>
      </c>
      <c r="D30" s="499">
        <v>0</v>
      </c>
      <c r="E30" s="499" t="s">
        <v>379</v>
      </c>
      <c r="F30" s="499" t="s">
        <v>379</v>
      </c>
      <c r="G30" s="499" t="s">
        <v>379</v>
      </c>
      <c r="H30" s="499" t="s">
        <v>379</v>
      </c>
      <c r="I30" s="499" t="s">
        <v>379</v>
      </c>
      <c r="J30" s="499" t="s">
        <v>379</v>
      </c>
      <c r="K30" s="499" t="s">
        <v>379</v>
      </c>
      <c r="L30" s="499" t="s">
        <v>379</v>
      </c>
      <c r="M30" s="499" t="s">
        <v>379</v>
      </c>
      <c r="N30" s="499" t="s">
        <v>379</v>
      </c>
      <c r="O30" s="499" t="s">
        <v>379</v>
      </c>
      <c r="P30" s="499" t="s">
        <v>379</v>
      </c>
      <c r="Q30" s="499" t="s">
        <v>379</v>
      </c>
      <c r="S30" s="159"/>
    </row>
    <row r="31" spans="1:19" ht="13" customHeight="1" thickBot="1">
      <c r="A31" s="453"/>
      <c r="B31" s="454" t="s">
        <v>49</v>
      </c>
      <c r="C31" s="500">
        <v>0</v>
      </c>
      <c r="D31" s="500">
        <v>0</v>
      </c>
      <c r="E31" s="500" t="s">
        <v>379</v>
      </c>
      <c r="F31" s="500" t="s">
        <v>379</v>
      </c>
      <c r="G31" s="500" t="s">
        <v>379</v>
      </c>
      <c r="H31" s="500" t="s">
        <v>379</v>
      </c>
      <c r="I31" s="500" t="s">
        <v>379</v>
      </c>
      <c r="J31" s="500" t="s">
        <v>379</v>
      </c>
      <c r="K31" s="500" t="s">
        <v>379</v>
      </c>
      <c r="L31" s="500" t="s">
        <v>379</v>
      </c>
      <c r="M31" s="500" t="s">
        <v>379</v>
      </c>
      <c r="N31" s="500" t="s">
        <v>379</v>
      </c>
      <c r="O31" s="500" t="s">
        <v>379</v>
      </c>
      <c r="P31" s="500" t="s">
        <v>379</v>
      </c>
      <c r="Q31" s="500" t="s">
        <v>379</v>
      </c>
      <c r="S31" s="159"/>
    </row>
    <row r="32" spans="1:19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4"/>
      <c r="Q33" s="464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4"/>
      <c r="Q34" s="464"/>
    </row>
    <row r="36" spans="1:17" ht="13" customHeight="1"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Hoja47">
    <tabColor theme="9" tint="0.59999389629810485"/>
  </sheetPr>
  <dimension ref="A2:Q3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7" ht="13" customHeight="1">
      <c r="A2" s="468" t="s">
        <v>347</v>
      </c>
      <c r="B2" s="469"/>
    </row>
    <row r="3" spans="1:17" ht="13" customHeight="1">
      <c r="A3" s="470" t="s">
        <v>375</v>
      </c>
      <c r="B3" s="470"/>
    </row>
    <row r="4" spans="1:17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7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7" ht="15" customHeight="1">
      <c r="A6" s="1102" t="s">
        <v>114</v>
      </c>
      <c r="B6" s="1102"/>
      <c r="C6" s="493" t="s">
        <v>50</v>
      </c>
      <c r="D6" s="493" t="s">
        <v>50</v>
      </c>
      <c r="E6" s="493">
        <v>2.31</v>
      </c>
      <c r="F6" s="493">
        <v>2.7</v>
      </c>
      <c r="G6" s="493">
        <v>2.88</v>
      </c>
      <c r="H6" s="493">
        <v>3.02</v>
      </c>
      <c r="I6" s="493">
        <v>3.4</v>
      </c>
      <c r="J6" s="493">
        <v>3.61</v>
      </c>
      <c r="K6" s="493">
        <v>3.87</v>
      </c>
      <c r="L6" s="493">
        <v>4.26</v>
      </c>
      <c r="M6" s="493">
        <v>4.09</v>
      </c>
      <c r="N6" s="493">
        <v>4.32</v>
      </c>
      <c r="O6" s="493">
        <v>4.25</v>
      </c>
      <c r="P6" s="493">
        <v>4.28</v>
      </c>
      <c r="Q6" s="493">
        <v>4.2699999999999996</v>
      </c>
    </row>
    <row r="7" spans="1:17" ht="5" customHeight="1">
      <c r="A7" s="151"/>
      <c r="B7" s="152"/>
      <c r="C7" s="494"/>
      <c r="D7" s="494"/>
      <c r="E7" s="494"/>
      <c r="F7" s="494"/>
      <c r="G7" s="494"/>
      <c r="H7" s="494"/>
      <c r="I7" s="494"/>
      <c r="J7" s="494"/>
      <c r="K7" s="494"/>
      <c r="L7" s="494"/>
      <c r="M7" s="494"/>
      <c r="N7" s="494"/>
      <c r="O7" s="494"/>
      <c r="P7" s="494"/>
      <c r="Q7" s="494"/>
    </row>
    <row r="8" spans="1:17" ht="13" customHeight="1">
      <c r="A8" s="151"/>
      <c r="B8" s="29" t="s">
        <v>21</v>
      </c>
      <c r="C8" s="495" t="s">
        <v>81</v>
      </c>
      <c r="D8" s="495" t="s">
        <v>81</v>
      </c>
      <c r="E8" s="495" t="s">
        <v>81</v>
      </c>
      <c r="F8" s="495" t="s">
        <v>81</v>
      </c>
      <c r="G8" s="495" t="s">
        <v>81</v>
      </c>
      <c r="H8" s="495" t="s">
        <v>81</v>
      </c>
      <c r="I8" s="495" t="s">
        <v>81</v>
      </c>
      <c r="J8" s="495" t="s">
        <v>81</v>
      </c>
      <c r="K8" s="495" t="s">
        <v>81</v>
      </c>
      <c r="L8" s="495" t="s">
        <v>81</v>
      </c>
      <c r="M8" s="495" t="s">
        <v>81</v>
      </c>
      <c r="N8" s="495" t="s">
        <v>81</v>
      </c>
      <c r="O8" s="495" t="s">
        <v>81</v>
      </c>
      <c r="P8" s="495" t="s">
        <v>81</v>
      </c>
      <c r="Q8" s="495" t="s">
        <v>81</v>
      </c>
    </row>
    <row r="9" spans="1:17" ht="13" customHeight="1">
      <c r="A9" s="151"/>
      <c r="B9" s="29" t="s">
        <v>22</v>
      </c>
      <c r="C9" s="495" t="s">
        <v>81</v>
      </c>
      <c r="D9" s="495" t="s">
        <v>81</v>
      </c>
      <c r="E9" s="495" t="s">
        <v>81</v>
      </c>
      <c r="F9" s="495" t="s">
        <v>81</v>
      </c>
      <c r="G9" s="495" t="s">
        <v>81</v>
      </c>
      <c r="H9" s="495" t="s">
        <v>81</v>
      </c>
      <c r="I9" s="495" t="s">
        <v>81</v>
      </c>
      <c r="J9" s="495" t="s">
        <v>81</v>
      </c>
      <c r="K9" s="495" t="s">
        <v>81</v>
      </c>
      <c r="L9" s="495" t="s">
        <v>81</v>
      </c>
      <c r="M9" s="495" t="s">
        <v>81</v>
      </c>
      <c r="N9" s="495" t="s">
        <v>81</v>
      </c>
      <c r="O9" s="495" t="s">
        <v>81</v>
      </c>
      <c r="P9" s="495" t="s">
        <v>81</v>
      </c>
      <c r="Q9" s="495" t="s">
        <v>81</v>
      </c>
    </row>
    <row r="10" spans="1:17" ht="13" customHeight="1">
      <c r="A10" s="151"/>
      <c r="B10" s="29" t="s">
        <v>23</v>
      </c>
      <c r="C10" s="495" t="s">
        <v>81</v>
      </c>
      <c r="D10" s="495" t="s">
        <v>81</v>
      </c>
      <c r="E10" s="495" t="s">
        <v>81</v>
      </c>
      <c r="F10" s="495" t="s">
        <v>81</v>
      </c>
      <c r="G10" s="495" t="s">
        <v>81</v>
      </c>
      <c r="H10" s="495" t="s">
        <v>81</v>
      </c>
      <c r="I10" s="495" t="s">
        <v>81</v>
      </c>
      <c r="J10" s="495" t="s">
        <v>81</v>
      </c>
      <c r="K10" s="495" t="s">
        <v>81</v>
      </c>
      <c r="L10" s="495" t="s">
        <v>81</v>
      </c>
      <c r="M10" s="495" t="s">
        <v>81</v>
      </c>
      <c r="N10" s="495" t="s">
        <v>81</v>
      </c>
      <c r="O10" s="495" t="s">
        <v>81</v>
      </c>
      <c r="P10" s="495" t="s">
        <v>81</v>
      </c>
      <c r="Q10" s="495" t="s">
        <v>81</v>
      </c>
    </row>
    <row r="11" spans="1:17" ht="13" customHeight="1">
      <c r="A11" s="151"/>
      <c r="B11" s="29" t="s">
        <v>24</v>
      </c>
      <c r="C11" s="495" t="s">
        <v>81</v>
      </c>
      <c r="D11" s="495" t="s">
        <v>81</v>
      </c>
      <c r="E11" s="495" t="s">
        <v>81</v>
      </c>
      <c r="F11" s="495" t="s">
        <v>81</v>
      </c>
      <c r="G11" s="495" t="s">
        <v>81</v>
      </c>
      <c r="H11" s="495" t="s">
        <v>81</v>
      </c>
      <c r="I11" s="495" t="s">
        <v>81</v>
      </c>
      <c r="J11" s="495" t="s">
        <v>81</v>
      </c>
      <c r="K11" s="495" t="s">
        <v>81</v>
      </c>
      <c r="L11" s="495" t="s">
        <v>81</v>
      </c>
      <c r="M11" s="495" t="s">
        <v>81</v>
      </c>
      <c r="N11" s="495" t="s">
        <v>81</v>
      </c>
      <c r="O11" s="495" t="s">
        <v>81</v>
      </c>
      <c r="P11" s="495" t="s">
        <v>81</v>
      </c>
      <c r="Q11" s="495" t="s">
        <v>81</v>
      </c>
    </row>
    <row r="12" spans="1:17" ht="13" customHeight="1">
      <c r="A12" s="151"/>
      <c r="B12" s="29" t="s">
        <v>25</v>
      </c>
      <c r="C12" s="495" t="s">
        <v>81</v>
      </c>
      <c r="D12" s="495" t="s">
        <v>81</v>
      </c>
      <c r="E12" s="495" t="s">
        <v>81</v>
      </c>
      <c r="F12" s="495" t="s">
        <v>81</v>
      </c>
      <c r="G12" s="495" t="s">
        <v>81</v>
      </c>
      <c r="H12" s="495" t="s">
        <v>81</v>
      </c>
      <c r="I12" s="495" t="s">
        <v>81</v>
      </c>
      <c r="J12" s="495" t="s">
        <v>81</v>
      </c>
      <c r="K12" s="495" t="s">
        <v>81</v>
      </c>
      <c r="L12" s="495" t="s">
        <v>81</v>
      </c>
      <c r="M12" s="495" t="s">
        <v>81</v>
      </c>
      <c r="N12" s="495" t="s">
        <v>81</v>
      </c>
      <c r="O12" s="495" t="s">
        <v>81</v>
      </c>
      <c r="P12" s="495" t="s">
        <v>81</v>
      </c>
      <c r="Q12" s="495" t="s">
        <v>81</v>
      </c>
    </row>
    <row r="13" spans="1:17" ht="13" customHeight="1">
      <c r="A13" s="151"/>
      <c r="B13" s="29" t="s">
        <v>29</v>
      </c>
      <c r="C13" s="495" t="s">
        <v>81</v>
      </c>
      <c r="D13" s="495" t="s">
        <v>81</v>
      </c>
      <c r="E13" s="495" t="s">
        <v>81</v>
      </c>
      <c r="F13" s="495" t="s">
        <v>81</v>
      </c>
      <c r="G13" s="495" t="s">
        <v>81</v>
      </c>
      <c r="H13" s="495" t="s">
        <v>81</v>
      </c>
      <c r="I13" s="495" t="s">
        <v>81</v>
      </c>
      <c r="J13" s="495" t="s">
        <v>81</v>
      </c>
      <c r="K13" s="495" t="s">
        <v>81</v>
      </c>
      <c r="L13" s="495" t="s">
        <v>81</v>
      </c>
      <c r="M13" s="495" t="s">
        <v>81</v>
      </c>
      <c r="N13" s="495" t="s">
        <v>81</v>
      </c>
      <c r="O13" s="495" t="s">
        <v>81</v>
      </c>
      <c r="P13" s="495" t="s">
        <v>81</v>
      </c>
      <c r="Q13" s="495" t="s">
        <v>81</v>
      </c>
    </row>
    <row r="14" spans="1:17" ht="13" customHeight="1">
      <c r="A14" s="151"/>
      <c r="B14" s="29" t="s">
        <v>30</v>
      </c>
      <c r="C14" s="495" t="s">
        <v>81</v>
      </c>
      <c r="D14" s="495" t="s">
        <v>81</v>
      </c>
      <c r="E14" s="495" t="s">
        <v>81</v>
      </c>
      <c r="F14" s="495" t="s">
        <v>81</v>
      </c>
      <c r="G14" s="495" t="s">
        <v>81</v>
      </c>
      <c r="H14" s="495" t="s">
        <v>81</v>
      </c>
      <c r="I14" s="495" t="s">
        <v>81</v>
      </c>
      <c r="J14" s="495" t="s">
        <v>81</v>
      </c>
      <c r="K14" s="495" t="s">
        <v>81</v>
      </c>
      <c r="L14" s="495" t="s">
        <v>81</v>
      </c>
      <c r="M14" s="495" t="s">
        <v>81</v>
      </c>
      <c r="N14" s="495" t="s">
        <v>81</v>
      </c>
      <c r="O14" s="495" t="s">
        <v>81</v>
      </c>
      <c r="P14" s="495" t="s">
        <v>81</v>
      </c>
      <c r="Q14" s="495" t="s">
        <v>81</v>
      </c>
    </row>
    <row r="15" spans="1:17" ht="13" customHeight="1">
      <c r="A15" s="151"/>
      <c r="B15" s="29" t="s">
        <v>31</v>
      </c>
      <c r="C15" s="495"/>
      <c r="D15" s="495"/>
      <c r="E15" s="495">
        <v>2.4900000000000002</v>
      </c>
      <c r="F15" s="495">
        <v>2.58</v>
      </c>
      <c r="G15" s="495">
        <v>2.65</v>
      </c>
      <c r="H15" s="495">
        <v>2.91</v>
      </c>
      <c r="I15" s="495">
        <v>3.05</v>
      </c>
      <c r="J15" s="495">
        <v>3.28</v>
      </c>
      <c r="K15" s="495">
        <v>3.36</v>
      </c>
      <c r="L15" s="495">
        <v>3.66</v>
      </c>
      <c r="M15" s="495">
        <v>4.03</v>
      </c>
      <c r="N15" s="495">
        <v>4.8099999999999996</v>
      </c>
      <c r="O15" s="495">
        <v>3.72</v>
      </c>
      <c r="P15" s="495">
        <v>3.76</v>
      </c>
      <c r="Q15" s="495">
        <v>3.81</v>
      </c>
    </row>
    <row r="16" spans="1:17" ht="13" customHeight="1">
      <c r="A16" s="151"/>
      <c r="B16" s="29" t="s">
        <v>32</v>
      </c>
      <c r="C16" s="495" t="s">
        <v>81</v>
      </c>
      <c r="D16" s="495" t="s">
        <v>81</v>
      </c>
      <c r="E16" s="495" t="s">
        <v>81</v>
      </c>
      <c r="F16" s="495" t="s">
        <v>81</v>
      </c>
      <c r="G16" s="495" t="s">
        <v>81</v>
      </c>
      <c r="H16" s="495" t="s">
        <v>81</v>
      </c>
      <c r="I16" s="495" t="s">
        <v>81</v>
      </c>
      <c r="J16" s="495" t="s">
        <v>81</v>
      </c>
      <c r="K16" s="495" t="s">
        <v>81</v>
      </c>
      <c r="L16" s="495" t="s">
        <v>81</v>
      </c>
      <c r="M16" s="495" t="s">
        <v>81</v>
      </c>
      <c r="N16" s="495" t="s">
        <v>81</v>
      </c>
      <c r="O16" s="495" t="s">
        <v>81</v>
      </c>
      <c r="P16" s="495" t="s">
        <v>81</v>
      </c>
      <c r="Q16" s="495" t="s">
        <v>81</v>
      </c>
    </row>
    <row r="17" spans="1:17" ht="13" customHeight="1">
      <c r="A17" s="151"/>
      <c r="B17" s="29" t="s">
        <v>33</v>
      </c>
      <c r="C17" s="495" t="s">
        <v>81</v>
      </c>
      <c r="D17" s="495" t="s">
        <v>81</v>
      </c>
      <c r="E17" s="495" t="s">
        <v>81</v>
      </c>
      <c r="F17" s="495" t="s">
        <v>81</v>
      </c>
      <c r="G17" s="495" t="s">
        <v>81</v>
      </c>
      <c r="H17" s="495" t="s">
        <v>81</v>
      </c>
      <c r="I17" s="495" t="s">
        <v>81</v>
      </c>
      <c r="J17" s="495" t="s">
        <v>81</v>
      </c>
      <c r="K17" s="495">
        <v>3.4</v>
      </c>
      <c r="L17" s="495">
        <v>3.68</v>
      </c>
      <c r="M17" s="495">
        <v>3.95</v>
      </c>
      <c r="N17" s="495">
        <v>3.9</v>
      </c>
      <c r="O17" s="495">
        <v>3.9</v>
      </c>
      <c r="P17" s="495">
        <v>0</v>
      </c>
      <c r="Q17" s="495">
        <v>0</v>
      </c>
    </row>
    <row r="18" spans="1:17" ht="13" customHeight="1">
      <c r="A18" s="151"/>
      <c r="B18" s="29" t="s">
        <v>34</v>
      </c>
      <c r="C18" s="495" t="s">
        <v>81</v>
      </c>
      <c r="D18" s="495" t="s">
        <v>81</v>
      </c>
      <c r="E18" s="495">
        <v>2.63</v>
      </c>
      <c r="F18" s="495">
        <v>3.01</v>
      </c>
      <c r="G18" s="495">
        <v>2.91</v>
      </c>
      <c r="H18" s="495">
        <v>3.19</v>
      </c>
      <c r="I18" s="495">
        <v>3.64</v>
      </c>
      <c r="J18" s="495">
        <v>3.66</v>
      </c>
      <c r="K18" s="495">
        <v>3.53</v>
      </c>
      <c r="L18" s="495">
        <v>3.91</v>
      </c>
      <c r="M18" s="495">
        <v>4.25</v>
      </c>
      <c r="N18" s="495">
        <v>4.1399999999999997</v>
      </c>
      <c r="O18" s="495">
        <v>3.91</v>
      </c>
      <c r="P18" s="495">
        <v>3.95</v>
      </c>
      <c r="Q18" s="495">
        <v>3.87</v>
      </c>
    </row>
    <row r="19" spans="1:17" ht="13" customHeight="1">
      <c r="A19" s="151"/>
      <c r="B19" s="29" t="s">
        <v>35</v>
      </c>
      <c r="C19" s="495" t="s">
        <v>81</v>
      </c>
      <c r="D19" s="495" t="s">
        <v>81</v>
      </c>
      <c r="E19" s="495">
        <v>2.16</v>
      </c>
      <c r="F19" s="495">
        <v>2.4500000000000002</v>
      </c>
      <c r="G19" s="495">
        <v>2.92</v>
      </c>
      <c r="H19" s="495">
        <v>3.16</v>
      </c>
      <c r="I19" s="495">
        <v>3.28</v>
      </c>
      <c r="J19" s="495">
        <v>3.17</v>
      </c>
      <c r="K19" s="495">
        <v>3.35</v>
      </c>
      <c r="L19" s="495">
        <v>3.41</v>
      </c>
      <c r="M19" s="495">
        <v>3.75</v>
      </c>
      <c r="N19" s="495">
        <v>3.84</v>
      </c>
      <c r="O19" s="495">
        <v>3.97</v>
      </c>
      <c r="P19" s="495">
        <v>3.97</v>
      </c>
      <c r="Q19" s="495">
        <v>3.9</v>
      </c>
    </row>
    <row r="20" spans="1:17" ht="13" customHeight="1">
      <c r="A20" s="151"/>
      <c r="B20" s="29" t="s">
        <v>36</v>
      </c>
      <c r="C20" s="495" t="s">
        <v>81</v>
      </c>
      <c r="D20" s="495" t="s">
        <v>81</v>
      </c>
      <c r="E20" s="495">
        <v>2.2599999999999998</v>
      </c>
      <c r="F20" s="495">
        <v>2.66</v>
      </c>
      <c r="G20" s="495">
        <v>2.87</v>
      </c>
      <c r="H20" s="495">
        <v>3.1</v>
      </c>
      <c r="I20" s="495">
        <v>3.29</v>
      </c>
      <c r="J20" s="495">
        <v>3.51</v>
      </c>
      <c r="K20" s="495">
        <v>3.49</v>
      </c>
      <c r="L20" s="495">
        <v>3.7</v>
      </c>
      <c r="M20" s="495">
        <v>4.37</v>
      </c>
      <c r="N20" s="495">
        <v>4.24</v>
      </c>
      <c r="O20" s="495">
        <v>4.04</v>
      </c>
      <c r="P20" s="495">
        <v>3.99</v>
      </c>
      <c r="Q20" s="495">
        <v>3.92</v>
      </c>
    </row>
    <row r="21" spans="1:17" ht="13" customHeight="1">
      <c r="A21" s="151"/>
      <c r="B21" s="29" t="s">
        <v>37</v>
      </c>
      <c r="C21" s="495" t="s">
        <v>81</v>
      </c>
      <c r="D21" s="495" t="s">
        <v>81</v>
      </c>
      <c r="E21" s="495">
        <v>1.55</v>
      </c>
      <c r="F21" s="495">
        <v>2.72</v>
      </c>
      <c r="G21" s="495">
        <v>2.66</v>
      </c>
      <c r="H21" s="495">
        <v>2.94</v>
      </c>
      <c r="I21" s="495">
        <v>3.32</v>
      </c>
      <c r="J21" s="495">
        <v>3.58</v>
      </c>
      <c r="K21" s="495">
        <v>3.87</v>
      </c>
      <c r="L21" s="495">
        <v>4.25</v>
      </c>
      <c r="M21" s="495">
        <v>4.25</v>
      </c>
      <c r="N21" s="495">
        <v>4.54</v>
      </c>
      <c r="O21" s="495">
        <v>4.41</v>
      </c>
      <c r="P21" s="495">
        <v>4.55</v>
      </c>
      <c r="Q21" s="495">
        <v>4.5599999999999996</v>
      </c>
    </row>
    <row r="22" spans="1:17" ht="13" customHeight="1">
      <c r="A22" s="151"/>
      <c r="B22" s="29" t="s">
        <v>38</v>
      </c>
      <c r="C22" s="495" t="s">
        <v>81</v>
      </c>
      <c r="D22" s="495" t="s">
        <v>81</v>
      </c>
      <c r="E22" s="495">
        <v>2.19</v>
      </c>
      <c r="F22" s="495">
        <v>2.41</v>
      </c>
      <c r="G22" s="495">
        <v>2.4500000000000002</v>
      </c>
      <c r="H22" s="495">
        <v>2.69</v>
      </c>
      <c r="I22" s="495">
        <v>3.01</v>
      </c>
      <c r="J22" s="495">
        <v>3.2</v>
      </c>
      <c r="K22" s="495">
        <v>3.4</v>
      </c>
      <c r="L22" s="495">
        <v>3.59</v>
      </c>
      <c r="M22" s="495">
        <v>3.69</v>
      </c>
      <c r="N22" s="495">
        <v>3.89</v>
      </c>
      <c r="O22" s="495">
        <v>3.91</v>
      </c>
      <c r="P22" s="495">
        <v>4.07</v>
      </c>
      <c r="Q22" s="495">
        <v>4.12</v>
      </c>
    </row>
    <row r="23" spans="1:17" ht="13" customHeight="1">
      <c r="A23" s="151"/>
      <c r="B23" s="29" t="s">
        <v>39</v>
      </c>
      <c r="C23" s="495" t="s">
        <v>81</v>
      </c>
      <c r="D23" s="495" t="s">
        <v>81</v>
      </c>
      <c r="E23" s="495">
        <v>2.2400000000000002</v>
      </c>
      <c r="F23" s="495">
        <v>2.4900000000000002</v>
      </c>
      <c r="G23" s="495">
        <v>2.5099999999999998</v>
      </c>
      <c r="H23" s="495">
        <v>2.87</v>
      </c>
      <c r="I23" s="495">
        <v>3.01</v>
      </c>
      <c r="J23" s="495">
        <v>3.38</v>
      </c>
      <c r="K23" s="495">
        <v>3.52</v>
      </c>
      <c r="L23" s="495">
        <v>3.75</v>
      </c>
      <c r="M23" s="495">
        <v>3.82</v>
      </c>
      <c r="N23" s="495">
        <v>3.98</v>
      </c>
      <c r="O23" s="495">
        <v>4.03</v>
      </c>
      <c r="P23" s="495">
        <v>4.16</v>
      </c>
      <c r="Q23" s="495">
        <v>4.17</v>
      </c>
    </row>
    <row r="24" spans="1:17" ht="13" customHeight="1">
      <c r="A24" s="151"/>
      <c r="B24" s="29" t="s">
        <v>40</v>
      </c>
      <c r="C24" s="495" t="s">
        <v>81</v>
      </c>
      <c r="D24" s="495" t="s">
        <v>81</v>
      </c>
      <c r="E24" s="495">
        <v>2.2999999999999998</v>
      </c>
      <c r="F24" s="495">
        <v>2.63</v>
      </c>
      <c r="G24" s="495">
        <v>2.92</v>
      </c>
      <c r="H24" s="495">
        <v>3.21</v>
      </c>
      <c r="I24" s="495">
        <v>3.32</v>
      </c>
      <c r="J24" s="495">
        <v>3.54</v>
      </c>
      <c r="K24" s="495">
        <v>3.77</v>
      </c>
      <c r="L24" s="495">
        <v>3.76</v>
      </c>
      <c r="M24" s="495">
        <v>4.29</v>
      </c>
      <c r="N24" s="495">
        <v>4.2</v>
      </c>
      <c r="O24" s="495">
        <v>4.08</v>
      </c>
      <c r="P24" s="495">
        <v>4.18</v>
      </c>
      <c r="Q24" s="495">
        <v>4.1900000000000004</v>
      </c>
    </row>
    <row r="25" spans="1:17" ht="13" customHeight="1">
      <c r="A25" s="151"/>
      <c r="B25" s="150" t="s">
        <v>41</v>
      </c>
      <c r="C25" s="495" t="s">
        <v>81</v>
      </c>
      <c r="D25" s="495" t="s">
        <v>81</v>
      </c>
      <c r="E25" s="495">
        <v>2.25</v>
      </c>
      <c r="F25" s="495">
        <v>2.23</v>
      </c>
      <c r="G25" s="495">
        <v>2.31</v>
      </c>
      <c r="H25" s="495">
        <v>2.69</v>
      </c>
      <c r="I25" s="495">
        <v>3.54</v>
      </c>
      <c r="J25" s="495">
        <v>3.83</v>
      </c>
      <c r="K25" s="495">
        <v>3.59</v>
      </c>
      <c r="L25" s="495">
        <v>3.48</v>
      </c>
      <c r="M25" s="495">
        <v>3.54</v>
      </c>
      <c r="N25" s="495">
        <v>3.71</v>
      </c>
      <c r="O25" s="495">
        <v>3.6</v>
      </c>
      <c r="P25" s="495">
        <v>3.77</v>
      </c>
      <c r="Q25" s="495">
        <v>3.78</v>
      </c>
    </row>
    <row r="26" spans="1:17" ht="13" customHeight="1">
      <c r="A26" s="151"/>
      <c r="B26" s="30" t="s">
        <v>44</v>
      </c>
      <c r="C26" s="495" t="s">
        <v>81</v>
      </c>
      <c r="D26" s="495" t="s">
        <v>81</v>
      </c>
      <c r="E26" s="495">
        <v>2.77</v>
      </c>
      <c r="F26" s="495">
        <v>2.81</v>
      </c>
      <c r="G26" s="495">
        <v>2.87</v>
      </c>
      <c r="H26" s="495">
        <v>2.57</v>
      </c>
      <c r="I26" s="495">
        <v>3.1</v>
      </c>
      <c r="J26" s="495">
        <v>3.28</v>
      </c>
      <c r="K26" s="495">
        <v>3.5</v>
      </c>
      <c r="L26" s="495">
        <v>3.6</v>
      </c>
      <c r="M26" s="495">
        <v>3.82</v>
      </c>
      <c r="N26" s="495">
        <v>3.92</v>
      </c>
      <c r="O26" s="495">
        <v>4.03</v>
      </c>
      <c r="P26" s="495">
        <v>3.83</v>
      </c>
      <c r="Q26" s="495">
        <v>3.96</v>
      </c>
    </row>
    <row r="27" spans="1:17" ht="13" customHeight="1">
      <c r="A27" s="151"/>
      <c r="B27" s="294" t="s">
        <v>45</v>
      </c>
      <c r="C27" s="495" t="s">
        <v>81</v>
      </c>
      <c r="D27" s="495" t="s">
        <v>81</v>
      </c>
      <c r="E27" s="495">
        <v>2.42</v>
      </c>
      <c r="F27" s="495">
        <v>2.81</v>
      </c>
      <c r="G27" s="495">
        <v>3.1</v>
      </c>
      <c r="H27" s="495">
        <v>3.24</v>
      </c>
      <c r="I27" s="495">
        <v>3.61</v>
      </c>
      <c r="J27" s="495">
        <v>3.87</v>
      </c>
      <c r="K27" s="495">
        <v>4.3099999999999996</v>
      </c>
      <c r="L27" s="495">
        <v>5.0199999999999996</v>
      </c>
      <c r="M27" s="495">
        <v>4.22</v>
      </c>
      <c r="N27" s="495">
        <v>4.7</v>
      </c>
      <c r="O27" s="495">
        <v>4.63</v>
      </c>
      <c r="P27" s="495">
        <v>4.68</v>
      </c>
      <c r="Q27" s="495">
        <v>4.6100000000000003</v>
      </c>
    </row>
    <row r="28" spans="1:17" ht="13" customHeight="1">
      <c r="A28" s="59"/>
      <c r="B28" s="30" t="s">
        <v>46</v>
      </c>
      <c r="C28" s="495" t="s">
        <v>81</v>
      </c>
      <c r="D28" s="495" t="s">
        <v>81</v>
      </c>
      <c r="E28" s="495" t="s">
        <v>81</v>
      </c>
      <c r="F28" s="495" t="s">
        <v>81</v>
      </c>
      <c r="G28" s="495" t="s">
        <v>81</v>
      </c>
      <c r="H28" s="495" t="s">
        <v>81</v>
      </c>
      <c r="I28" s="495" t="s">
        <v>81</v>
      </c>
      <c r="J28" s="495" t="s">
        <v>81</v>
      </c>
      <c r="K28" s="495" t="s">
        <v>81</v>
      </c>
      <c r="L28" s="495" t="s">
        <v>81</v>
      </c>
      <c r="M28" s="495" t="s">
        <v>81</v>
      </c>
      <c r="N28" s="495" t="s">
        <v>81</v>
      </c>
      <c r="O28" s="495" t="s">
        <v>81</v>
      </c>
      <c r="P28" s="495" t="s">
        <v>81</v>
      </c>
      <c r="Q28" s="495" t="s">
        <v>81</v>
      </c>
    </row>
    <row r="29" spans="1:17" ht="13" customHeight="1">
      <c r="A29" s="60"/>
      <c r="B29" s="60" t="s">
        <v>47</v>
      </c>
      <c r="C29" s="495" t="s">
        <v>81</v>
      </c>
      <c r="D29" s="495" t="s">
        <v>81</v>
      </c>
      <c r="E29" s="495" t="s">
        <v>81</v>
      </c>
      <c r="F29" s="495" t="s">
        <v>81</v>
      </c>
      <c r="G29" s="495" t="s">
        <v>81</v>
      </c>
      <c r="H29" s="495" t="s">
        <v>81</v>
      </c>
      <c r="I29" s="495" t="s">
        <v>81</v>
      </c>
      <c r="J29" s="495" t="s">
        <v>81</v>
      </c>
      <c r="K29" s="495" t="s">
        <v>81</v>
      </c>
      <c r="L29" s="495" t="s">
        <v>81</v>
      </c>
      <c r="M29" s="495" t="s">
        <v>81</v>
      </c>
      <c r="N29" s="495" t="s">
        <v>81</v>
      </c>
      <c r="O29" s="495" t="s">
        <v>81</v>
      </c>
      <c r="P29" s="495" t="s">
        <v>81</v>
      </c>
      <c r="Q29" s="495" t="s">
        <v>81</v>
      </c>
    </row>
    <row r="30" spans="1:17" ht="13" customHeight="1">
      <c r="A30" s="70"/>
      <c r="B30" s="70" t="s">
        <v>48</v>
      </c>
      <c r="C30" s="495" t="s">
        <v>81</v>
      </c>
      <c r="D30" s="495" t="s">
        <v>81</v>
      </c>
      <c r="E30" s="495" t="s">
        <v>81</v>
      </c>
      <c r="F30" s="495" t="s">
        <v>81</v>
      </c>
      <c r="G30" s="495" t="s">
        <v>81</v>
      </c>
      <c r="H30" s="495" t="s">
        <v>81</v>
      </c>
      <c r="I30" s="495" t="s">
        <v>81</v>
      </c>
      <c r="J30" s="495" t="s">
        <v>81</v>
      </c>
      <c r="K30" s="495" t="s">
        <v>81</v>
      </c>
      <c r="L30" s="495" t="s">
        <v>81</v>
      </c>
      <c r="M30" s="495" t="s">
        <v>81</v>
      </c>
      <c r="N30" s="495" t="s">
        <v>81</v>
      </c>
      <c r="O30" s="495" t="s">
        <v>81</v>
      </c>
      <c r="P30" s="495" t="s">
        <v>81</v>
      </c>
      <c r="Q30" s="495" t="s">
        <v>81</v>
      </c>
    </row>
    <row r="31" spans="1:17" ht="13" customHeight="1" thickBot="1">
      <c r="A31" s="471"/>
      <c r="B31" s="472" t="s">
        <v>49</v>
      </c>
      <c r="C31" s="496" t="s">
        <v>81</v>
      </c>
      <c r="D31" s="496" t="s">
        <v>81</v>
      </c>
      <c r="E31" s="496" t="s">
        <v>81</v>
      </c>
      <c r="F31" s="496" t="s">
        <v>81</v>
      </c>
      <c r="G31" s="496" t="s">
        <v>81</v>
      </c>
      <c r="H31" s="496" t="s">
        <v>81</v>
      </c>
      <c r="I31" s="496" t="s">
        <v>81</v>
      </c>
      <c r="J31" s="496" t="s">
        <v>81</v>
      </c>
      <c r="K31" s="496" t="s">
        <v>81</v>
      </c>
      <c r="L31" s="496" t="s">
        <v>81</v>
      </c>
      <c r="M31" s="496" t="s">
        <v>81</v>
      </c>
      <c r="N31" s="496" t="s">
        <v>81</v>
      </c>
      <c r="O31" s="496" t="s">
        <v>81</v>
      </c>
      <c r="P31" s="496" t="s">
        <v>81</v>
      </c>
      <c r="Q31" s="496" t="s">
        <v>81</v>
      </c>
    </row>
    <row r="32" spans="1:17" ht="10" customHeight="1">
      <c r="A32" s="28" t="s">
        <v>238</v>
      </c>
      <c r="B32" s="40"/>
      <c r="C32" s="464"/>
      <c r="D32" s="464"/>
      <c r="E32" s="464"/>
      <c r="F32" s="464"/>
      <c r="G32" s="464"/>
      <c r="H32" s="464"/>
      <c r="I32" s="464"/>
      <c r="J32" s="464"/>
      <c r="K32" s="464"/>
      <c r="L32" s="464"/>
      <c r="M32" s="464"/>
      <c r="N32" s="464"/>
      <c r="O32" s="464"/>
      <c r="P32" s="464"/>
      <c r="Q32" s="464"/>
    </row>
    <row r="33" spans="1:17" ht="10" customHeight="1">
      <c r="A33" s="28" t="s">
        <v>192</v>
      </c>
      <c r="B33" s="40"/>
      <c r="C33" s="464"/>
      <c r="D33" s="464"/>
      <c r="E33" s="464"/>
      <c r="F33" s="464"/>
      <c r="G33" s="464"/>
      <c r="H33" s="464"/>
      <c r="I33" s="464"/>
      <c r="J33" s="464"/>
      <c r="K33" s="464"/>
      <c r="L33" s="464"/>
      <c r="M33" s="464"/>
      <c r="N33" s="464"/>
      <c r="O33" s="464"/>
      <c r="P33" s="464"/>
      <c r="Q33" s="464"/>
    </row>
    <row r="34" spans="1:17" ht="10" customHeight="1">
      <c r="A34" s="40" t="s">
        <v>261</v>
      </c>
      <c r="B34" s="320"/>
      <c r="C34" s="464"/>
      <c r="D34" s="464"/>
      <c r="E34" s="464"/>
      <c r="F34" s="464"/>
      <c r="G34" s="464"/>
      <c r="H34" s="464"/>
      <c r="I34" s="464"/>
      <c r="J34" s="464"/>
      <c r="K34" s="464"/>
      <c r="L34" s="464"/>
      <c r="M34" s="464"/>
      <c r="N34" s="464"/>
      <c r="O34" s="464"/>
      <c r="P34" s="464"/>
      <c r="Q34" s="46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Hoja48">
    <tabColor theme="9" tint="0.59999389629810485"/>
  </sheetPr>
  <dimension ref="A2:S36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346</v>
      </c>
      <c r="B2" s="469"/>
    </row>
    <row r="3" spans="1:19" ht="13" customHeight="1">
      <c r="A3" s="470" t="s">
        <v>325</v>
      </c>
      <c r="B3" s="470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9" ht="15" customHeight="1">
      <c r="A6" s="1102" t="s">
        <v>106</v>
      </c>
      <c r="B6" s="1102"/>
      <c r="C6" s="475">
        <f>(C8+C9+C10+C11+C12+C13+C14+C15+C16+C17+C18+C19+C20+C21+C22+C23+C24+C25+C26+C27+C28+C29+C30+C31)</f>
        <v>388716</v>
      </c>
      <c r="D6" s="475">
        <f>(D8+D9+D10+D11+D12+D13+D14+D15+D16+D17+D18+D19+D20+D21+D22+D23+D24+D25+D26+D27+D28+D29+D30+D31)</f>
        <v>400609</v>
      </c>
      <c r="E6" s="475">
        <v>452090</v>
      </c>
      <c r="F6" s="475">
        <v>444255</v>
      </c>
      <c r="G6" s="475">
        <v>447983</v>
      </c>
      <c r="H6" s="475">
        <v>403510</v>
      </c>
      <c r="I6" s="475">
        <v>434702</v>
      </c>
      <c r="J6" s="475">
        <v>449117</v>
      </c>
      <c r="K6" s="475">
        <v>415602</v>
      </c>
      <c r="L6" s="475">
        <v>485141</v>
      </c>
      <c r="M6" s="475">
        <v>365636</v>
      </c>
      <c r="N6" s="475">
        <v>374408</v>
      </c>
      <c r="O6" s="475">
        <v>373971</v>
      </c>
      <c r="P6" s="475">
        <v>356929</v>
      </c>
      <c r="Q6" s="475">
        <f>SUM(Q8:Q31)</f>
        <v>340347</v>
      </c>
    </row>
    <row r="7" spans="1:19" ht="5" customHeight="1">
      <c r="A7" s="151"/>
      <c r="B7" s="152"/>
      <c r="C7" s="476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</row>
    <row r="8" spans="1:19" ht="13" customHeight="1">
      <c r="A8" s="151"/>
      <c r="B8" s="29" t="s">
        <v>21</v>
      </c>
      <c r="C8" s="497">
        <v>0</v>
      </c>
      <c r="D8" s="497">
        <v>0</v>
      </c>
      <c r="E8" s="497" t="s">
        <v>382</v>
      </c>
      <c r="F8" s="497" t="s">
        <v>382</v>
      </c>
      <c r="G8" s="497" t="s">
        <v>382</v>
      </c>
      <c r="H8" s="497" t="s">
        <v>382</v>
      </c>
      <c r="I8" s="497" t="s">
        <v>382</v>
      </c>
      <c r="J8" s="497" t="s">
        <v>382</v>
      </c>
      <c r="K8" s="497" t="s">
        <v>382</v>
      </c>
      <c r="L8" s="497" t="s">
        <v>382</v>
      </c>
      <c r="M8" s="497" t="s">
        <v>382</v>
      </c>
      <c r="N8" s="497" t="s">
        <v>382</v>
      </c>
      <c r="O8" s="497" t="s">
        <v>382</v>
      </c>
      <c r="P8" s="497" t="s">
        <v>382</v>
      </c>
      <c r="Q8" s="497" t="s">
        <v>382</v>
      </c>
    </row>
    <row r="9" spans="1:19" ht="13" customHeight="1">
      <c r="A9" s="151"/>
      <c r="B9" s="29" t="s">
        <v>22</v>
      </c>
      <c r="C9" s="497">
        <v>0</v>
      </c>
      <c r="D9" s="497">
        <v>0</v>
      </c>
      <c r="E9" s="497" t="s">
        <v>382</v>
      </c>
      <c r="F9" s="497" t="s">
        <v>382</v>
      </c>
      <c r="G9" s="497" t="s">
        <v>382</v>
      </c>
      <c r="H9" s="497" t="s">
        <v>382</v>
      </c>
      <c r="I9" s="497" t="s">
        <v>382</v>
      </c>
      <c r="J9" s="497" t="s">
        <v>382</v>
      </c>
      <c r="K9" s="497" t="s">
        <v>382</v>
      </c>
      <c r="L9" s="497" t="s">
        <v>382</v>
      </c>
      <c r="M9" s="497" t="s">
        <v>382</v>
      </c>
      <c r="N9" s="497" t="s">
        <v>382</v>
      </c>
      <c r="O9" s="497" t="s">
        <v>382</v>
      </c>
      <c r="P9" s="497" t="s">
        <v>382</v>
      </c>
      <c r="Q9" s="497" t="s">
        <v>382</v>
      </c>
      <c r="S9" s="159"/>
    </row>
    <row r="10" spans="1:19" ht="13" customHeight="1">
      <c r="A10" s="151"/>
      <c r="B10" s="29" t="s">
        <v>23</v>
      </c>
      <c r="C10" s="497">
        <v>0</v>
      </c>
      <c r="D10" s="497">
        <v>0</v>
      </c>
      <c r="E10" s="497" t="s">
        <v>382</v>
      </c>
      <c r="F10" s="497" t="s">
        <v>382</v>
      </c>
      <c r="G10" s="497" t="s">
        <v>382</v>
      </c>
      <c r="H10" s="497" t="s">
        <v>382</v>
      </c>
      <c r="I10" s="497" t="s">
        <v>382</v>
      </c>
      <c r="J10" s="497" t="s">
        <v>382</v>
      </c>
      <c r="K10" s="497" t="s">
        <v>382</v>
      </c>
      <c r="L10" s="497" t="s">
        <v>382</v>
      </c>
      <c r="M10" s="497" t="s">
        <v>382</v>
      </c>
      <c r="N10" s="497" t="s">
        <v>382</v>
      </c>
      <c r="O10" s="497" t="s">
        <v>382</v>
      </c>
      <c r="P10" s="497" t="s">
        <v>382</v>
      </c>
      <c r="Q10" s="497" t="s">
        <v>382</v>
      </c>
      <c r="S10" s="159"/>
    </row>
    <row r="11" spans="1:19" ht="13" customHeight="1">
      <c r="A11" s="151"/>
      <c r="B11" s="29" t="s">
        <v>24</v>
      </c>
      <c r="C11" s="497">
        <v>0</v>
      </c>
      <c r="D11" s="497">
        <v>0</v>
      </c>
      <c r="E11" s="497" t="s">
        <v>382</v>
      </c>
      <c r="F11" s="497" t="s">
        <v>382</v>
      </c>
      <c r="G11" s="497" t="s">
        <v>382</v>
      </c>
      <c r="H11" s="497" t="s">
        <v>382</v>
      </c>
      <c r="I11" s="497" t="s">
        <v>382</v>
      </c>
      <c r="J11" s="497" t="s">
        <v>382</v>
      </c>
      <c r="K11" s="497" t="s">
        <v>382</v>
      </c>
      <c r="L11" s="497" t="s">
        <v>382</v>
      </c>
      <c r="M11" s="497" t="s">
        <v>382</v>
      </c>
      <c r="N11" s="497" t="s">
        <v>382</v>
      </c>
      <c r="O11" s="497" t="s">
        <v>382</v>
      </c>
      <c r="P11" s="497" t="s">
        <v>382</v>
      </c>
      <c r="Q11" s="497" t="s">
        <v>382</v>
      </c>
      <c r="S11" s="159"/>
    </row>
    <row r="12" spans="1:19" ht="13" customHeight="1">
      <c r="A12" s="151"/>
      <c r="B12" s="29" t="s">
        <v>25</v>
      </c>
      <c r="C12" s="497">
        <v>0</v>
      </c>
      <c r="D12" s="497">
        <v>0</v>
      </c>
      <c r="E12" s="497" t="s">
        <v>382</v>
      </c>
      <c r="F12" s="497" t="s">
        <v>382</v>
      </c>
      <c r="G12" s="497" t="s">
        <v>382</v>
      </c>
      <c r="H12" s="497" t="s">
        <v>382</v>
      </c>
      <c r="I12" s="497" t="s">
        <v>382</v>
      </c>
      <c r="J12" s="497" t="s">
        <v>382</v>
      </c>
      <c r="K12" s="497" t="s">
        <v>382</v>
      </c>
      <c r="L12" s="497" t="s">
        <v>382</v>
      </c>
      <c r="M12" s="497" t="s">
        <v>382</v>
      </c>
      <c r="N12" s="497" t="s">
        <v>382</v>
      </c>
      <c r="O12" s="497" t="s">
        <v>382</v>
      </c>
      <c r="P12" s="497" t="s">
        <v>382</v>
      </c>
      <c r="Q12" s="497" t="s">
        <v>382</v>
      </c>
      <c r="S12" s="159"/>
    </row>
    <row r="13" spans="1:19" ht="13" customHeight="1">
      <c r="A13" s="151"/>
      <c r="B13" s="29" t="s">
        <v>29</v>
      </c>
      <c r="C13" s="497">
        <v>0</v>
      </c>
      <c r="D13" s="497">
        <v>0</v>
      </c>
      <c r="E13" s="497" t="s">
        <v>382</v>
      </c>
      <c r="F13" s="497" t="s">
        <v>382</v>
      </c>
      <c r="G13" s="497" t="s">
        <v>382</v>
      </c>
      <c r="H13" s="497" t="s">
        <v>382</v>
      </c>
      <c r="I13" s="497" t="s">
        <v>382</v>
      </c>
      <c r="J13" s="497" t="s">
        <v>382</v>
      </c>
      <c r="K13" s="497" t="s">
        <v>382</v>
      </c>
      <c r="L13" s="497" t="s">
        <v>382</v>
      </c>
      <c r="M13" s="497" t="s">
        <v>382</v>
      </c>
      <c r="N13" s="497" t="s">
        <v>382</v>
      </c>
      <c r="O13" s="497" t="s">
        <v>382</v>
      </c>
      <c r="P13" s="497" t="s">
        <v>382</v>
      </c>
      <c r="Q13" s="497" t="s">
        <v>382</v>
      </c>
      <c r="S13" s="159"/>
    </row>
    <row r="14" spans="1:19" ht="13" customHeight="1">
      <c r="A14" s="151"/>
      <c r="B14" s="29" t="s">
        <v>30</v>
      </c>
      <c r="C14" s="497">
        <v>0</v>
      </c>
      <c r="D14" s="497">
        <v>0</v>
      </c>
      <c r="E14" s="497" t="s">
        <v>382</v>
      </c>
      <c r="F14" s="497" t="s">
        <v>382</v>
      </c>
      <c r="G14" s="497" t="s">
        <v>382</v>
      </c>
      <c r="H14" s="497" t="s">
        <v>382</v>
      </c>
      <c r="I14" s="497" t="s">
        <v>382</v>
      </c>
      <c r="J14" s="497" t="s">
        <v>382</v>
      </c>
      <c r="K14" s="497" t="s">
        <v>382</v>
      </c>
      <c r="L14" s="497" t="s">
        <v>382</v>
      </c>
      <c r="M14" s="497" t="s">
        <v>382</v>
      </c>
      <c r="N14" s="497" t="s">
        <v>382</v>
      </c>
      <c r="O14" s="497" t="s">
        <v>382</v>
      </c>
      <c r="P14" s="497" t="s">
        <v>382</v>
      </c>
      <c r="Q14" s="497" t="s">
        <v>382</v>
      </c>
      <c r="S14" s="159"/>
    </row>
    <row r="15" spans="1:19" ht="13" customHeight="1">
      <c r="A15" s="151"/>
      <c r="B15" s="29" t="s">
        <v>31</v>
      </c>
      <c r="C15" s="497">
        <v>0</v>
      </c>
      <c r="D15" s="497">
        <v>200</v>
      </c>
      <c r="E15" s="497">
        <v>1610</v>
      </c>
      <c r="F15" s="497">
        <v>1690</v>
      </c>
      <c r="G15" s="497">
        <v>1170</v>
      </c>
      <c r="H15" s="497">
        <v>905</v>
      </c>
      <c r="I15" s="497">
        <v>343</v>
      </c>
      <c r="J15" s="497">
        <v>844</v>
      </c>
      <c r="K15" s="497">
        <v>599</v>
      </c>
      <c r="L15" s="497">
        <v>588</v>
      </c>
      <c r="M15" s="497">
        <v>720</v>
      </c>
      <c r="N15" s="497">
        <v>595</v>
      </c>
      <c r="O15" s="497">
        <v>634</v>
      </c>
      <c r="P15" s="497">
        <v>837</v>
      </c>
      <c r="Q15" s="497">
        <v>1325</v>
      </c>
      <c r="S15" s="159"/>
    </row>
    <row r="16" spans="1:19" ht="13" customHeight="1">
      <c r="A16" s="151"/>
      <c r="B16" s="29" t="s">
        <v>32</v>
      </c>
      <c r="C16" s="497">
        <v>0</v>
      </c>
      <c r="D16" s="497">
        <v>0</v>
      </c>
      <c r="E16" s="497" t="s">
        <v>382</v>
      </c>
      <c r="F16" s="497" t="s">
        <v>382</v>
      </c>
      <c r="G16" s="497" t="s">
        <v>382</v>
      </c>
      <c r="H16" s="497" t="s">
        <v>382</v>
      </c>
      <c r="I16" s="497" t="s">
        <v>382</v>
      </c>
      <c r="J16" s="497" t="s">
        <v>382</v>
      </c>
      <c r="K16" s="497" t="s">
        <v>382</v>
      </c>
      <c r="L16" s="497" t="s">
        <v>382</v>
      </c>
      <c r="M16" s="497" t="s">
        <v>382</v>
      </c>
      <c r="N16" s="497">
        <v>0</v>
      </c>
      <c r="O16" s="497">
        <v>0</v>
      </c>
      <c r="P16" s="497">
        <v>0</v>
      </c>
      <c r="Q16" s="497">
        <v>0</v>
      </c>
      <c r="S16" s="159"/>
    </row>
    <row r="17" spans="1:19" ht="13" customHeight="1">
      <c r="A17" s="151"/>
      <c r="B17" s="29" t="s">
        <v>33</v>
      </c>
      <c r="C17" s="497">
        <v>0</v>
      </c>
      <c r="D17" s="497">
        <v>0</v>
      </c>
      <c r="E17" s="497" t="s">
        <v>382</v>
      </c>
      <c r="F17" s="497" t="s">
        <v>382</v>
      </c>
      <c r="G17" s="497" t="s">
        <v>382</v>
      </c>
      <c r="H17" s="497" t="s">
        <v>382</v>
      </c>
      <c r="I17" s="497" t="s">
        <v>382</v>
      </c>
      <c r="J17" s="497" t="s">
        <v>382</v>
      </c>
      <c r="K17" s="497" t="s">
        <v>382</v>
      </c>
      <c r="L17" s="497" t="s">
        <v>382</v>
      </c>
      <c r="M17" s="497" t="s">
        <v>382</v>
      </c>
      <c r="N17" s="497">
        <v>0</v>
      </c>
      <c r="O17" s="497">
        <v>0</v>
      </c>
      <c r="P17" s="497">
        <v>0</v>
      </c>
      <c r="Q17" s="497">
        <v>0</v>
      </c>
      <c r="S17" s="159"/>
    </row>
    <row r="18" spans="1:19" ht="13" customHeight="1">
      <c r="A18" s="151"/>
      <c r="B18" s="29" t="s">
        <v>34</v>
      </c>
      <c r="C18" s="497">
        <v>17916</v>
      </c>
      <c r="D18" s="497">
        <v>13460</v>
      </c>
      <c r="E18" s="497">
        <v>12107</v>
      </c>
      <c r="F18" s="497">
        <v>15221</v>
      </c>
      <c r="G18" s="497">
        <v>15365</v>
      </c>
      <c r="H18" s="497">
        <v>5856</v>
      </c>
      <c r="I18" s="497">
        <v>5265</v>
      </c>
      <c r="J18" s="497">
        <v>5276</v>
      </c>
      <c r="K18" s="497">
        <v>8656</v>
      </c>
      <c r="L18" s="497">
        <v>13090</v>
      </c>
      <c r="M18" s="497">
        <v>8960</v>
      </c>
      <c r="N18" s="497">
        <v>6062</v>
      </c>
      <c r="O18" s="497">
        <v>8906</v>
      </c>
      <c r="P18" s="497">
        <v>10955</v>
      </c>
      <c r="Q18" s="497">
        <v>8496</v>
      </c>
      <c r="S18" s="159"/>
    </row>
    <row r="19" spans="1:19" ht="13" customHeight="1">
      <c r="A19" s="151"/>
      <c r="B19" s="29" t="s">
        <v>35</v>
      </c>
      <c r="C19" s="497">
        <v>17850</v>
      </c>
      <c r="D19" s="497">
        <v>18080</v>
      </c>
      <c r="E19" s="497">
        <v>12500</v>
      </c>
      <c r="F19" s="497">
        <v>17032</v>
      </c>
      <c r="G19" s="497">
        <v>22068</v>
      </c>
      <c r="H19" s="497">
        <v>20841</v>
      </c>
      <c r="I19" s="497">
        <v>22674</v>
      </c>
      <c r="J19" s="497">
        <v>27743</v>
      </c>
      <c r="K19" s="497">
        <v>20143</v>
      </c>
      <c r="L19" s="497">
        <v>25753</v>
      </c>
      <c r="M19" s="497">
        <v>24674</v>
      </c>
      <c r="N19" s="497">
        <v>28350</v>
      </c>
      <c r="O19" s="497">
        <v>27988</v>
      </c>
      <c r="P19" s="497">
        <v>29248</v>
      </c>
      <c r="Q19" s="497">
        <v>33535</v>
      </c>
      <c r="S19" s="159"/>
    </row>
    <row r="20" spans="1:19" ht="13" customHeight="1">
      <c r="A20" s="151"/>
      <c r="B20" s="29" t="s">
        <v>36</v>
      </c>
      <c r="C20" s="497">
        <v>15297</v>
      </c>
      <c r="D20" s="497">
        <v>8283</v>
      </c>
      <c r="E20" s="497">
        <v>6866</v>
      </c>
      <c r="F20" s="497">
        <v>2620</v>
      </c>
      <c r="G20" s="497">
        <v>6302</v>
      </c>
      <c r="H20" s="497">
        <v>3733</v>
      </c>
      <c r="I20" s="497">
        <v>2439</v>
      </c>
      <c r="J20" s="497">
        <v>3886</v>
      </c>
      <c r="K20" s="497">
        <v>4674</v>
      </c>
      <c r="L20" s="497">
        <v>4571</v>
      </c>
      <c r="M20" s="497">
        <v>8747</v>
      </c>
      <c r="N20" s="497">
        <v>6607</v>
      </c>
      <c r="O20" s="497">
        <v>20829</v>
      </c>
      <c r="P20" s="497">
        <v>12586</v>
      </c>
      <c r="Q20" s="497">
        <v>7123</v>
      </c>
      <c r="S20" s="159"/>
    </row>
    <row r="21" spans="1:19" ht="13" customHeight="1">
      <c r="A21" s="151"/>
      <c r="B21" s="29" t="s">
        <v>37</v>
      </c>
      <c r="C21" s="497">
        <v>26002</v>
      </c>
      <c r="D21" s="497">
        <v>36924</v>
      </c>
      <c r="E21" s="497">
        <v>52223</v>
      </c>
      <c r="F21" s="497">
        <v>45751</v>
      </c>
      <c r="G21" s="497">
        <v>38845</v>
      </c>
      <c r="H21" s="497">
        <v>33428</v>
      </c>
      <c r="I21" s="497">
        <v>32798</v>
      </c>
      <c r="J21" s="497">
        <v>30313</v>
      </c>
      <c r="K21" s="497">
        <v>31756</v>
      </c>
      <c r="L21" s="497">
        <v>53646</v>
      </c>
      <c r="M21" s="497">
        <v>27406</v>
      </c>
      <c r="N21" s="497">
        <v>24133</v>
      </c>
      <c r="O21" s="497">
        <v>21926</v>
      </c>
      <c r="P21" s="497">
        <v>16714</v>
      </c>
      <c r="Q21" s="497">
        <v>17224</v>
      </c>
      <c r="S21" s="159"/>
    </row>
    <row r="22" spans="1:19" ht="13" customHeight="1">
      <c r="A22" s="151"/>
      <c r="B22" s="29" t="s">
        <v>38</v>
      </c>
      <c r="C22" s="497">
        <v>3607</v>
      </c>
      <c r="D22" s="497">
        <v>1330</v>
      </c>
      <c r="E22" s="497">
        <v>180</v>
      </c>
      <c r="F22" s="497">
        <v>3870</v>
      </c>
      <c r="G22" s="497">
        <v>3108</v>
      </c>
      <c r="H22" s="497">
        <v>3130</v>
      </c>
      <c r="I22" s="497">
        <v>1498</v>
      </c>
      <c r="J22" s="497">
        <v>6495</v>
      </c>
      <c r="K22" s="497">
        <v>5685</v>
      </c>
      <c r="L22" s="497">
        <v>2163</v>
      </c>
      <c r="M22" s="497">
        <v>3084</v>
      </c>
      <c r="N22" s="497">
        <v>3078</v>
      </c>
      <c r="O22" s="497">
        <v>1290</v>
      </c>
      <c r="P22" s="497">
        <v>2482</v>
      </c>
      <c r="Q22" s="497">
        <v>2596</v>
      </c>
      <c r="S22" s="159"/>
    </row>
    <row r="23" spans="1:19" ht="13" customHeight="1">
      <c r="A23" s="151"/>
      <c r="B23" s="29" t="s">
        <v>39</v>
      </c>
      <c r="C23" s="497">
        <v>0</v>
      </c>
      <c r="D23" s="497">
        <v>0</v>
      </c>
      <c r="E23" s="497">
        <v>5426</v>
      </c>
      <c r="F23" s="497" t="s">
        <v>382</v>
      </c>
      <c r="G23" s="497">
        <v>160</v>
      </c>
      <c r="H23" s="497" t="s">
        <v>382</v>
      </c>
      <c r="I23" s="497" t="s">
        <v>382</v>
      </c>
      <c r="J23" s="497">
        <v>8400</v>
      </c>
      <c r="K23" s="497">
        <v>5280</v>
      </c>
      <c r="L23" s="497">
        <v>5010</v>
      </c>
      <c r="M23" s="497">
        <v>3027</v>
      </c>
      <c r="N23" s="497">
        <v>3080</v>
      </c>
      <c r="O23" s="497">
        <v>2780</v>
      </c>
      <c r="P23" s="497">
        <v>0</v>
      </c>
      <c r="Q23" s="497">
        <v>0</v>
      </c>
      <c r="S23" s="159"/>
    </row>
    <row r="24" spans="1:19" ht="13" customHeight="1">
      <c r="A24" s="151"/>
      <c r="B24" s="29" t="s">
        <v>40</v>
      </c>
      <c r="C24" s="497">
        <v>48675</v>
      </c>
      <c r="D24" s="497">
        <v>38154</v>
      </c>
      <c r="E24" s="497">
        <v>41799</v>
      </c>
      <c r="F24" s="497">
        <v>44786</v>
      </c>
      <c r="G24" s="497">
        <v>39394</v>
      </c>
      <c r="H24" s="497">
        <v>28010</v>
      </c>
      <c r="I24" s="497">
        <v>43207</v>
      </c>
      <c r="J24" s="497">
        <v>35828</v>
      </c>
      <c r="K24" s="497">
        <v>36426</v>
      </c>
      <c r="L24" s="497">
        <v>20279</v>
      </c>
      <c r="M24" s="497">
        <v>15614</v>
      </c>
      <c r="N24" s="497">
        <v>13458</v>
      </c>
      <c r="O24" s="497">
        <v>13057</v>
      </c>
      <c r="P24" s="497">
        <v>12552</v>
      </c>
      <c r="Q24" s="497">
        <v>8975</v>
      </c>
      <c r="S24" s="159"/>
    </row>
    <row r="25" spans="1:19" ht="13" customHeight="1">
      <c r="A25" s="151"/>
      <c r="B25" s="29" t="s">
        <v>41</v>
      </c>
      <c r="C25" s="497">
        <v>16125</v>
      </c>
      <c r="D25" s="497">
        <v>20636</v>
      </c>
      <c r="E25" s="497">
        <v>22555</v>
      </c>
      <c r="F25" s="497">
        <v>20698</v>
      </c>
      <c r="G25" s="497">
        <v>13830</v>
      </c>
      <c r="H25" s="497">
        <v>17214</v>
      </c>
      <c r="I25" s="497">
        <v>33921</v>
      </c>
      <c r="J25" s="497">
        <v>32014</v>
      </c>
      <c r="K25" s="497">
        <v>29615</v>
      </c>
      <c r="L25" s="497">
        <v>27138</v>
      </c>
      <c r="M25" s="497">
        <v>26058</v>
      </c>
      <c r="N25" s="497">
        <v>24685</v>
      </c>
      <c r="O25" s="497">
        <v>20245</v>
      </c>
      <c r="P25" s="497">
        <v>18050</v>
      </c>
      <c r="Q25" s="497">
        <v>17723</v>
      </c>
      <c r="S25" s="159"/>
    </row>
    <row r="26" spans="1:19" ht="13" customHeight="1">
      <c r="A26" s="151"/>
      <c r="B26" s="29" t="s">
        <v>44</v>
      </c>
      <c r="C26" s="497">
        <v>12654</v>
      </c>
      <c r="D26" s="497">
        <v>30502</v>
      </c>
      <c r="E26" s="497">
        <v>59654</v>
      </c>
      <c r="F26" s="497">
        <v>52397</v>
      </c>
      <c r="G26" s="497">
        <v>64641</v>
      </c>
      <c r="H26" s="497">
        <v>46483</v>
      </c>
      <c r="I26" s="497">
        <v>47587</v>
      </c>
      <c r="J26" s="497">
        <v>59798</v>
      </c>
      <c r="K26" s="497">
        <v>28768</v>
      </c>
      <c r="L26" s="497">
        <v>17271</v>
      </c>
      <c r="M26" s="497">
        <v>25545</v>
      </c>
      <c r="N26" s="497">
        <v>19529</v>
      </c>
      <c r="O26" s="497">
        <v>19835</v>
      </c>
      <c r="P26" s="497">
        <v>19545</v>
      </c>
      <c r="Q26" s="497">
        <v>18675</v>
      </c>
      <c r="S26" s="159"/>
    </row>
    <row r="27" spans="1:19" ht="13" customHeight="1">
      <c r="A27" s="151"/>
      <c r="B27" s="29" t="s">
        <v>45</v>
      </c>
      <c r="C27" s="497">
        <v>230590</v>
      </c>
      <c r="D27" s="497">
        <v>233040</v>
      </c>
      <c r="E27" s="497">
        <v>237170</v>
      </c>
      <c r="F27" s="497">
        <v>240190</v>
      </c>
      <c r="G27" s="497">
        <v>243100</v>
      </c>
      <c r="H27" s="497">
        <v>243910</v>
      </c>
      <c r="I27" s="497">
        <v>244970</v>
      </c>
      <c r="J27" s="497">
        <v>238520</v>
      </c>
      <c r="K27" s="497">
        <v>244000</v>
      </c>
      <c r="L27" s="497">
        <v>315632</v>
      </c>
      <c r="M27" s="497">
        <v>221801</v>
      </c>
      <c r="N27" s="497">
        <v>244831</v>
      </c>
      <c r="O27" s="497">
        <v>236481</v>
      </c>
      <c r="P27" s="497">
        <v>233960</v>
      </c>
      <c r="Q27" s="497">
        <v>224675</v>
      </c>
      <c r="S27" s="159"/>
    </row>
    <row r="28" spans="1:19" ht="13" customHeight="1">
      <c r="A28" s="151"/>
      <c r="B28" s="150" t="s">
        <v>46</v>
      </c>
      <c r="C28" s="497">
        <v>0</v>
      </c>
      <c r="D28" s="497">
        <v>0</v>
      </c>
      <c r="E28" s="497" t="s">
        <v>382</v>
      </c>
      <c r="F28" s="497" t="s">
        <v>382</v>
      </c>
      <c r="G28" s="497" t="s">
        <v>382</v>
      </c>
      <c r="H28" s="497" t="s">
        <v>382</v>
      </c>
      <c r="I28" s="497" t="s">
        <v>382</v>
      </c>
      <c r="J28" s="497" t="s">
        <v>382</v>
      </c>
      <c r="K28" s="497" t="s">
        <v>382</v>
      </c>
      <c r="L28" s="497" t="s">
        <v>382</v>
      </c>
      <c r="M28" s="497" t="s">
        <v>382</v>
      </c>
      <c r="N28" s="497" t="s">
        <v>382</v>
      </c>
      <c r="O28" s="497" t="s">
        <v>382</v>
      </c>
      <c r="P28" s="497" t="s">
        <v>382</v>
      </c>
      <c r="Q28" s="497" t="s">
        <v>382</v>
      </c>
      <c r="S28" s="159"/>
    </row>
    <row r="29" spans="1:19" ht="13" customHeight="1">
      <c r="A29" s="151"/>
      <c r="B29" s="30" t="s">
        <v>47</v>
      </c>
      <c r="C29" s="497">
        <v>0</v>
      </c>
      <c r="D29" s="497">
        <v>0</v>
      </c>
      <c r="E29" s="497" t="s">
        <v>382</v>
      </c>
      <c r="F29" s="497" t="s">
        <v>382</v>
      </c>
      <c r="G29" s="497" t="s">
        <v>382</v>
      </c>
      <c r="H29" s="497" t="s">
        <v>382</v>
      </c>
      <c r="I29" s="497" t="s">
        <v>382</v>
      </c>
      <c r="J29" s="497" t="s">
        <v>382</v>
      </c>
      <c r="K29" s="497" t="s">
        <v>382</v>
      </c>
      <c r="L29" s="497" t="s">
        <v>382</v>
      </c>
      <c r="M29" s="497" t="s">
        <v>382</v>
      </c>
      <c r="N29" s="497" t="s">
        <v>382</v>
      </c>
      <c r="O29" s="497" t="s">
        <v>382</v>
      </c>
      <c r="P29" s="497" t="s">
        <v>382</v>
      </c>
      <c r="Q29" s="497" t="s">
        <v>382</v>
      </c>
      <c r="S29" s="159"/>
    </row>
    <row r="30" spans="1:19" ht="13" customHeight="1">
      <c r="A30" s="151"/>
      <c r="B30" s="29" t="s">
        <v>48</v>
      </c>
      <c r="C30" s="497">
        <v>0</v>
      </c>
      <c r="D30" s="497">
        <v>0</v>
      </c>
      <c r="E30" s="497" t="s">
        <v>382</v>
      </c>
      <c r="F30" s="497" t="s">
        <v>382</v>
      </c>
      <c r="G30" s="497" t="s">
        <v>382</v>
      </c>
      <c r="H30" s="497" t="s">
        <v>382</v>
      </c>
      <c r="I30" s="497" t="s">
        <v>382</v>
      </c>
      <c r="J30" s="497" t="s">
        <v>382</v>
      </c>
      <c r="K30" s="497" t="s">
        <v>382</v>
      </c>
      <c r="L30" s="497" t="s">
        <v>382</v>
      </c>
      <c r="M30" s="497" t="s">
        <v>382</v>
      </c>
      <c r="N30" s="497" t="s">
        <v>382</v>
      </c>
      <c r="O30" s="497" t="s">
        <v>382</v>
      </c>
      <c r="P30" s="497" t="s">
        <v>382</v>
      </c>
      <c r="Q30" s="497" t="s">
        <v>382</v>
      </c>
      <c r="S30" s="159"/>
    </row>
    <row r="31" spans="1:19" ht="13" customHeight="1" thickBot="1">
      <c r="A31" s="453"/>
      <c r="B31" s="454" t="s">
        <v>49</v>
      </c>
      <c r="C31" s="498">
        <v>0</v>
      </c>
      <c r="D31" s="498">
        <v>0</v>
      </c>
      <c r="E31" s="498" t="s">
        <v>382</v>
      </c>
      <c r="F31" s="498" t="s">
        <v>382</v>
      </c>
      <c r="G31" s="498" t="s">
        <v>382</v>
      </c>
      <c r="H31" s="498" t="s">
        <v>382</v>
      </c>
      <c r="I31" s="498" t="s">
        <v>382</v>
      </c>
      <c r="J31" s="498" t="s">
        <v>382</v>
      </c>
      <c r="K31" s="498" t="s">
        <v>382</v>
      </c>
      <c r="L31" s="498" t="s">
        <v>382</v>
      </c>
      <c r="M31" s="498" t="s">
        <v>382</v>
      </c>
      <c r="N31" s="498" t="s">
        <v>382</v>
      </c>
      <c r="O31" s="498" t="s">
        <v>382</v>
      </c>
      <c r="P31" s="498" t="s">
        <v>382</v>
      </c>
      <c r="Q31" s="498" t="s">
        <v>382</v>
      </c>
      <c r="S31" s="159"/>
    </row>
    <row r="32" spans="1:19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4"/>
      <c r="Q33" s="464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4"/>
      <c r="Q34" s="464"/>
    </row>
    <row r="36" spans="1:17" ht="13" customHeight="1"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Hoja49">
    <tabColor theme="9" tint="0.59999389629810485"/>
  </sheetPr>
  <dimension ref="A2:S36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9" ht="13" customHeight="1">
      <c r="A2" s="468" t="s">
        <v>345</v>
      </c>
      <c r="B2" s="469"/>
    </row>
    <row r="3" spans="1:19" ht="13" customHeight="1">
      <c r="A3" s="470" t="s">
        <v>319</v>
      </c>
      <c r="B3" s="470"/>
    </row>
    <row r="4" spans="1:19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9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9" ht="15" customHeight="1">
      <c r="A6" s="1102" t="s">
        <v>106</v>
      </c>
      <c r="B6" s="1102"/>
      <c r="C6" s="501">
        <f>(C8+C9+C10+C11+C12+C13+C14+C15+C16+C17+C18+C19+C20+C21+C22+C23+C24+C25+C26+C27+C28+C29+C30+C31)</f>
        <v>604</v>
      </c>
      <c r="D6" s="501">
        <f>(D8+D9+D10+D11+D12+D13+D14+D15+D16+D17+D18+D19+D20+D21+D22+D23+D24+D25+D26+D27+D28+D29+D30+D31)</f>
        <v>623</v>
      </c>
      <c r="E6" s="501">
        <v>740</v>
      </c>
      <c r="F6" s="501">
        <v>704</v>
      </c>
      <c r="G6" s="501">
        <v>696</v>
      </c>
      <c r="H6" s="501">
        <v>632</v>
      </c>
      <c r="I6" s="501">
        <v>677</v>
      </c>
      <c r="J6" s="501">
        <v>745</v>
      </c>
      <c r="K6" s="501">
        <v>726</v>
      </c>
      <c r="L6" s="501">
        <v>745</v>
      </c>
      <c r="M6" s="501">
        <v>656</v>
      </c>
      <c r="N6" s="501">
        <v>670</v>
      </c>
      <c r="O6" s="501">
        <v>681</v>
      </c>
      <c r="P6" s="501">
        <v>660</v>
      </c>
      <c r="Q6" s="501">
        <f>SUM(Q8:Q31)</f>
        <v>656</v>
      </c>
    </row>
    <row r="7" spans="1:19" ht="5" customHeight="1">
      <c r="A7" s="151"/>
      <c r="B7" s="152"/>
      <c r="C7" s="502"/>
      <c r="D7" s="502"/>
      <c r="E7" s="502"/>
      <c r="F7" s="502"/>
      <c r="G7" s="502"/>
      <c r="H7" s="502"/>
      <c r="I7" s="502"/>
      <c r="J7" s="502"/>
      <c r="K7" s="502"/>
      <c r="L7" s="502"/>
      <c r="M7" s="502"/>
      <c r="N7" s="502"/>
      <c r="O7" s="502"/>
      <c r="P7" s="502"/>
      <c r="Q7" s="502"/>
    </row>
    <row r="8" spans="1:19" ht="13" customHeight="1">
      <c r="A8" s="151"/>
      <c r="B8" s="29" t="s">
        <v>21</v>
      </c>
      <c r="C8" s="503">
        <v>0</v>
      </c>
      <c r="D8" s="503">
        <v>0</v>
      </c>
      <c r="E8" s="503" t="s">
        <v>383</v>
      </c>
      <c r="F8" s="503" t="s">
        <v>383</v>
      </c>
      <c r="G8" s="503" t="s">
        <v>383</v>
      </c>
      <c r="H8" s="503" t="s">
        <v>383</v>
      </c>
      <c r="I8" s="503" t="s">
        <v>383</v>
      </c>
      <c r="J8" s="503" t="s">
        <v>383</v>
      </c>
      <c r="K8" s="503" t="s">
        <v>383</v>
      </c>
      <c r="L8" s="503" t="s">
        <v>383</v>
      </c>
      <c r="M8" s="503" t="s">
        <v>383</v>
      </c>
      <c r="N8" s="503" t="s">
        <v>383</v>
      </c>
      <c r="O8" s="503" t="s">
        <v>383</v>
      </c>
      <c r="P8" s="503" t="s">
        <v>383</v>
      </c>
      <c r="Q8" s="503" t="s">
        <v>383</v>
      </c>
      <c r="S8" s="159"/>
    </row>
    <row r="9" spans="1:19" ht="13" customHeight="1">
      <c r="A9" s="151"/>
      <c r="B9" s="29" t="s">
        <v>22</v>
      </c>
      <c r="C9" s="503">
        <v>0</v>
      </c>
      <c r="D9" s="503">
        <v>0</v>
      </c>
      <c r="E9" s="503" t="s">
        <v>383</v>
      </c>
      <c r="F9" s="503" t="s">
        <v>383</v>
      </c>
      <c r="G9" s="503" t="s">
        <v>383</v>
      </c>
      <c r="H9" s="503" t="s">
        <v>383</v>
      </c>
      <c r="I9" s="503" t="s">
        <v>383</v>
      </c>
      <c r="J9" s="503" t="s">
        <v>383</v>
      </c>
      <c r="K9" s="503" t="s">
        <v>383</v>
      </c>
      <c r="L9" s="503" t="s">
        <v>383</v>
      </c>
      <c r="M9" s="503" t="s">
        <v>383</v>
      </c>
      <c r="N9" s="503" t="s">
        <v>383</v>
      </c>
      <c r="O9" s="503" t="s">
        <v>383</v>
      </c>
      <c r="P9" s="503" t="s">
        <v>383</v>
      </c>
      <c r="Q9" s="503" t="s">
        <v>383</v>
      </c>
      <c r="S9" s="159"/>
    </row>
    <row r="10" spans="1:19" ht="13" customHeight="1">
      <c r="A10" s="151"/>
      <c r="B10" s="29" t="s">
        <v>23</v>
      </c>
      <c r="C10" s="503">
        <v>0</v>
      </c>
      <c r="D10" s="503">
        <v>0</v>
      </c>
      <c r="E10" s="503" t="s">
        <v>383</v>
      </c>
      <c r="F10" s="503" t="s">
        <v>383</v>
      </c>
      <c r="G10" s="503" t="s">
        <v>383</v>
      </c>
      <c r="H10" s="503" t="s">
        <v>383</v>
      </c>
      <c r="I10" s="503" t="s">
        <v>383</v>
      </c>
      <c r="J10" s="503" t="s">
        <v>383</v>
      </c>
      <c r="K10" s="503" t="s">
        <v>383</v>
      </c>
      <c r="L10" s="503" t="s">
        <v>383</v>
      </c>
      <c r="M10" s="503" t="s">
        <v>383</v>
      </c>
      <c r="N10" s="503" t="s">
        <v>383</v>
      </c>
      <c r="O10" s="503" t="s">
        <v>383</v>
      </c>
      <c r="P10" s="503" t="s">
        <v>383</v>
      </c>
      <c r="Q10" s="503" t="s">
        <v>383</v>
      </c>
      <c r="S10" s="159"/>
    </row>
    <row r="11" spans="1:19" ht="13" customHeight="1">
      <c r="A11" s="151"/>
      <c r="B11" s="29" t="s">
        <v>24</v>
      </c>
      <c r="C11" s="503">
        <v>0</v>
      </c>
      <c r="D11" s="503">
        <v>0</v>
      </c>
      <c r="E11" s="503" t="s">
        <v>383</v>
      </c>
      <c r="F11" s="503" t="s">
        <v>383</v>
      </c>
      <c r="G11" s="503" t="s">
        <v>383</v>
      </c>
      <c r="H11" s="503" t="s">
        <v>383</v>
      </c>
      <c r="I11" s="503" t="s">
        <v>383</v>
      </c>
      <c r="J11" s="503" t="s">
        <v>383</v>
      </c>
      <c r="K11" s="503" t="s">
        <v>383</v>
      </c>
      <c r="L11" s="503" t="s">
        <v>383</v>
      </c>
      <c r="M11" s="503" t="s">
        <v>383</v>
      </c>
      <c r="N11" s="503" t="s">
        <v>383</v>
      </c>
      <c r="O11" s="503" t="s">
        <v>383</v>
      </c>
      <c r="P11" s="503" t="s">
        <v>383</v>
      </c>
      <c r="Q11" s="503" t="s">
        <v>383</v>
      </c>
      <c r="S11" s="159"/>
    </row>
    <row r="12" spans="1:19" ht="13" customHeight="1">
      <c r="A12" s="151"/>
      <c r="B12" s="29" t="s">
        <v>25</v>
      </c>
      <c r="C12" s="503">
        <v>0</v>
      </c>
      <c r="D12" s="503">
        <v>0</v>
      </c>
      <c r="E12" s="503" t="s">
        <v>383</v>
      </c>
      <c r="F12" s="503" t="s">
        <v>383</v>
      </c>
      <c r="G12" s="503" t="s">
        <v>383</v>
      </c>
      <c r="H12" s="503" t="s">
        <v>383</v>
      </c>
      <c r="I12" s="503" t="s">
        <v>383</v>
      </c>
      <c r="J12" s="503" t="s">
        <v>383</v>
      </c>
      <c r="K12" s="503" t="s">
        <v>383</v>
      </c>
      <c r="L12" s="503" t="s">
        <v>383</v>
      </c>
      <c r="M12" s="503" t="s">
        <v>383</v>
      </c>
      <c r="N12" s="503" t="s">
        <v>383</v>
      </c>
      <c r="O12" s="503" t="s">
        <v>383</v>
      </c>
      <c r="P12" s="503" t="s">
        <v>383</v>
      </c>
      <c r="Q12" s="503" t="s">
        <v>383</v>
      </c>
      <c r="S12" s="159"/>
    </row>
    <row r="13" spans="1:19" ht="13" customHeight="1">
      <c r="A13" s="151"/>
      <c r="B13" s="29" t="s">
        <v>29</v>
      </c>
      <c r="C13" s="503">
        <v>0</v>
      </c>
      <c r="D13" s="503">
        <v>0</v>
      </c>
      <c r="E13" s="503" t="s">
        <v>383</v>
      </c>
      <c r="F13" s="503" t="s">
        <v>383</v>
      </c>
      <c r="G13" s="503" t="s">
        <v>383</v>
      </c>
      <c r="H13" s="503" t="s">
        <v>383</v>
      </c>
      <c r="I13" s="503" t="s">
        <v>383</v>
      </c>
      <c r="J13" s="503" t="s">
        <v>383</v>
      </c>
      <c r="K13" s="503" t="s">
        <v>383</v>
      </c>
      <c r="L13" s="503" t="s">
        <v>383</v>
      </c>
      <c r="M13" s="503" t="s">
        <v>383</v>
      </c>
      <c r="N13" s="503" t="s">
        <v>383</v>
      </c>
      <c r="O13" s="503" t="s">
        <v>383</v>
      </c>
      <c r="P13" s="503" t="s">
        <v>383</v>
      </c>
      <c r="Q13" s="503" t="s">
        <v>383</v>
      </c>
      <c r="S13" s="159"/>
    </row>
    <row r="14" spans="1:19" ht="13" customHeight="1">
      <c r="A14" s="151"/>
      <c r="B14" s="29" t="s">
        <v>30</v>
      </c>
      <c r="C14" s="503">
        <v>0</v>
      </c>
      <c r="D14" s="503">
        <v>0</v>
      </c>
      <c r="E14" s="503" t="s">
        <v>383</v>
      </c>
      <c r="F14" s="503" t="s">
        <v>383</v>
      </c>
      <c r="G14" s="503" t="s">
        <v>383</v>
      </c>
      <c r="H14" s="503" t="s">
        <v>383</v>
      </c>
      <c r="I14" s="503" t="s">
        <v>383</v>
      </c>
      <c r="J14" s="503" t="s">
        <v>383</v>
      </c>
      <c r="K14" s="503" t="s">
        <v>383</v>
      </c>
      <c r="L14" s="503" t="s">
        <v>383</v>
      </c>
      <c r="M14" s="503" t="s">
        <v>383</v>
      </c>
      <c r="N14" s="503" t="s">
        <v>383</v>
      </c>
      <c r="O14" s="503" t="s">
        <v>383</v>
      </c>
      <c r="P14" s="503" t="s">
        <v>383</v>
      </c>
      <c r="Q14" s="503" t="s">
        <v>383</v>
      </c>
      <c r="S14" s="159"/>
    </row>
    <row r="15" spans="1:19" ht="13" customHeight="1">
      <c r="A15" s="151"/>
      <c r="B15" s="29" t="s">
        <v>31</v>
      </c>
      <c r="C15" s="503">
        <v>0</v>
      </c>
      <c r="D15" s="503">
        <v>0</v>
      </c>
      <c r="E15" s="503">
        <v>3</v>
      </c>
      <c r="F15" s="503">
        <v>3</v>
      </c>
      <c r="G15" s="503">
        <v>2</v>
      </c>
      <c r="H15" s="503">
        <v>2</v>
      </c>
      <c r="I15" s="503">
        <v>1</v>
      </c>
      <c r="J15" s="503">
        <v>1</v>
      </c>
      <c r="K15" s="503">
        <v>1</v>
      </c>
      <c r="L15" s="503">
        <v>1</v>
      </c>
      <c r="M15" s="503">
        <v>1</v>
      </c>
      <c r="N15" s="503">
        <v>1</v>
      </c>
      <c r="O15" s="503">
        <v>1</v>
      </c>
      <c r="P15" s="503">
        <v>1</v>
      </c>
      <c r="Q15" s="503">
        <v>2</v>
      </c>
      <c r="S15" s="159"/>
    </row>
    <row r="16" spans="1:19" ht="13" customHeight="1">
      <c r="A16" s="151"/>
      <c r="B16" s="29" t="s">
        <v>32</v>
      </c>
      <c r="C16" s="503">
        <v>0</v>
      </c>
      <c r="D16" s="503">
        <v>0</v>
      </c>
      <c r="E16" s="503" t="s">
        <v>383</v>
      </c>
      <c r="F16" s="503" t="s">
        <v>383</v>
      </c>
      <c r="G16" s="503" t="s">
        <v>383</v>
      </c>
      <c r="H16" s="503" t="s">
        <v>383</v>
      </c>
      <c r="I16" s="503" t="s">
        <v>383</v>
      </c>
      <c r="J16" s="503" t="s">
        <v>383</v>
      </c>
      <c r="K16" s="503" t="s">
        <v>383</v>
      </c>
      <c r="L16" s="503" t="s">
        <v>383</v>
      </c>
      <c r="M16" s="503" t="s">
        <v>383</v>
      </c>
      <c r="N16" s="503" t="s">
        <v>383</v>
      </c>
      <c r="O16" s="503" t="s">
        <v>383</v>
      </c>
      <c r="P16" s="503"/>
      <c r="Q16" s="503" t="s">
        <v>383</v>
      </c>
      <c r="S16" s="159"/>
    </row>
    <row r="17" spans="1:19" ht="13" customHeight="1">
      <c r="A17" s="151"/>
      <c r="B17" s="29" t="s">
        <v>33</v>
      </c>
      <c r="C17" s="503">
        <v>0</v>
      </c>
      <c r="D17" s="503">
        <v>0</v>
      </c>
      <c r="E17" s="503" t="s">
        <v>383</v>
      </c>
      <c r="F17" s="503" t="s">
        <v>383</v>
      </c>
      <c r="G17" s="503" t="s">
        <v>383</v>
      </c>
      <c r="H17" s="503" t="s">
        <v>383</v>
      </c>
      <c r="I17" s="503" t="s">
        <v>383</v>
      </c>
      <c r="J17" s="503" t="s">
        <v>383</v>
      </c>
      <c r="K17" s="503" t="s">
        <v>383</v>
      </c>
      <c r="L17" s="503" t="s">
        <v>383</v>
      </c>
      <c r="M17" s="503" t="s">
        <v>383</v>
      </c>
      <c r="N17" s="503" t="s">
        <v>383</v>
      </c>
      <c r="O17" s="503" t="s">
        <v>383</v>
      </c>
      <c r="P17" s="503"/>
      <c r="Q17" s="503" t="s">
        <v>383</v>
      </c>
      <c r="S17" s="159"/>
    </row>
    <row r="18" spans="1:19" ht="13" customHeight="1">
      <c r="A18" s="151"/>
      <c r="B18" s="29" t="s">
        <v>34</v>
      </c>
      <c r="C18" s="503">
        <v>24</v>
      </c>
      <c r="D18" s="503">
        <v>37</v>
      </c>
      <c r="E18" s="503">
        <v>29</v>
      </c>
      <c r="F18" s="503">
        <v>28</v>
      </c>
      <c r="G18" s="503">
        <v>26</v>
      </c>
      <c r="H18" s="503">
        <v>12</v>
      </c>
      <c r="I18" s="503">
        <v>13</v>
      </c>
      <c r="J18" s="503">
        <v>9</v>
      </c>
      <c r="K18" s="503">
        <v>14</v>
      </c>
      <c r="L18" s="503">
        <v>22</v>
      </c>
      <c r="M18" s="503">
        <v>14</v>
      </c>
      <c r="N18" s="503">
        <v>9</v>
      </c>
      <c r="O18" s="503">
        <v>12</v>
      </c>
      <c r="P18" s="503">
        <v>16</v>
      </c>
      <c r="Q18" s="503">
        <v>12</v>
      </c>
      <c r="S18" s="159"/>
    </row>
    <row r="19" spans="1:19" ht="13" customHeight="1">
      <c r="A19" s="151"/>
      <c r="B19" s="29" t="s">
        <v>35</v>
      </c>
      <c r="C19" s="503">
        <v>32</v>
      </c>
      <c r="D19" s="503">
        <v>34</v>
      </c>
      <c r="E19" s="503">
        <v>26</v>
      </c>
      <c r="F19" s="503">
        <v>37</v>
      </c>
      <c r="G19" s="503">
        <v>47</v>
      </c>
      <c r="H19" s="503">
        <v>40</v>
      </c>
      <c r="I19" s="503">
        <v>45</v>
      </c>
      <c r="J19" s="503">
        <v>58</v>
      </c>
      <c r="K19" s="503">
        <v>41</v>
      </c>
      <c r="L19" s="503">
        <v>52</v>
      </c>
      <c r="M19" s="503">
        <v>51</v>
      </c>
      <c r="N19" s="503">
        <v>57</v>
      </c>
      <c r="O19" s="503">
        <v>63</v>
      </c>
      <c r="P19" s="503">
        <v>66</v>
      </c>
      <c r="Q19" s="503">
        <v>77</v>
      </c>
      <c r="S19" s="159"/>
    </row>
    <row r="20" spans="1:19" ht="13" customHeight="1">
      <c r="A20" s="151"/>
      <c r="B20" s="29" t="s">
        <v>36</v>
      </c>
      <c r="C20" s="503">
        <v>46</v>
      </c>
      <c r="D20" s="503">
        <v>13</v>
      </c>
      <c r="E20" s="503">
        <v>12</v>
      </c>
      <c r="F20" s="503">
        <v>5</v>
      </c>
      <c r="G20" s="503">
        <v>10</v>
      </c>
      <c r="H20" s="503">
        <v>8</v>
      </c>
      <c r="I20" s="503">
        <v>6</v>
      </c>
      <c r="J20" s="503">
        <v>10</v>
      </c>
      <c r="K20" s="503">
        <v>11</v>
      </c>
      <c r="L20" s="503">
        <v>8</v>
      </c>
      <c r="M20" s="503">
        <v>13</v>
      </c>
      <c r="N20" s="503">
        <v>8</v>
      </c>
      <c r="O20" s="503">
        <v>38</v>
      </c>
      <c r="P20" s="503">
        <v>23</v>
      </c>
      <c r="Q20" s="503">
        <v>13</v>
      </c>
      <c r="S20" s="159"/>
    </row>
    <row r="21" spans="1:19" ht="13" customHeight="1">
      <c r="A21" s="151"/>
      <c r="B21" s="29" t="s">
        <v>37</v>
      </c>
      <c r="C21" s="503">
        <v>52</v>
      </c>
      <c r="D21" s="503">
        <v>74</v>
      </c>
      <c r="E21" s="503">
        <v>119</v>
      </c>
      <c r="F21" s="503">
        <v>95</v>
      </c>
      <c r="G21" s="503">
        <v>80</v>
      </c>
      <c r="H21" s="503">
        <v>69</v>
      </c>
      <c r="I21" s="503">
        <v>66</v>
      </c>
      <c r="J21" s="503">
        <v>63</v>
      </c>
      <c r="K21" s="503">
        <v>66</v>
      </c>
      <c r="L21" s="503">
        <v>113</v>
      </c>
      <c r="M21" s="503">
        <v>58</v>
      </c>
      <c r="N21" s="503">
        <v>51</v>
      </c>
      <c r="O21" s="503">
        <v>46</v>
      </c>
      <c r="P21" s="503">
        <v>38</v>
      </c>
      <c r="Q21" s="503">
        <v>37</v>
      </c>
      <c r="S21" s="159"/>
    </row>
    <row r="22" spans="1:19" ht="13" customHeight="1">
      <c r="A22" s="151"/>
      <c r="B22" s="29" t="s">
        <v>38</v>
      </c>
      <c r="C22" s="503">
        <v>8</v>
      </c>
      <c r="D22" s="503">
        <v>3</v>
      </c>
      <c r="E22" s="503">
        <v>0</v>
      </c>
      <c r="F22" s="503">
        <v>11</v>
      </c>
      <c r="G22" s="503">
        <v>8</v>
      </c>
      <c r="H22" s="503">
        <v>7</v>
      </c>
      <c r="I22" s="503">
        <v>2</v>
      </c>
      <c r="J22" s="503">
        <v>8</v>
      </c>
      <c r="K22" s="503">
        <v>11</v>
      </c>
      <c r="L22" s="503">
        <v>5</v>
      </c>
      <c r="M22" s="503">
        <v>7</v>
      </c>
      <c r="N22" s="503">
        <v>7</v>
      </c>
      <c r="O22" s="503">
        <v>3</v>
      </c>
      <c r="P22" s="503">
        <v>6</v>
      </c>
      <c r="Q22" s="503">
        <v>6</v>
      </c>
      <c r="S22" s="159"/>
    </row>
    <row r="23" spans="1:19" ht="13" customHeight="1">
      <c r="A23" s="151"/>
      <c r="B23" s="29" t="s">
        <v>39</v>
      </c>
      <c r="C23" s="503">
        <v>0</v>
      </c>
      <c r="D23" s="503">
        <v>0</v>
      </c>
      <c r="E23" s="503">
        <v>11</v>
      </c>
      <c r="F23" s="503" t="s">
        <v>383</v>
      </c>
      <c r="G23" s="503" t="s">
        <v>383</v>
      </c>
      <c r="H23" s="503" t="s">
        <v>383</v>
      </c>
      <c r="I23" s="503" t="s">
        <v>383</v>
      </c>
      <c r="J23" s="503">
        <v>17</v>
      </c>
      <c r="K23" s="503">
        <v>10</v>
      </c>
      <c r="L23" s="503">
        <v>9</v>
      </c>
      <c r="M23" s="503">
        <v>6</v>
      </c>
      <c r="N23" s="503">
        <v>6</v>
      </c>
      <c r="O23" s="503">
        <v>5</v>
      </c>
      <c r="P23" s="503">
        <v>0</v>
      </c>
      <c r="Q23" s="503">
        <v>0</v>
      </c>
      <c r="S23" s="159"/>
    </row>
    <row r="24" spans="1:19" ht="13" customHeight="1">
      <c r="A24" s="151"/>
      <c r="B24" s="29" t="s">
        <v>40</v>
      </c>
      <c r="C24" s="503">
        <v>77</v>
      </c>
      <c r="D24" s="503">
        <v>59</v>
      </c>
      <c r="E24" s="503">
        <v>63</v>
      </c>
      <c r="F24" s="503">
        <v>65</v>
      </c>
      <c r="G24" s="503">
        <v>44</v>
      </c>
      <c r="H24" s="503">
        <v>32</v>
      </c>
      <c r="I24" s="503">
        <v>56</v>
      </c>
      <c r="J24" s="503">
        <v>37</v>
      </c>
      <c r="K24" s="503">
        <v>46</v>
      </c>
      <c r="L24" s="503">
        <v>23</v>
      </c>
      <c r="M24" s="503">
        <v>18</v>
      </c>
      <c r="N24" s="503">
        <v>16</v>
      </c>
      <c r="O24" s="503">
        <v>15</v>
      </c>
      <c r="P24" s="503">
        <v>14</v>
      </c>
      <c r="Q24" s="503">
        <v>10</v>
      </c>
      <c r="S24" s="159"/>
    </row>
    <row r="25" spans="1:19" ht="13" customHeight="1">
      <c r="A25" s="151"/>
      <c r="B25" s="29" t="s">
        <v>41</v>
      </c>
      <c r="C25" s="503">
        <v>33</v>
      </c>
      <c r="D25" s="503">
        <v>38</v>
      </c>
      <c r="E25" s="503">
        <v>40</v>
      </c>
      <c r="F25" s="503">
        <v>39</v>
      </c>
      <c r="G25" s="503">
        <v>23</v>
      </c>
      <c r="H25" s="503">
        <v>27</v>
      </c>
      <c r="I25" s="503">
        <v>53</v>
      </c>
      <c r="J25" s="503">
        <v>63</v>
      </c>
      <c r="K25" s="503">
        <v>54</v>
      </c>
      <c r="L25" s="503">
        <v>50</v>
      </c>
      <c r="M25" s="503">
        <v>50</v>
      </c>
      <c r="N25" s="503">
        <v>46</v>
      </c>
      <c r="O25" s="503">
        <v>37</v>
      </c>
      <c r="P25" s="503">
        <v>32</v>
      </c>
      <c r="Q25" s="503">
        <v>31</v>
      </c>
      <c r="S25" s="159"/>
    </row>
    <row r="26" spans="1:19" ht="13" customHeight="1">
      <c r="A26" s="151"/>
      <c r="B26" s="29" t="s">
        <v>44</v>
      </c>
      <c r="C26" s="503">
        <v>19</v>
      </c>
      <c r="D26" s="503">
        <v>51</v>
      </c>
      <c r="E26" s="503">
        <v>107</v>
      </c>
      <c r="F26" s="503">
        <v>74</v>
      </c>
      <c r="G26" s="503">
        <v>103</v>
      </c>
      <c r="H26" s="503">
        <v>70</v>
      </c>
      <c r="I26" s="503">
        <v>70</v>
      </c>
      <c r="J26" s="503">
        <v>95</v>
      </c>
      <c r="K26" s="503">
        <v>49</v>
      </c>
      <c r="L26" s="503">
        <v>30</v>
      </c>
      <c r="M26" s="503">
        <v>44</v>
      </c>
      <c r="N26" s="503">
        <v>32</v>
      </c>
      <c r="O26" s="503">
        <v>32</v>
      </c>
      <c r="P26" s="503">
        <v>31</v>
      </c>
      <c r="Q26" s="503">
        <v>30</v>
      </c>
      <c r="S26" s="159"/>
    </row>
    <row r="27" spans="1:19" ht="13" customHeight="1">
      <c r="A27" s="151"/>
      <c r="B27" s="29" t="s">
        <v>45</v>
      </c>
      <c r="C27" s="503">
        <v>313</v>
      </c>
      <c r="D27" s="503">
        <v>314</v>
      </c>
      <c r="E27" s="503">
        <v>330</v>
      </c>
      <c r="F27" s="503">
        <v>347</v>
      </c>
      <c r="G27" s="503">
        <v>353</v>
      </c>
      <c r="H27" s="503">
        <v>365</v>
      </c>
      <c r="I27" s="503">
        <v>367</v>
      </c>
      <c r="J27" s="503">
        <v>384</v>
      </c>
      <c r="K27" s="503">
        <v>422</v>
      </c>
      <c r="L27" s="503">
        <v>433</v>
      </c>
      <c r="M27" s="503">
        <v>395</v>
      </c>
      <c r="N27" s="503">
        <v>437</v>
      </c>
      <c r="O27" s="503">
        <v>428</v>
      </c>
      <c r="P27" s="503">
        <v>432</v>
      </c>
      <c r="Q27" s="503">
        <v>438</v>
      </c>
      <c r="S27" s="159"/>
    </row>
    <row r="28" spans="1:19" ht="13" customHeight="1">
      <c r="A28" s="151"/>
      <c r="B28" s="150" t="s">
        <v>46</v>
      </c>
      <c r="C28" s="503">
        <v>0</v>
      </c>
      <c r="D28" s="503">
        <v>0</v>
      </c>
      <c r="E28" s="503" t="s">
        <v>383</v>
      </c>
      <c r="F28" s="503" t="s">
        <v>383</v>
      </c>
      <c r="G28" s="503" t="s">
        <v>383</v>
      </c>
      <c r="H28" s="503" t="s">
        <v>383</v>
      </c>
      <c r="I28" s="503" t="s">
        <v>383</v>
      </c>
      <c r="J28" s="503" t="s">
        <v>383</v>
      </c>
      <c r="K28" s="503" t="s">
        <v>383</v>
      </c>
      <c r="L28" s="503" t="s">
        <v>383</v>
      </c>
      <c r="M28" s="503" t="s">
        <v>383</v>
      </c>
      <c r="N28" s="503" t="s">
        <v>383</v>
      </c>
      <c r="O28" s="503" t="s">
        <v>383</v>
      </c>
      <c r="P28" s="503" t="s">
        <v>383</v>
      </c>
      <c r="Q28" s="503" t="s">
        <v>383</v>
      </c>
      <c r="S28" s="159"/>
    </row>
    <row r="29" spans="1:19" ht="13" customHeight="1">
      <c r="A29" s="151"/>
      <c r="B29" s="30" t="s">
        <v>47</v>
      </c>
      <c r="C29" s="503">
        <v>0</v>
      </c>
      <c r="D29" s="503">
        <v>0</v>
      </c>
      <c r="E29" s="503" t="s">
        <v>383</v>
      </c>
      <c r="F29" s="503" t="s">
        <v>383</v>
      </c>
      <c r="G29" s="503" t="s">
        <v>383</v>
      </c>
      <c r="H29" s="503" t="s">
        <v>383</v>
      </c>
      <c r="I29" s="503" t="s">
        <v>383</v>
      </c>
      <c r="J29" s="503" t="s">
        <v>383</v>
      </c>
      <c r="K29" s="503" t="s">
        <v>383</v>
      </c>
      <c r="L29" s="503" t="s">
        <v>383</v>
      </c>
      <c r="M29" s="503" t="s">
        <v>383</v>
      </c>
      <c r="N29" s="503" t="s">
        <v>383</v>
      </c>
      <c r="O29" s="503" t="s">
        <v>383</v>
      </c>
      <c r="P29" s="503" t="s">
        <v>383</v>
      </c>
      <c r="Q29" s="503" t="s">
        <v>383</v>
      </c>
      <c r="S29" s="159"/>
    </row>
    <row r="30" spans="1:19" ht="13" customHeight="1">
      <c r="A30" s="151"/>
      <c r="B30" s="29" t="s">
        <v>48</v>
      </c>
      <c r="C30" s="503">
        <v>0</v>
      </c>
      <c r="D30" s="503">
        <v>0</v>
      </c>
      <c r="E30" s="503" t="s">
        <v>383</v>
      </c>
      <c r="F30" s="503" t="s">
        <v>383</v>
      </c>
      <c r="G30" s="503" t="s">
        <v>383</v>
      </c>
      <c r="H30" s="503" t="s">
        <v>383</v>
      </c>
      <c r="I30" s="503" t="s">
        <v>383</v>
      </c>
      <c r="J30" s="503" t="s">
        <v>383</v>
      </c>
      <c r="K30" s="503" t="s">
        <v>383</v>
      </c>
      <c r="L30" s="503" t="s">
        <v>383</v>
      </c>
      <c r="M30" s="503" t="s">
        <v>383</v>
      </c>
      <c r="N30" s="503" t="s">
        <v>383</v>
      </c>
      <c r="O30" s="503" t="s">
        <v>383</v>
      </c>
      <c r="P30" s="503" t="s">
        <v>383</v>
      </c>
      <c r="Q30" s="503" t="s">
        <v>383</v>
      </c>
      <c r="S30" s="159"/>
    </row>
    <row r="31" spans="1:19" ht="13" customHeight="1" thickBot="1">
      <c r="A31" s="453"/>
      <c r="B31" s="454" t="s">
        <v>49</v>
      </c>
      <c r="C31" s="504">
        <v>0</v>
      </c>
      <c r="D31" s="504">
        <v>0</v>
      </c>
      <c r="E31" s="504" t="s">
        <v>383</v>
      </c>
      <c r="F31" s="504" t="s">
        <v>383</v>
      </c>
      <c r="G31" s="504" t="s">
        <v>383</v>
      </c>
      <c r="H31" s="504" t="s">
        <v>383</v>
      </c>
      <c r="I31" s="504" t="s">
        <v>383</v>
      </c>
      <c r="J31" s="504" t="s">
        <v>383</v>
      </c>
      <c r="K31" s="504" t="s">
        <v>383</v>
      </c>
      <c r="L31" s="504" t="s">
        <v>383</v>
      </c>
      <c r="M31" s="504" t="s">
        <v>383</v>
      </c>
      <c r="N31" s="504" t="s">
        <v>383</v>
      </c>
      <c r="O31" s="504" t="s">
        <v>383</v>
      </c>
      <c r="P31" s="504" t="s">
        <v>383</v>
      </c>
      <c r="Q31" s="504" t="s">
        <v>383</v>
      </c>
      <c r="S31" s="159"/>
    </row>
    <row r="32" spans="1:19" ht="10" customHeight="1">
      <c r="A32" s="28" t="s">
        <v>238</v>
      </c>
      <c r="B32" s="40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</row>
    <row r="33" spans="1:17" ht="10" customHeight="1">
      <c r="A33" s="28" t="s">
        <v>192</v>
      </c>
      <c r="B33" s="40"/>
      <c r="C33" s="449"/>
      <c r="D33" s="449"/>
      <c r="E33" s="449"/>
      <c r="F33" s="449"/>
      <c r="G33" s="449"/>
      <c r="H33" s="463"/>
      <c r="I33" s="463"/>
      <c r="J33" s="463"/>
      <c r="K33" s="463"/>
      <c r="L33" s="463"/>
      <c r="M33" s="463"/>
      <c r="N33" s="463"/>
      <c r="O33" s="463"/>
      <c r="P33" s="464"/>
      <c r="Q33" s="464"/>
    </row>
    <row r="34" spans="1:17" ht="10" customHeight="1">
      <c r="A34" s="40" t="s">
        <v>261</v>
      </c>
      <c r="B34" s="320"/>
      <c r="C34" s="449"/>
      <c r="D34" s="449"/>
      <c r="E34" s="449"/>
      <c r="F34" s="449"/>
      <c r="G34" s="449"/>
      <c r="H34" s="463"/>
      <c r="I34" s="463"/>
      <c r="J34" s="463"/>
      <c r="K34" s="463"/>
      <c r="L34" s="463"/>
      <c r="M34" s="463"/>
      <c r="N34" s="463"/>
      <c r="O34" s="463"/>
      <c r="P34" s="464"/>
      <c r="Q34" s="464"/>
    </row>
    <row r="36" spans="1:17" ht="13" customHeight="1"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Hoja50">
    <tabColor theme="9" tint="0.59999389629810485"/>
  </sheetPr>
  <dimension ref="A2:Q3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19921875" style="150" customWidth="1"/>
    <col min="2" max="2" width="10" style="150" customWidth="1"/>
    <col min="3" max="4" width="8" style="150" hidden="1" customWidth="1"/>
    <col min="5" max="17" width="9" style="150" customWidth="1"/>
    <col min="18" max="16384" width="7" style="150"/>
  </cols>
  <sheetData>
    <row r="2" spans="1:17" ht="13" customHeight="1">
      <c r="A2" s="468" t="s">
        <v>344</v>
      </c>
      <c r="B2" s="469"/>
    </row>
    <row r="3" spans="1:17" ht="13" customHeight="1">
      <c r="A3" s="470" t="s">
        <v>375</v>
      </c>
      <c r="B3" s="470"/>
    </row>
    <row r="4" spans="1:17" ht="5" customHeight="1" thickBot="1">
      <c r="A4" s="459"/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</row>
    <row r="5" spans="1:17" ht="15" customHeight="1">
      <c r="A5" s="1103" t="s">
        <v>18</v>
      </c>
      <c r="B5" s="1103"/>
      <c r="C5" s="474">
        <v>2005</v>
      </c>
      <c r="D5" s="474">
        <v>2006</v>
      </c>
      <c r="E5" s="474">
        <v>2007</v>
      </c>
      <c r="F5" s="474">
        <v>2008</v>
      </c>
      <c r="G5" s="474">
        <v>2009</v>
      </c>
      <c r="H5" s="474">
        <v>2010</v>
      </c>
      <c r="I5" s="474">
        <v>2011</v>
      </c>
      <c r="J5" s="474">
        <v>2012</v>
      </c>
      <c r="K5" s="474">
        <v>2013</v>
      </c>
      <c r="L5" s="474">
        <v>2014</v>
      </c>
      <c r="M5" s="474">
        <v>2015</v>
      </c>
      <c r="N5" s="474">
        <v>2016</v>
      </c>
      <c r="O5" s="474">
        <v>2017</v>
      </c>
      <c r="P5" s="474" t="s">
        <v>221</v>
      </c>
      <c r="Q5" s="474" t="s">
        <v>326</v>
      </c>
    </row>
    <row r="6" spans="1:17" ht="15" customHeight="1">
      <c r="A6" s="1102" t="s">
        <v>114</v>
      </c>
      <c r="B6" s="1102"/>
      <c r="C6" s="493">
        <v>4.91</v>
      </c>
      <c r="D6" s="493">
        <v>5.26</v>
      </c>
      <c r="E6" s="493">
        <v>6.16</v>
      </c>
      <c r="F6" s="493">
        <v>6.45</v>
      </c>
      <c r="G6" s="493">
        <v>5.09</v>
      </c>
      <c r="H6" s="493">
        <v>5.73</v>
      </c>
      <c r="I6" s="493">
        <v>6.23</v>
      </c>
      <c r="J6" s="493">
        <v>6.27</v>
      </c>
      <c r="K6" s="493">
        <v>6.07</v>
      </c>
      <c r="L6" s="493">
        <v>6.27</v>
      </c>
      <c r="M6" s="493">
        <v>6.63</v>
      </c>
      <c r="N6" s="493">
        <v>6.91</v>
      </c>
      <c r="O6" s="493">
        <v>6.84</v>
      </c>
      <c r="P6" s="493">
        <v>7.25</v>
      </c>
      <c r="Q6" s="493">
        <v>6.9</v>
      </c>
    </row>
    <row r="7" spans="1:17" ht="5" customHeight="1">
      <c r="A7" s="151"/>
      <c r="B7" s="152"/>
      <c r="C7" s="494"/>
      <c r="D7" s="494"/>
      <c r="E7" s="494"/>
      <c r="F7" s="494"/>
      <c r="G7" s="494"/>
      <c r="H7" s="494"/>
      <c r="I7" s="494"/>
      <c r="J7" s="494"/>
      <c r="K7" s="494"/>
      <c r="L7" s="494"/>
      <c r="M7" s="494"/>
      <c r="N7" s="494"/>
      <c r="O7" s="505"/>
      <c r="P7" s="505"/>
      <c r="Q7" s="505"/>
    </row>
    <row r="8" spans="1:17" ht="13" customHeight="1">
      <c r="A8" s="151"/>
      <c r="B8" s="29" t="s">
        <v>21</v>
      </c>
      <c r="C8" s="495" t="s">
        <v>81</v>
      </c>
      <c r="D8" s="495" t="s">
        <v>81</v>
      </c>
      <c r="E8" s="495" t="s">
        <v>81</v>
      </c>
      <c r="F8" s="495" t="s">
        <v>81</v>
      </c>
      <c r="G8" s="495" t="s">
        <v>81</v>
      </c>
      <c r="H8" s="495" t="s">
        <v>81</v>
      </c>
      <c r="I8" s="495" t="s">
        <v>81</v>
      </c>
      <c r="J8" s="495" t="s">
        <v>81</v>
      </c>
      <c r="K8" s="495" t="s">
        <v>81</v>
      </c>
      <c r="L8" s="495" t="s">
        <v>81</v>
      </c>
      <c r="M8" s="495" t="s">
        <v>81</v>
      </c>
      <c r="N8" s="495" t="s">
        <v>81</v>
      </c>
      <c r="O8" s="495" t="s">
        <v>81</v>
      </c>
      <c r="P8" s="495" t="s">
        <v>81</v>
      </c>
      <c r="Q8" s="495" t="s">
        <v>81</v>
      </c>
    </row>
    <row r="9" spans="1:17" ht="13" customHeight="1">
      <c r="A9" s="151"/>
      <c r="B9" s="29" t="s">
        <v>22</v>
      </c>
      <c r="C9" s="495" t="s">
        <v>81</v>
      </c>
      <c r="D9" s="495" t="s">
        <v>81</v>
      </c>
      <c r="E9" s="495" t="s">
        <v>81</v>
      </c>
      <c r="F9" s="495" t="s">
        <v>81</v>
      </c>
      <c r="G9" s="495" t="s">
        <v>81</v>
      </c>
      <c r="H9" s="495" t="s">
        <v>81</v>
      </c>
      <c r="I9" s="495" t="s">
        <v>81</v>
      </c>
      <c r="J9" s="495" t="s">
        <v>81</v>
      </c>
      <c r="K9" s="495" t="s">
        <v>81</v>
      </c>
      <c r="L9" s="495" t="s">
        <v>81</v>
      </c>
      <c r="M9" s="495" t="s">
        <v>81</v>
      </c>
      <c r="N9" s="495" t="s">
        <v>81</v>
      </c>
      <c r="O9" s="495" t="s">
        <v>81</v>
      </c>
      <c r="P9" s="495" t="s">
        <v>81</v>
      </c>
      <c r="Q9" s="495" t="s">
        <v>81</v>
      </c>
    </row>
    <row r="10" spans="1:17" ht="13" customHeight="1">
      <c r="A10" s="151"/>
      <c r="B10" s="29" t="s">
        <v>23</v>
      </c>
      <c r="C10" s="495" t="s">
        <v>81</v>
      </c>
      <c r="D10" s="495" t="s">
        <v>81</v>
      </c>
      <c r="E10" s="495" t="s">
        <v>81</v>
      </c>
      <c r="F10" s="495" t="s">
        <v>81</v>
      </c>
      <c r="G10" s="495" t="s">
        <v>81</v>
      </c>
      <c r="H10" s="495" t="s">
        <v>81</v>
      </c>
      <c r="I10" s="495" t="s">
        <v>81</v>
      </c>
      <c r="J10" s="495" t="s">
        <v>81</v>
      </c>
      <c r="K10" s="495" t="s">
        <v>81</v>
      </c>
      <c r="L10" s="495" t="s">
        <v>81</v>
      </c>
      <c r="M10" s="495" t="s">
        <v>81</v>
      </c>
      <c r="N10" s="495" t="s">
        <v>81</v>
      </c>
      <c r="O10" s="495" t="s">
        <v>81</v>
      </c>
      <c r="P10" s="495" t="s">
        <v>81</v>
      </c>
      <c r="Q10" s="495" t="s">
        <v>81</v>
      </c>
    </row>
    <row r="11" spans="1:17" ht="13" customHeight="1">
      <c r="A11" s="151"/>
      <c r="B11" s="29" t="s">
        <v>24</v>
      </c>
      <c r="C11" s="495" t="s">
        <v>81</v>
      </c>
      <c r="D11" s="495" t="s">
        <v>81</v>
      </c>
      <c r="E11" s="495" t="s">
        <v>81</v>
      </c>
      <c r="F11" s="495" t="s">
        <v>81</v>
      </c>
      <c r="G11" s="495" t="s">
        <v>81</v>
      </c>
      <c r="H11" s="495" t="s">
        <v>81</v>
      </c>
      <c r="I11" s="495" t="s">
        <v>81</v>
      </c>
      <c r="J11" s="495" t="s">
        <v>81</v>
      </c>
      <c r="K11" s="495" t="s">
        <v>81</v>
      </c>
      <c r="L11" s="495" t="s">
        <v>81</v>
      </c>
      <c r="M11" s="495" t="s">
        <v>81</v>
      </c>
      <c r="N11" s="495" t="s">
        <v>81</v>
      </c>
      <c r="O11" s="495" t="s">
        <v>81</v>
      </c>
      <c r="P11" s="495" t="s">
        <v>81</v>
      </c>
      <c r="Q11" s="495" t="s">
        <v>81</v>
      </c>
    </row>
    <row r="12" spans="1:17" ht="13" customHeight="1">
      <c r="A12" s="151"/>
      <c r="B12" s="29" t="s">
        <v>25</v>
      </c>
      <c r="C12" s="495" t="s">
        <v>81</v>
      </c>
      <c r="D12" s="495" t="s">
        <v>81</v>
      </c>
      <c r="E12" s="495" t="s">
        <v>81</v>
      </c>
      <c r="F12" s="495" t="s">
        <v>81</v>
      </c>
      <c r="G12" s="495" t="s">
        <v>81</v>
      </c>
      <c r="H12" s="495" t="s">
        <v>81</v>
      </c>
      <c r="I12" s="495" t="s">
        <v>81</v>
      </c>
      <c r="J12" s="495" t="s">
        <v>81</v>
      </c>
      <c r="K12" s="495" t="s">
        <v>81</v>
      </c>
      <c r="L12" s="495" t="s">
        <v>81</v>
      </c>
      <c r="M12" s="495" t="s">
        <v>81</v>
      </c>
      <c r="N12" s="495" t="s">
        <v>81</v>
      </c>
      <c r="O12" s="495" t="s">
        <v>81</v>
      </c>
      <c r="P12" s="495" t="s">
        <v>81</v>
      </c>
      <c r="Q12" s="495" t="s">
        <v>81</v>
      </c>
    </row>
    <row r="13" spans="1:17" ht="13" customHeight="1">
      <c r="A13" s="151"/>
      <c r="B13" s="29" t="s">
        <v>29</v>
      </c>
      <c r="C13" s="495" t="s">
        <v>81</v>
      </c>
      <c r="D13" s="495" t="s">
        <v>81</v>
      </c>
      <c r="E13" s="495" t="s">
        <v>81</v>
      </c>
      <c r="F13" s="495" t="s">
        <v>81</v>
      </c>
      <c r="G13" s="495" t="s">
        <v>81</v>
      </c>
      <c r="H13" s="495" t="s">
        <v>81</v>
      </c>
      <c r="I13" s="495" t="s">
        <v>81</v>
      </c>
      <c r="J13" s="495" t="s">
        <v>81</v>
      </c>
      <c r="K13" s="495" t="s">
        <v>81</v>
      </c>
      <c r="L13" s="495" t="s">
        <v>81</v>
      </c>
      <c r="M13" s="495" t="s">
        <v>81</v>
      </c>
      <c r="N13" s="495" t="s">
        <v>81</v>
      </c>
      <c r="O13" s="495" t="s">
        <v>81</v>
      </c>
      <c r="P13" s="495" t="s">
        <v>81</v>
      </c>
      <c r="Q13" s="495" t="s">
        <v>81</v>
      </c>
    </row>
    <row r="14" spans="1:17" ht="13" customHeight="1">
      <c r="A14" s="151"/>
      <c r="B14" s="29" t="s">
        <v>30</v>
      </c>
      <c r="C14" s="495" t="s">
        <v>81</v>
      </c>
      <c r="D14" s="495" t="s">
        <v>81</v>
      </c>
      <c r="E14" s="495" t="s">
        <v>81</v>
      </c>
      <c r="F14" s="495" t="s">
        <v>81</v>
      </c>
      <c r="G14" s="495" t="s">
        <v>81</v>
      </c>
      <c r="H14" s="495" t="s">
        <v>81</v>
      </c>
      <c r="I14" s="495" t="s">
        <v>81</v>
      </c>
      <c r="J14" s="495" t="s">
        <v>81</v>
      </c>
      <c r="K14" s="495" t="s">
        <v>81</v>
      </c>
      <c r="L14" s="495" t="s">
        <v>81</v>
      </c>
      <c r="M14" s="495" t="s">
        <v>81</v>
      </c>
      <c r="N14" s="495" t="s">
        <v>81</v>
      </c>
      <c r="O14" s="495" t="s">
        <v>81</v>
      </c>
      <c r="P14" s="495" t="s">
        <v>81</v>
      </c>
      <c r="Q14" s="495" t="s">
        <v>81</v>
      </c>
    </row>
    <row r="15" spans="1:17" ht="13" customHeight="1">
      <c r="A15" s="151"/>
      <c r="B15" s="29" t="s">
        <v>31</v>
      </c>
      <c r="C15" s="495">
        <v>0</v>
      </c>
      <c r="D15" s="495">
        <v>3.53</v>
      </c>
      <c r="E15" s="495">
        <v>3.51</v>
      </c>
      <c r="F15" s="495">
        <v>5.2</v>
      </c>
      <c r="G15" s="495">
        <v>5.0999999999999996</v>
      </c>
      <c r="H15" s="495">
        <v>6.21</v>
      </c>
      <c r="I15" s="495">
        <v>6.06</v>
      </c>
      <c r="J15" s="495">
        <v>6.17</v>
      </c>
      <c r="K15" s="495">
        <v>6.47</v>
      </c>
      <c r="L15" s="495">
        <v>7.7</v>
      </c>
      <c r="M15" s="495">
        <v>7.02</v>
      </c>
      <c r="N15" s="495">
        <v>7.71</v>
      </c>
      <c r="O15" s="495">
        <v>6.01</v>
      </c>
      <c r="P15" s="495">
        <v>5.76</v>
      </c>
      <c r="Q15" s="495">
        <v>6.24</v>
      </c>
    </row>
    <row r="16" spans="1:17" ht="13" customHeight="1">
      <c r="A16" s="151"/>
      <c r="B16" s="29" t="s">
        <v>32</v>
      </c>
      <c r="C16" s="495" t="s">
        <v>81</v>
      </c>
      <c r="D16" s="495" t="s">
        <v>81</v>
      </c>
      <c r="E16" s="495" t="s">
        <v>81</v>
      </c>
      <c r="F16" s="495" t="s">
        <v>81</v>
      </c>
      <c r="G16" s="495" t="s">
        <v>81</v>
      </c>
      <c r="H16" s="495" t="s">
        <v>81</v>
      </c>
      <c r="I16" s="495" t="s">
        <v>81</v>
      </c>
      <c r="J16" s="495" t="s">
        <v>81</v>
      </c>
      <c r="K16" s="495" t="s">
        <v>81</v>
      </c>
      <c r="L16" s="495" t="s">
        <v>81</v>
      </c>
      <c r="M16" s="495" t="s">
        <v>81</v>
      </c>
      <c r="N16" s="495" t="s">
        <v>81</v>
      </c>
      <c r="O16" s="495" t="s">
        <v>81</v>
      </c>
      <c r="P16" s="495" t="s">
        <v>81</v>
      </c>
      <c r="Q16" s="495" t="s">
        <v>81</v>
      </c>
    </row>
    <row r="17" spans="1:17" ht="13" customHeight="1">
      <c r="A17" s="151"/>
      <c r="B17" s="29" t="s">
        <v>33</v>
      </c>
      <c r="C17" s="495" t="s">
        <v>81</v>
      </c>
      <c r="D17" s="495" t="s">
        <v>81</v>
      </c>
      <c r="E17" s="495" t="s">
        <v>81</v>
      </c>
      <c r="F17" s="495" t="s">
        <v>81</v>
      </c>
      <c r="G17" s="495" t="s">
        <v>81</v>
      </c>
      <c r="H17" s="495" t="s">
        <v>81</v>
      </c>
      <c r="I17" s="495" t="s">
        <v>81</v>
      </c>
      <c r="J17" s="495" t="s">
        <v>81</v>
      </c>
      <c r="K17" s="495" t="s">
        <v>81</v>
      </c>
      <c r="L17" s="495" t="s">
        <v>81</v>
      </c>
      <c r="M17" s="495" t="s">
        <v>81</v>
      </c>
      <c r="N17" s="495" t="s">
        <v>81</v>
      </c>
      <c r="O17" s="495" t="s">
        <v>81</v>
      </c>
      <c r="P17" s="495" t="s">
        <v>81</v>
      </c>
      <c r="Q17" s="495" t="s">
        <v>81</v>
      </c>
    </row>
    <row r="18" spans="1:17" ht="13" customHeight="1">
      <c r="A18" s="151"/>
      <c r="B18" s="29" t="s">
        <v>34</v>
      </c>
      <c r="C18" s="495">
        <v>3.31</v>
      </c>
      <c r="D18" s="495">
        <v>3.94</v>
      </c>
      <c r="E18" s="495">
        <v>6.18</v>
      </c>
      <c r="F18" s="495">
        <v>6.78</v>
      </c>
      <c r="G18" s="495">
        <v>4.4800000000000004</v>
      </c>
      <c r="H18" s="495">
        <v>5.47</v>
      </c>
      <c r="I18" s="495">
        <v>5.68</v>
      </c>
      <c r="J18" s="495">
        <v>5.68</v>
      </c>
      <c r="K18" s="495">
        <v>6.92</v>
      </c>
      <c r="L18" s="495">
        <v>7.78</v>
      </c>
      <c r="M18" s="495">
        <v>7.86</v>
      </c>
      <c r="N18" s="495">
        <v>7.7</v>
      </c>
      <c r="O18" s="505">
        <v>7.42</v>
      </c>
      <c r="P18" s="505">
        <v>5.71</v>
      </c>
      <c r="Q18" s="505">
        <v>5.76</v>
      </c>
    </row>
    <row r="19" spans="1:17" ht="13" customHeight="1">
      <c r="A19" s="151"/>
      <c r="B19" s="29" t="s">
        <v>35</v>
      </c>
      <c r="C19" s="495">
        <v>2.56</v>
      </c>
      <c r="D19" s="495">
        <v>2.56</v>
      </c>
      <c r="E19" s="495">
        <v>5.25</v>
      </c>
      <c r="F19" s="495">
        <v>6.14</v>
      </c>
      <c r="G19" s="495">
        <v>4.99</v>
      </c>
      <c r="H19" s="495">
        <v>5.66</v>
      </c>
      <c r="I19" s="495">
        <v>5.59</v>
      </c>
      <c r="J19" s="495">
        <v>6</v>
      </c>
      <c r="K19" s="495">
        <v>5.73</v>
      </c>
      <c r="L19" s="495">
        <v>7.59</v>
      </c>
      <c r="M19" s="495">
        <v>8.8800000000000008</v>
      </c>
      <c r="N19" s="495">
        <v>9.09</v>
      </c>
      <c r="O19" s="505">
        <v>7.92</v>
      </c>
      <c r="P19" s="505">
        <v>7.17</v>
      </c>
      <c r="Q19" s="505">
        <v>6.27</v>
      </c>
    </row>
    <row r="20" spans="1:17" ht="13" customHeight="1">
      <c r="A20" s="151"/>
      <c r="B20" s="29" t="s">
        <v>36</v>
      </c>
      <c r="C20" s="495">
        <v>4.43</v>
      </c>
      <c r="D20" s="495">
        <v>4.74</v>
      </c>
      <c r="E20" s="495">
        <v>5.16</v>
      </c>
      <c r="F20" s="495">
        <v>7</v>
      </c>
      <c r="G20" s="495">
        <v>4.57</v>
      </c>
      <c r="H20" s="495">
        <v>5.0199999999999996</v>
      </c>
      <c r="I20" s="495">
        <v>6.73</v>
      </c>
      <c r="J20" s="495">
        <v>6</v>
      </c>
      <c r="K20" s="495">
        <v>6.79</v>
      </c>
      <c r="L20" s="495">
        <v>6.31</v>
      </c>
      <c r="M20" s="495">
        <v>6.52</v>
      </c>
      <c r="N20" s="495">
        <v>6.78</v>
      </c>
      <c r="O20" s="505">
        <v>5.48</v>
      </c>
      <c r="P20" s="505">
        <v>5.42</v>
      </c>
      <c r="Q20" s="505">
        <v>5.74</v>
      </c>
    </row>
    <row r="21" spans="1:17" ht="13" customHeight="1">
      <c r="A21" s="151"/>
      <c r="B21" s="29" t="s">
        <v>37</v>
      </c>
      <c r="C21" s="495">
        <v>5.56</v>
      </c>
      <c r="D21" s="495">
        <v>4.9000000000000004</v>
      </c>
      <c r="E21" s="495">
        <v>5.67</v>
      </c>
      <c r="F21" s="495">
        <v>6.02</v>
      </c>
      <c r="G21" s="495">
        <v>4.3899999999999997</v>
      </c>
      <c r="H21" s="495">
        <v>4.51</v>
      </c>
      <c r="I21" s="495">
        <v>4.87</v>
      </c>
      <c r="J21" s="495">
        <v>5.4</v>
      </c>
      <c r="K21" s="495">
        <v>6.24</v>
      </c>
      <c r="L21" s="495">
        <v>6.28</v>
      </c>
      <c r="M21" s="495">
        <v>7.36</v>
      </c>
      <c r="N21" s="495">
        <v>7.55</v>
      </c>
      <c r="O21" s="505">
        <v>5.81</v>
      </c>
      <c r="P21" s="505">
        <v>5.81</v>
      </c>
      <c r="Q21" s="505">
        <v>7.15</v>
      </c>
    </row>
    <row r="22" spans="1:17" ht="13" customHeight="1">
      <c r="A22" s="151"/>
      <c r="B22" s="29" t="s">
        <v>38</v>
      </c>
      <c r="C22" s="495">
        <v>6.33</v>
      </c>
      <c r="D22" s="495">
        <v>5.66</v>
      </c>
      <c r="E22" s="495">
        <v>6.62</v>
      </c>
      <c r="F22" s="495">
        <v>7.51</v>
      </c>
      <c r="G22" s="495">
        <v>4.2</v>
      </c>
      <c r="H22" s="495">
        <v>6.21</v>
      </c>
      <c r="I22" s="495">
        <v>6.4</v>
      </c>
      <c r="J22" s="495">
        <v>4.92</v>
      </c>
      <c r="K22" s="495">
        <v>6.84</v>
      </c>
      <c r="L22" s="495">
        <v>7.51</v>
      </c>
      <c r="M22" s="495">
        <v>6.83</v>
      </c>
      <c r="N22" s="495">
        <v>7.28</v>
      </c>
      <c r="O22" s="505">
        <v>6.84</v>
      </c>
      <c r="P22" s="505">
        <v>6.09</v>
      </c>
      <c r="Q22" s="505">
        <v>6.94</v>
      </c>
    </row>
    <row r="23" spans="1:17" ht="13" customHeight="1">
      <c r="A23" s="151"/>
      <c r="B23" s="29" t="s">
        <v>39</v>
      </c>
      <c r="C23" s="495" t="s">
        <v>81</v>
      </c>
      <c r="D23" s="495" t="s">
        <v>81</v>
      </c>
      <c r="E23" s="495" t="s">
        <v>81</v>
      </c>
      <c r="F23" s="495" t="s">
        <v>81</v>
      </c>
      <c r="G23" s="495">
        <v>4.42</v>
      </c>
      <c r="H23" s="495" t="s">
        <v>81</v>
      </c>
      <c r="I23" s="495" t="s">
        <v>81</v>
      </c>
      <c r="J23" s="495">
        <v>5.52</v>
      </c>
      <c r="K23" s="495">
        <v>6.95</v>
      </c>
      <c r="L23" s="495">
        <v>7.84</v>
      </c>
      <c r="M23" s="495">
        <v>7.28</v>
      </c>
      <c r="N23" s="495">
        <v>7.77</v>
      </c>
      <c r="O23" s="505">
        <v>7.73</v>
      </c>
      <c r="P23" s="505">
        <v>0</v>
      </c>
      <c r="Q23" s="505">
        <v>0</v>
      </c>
    </row>
    <row r="24" spans="1:17" ht="13" customHeight="1">
      <c r="A24" s="151"/>
      <c r="B24" s="29" t="s">
        <v>40</v>
      </c>
      <c r="C24" s="495">
        <v>4.17</v>
      </c>
      <c r="D24" s="495">
        <v>4.0199999999999996</v>
      </c>
      <c r="E24" s="495">
        <v>5.3</v>
      </c>
      <c r="F24" s="495">
        <v>7.39</v>
      </c>
      <c r="G24" s="495">
        <v>6.88</v>
      </c>
      <c r="H24" s="495">
        <v>7.12</v>
      </c>
      <c r="I24" s="495">
        <v>5.77</v>
      </c>
      <c r="J24" s="495">
        <v>5.97</v>
      </c>
      <c r="K24" s="495">
        <v>6.71</v>
      </c>
      <c r="L24" s="495">
        <v>6.55</v>
      </c>
      <c r="M24" s="495">
        <v>4.84</v>
      </c>
      <c r="N24" s="495">
        <v>5.0599999999999996</v>
      </c>
      <c r="O24" s="505">
        <v>5.54</v>
      </c>
      <c r="P24" s="505">
        <v>5.59</v>
      </c>
      <c r="Q24" s="505">
        <v>5.84</v>
      </c>
    </row>
    <row r="25" spans="1:17" ht="13" customHeight="1">
      <c r="A25" s="151"/>
      <c r="B25" s="150" t="s">
        <v>41</v>
      </c>
      <c r="C25" s="495">
        <v>3.44</v>
      </c>
      <c r="D25" s="495">
        <v>5.04</v>
      </c>
      <c r="E25" s="495">
        <v>5.38</v>
      </c>
      <c r="F25" s="495">
        <v>7.08</v>
      </c>
      <c r="G25" s="495">
        <v>6.14</v>
      </c>
      <c r="H25" s="495">
        <v>6.24</v>
      </c>
      <c r="I25" s="495">
        <v>6.23</v>
      </c>
      <c r="J25" s="495">
        <v>5.95</v>
      </c>
      <c r="K25" s="495">
        <v>6.47</v>
      </c>
      <c r="L25" s="495">
        <v>5.43</v>
      </c>
      <c r="M25" s="495">
        <v>5.39</v>
      </c>
      <c r="N25" s="495">
        <v>5.55</v>
      </c>
      <c r="O25" s="505">
        <v>5.7</v>
      </c>
      <c r="P25" s="505">
        <v>5.94</v>
      </c>
      <c r="Q25" s="505">
        <v>5.94</v>
      </c>
    </row>
    <row r="26" spans="1:17" ht="13" customHeight="1">
      <c r="A26" s="151"/>
      <c r="B26" s="30" t="s">
        <v>44</v>
      </c>
      <c r="C26" s="495">
        <v>4.53</v>
      </c>
      <c r="D26" s="495">
        <v>7.45</v>
      </c>
      <c r="E26" s="495">
        <v>7.11</v>
      </c>
      <c r="F26" s="495">
        <v>7.45</v>
      </c>
      <c r="G26" s="495">
        <v>6.29</v>
      </c>
      <c r="H26" s="495">
        <v>6.37</v>
      </c>
      <c r="I26" s="495">
        <v>6.3</v>
      </c>
      <c r="J26" s="495">
        <v>5.18</v>
      </c>
      <c r="K26" s="495">
        <v>5.35</v>
      </c>
      <c r="L26" s="495">
        <v>5.59</v>
      </c>
      <c r="M26" s="495">
        <v>4.54</v>
      </c>
      <c r="N26" s="495">
        <v>5.76</v>
      </c>
      <c r="O26" s="505">
        <v>5.77</v>
      </c>
      <c r="P26" s="505">
        <v>6.1</v>
      </c>
      <c r="Q26" s="505">
        <v>6.53</v>
      </c>
    </row>
    <row r="27" spans="1:17" ht="13" customHeight="1">
      <c r="A27" s="151"/>
      <c r="B27" s="294" t="s">
        <v>45</v>
      </c>
      <c r="C27" s="495">
        <v>5.57</v>
      </c>
      <c r="D27" s="495">
        <v>5.7</v>
      </c>
      <c r="E27" s="495">
        <v>6.41</v>
      </c>
      <c r="F27" s="495">
        <v>6.08</v>
      </c>
      <c r="G27" s="495">
        <v>4.7</v>
      </c>
      <c r="H27" s="495">
        <v>5.69</v>
      </c>
      <c r="I27" s="495">
        <v>6.6</v>
      </c>
      <c r="J27" s="495">
        <v>6.89</v>
      </c>
      <c r="K27" s="495">
        <v>5.96</v>
      </c>
      <c r="L27" s="495">
        <v>6.11</v>
      </c>
      <c r="M27" s="495">
        <v>6.7</v>
      </c>
      <c r="N27" s="495">
        <v>6.83</v>
      </c>
      <c r="O27" s="505">
        <v>7.1</v>
      </c>
      <c r="P27" s="505">
        <v>7.83</v>
      </c>
      <c r="Q27" s="505">
        <v>7.18</v>
      </c>
    </row>
    <row r="28" spans="1:17" ht="13" customHeight="1">
      <c r="A28" s="59"/>
      <c r="B28" s="30" t="s">
        <v>46</v>
      </c>
      <c r="C28" s="495" t="s">
        <v>81</v>
      </c>
      <c r="D28" s="495" t="s">
        <v>81</v>
      </c>
      <c r="E28" s="495" t="s">
        <v>81</v>
      </c>
      <c r="F28" s="495" t="s">
        <v>81</v>
      </c>
      <c r="G28" s="495" t="s">
        <v>81</v>
      </c>
      <c r="H28" s="495" t="s">
        <v>81</v>
      </c>
      <c r="I28" s="495" t="s">
        <v>81</v>
      </c>
      <c r="J28" s="495" t="s">
        <v>81</v>
      </c>
      <c r="K28" s="495" t="s">
        <v>81</v>
      </c>
      <c r="L28" s="495" t="s">
        <v>81</v>
      </c>
      <c r="M28" s="495" t="s">
        <v>81</v>
      </c>
      <c r="N28" s="495" t="s">
        <v>81</v>
      </c>
      <c r="O28" s="495" t="s">
        <v>81</v>
      </c>
      <c r="P28" s="495" t="s">
        <v>81</v>
      </c>
      <c r="Q28" s="495" t="s">
        <v>81</v>
      </c>
    </row>
    <row r="29" spans="1:17" ht="13" customHeight="1">
      <c r="A29" s="60"/>
      <c r="B29" s="61" t="s">
        <v>47</v>
      </c>
      <c r="C29" s="495" t="s">
        <v>81</v>
      </c>
      <c r="D29" s="495" t="s">
        <v>81</v>
      </c>
      <c r="E29" s="495" t="s">
        <v>81</v>
      </c>
      <c r="F29" s="495" t="s">
        <v>81</v>
      </c>
      <c r="G29" s="495" t="s">
        <v>81</v>
      </c>
      <c r="H29" s="495" t="s">
        <v>81</v>
      </c>
      <c r="I29" s="495" t="s">
        <v>81</v>
      </c>
      <c r="J29" s="495" t="s">
        <v>81</v>
      </c>
      <c r="K29" s="495" t="s">
        <v>81</v>
      </c>
      <c r="L29" s="495" t="s">
        <v>81</v>
      </c>
      <c r="M29" s="495" t="s">
        <v>81</v>
      </c>
      <c r="N29" s="495" t="s">
        <v>81</v>
      </c>
      <c r="O29" s="495" t="s">
        <v>81</v>
      </c>
      <c r="P29" s="495" t="s">
        <v>81</v>
      </c>
      <c r="Q29" s="495" t="s">
        <v>81</v>
      </c>
    </row>
    <row r="30" spans="1:17" ht="13" customHeight="1">
      <c r="A30" s="70"/>
      <c r="B30" s="70" t="s">
        <v>48</v>
      </c>
      <c r="C30" s="495" t="s">
        <v>81</v>
      </c>
      <c r="D30" s="495" t="s">
        <v>81</v>
      </c>
      <c r="E30" s="495" t="s">
        <v>81</v>
      </c>
      <c r="F30" s="495" t="s">
        <v>81</v>
      </c>
      <c r="G30" s="495" t="s">
        <v>81</v>
      </c>
      <c r="H30" s="495" t="s">
        <v>81</v>
      </c>
      <c r="I30" s="495" t="s">
        <v>81</v>
      </c>
      <c r="J30" s="495" t="s">
        <v>81</v>
      </c>
      <c r="K30" s="495" t="s">
        <v>81</v>
      </c>
      <c r="L30" s="495" t="s">
        <v>81</v>
      </c>
      <c r="M30" s="495" t="s">
        <v>81</v>
      </c>
      <c r="N30" s="495" t="s">
        <v>81</v>
      </c>
      <c r="O30" s="495" t="s">
        <v>81</v>
      </c>
      <c r="P30" s="495" t="s">
        <v>81</v>
      </c>
      <c r="Q30" s="495" t="s">
        <v>81</v>
      </c>
    </row>
    <row r="31" spans="1:17" ht="13" customHeight="1" thickBot="1">
      <c r="A31" s="471"/>
      <c r="B31" s="472" t="s">
        <v>49</v>
      </c>
      <c r="C31" s="496" t="s">
        <v>81</v>
      </c>
      <c r="D31" s="496" t="s">
        <v>81</v>
      </c>
      <c r="E31" s="496" t="s">
        <v>81</v>
      </c>
      <c r="F31" s="496" t="s">
        <v>81</v>
      </c>
      <c r="G31" s="496" t="s">
        <v>81</v>
      </c>
      <c r="H31" s="496" t="s">
        <v>81</v>
      </c>
      <c r="I31" s="496" t="s">
        <v>81</v>
      </c>
      <c r="J31" s="496" t="s">
        <v>81</v>
      </c>
      <c r="K31" s="496" t="s">
        <v>81</v>
      </c>
      <c r="L31" s="496" t="s">
        <v>81</v>
      </c>
      <c r="M31" s="496" t="s">
        <v>81</v>
      </c>
      <c r="N31" s="496" t="s">
        <v>81</v>
      </c>
      <c r="O31" s="496" t="s">
        <v>81</v>
      </c>
      <c r="P31" s="496" t="s">
        <v>81</v>
      </c>
      <c r="Q31" s="496" t="s">
        <v>81</v>
      </c>
    </row>
    <row r="32" spans="1:17" ht="10" customHeight="1">
      <c r="A32" s="28" t="s">
        <v>238</v>
      </c>
      <c r="B32" s="40"/>
      <c r="C32" s="40"/>
      <c r="D32" s="40"/>
      <c r="E32" s="40"/>
      <c r="F32" s="464"/>
      <c r="G32" s="464"/>
      <c r="H32" s="464"/>
      <c r="I32" s="464"/>
      <c r="J32" s="464"/>
      <c r="K32" s="464"/>
      <c r="L32" s="464"/>
      <c r="M32" s="464"/>
      <c r="N32" s="464"/>
      <c r="O32" s="464"/>
      <c r="P32" s="464"/>
      <c r="Q32" s="464"/>
    </row>
    <row r="33" spans="1:17" ht="10" customHeight="1">
      <c r="A33" s="28" t="s">
        <v>192</v>
      </c>
      <c r="B33" s="40"/>
      <c r="C33" s="40"/>
      <c r="D33" s="40"/>
      <c r="E33" s="40"/>
      <c r="F33" s="464"/>
      <c r="G33" s="464"/>
      <c r="H33" s="464"/>
      <c r="I33" s="464"/>
      <c r="J33" s="464"/>
      <c r="K33" s="464"/>
      <c r="L33" s="464"/>
      <c r="M33" s="464"/>
      <c r="N33" s="464"/>
      <c r="O33" s="464"/>
      <c r="P33" s="464"/>
      <c r="Q33" s="464"/>
    </row>
    <row r="34" spans="1:17" ht="10" customHeight="1">
      <c r="A34" s="40" t="s">
        <v>261</v>
      </c>
      <c r="B34" s="320"/>
      <c r="C34" s="320"/>
      <c r="D34" s="320"/>
      <c r="E34" s="320"/>
      <c r="F34" s="464"/>
      <c r="G34" s="464"/>
      <c r="H34" s="464"/>
      <c r="I34" s="464"/>
      <c r="J34" s="464"/>
      <c r="K34" s="464"/>
      <c r="L34" s="464"/>
      <c r="M34" s="464"/>
      <c r="N34" s="464"/>
      <c r="O34" s="464"/>
      <c r="P34" s="464"/>
      <c r="Q34" s="46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Hoja51">
    <tabColor theme="9" tint="0.59999389629810485"/>
  </sheetPr>
  <dimension ref="A3:O54"/>
  <sheetViews>
    <sheetView showGridLines="0" zoomScale="150" zoomScaleNormal="150" workbookViewId="0">
      <selection activeCell="B1" sqref="B1:B1048576"/>
    </sheetView>
  </sheetViews>
  <sheetFormatPr baseColWidth="10" defaultColWidth="7" defaultRowHeight="13" customHeight="1"/>
  <cols>
    <col min="1" max="1" width="11.19921875" style="213" customWidth="1"/>
    <col min="2" max="2" width="9.59765625" style="213" customWidth="1"/>
    <col min="3" max="14" width="8.59765625" style="213" customWidth="1"/>
    <col min="15" max="16384" width="7" style="213"/>
  </cols>
  <sheetData>
    <row r="3" spans="1:15" ht="13" customHeight="1"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</row>
    <row r="4" spans="1:15" ht="13" customHeight="1">
      <c r="A4" s="510" t="s">
        <v>386</v>
      </c>
      <c r="B4" s="506"/>
    </row>
    <row r="5" spans="1:15" ht="13" customHeight="1">
      <c r="A5" s="513" t="s">
        <v>325</v>
      </c>
      <c r="B5" s="506"/>
    </row>
    <row r="6" spans="1:15" ht="5" customHeight="1" thickBot="1"/>
    <row r="7" spans="1:15" ht="15" customHeight="1">
      <c r="A7" s="517" t="s">
        <v>18</v>
      </c>
      <c r="B7" s="518" t="s">
        <v>118</v>
      </c>
      <c r="C7" s="517" t="s">
        <v>57</v>
      </c>
      <c r="D7" s="517" t="s">
        <v>58</v>
      </c>
      <c r="E7" s="517" t="s">
        <v>59</v>
      </c>
      <c r="F7" s="517" t="s">
        <v>60</v>
      </c>
      <c r="G7" s="517" t="s">
        <v>61</v>
      </c>
      <c r="H7" s="517" t="s">
        <v>62</v>
      </c>
      <c r="I7" s="517" t="s">
        <v>63</v>
      </c>
      <c r="J7" s="517" t="s">
        <v>64</v>
      </c>
      <c r="K7" s="517" t="s">
        <v>65</v>
      </c>
      <c r="L7" s="517" t="s">
        <v>66</v>
      </c>
      <c r="M7" s="517" t="s">
        <v>67</v>
      </c>
      <c r="N7" s="517" t="s">
        <v>68</v>
      </c>
    </row>
    <row r="8" spans="1:15" ht="15" customHeight="1">
      <c r="A8" s="528" t="s">
        <v>100</v>
      </c>
      <c r="B8" s="529">
        <f t="shared" ref="B8:N8" si="0">(B9+B10+B11+B12+B13+B17+B18+B19+B20+B21+B22+B23+B24+B25+B26+B27+B28+B29+B32+B33+B34+B35+B36+B37)</f>
        <v>786549677.85555196</v>
      </c>
      <c r="C8" s="529">
        <f t="shared" si="0"/>
        <v>64482639.848019227</v>
      </c>
      <c r="D8" s="529">
        <f t="shared" si="0"/>
        <v>59808205.133061007</v>
      </c>
      <c r="E8" s="529">
        <f t="shared" si="0"/>
        <v>65184340.118838683</v>
      </c>
      <c r="F8" s="529">
        <f t="shared" si="0"/>
        <v>66960115.725722641</v>
      </c>
      <c r="G8" s="529">
        <f t="shared" si="0"/>
        <v>67285533.535500363</v>
      </c>
      <c r="H8" s="529">
        <f t="shared" si="0"/>
        <v>63960438.377672032</v>
      </c>
      <c r="I8" s="529">
        <f t="shared" si="0"/>
        <v>66480292.454801627</v>
      </c>
      <c r="J8" s="529">
        <f t="shared" si="0"/>
        <v>66888702.323489584</v>
      </c>
      <c r="K8" s="529">
        <f t="shared" si="0"/>
        <v>64219960.182635762</v>
      </c>
      <c r="L8" s="529">
        <f t="shared" si="0"/>
        <v>67851094.493698627</v>
      </c>
      <c r="M8" s="529">
        <f t="shared" si="0"/>
        <v>65360517.579024196</v>
      </c>
      <c r="N8" s="529">
        <f t="shared" si="0"/>
        <v>68067838.0830881</v>
      </c>
    </row>
    <row r="9" spans="1:15" ht="12" customHeight="1">
      <c r="A9" s="269" t="s">
        <v>21</v>
      </c>
      <c r="B9" s="542">
        <f>SUM(C9:N9)</f>
        <v>132082.98993037589</v>
      </c>
      <c r="C9" s="242">
        <f>+'[2]AVE 04-99'!E1376</f>
        <v>5961.052022644064</v>
      </c>
      <c r="D9" s="242">
        <f>+'[2]AVE 04-99'!F1376</f>
        <v>5480</v>
      </c>
      <c r="E9" s="242">
        <f>+'[2]AVE 04-99'!G1376</f>
        <v>8748.4597077144408</v>
      </c>
      <c r="F9" s="242">
        <f>+'[2]AVE 04-99'!H1376</f>
        <v>8685.3618209649358</v>
      </c>
      <c r="G9" s="242">
        <f>+'[2]AVE 04-99'!I1376</f>
        <v>5944.6593203520706</v>
      </c>
      <c r="H9" s="242">
        <f>+'[2]AVE 04-99'!J1376</f>
        <v>6581.2346677772412</v>
      </c>
      <c r="I9" s="242">
        <f>+'[2]AVE 04-99'!K1376</f>
        <v>5417.5887457252802</v>
      </c>
      <c r="J9" s="242">
        <f>+'[2]AVE 04-99'!L1376</f>
        <v>12514.171428571401</v>
      </c>
      <c r="K9" s="242">
        <f>+'[2]AVE 04-99'!M1376</f>
        <v>18665.020153214198</v>
      </c>
      <c r="L9" s="242">
        <f>+'[2]AVE 04-99'!N1376</f>
        <v>5745.6118132532647</v>
      </c>
      <c r="M9" s="242">
        <f>+'[2]AVE 04-99'!O1376</f>
        <v>35484.397426269003</v>
      </c>
      <c r="N9" s="242">
        <f>+'[2]AVE 04-99'!P1376</f>
        <v>12855.43282389</v>
      </c>
      <c r="O9" s="217"/>
    </row>
    <row r="10" spans="1:15" ht="12" customHeight="1">
      <c r="A10" s="269" t="s">
        <v>22</v>
      </c>
      <c r="B10" s="542">
        <f t="shared" ref="B10:B37" si="1">SUM(C10:N10)</f>
        <v>14783876.087864136</v>
      </c>
      <c r="C10" s="242">
        <f>+'[2]AVE 04-99'!E1379</f>
        <v>1223493.6562747767</v>
      </c>
      <c r="D10" s="242">
        <f>+'[2]AVE 04-99'!F1379</f>
        <v>1250135.07142857</v>
      </c>
      <c r="E10" s="242">
        <f>+'[2]AVE 04-99'!G1379</f>
        <v>1212664.9937193722</v>
      </c>
      <c r="F10" s="242">
        <f>+'[2]AVE 04-99'!H1379</f>
        <v>1211409.1113560484</v>
      </c>
      <c r="G10" s="242">
        <f>+'[2]AVE 04-99'!I1379</f>
        <v>1194891.671184832</v>
      </c>
      <c r="H10" s="242">
        <f>+'[2]AVE 04-99'!J1379</f>
        <v>1192685.7919888368</v>
      </c>
      <c r="I10" s="242">
        <f>+'[2]AVE 04-99'!K1379</f>
        <v>1157439.1759166259</v>
      </c>
      <c r="J10" s="242">
        <f>+'[2]AVE 04-99'!L1379</f>
        <v>1230585.0905883226</v>
      </c>
      <c r="K10" s="242">
        <f>+'[2]AVE 04-99'!M1379</f>
        <v>1228405.6137991627</v>
      </c>
      <c r="L10" s="242">
        <f>+'[2]AVE 04-99'!N1379</f>
        <v>1267765.7103004053</v>
      </c>
      <c r="M10" s="242">
        <f>+'[2]AVE 04-99'!O1379</f>
        <v>1309406.2529293366</v>
      </c>
      <c r="N10" s="242">
        <f>+'[2]AVE 04-99'!P1379</f>
        <v>1304993.9483778493</v>
      </c>
      <c r="O10" s="217"/>
    </row>
    <row r="11" spans="1:15" ht="12" customHeight="1">
      <c r="A11" s="269" t="s">
        <v>23</v>
      </c>
      <c r="B11" s="542">
        <f t="shared" si="1"/>
        <v>12079398.407566711</v>
      </c>
      <c r="C11" s="242">
        <f>+'[2]AVE 04-99'!E1382</f>
        <v>1364963.8626141206</v>
      </c>
      <c r="D11" s="242">
        <f>+'[2]AVE 04-99'!F1382</f>
        <v>737420.14286000002</v>
      </c>
      <c r="E11" s="242">
        <f>+'[2]AVE 04-99'!G1382</f>
        <v>931514.87027484563</v>
      </c>
      <c r="F11" s="242">
        <f>+'[2]AVE 04-99'!H1382</f>
        <v>1394275.6830017178</v>
      </c>
      <c r="G11" s="242">
        <f>+'[2]AVE 04-99'!I1382</f>
        <v>695317.12352387886</v>
      </c>
      <c r="H11" s="242">
        <f>+'[2]AVE 04-99'!J1382</f>
        <v>1046396.6971615257</v>
      </c>
      <c r="I11" s="242">
        <f>+'[2]AVE 04-99'!K1382</f>
        <v>859896.56920409086</v>
      </c>
      <c r="J11" s="242">
        <f>+'[2]AVE 04-99'!L1382</f>
        <v>1026169.5012537867</v>
      </c>
      <c r="K11" s="242">
        <f>+'[2]AVE 04-99'!M1382</f>
        <v>1104074.8163734402</v>
      </c>
      <c r="L11" s="242">
        <f>+'[2]AVE 04-99'!N1382</f>
        <v>1007104.5189098649</v>
      </c>
      <c r="M11" s="242">
        <f>+'[2]AVE 04-99'!O1382</f>
        <v>1208352.7531296196</v>
      </c>
      <c r="N11" s="242">
        <f>+'[2]AVE 04-99'!P1382</f>
        <v>703911.86925982207</v>
      </c>
      <c r="O11" s="217"/>
    </row>
    <row r="12" spans="1:15" ht="12" customHeight="1">
      <c r="A12" s="217" t="s">
        <v>24</v>
      </c>
      <c r="B12" s="542">
        <f t="shared" si="1"/>
        <v>140698998.18492085</v>
      </c>
      <c r="C12" s="242">
        <f>+'[2]AVE 04-99'!E1385</f>
        <v>11916294.898231868</v>
      </c>
      <c r="D12" s="242">
        <f>+'[2]AVE 04-99'!F1385</f>
        <v>10679770.103977</v>
      </c>
      <c r="E12" s="242">
        <f>+'[2]AVE 04-99'!G1385</f>
        <v>11968450.017736955</v>
      </c>
      <c r="F12" s="242">
        <f>+'[2]AVE 04-99'!H1385</f>
        <v>12162302.620967589</v>
      </c>
      <c r="G12" s="242">
        <f>+'[2]AVE 04-99'!I1385</f>
        <v>12098468.567193512</v>
      </c>
      <c r="H12" s="242">
        <f>+'[2]AVE 04-99'!J1385</f>
        <v>11078982.991151651</v>
      </c>
      <c r="I12" s="242">
        <f>+'[2]AVE 04-99'!K1385</f>
        <v>11434716.591416664</v>
      </c>
      <c r="J12" s="242">
        <f>+'[2]AVE 04-99'!L1385</f>
        <v>11966621.474413345</v>
      </c>
      <c r="K12" s="242">
        <f>+'[2]AVE 04-99'!M1385</f>
        <v>12122639.09630624</v>
      </c>
      <c r="L12" s="242">
        <f>+'[2]AVE 04-99'!N1385</f>
        <v>12362490.948785558</v>
      </c>
      <c r="M12" s="242">
        <f>+'[2]AVE 04-99'!O1385</f>
        <v>11324135.160556417</v>
      </c>
      <c r="N12" s="242">
        <f>+'[2]AVE 04-99'!P1385</f>
        <v>11584125.714184076</v>
      </c>
    </row>
    <row r="13" spans="1:15" ht="12" customHeight="1">
      <c r="A13" s="217" t="s">
        <v>25</v>
      </c>
      <c r="B13" s="542">
        <f t="shared" si="1"/>
        <v>1768812.1457045397</v>
      </c>
      <c r="C13" s="242">
        <f>+'[2]AVE 04-99'!E1388</f>
        <v>152027.26232592232</v>
      </c>
      <c r="D13" s="242">
        <f>+'[2]AVE 04-99'!F1388</f>
        <v>130763.8433682865</v>
      </c>
      <c r="E13" s="242">
        <f>+'[2]AVE 04-99'!G1388</f>
        <v>110034.28119506131</v>
      </c>
      <c r="F13" s="242">
        <f>+'[2]AVE 04-99'!H1388</f>
        <v>145179.91583391654</v>
      </c>
      <c r="G13" s="242">
        <f>+'[2]AVE 04-99'!I1388</f>
        <v>145344.88430490758</v>
      </c>
      <c r="H13" s="242">
        <f>+'[2]AVE 04-99'!J1388</f>
        <v>142196.37834971939</v>
      </c>
      <c r="I13" s="242">
        <f>+'[2]AVE 04-99'!K1388</f>
        <v>168526.71971360059</v>
      </c>
      <c r="J13" s="242">
        <f>+'[2]AVE 04-99'!L1388</f>
        <v>148360.48596257719</v>
      </c>
      <c r="K13" s="242">
        <f>+'[2]AVE 04-99'!M1388</f>
        <v>149153.92921023595</v>
      </c>
      <c r="L13" s="242">
        <f>+'[2]AVE 04-99'!N1388</f>
        <v>157744.68516256072</v>
      </c>
      <c r="M13" s="242">
        <f>+'[2]AVE 04-99'!O1388</f>
        <v>153859.67463028833</v>
      </c>
      <c r="N13" s="242">
        <f>+'[2]AVE 04-99'!P1388</f>
        <v>165620.08564746359</v>
      </c>
    </row>
    <row r="14" spans="1:15" ht="12" customHeight="1">
      <c r="A14" s="271" t="s">
        <v>101</v>
      </c>
      <c r="B14" s="542">
        <f t="shared" si="1"/>
        <v>1142163.6864347414</v>
      </c>
      <c r="C14" s="242">
        <f>+'[2]AVE 04-99'!E1391</f>
        <v>97811.594279257275</v>
      </c>
      <c r="D14" s="242">
        <f>+'[2]AVE 04-99'!F1391</f>
        <v>81526.8433682865</v>
      </c>
      <c r="E14" s="242">
        <f>+'[2]AVE 04-99'!G1391</f>
        <v>66892.207871569422</v>
      </c>
      <c r="F14" s="242">
        <f>+'[2]AVE 04-99'!H1391</f>
        <v>90428.726922939793</v>
      </c>
      <c r="G14" s="242">
        <f>+'[2]AVE 04-99'!I1391</f>
        <v>96305.980653413499</v>
      </c>
      <c r="H14" s="242">
        <f>+'[2]AVE 04-99'!J1391</f>
        <v>91481.349520917094</v>
      </c>
      <c r="I14" s="242">
        <f>+'[2]AVE 04-99'!K1391</f>
        <v>116427.02012819461</v>
      </c>
      <c r="J14" s="242">
        <f>+'[2]AVE 04-99'!L1391</f>
        <v>94869.937993703206</v>
      </c>
      <c r="K14" s="242">
        <f>+'[2]AVE 04-99'!M1391</f>
        <v>94932.563114490811</v>
      </c>
      <c r="L14" s="242">
        <f>+'[2]AVE 04-99'!N1391</f>
        <v>103290.31933940839</v>
      </c>
      <c r="M14" s="242">
        <f>+'[2]AVE 04-99'!O1391</f>
        <v>99636.808993608603</v>
      </c>
      <c r="N14" s="242">
        <f>+'[2]AVE 04-99'!P1391</f>
        <v>108560.33424895201</v>
      </c>
    </row>
    <row r="15" spans="1:15" ht="12" customHeight="1">
      <c r="A15" s="271" t="s">
        <v>102</v>
      </c>
      <c r="B15" s="542">
        <f t="shared" si="1"/>
        <v>306022.26897634612</v>
      </c>
      <c r="C15" s="242">
        <f>+'[2]AVE 04-99'!E1394</f>
        <v>26505.437711702911</v>
      </c>
      <c r="D15" s="242">
        <f>+'[2]AVE 04-99'!F1394</f>
        <v>24190</v>
      </c>
      <c r="E15" s="242">
        <f>+'[2]AVE 04-99'!G1394</f>
        <v>21091.680291484929</v>
      </c>
      <c r="F15" s="242">
        <f>+'[2]AVE 04-99'!H1394</f>
        <v>26767.247912033079</v>
      </c>
      <c r="G15" s="242">
        <f>+'[2]AVE 04-99'!I1394</f>
        <v>23974.575118508223</v>
      </c>
      <c r="H15" s="242">
        <f>+'[2]AVE 04-99'!J1394</f>
        <v>24794.014094081129</v>
      </c>
      <c r="I15" s="242">
        <f>+'[2]AVE 04-99'!K1394</f>
        <v>25937.630908420699</v>
      </c>
      <c r="J15" s="242">
        <f>+'[2]AVE 04-99'!L1394</f>
        <v>26128.712340338399</v>
      </c>
      <c r="K15" s="242">
        <f>+'[2]AVE 04-99'!M1394</f>
        <v>25997.112313475402</v>
      </c>
      <c r="L15" s="242">
        <f>+'[2]AVE 04-99'!N1394</f>
        <v>26475.467735763348</v>
      </c>
      <c r="M15" s="242">
        <f>+'[2]AVE 04-99'!O1394</f>
        <v>26264.51208904343</v>
      </c>
      <c r="N15" s="242">
        <f>+'[2]AVE 04-99'!P1394</f>
        <v>27895.878461494547</v>
      </c>
    </row>
    <row r="16" spans="1:15" ht="12" customHeight="1">
      <c r="A16" s="271" t="s">
        <v>103</v>
      </c>
      <c r="B16" s="542">
        <f t="shared" si="1"/>
        <v>320626.19029345276</v>
      </c>
      <c r="C16" s="242">
        <f>+'[2]AVE 04-99'!E1397</f>
        <v>27710.230334962136</v>
      </c>
      <c r="D16" s="242">
        <f>+'[2]AVE 04-99'!F1397</f>
        <v>25047</v>
      </c>
      <c r="E16" s="242">
        <f>+'[2]AVE 04-99'!G1397</f>
        <v>22050.39303200697</v>
      </c>
      <c r="F16" s="242">
        <f>+'[2]AVE 04-99'!H1397</f>
        <v>27983.940998943672</v>
      </c>
      <c r="G16" s="242">
        <f>+'[2]AVE 04-99'!I1397</f>
        <v>25064.32853298587</v>
      </c>
      <c r="H16" s="242">
        <f>+'[2]AVE 04-99'!J1397</f>
        <v>25921.014734721182</v>
      </c>
      <c r="I16" s="242">
        <f>+'[2]AVE 04-99'!K1397</f>
        <v>26162.068676985298</v>
      </c>
      <c r="J16" s="242">
        <f>+'[2]AVE 04-99'!L1397</f>
        <v>27361.835628535599</v>
      </c>
      <c r="K16" s="242">
        <f>+'[2]AVE 04-99'!M1397</f>
        <v>28224.25378226972</v>
      </c>
      <c r="L16" s="242">
        <f>+'[2]AVE 04-99'!N1397</f>
        <v>27978.898087389</v>
      </c>
      <c r="M16" s="242">
        <f>+'[2]AVE 04-99'!O1397</f>
        <v>27958.353547636299</v>
      </c>
      <c r="N16" s="242">
        <f>+'[2]AVE 04-99'!P1397</f>
        <v>29163.872937017026</v>
      </c>
    </row>
    <row r="17" spans="1:14" ht="12" customHeight="1">
      <c r="A17" s="269" t="s">
        <v>29</v>
      </c>
      <c r="B17" s="542">
        <f t="shared" si="1"/>
        <v>395588.54317331169</v>
      </c>
      <c r="C17" s="242">
        <f>+'[2]AVE 04-99'!E1400</f>
        <v>37878.003919050934</v>
      </c>
      <c r="D17" s="242">
        <f>+'[2]AVE 04-99'!F1400</f>
        <v>28988</v>
      </c>
      <c r="E17" s="242">
        <f>+'[2]AVE 04-99'!G1400</f>
        <v>31733.734163093188</v>
      </c>
      <c r="F17" s="242">
        <f>+'[2]AVE 04-99'!H1400</f>
        <v>28904.220760697543</v>
      </c>
      <c r="G17" s="242">
        <f>+'[2]AVE 04-99'!I1400</f>
        <v>25088.490992852901</v>
      </c>
      <c r="H17" s="242">
        <f>+'[2]AVE 04-99'!J1400</f>
        <v>30924.4675466074</v>
      </c>
      <c r="I17" s="242">
        <f>+'[2]AVE 04-99'!K1400</f>
        <v>29447.28041911111</v>
      </c>
      <c r="J17" s="242">
        <f>+'[2]AVE 04-99'!L1400</f>
        <v>33236.998207407407</v>
      </c>
      <c r="K17" s="242">
        <f>+'[2]AVE 04-99'!M1400</f>
        <v>36828.784352301162</v>
      </c>
      <c r="L17" s="242">
        <f>+'[2]AVE 04-99'!N1400</f>
        <v>33851.109430623939</v>
      </c>
      <c r="M17" s="242">
        <f>+'[2]AVE 04-99'!O1400</f>
        <v>41869.895251722504</v>
      </c>
      <c r="N17" s="242">
        <f>+'[2]AVE 04-99'!P1400</f>
        <v>36837.558129843615</v>
      </c>
    </row>
    <row r="18" spans="1:14" ht="12" customHeight="1">
      <c r="A18" s="217" t="s">
        <v>30</v>
      </c>
      <c r="B18" s="542">
        <f t="shared" si="1"/>
        <v>17185742.662483525</v>
      </c>
      <c r="C18" s="242">
        <f>+'[2]AVE 04-99'!E1403</f>
        <v>2052833.4104748499</v>
      </c>
      <c r="D18" s="242">
        <f>+'[2]AVE 04-99'!F1403</f>
        <v>1195844</v>
      </c>
      <c r="E18" s="242">
        <f>+'[2]AVE 04-99'!G1403</f>
        <v>1374941.8872060417</v>
      </c>
      <c r="F18" s="242">
        <f>+'[2]AVE 04-99'!H1403</f>
        <v>958258.08223907207</v>
      </c>
      <c r="G18" s="242">
        <f>+'[2]AVE 04-99'!I1403</f>
        <v>1854649.4457228989</v>
      </c>
      <c r="H18" s="242">
        <f>+'[2]AVE 04-99'!J1403</f>
        <v>1442251.0888971628</v>
      </c>
      <c r="I18" s="242">
        <f>+'[2]AVE 04-99'!K1403</f>
        <v>1659374.707347746</v>
      </c>
      <c r="J18" s="242">
        <f>+'[2]AVE 04-99'!L1403</f>
        <v>1092904.9616946455</v>
      </c>
      <c r="K18" s="242">
        <f>+'[2]AVE 04-99'!M1403</f>
        <v>1305411.1416041781</v>
      </c>
      <c r="L18" s="242">
        <f>+'[2]AVE 04-99'!N1403</f>
        <v>1407097.2243218345</v>
      </c>
      <c r="M18" s="242">
        <f>+'[2]AVE 04-99'!O1403</f>
        <v>1072161.7351776569</v>
      </c>
      <c r="N18" s="242">
        <f>+'[2]AVE 04-99'!P1403</f>
        <v>1770014.9777974384</v>
      </c>
    </row>
    <row r="19" spans="1:14" ht="12" customHeight="1">
      <c r="A19" s="217" t="s">
        <v>31</v>
      </c>
      <c r="B19" s="542">
        <f t="shared" si="1"/>
        <v>416797806.96436292</v>
      </c>
      <c r="C19" s="242">
        <f>+'[2]AVE 04-99'!E1406</f>
        <v>33231519.074108761</v>
      </c>
      <c r="D19" s="242">
        <f>+'[2]AVE 04-99'!F1406</f>
        <v>31582854.449999999</v>
      </c>
      <c r="E19" s="242">
        <f>+'[2]AVE 04-99'!G1406</f>
        <v>34793919.537232891</v>
      </c>
      <c r="F19" s="242">
        <f>+'[2]AVE 04-99'!H1406</f>
        <v>34499926.707942218</v>
      </c>
      <c r="G19" s="242">
        <f>+'[2]AVE 04-99'!I1406</f>
        <v>35082674.404904388</v>
      </c>
      <c r="H19" s="242">
        <f>+'[2]AVE 04-99'!J1406</f>
        <v>34517284.937211156</v>
      </c>
      <c r="I19" s="242">
        <f>+'[2]AVE 04-99'!K1406</f>
        <v>35544763.589909859</v>
      </c>
      <c r="J19" s="242">
        <f>+'[2]AVE 04-99'!L1406</f>
        <v>36043637.185265243</v>
      </c>
      <c r="K19" s="242">
        <f>+'[2]AVE 04-99'!M1406</f>
        <v>33725718.189969383</v>
      </c>
      <c r="L19" s="242">
        <f>+'[2]AVE 04-99'!N1406</f>
        <v>36353821.02138944</v>
      </c>
      <c r="M19" s="242">
        <f>+'[2]AVE 04-99'!O1406</f>
        <v>35251254.044895083</v>
      </c>
      <c r="N19" s="242">
        <f>+'[2]AVE 04-99'!P1406</f>
        <v>36170433.821534559</v>
      </c>
    </row>
    <row r="20" spans="1:14" ht="12" customHeight="1">
      <c r="A20" s="269" t="s">
        <v>32</v>
      </c>
      <c r="B20" s="542">
        <f t="shared" si="1"/>
        <v>45451220.4209885</v>
      </c>
      <c r="C20" s="242">
        <f>+'[2]AVE 04-99'!E1409</f>
        <v>3546104.5019840864</v>
      </c>
      <c r="D20" s="242">
        <f>+'[2]AVE 04-99'!F1409</f>
        <v>3534514.1571428599</v>
      </c>
      <c r="E20" s="242">
        <f>+'[2]AVE 04-99'!G1409</f>
        <v>3787578.498957003</v>
      </c>
      <c r="F20" s="242">
        <f>+'[2]AVE 04-99'!H1409</f>
        <v>4495618.6894635353</v>
      </c>
      <c r="G20" s="242">
        <f>+'[2]AVE 04-99'!I1409</f>
        <v>4057984.2428098144</v>
      </c>
      <c r="H20" s="242">
        <f>+'[2]AVE 04-99'!J1409</f>
        <v>3730555.8739772104</v>
      </c>
      <c r="I20" s="242">
        <f>+'[2]AVE 04-99'!K1409</f>
        <v>3787880.3061375897</v>
      </c>
      <c r="J20" s="242">
        <f>+'[2]AVE 04-99'!L1409</f>
        <v>3708772.6880159448</v>
      </c>
      <c r="K20" s="242">
        <f>+'[2]AVE 04-99'!M1409</f>
        <v>3626388.6042383923</v>
      </c>
      <c r="L20" s="242">
        <f>+'[2]AVE 04-99'!N1409</f>
        <v>3679937.1864171298</v>
      </c>
      <c r="M20" s="242">
        <f>+'[2]AVE 04-99'!O1409</f>
        <v>3768054.8585735462</v>
      </c>
      <c r="N20" s="242">
        <f>+'[2]AVE 04-99'!P1409</f>
        <v>3727830.8132713819</v>
      </c>
    </row>
    <row r="21" spans="1:14" ht="12" customHeight="1">
      <c r="A21" s="269" t="s">
        <v>33</v>
      </c>
      <c r="B21" s="542">
        <f t="shared" si="1"/>
        <v>646070.09309693251</v>
      </c>
      <c r="C21" s="242">
        <f>+'[2]AVE 04-99'!E1412</f>
        <v>50387.444722809174</v>
      </c>
      <c r="D21" s="242">
        <f>+'[2]AVE 04-99'!F1412</f>
        <v>44950</v>
      </c>
      <c r="E21" s="242">
        <f>+'[2]AVE 04-99'!G1412</f>
        <v>43828.681541982471</v>
      </c>
      <c r="F21" s="242">
        <f>+'[2]AVE 04-99'!H1412</f>
        <v>52463.305570560893</v>
      </c>
      <c r="G21" s="242">
        <f>+'[2]AVE 04-99'!I1412</f>
        <v>50389.290758735769</v>
      </c>
      <c r="H21" s="242">
        <f>+'[2]AVE 04-99'!J1412</f>
        <v>65084.923671780904</v>
      </c>
      <c r="I21" s="242">
        <f>+'[2]AVE 04-99'!K1412</f>
        <v>71779.599803026853</v>
      </c>
      <c r="J21" s="242">
        <f>+'[2]AVE 04-99'!L1412</f>
        <v>53219.965780106904</v>
      </c>
      <c r="K21" s="242">
        <f>+'[2]AVE 04-99'!M1412</f>
        <v>47525.768654315201</v>
      </c>
      <c r="L21" s="242">
        <f>+'[2]AVE 04-99'!N1412</f>
        <v>50951.654572316504</v>
      </c>
      <c r="M21" s="242">
        <f>+'[2]AVE 04-99'!O1412</f>
        <v>55304.300689640098</v>
      </c>
      <c r="N21" s="242">
        <f>+'[2]AVE 04-99'!P1412</f>
        <v>60185.157331657792</v>
      </c>
    </row>
    <row r="22" spans="1:14" ht="12" customHeight="1">
      <c r="A22" s="269" t="s">
        <v>34</v>
      </c>
      <c r="B22" s="542">
        <f t="shared" si="1"/>
        <v>300084.05452766194</v>
      </c>
      <c r="C22" s="242">
        <f>+'[2]AVE 04-99'!E1415</f>
        <v>15382.127480969248</v>
      </c>
      <c r="D22" s="242">
        <f>+'[2]AVE 04-99'!F1415</f>
        <v>11145</v>
      </c>
      <c r="E22" s="242">
        <f>+'[2]AVE 04-99'!G1415</f>
        <v>11585.968301228439</v>
      </c>
      <c r="F22" s="242">
        <f>+'[2]AVE 04-99'!H1415</f>
        <v>43449.502552429629</v>
      </c>
      <c r="G22" s="242">
        <f>+'[2]AVE 04-99'!I1415</f>
        <v>24223.434470863693</v>
      </c>
      <c r="H22" s="242">
        <f>+'[2]AVE 04-99'!J1415</f>
        <v>18387.721028006497</v>
      </c>
      <c r="I22" s="242">
        <f>+'[2]AVE 04-99'!K1415</f>
        <v>33075.619016209697</v>
      </c>
      <c r="J22" s="242">
        <f>+'[2]AVE 04-99'!L1415</f>
        <v>27548.165108964</v>
      </c>
      <c r="K22" s="242">
        <f>+'[2]AVE 04-99'!M1415</f>
        <v>28298.04446439393</v>
      </c>
      <c r="L22" s="242">
        <f>+'[2]AVE 04-99'!N1415</f>
        <v>26413.1551442165</v>
      </c>
      <c r="M22" s="242">
        <f>+'[2]AVE 04-99'!O1415</f>
        <v>40768.784236170635</v>
      </c>
      <c r="N22" s="242">
        <f>+'[2]AVE 04-99'!P1415</f>
        <v>19806.532724209734</v>
      </c>
    </row>
    <row r="23" spans="1:14" ht="12" customHeight="1">
      <c r="A23" s="269" t="s">
        <v>35</v>
      </c>
      <c r="B23" s="542">
        <f t="shared" si="1"/>
        <v>5131255.3641972886</v>
      </c>
      <c r="C23" s="242">
        <f>+'[2]AVE 04-99'!E1418</f>
        <v>413515.14046245621</v>
      </c>
      <c r="D23" s="242">
        <f>+'[2]AVE 04-99'!F1418</f>
        <v>433418</v>
      </c>
      <c r="E23" s="242">
        <f>+'[2]AVE 04-99'!G1418</f>
        <v>497920.8042793739</v>
      </c>
      <c r="F23" s="242">
        <f>+'[2]AVE 04-99'!H1418</f>
        <v>491113.70655123459</v>
      </c>
      <c r="G23" s="242">
        <f>+'[2]AVE 04-99'!I1418</f>
        <v>461177.83769175346</v>
      </c>
      <c r="H23" s="242">
        <f>+'[2]AVE 04-99'!J1418</f>
        <v>383479.07119395537</v>
      </c>
      <c r="I23" s="242">
        <f>+'[2]AVE 04-99'!K1418</f>
        <v>396126.80243486923</v>
      </c>
      <c r="J23" s="242">
        <f>+'[2]AVE 04-99'!L1418</f>
        <v>422957.06259889726</v>
      </c>
      <c r="K23" s="242">
        <f>+'[2]AVE 04-99'!M1418</f>
        <v>417910.84420928062</v>
      </c>
      <c r="L23" s="242">
        <f>+'[2]AVE 04-99'!N1418</f>
        <v>402043.02380341035</v>
      </c>
      <c r="M23" s="242">
        <f>+'[2]AVE 04-99'!O1418</f>
        <v>390416.79793361464</v>
      </c>
      <c r="N23" s="242">
        <f>+'[2]AVE 04-99'!P1418</f>
        <v>421176.27303844196</v>
      </c>
    </row>
    <row r="24" spans="1:14" ht="12" customHeight="1">
      <c r="A24" s="269" t="s">
        <v>36</v>
      </c>
      <c r="B24" s="542">
        <f t="shared" si="1"/>
        <v>508565.93001136376</v>
      </c>
      <c r="C24" s="242">
        <f>+'[2]AVE 04-99'!E1421</f>
        <v>45204.854868562223</v>
      </c>
      <c r="D24" s="242">
        <f>+'[2]AVE 04-99'!F1421</f>
        <v>46652</v>
      </c>
      <c r="E24" s="242">
        <f>+'[2]AVE 04-99'!G1421</f>
        <v>40210.914429617616</v>
      </c>
      <c r="F24" s="242">
        <f>+'[2]AVE 04-99'!H1421</f>
        <v>45651.370494441093</v>
      </c>
      <c r="G24" s="242">
        <f>+'[2]AVE 04-99'!I1421</f>
        <v>40549.503164243812</v>
      </c>
      <c r="H24" s="242">
        <f>+'[2]AVE 04-99'!J1421</f>
        <v>40512.950653318003</v>
      </c>
      <c r="I24" s="242">
        <f>+'[2]AVE 04-99'!K1421</f>
        <v>43054.085804040304</v>
      </c>
      <c r="J24" s="242">
        <f>+'[2]AVE 04-99'!L1421</f>
        <v>41314.220873846425</v>
      </c>
      <c r="K24" s="242">
        <f>+'[2]AVE 04-99'!M1421</f>
        <v>36342.173748852401</v>
      </c>
      <c r="L24" s="242">
        <f>+'[2]AVE 04-99'!N1421</f>
        <v>38446.080265362703</v>
      </c>
      <c r="M24" s="242">
        <f>+'[2]AVE 04-99'!O1421</f>
        <v>43420.786710895598</v>
      </c>
      <c r="N24" s="242">
        <f>+'[2]AVE 04-99'!P1421</f>
        <v>47206.988998183653</v>
      </c>
    </row>
    <row r="25" spans="1:14" ht="12" customHeight="1">
      <c r="A25" s="217" t="s">
        <v>37</v>
      </c>
      <c r="B25" s="542">
        <f t="shared" si="1"/>
        <v>75369644.538755357</v>
      </c>
      <c r="C25" s="242">
        <f>+'[2]AVE 04-99'!E1424</f>
        <v>6043900.9252139376</v>
      </c>
      <c r="D25" s="242">
        <f>+'[2]AVE 04-99'!F1424</f>
        <v>6103115.9357142895</v>
      </c>
      <c r="E25" s="242">
        <f>+'[2]AVE 04-99'!G1424</f>
        <v>6072873.9816544149</v>
      </c>
      <c r="F25" s="242">
        <f>+'[2]AVE 04-99'!H1424</f>
        <v>6771884.7190039968</v>
      </c>
      <c r="G25" s="242">
        <f>+'[2]AVE 04-99'!I1424</f>
        <v>6867548.5240088701</v>
      </c>
      <c r="H25" s="242">
        <f>+'[2]AVE 04-99'!J1424</f>
        <v>5933709.7348359479</v>
      </c>
      <c r="I25" s="242">
        <f>+'[2]AVE 04-99'!K1424</f>
        <v>6589199.137000219</v>
      </c>
      <c r="J25" s="242">
        <f>+'[2]AVE 04-99'!L1424</f>
        <v>6254108.5571091007</v>
      </c>
      <c r="K25" s="242">
        <f>+'[2]AVE 04-99'!M1424</f>
        <v>5868523.7120796973</v>
      </c>
      <c r="L25" s="242">
        <f>+'[2]AVE 04-99'!N1424</f>
        <v>6240526.3445627168</v>
      </c>
      <c r="M25" s="242">
        <f>+'[2]AVE 04-99'!O1424</f>
        <v>6251732.1091476073</v>
      </c>
      <c r="N25" s="242">
        <f>+'[2]AVE 04-99'!P1424</f>
        <v>6372520.8584245518</v>
      </c>
    </row>
    <row r="26" spans="1:14" ht="12" customHeight="1">
      <c r="A26" s="269" t="s">
        <v>38</v>
      </c>
      <c r="B26" s="542">
        <f t="shared" si="1"/>
        <v>95557.676094954586</v>
      </c>
      <c r="C26" s="242">
        <f>+'[2]AVE 04-99'!E1427</f>
        <v>7015.7194637813609</v>
      </c>
      <c r="D26" s="242">
        <f>+'[2]AVE 04-99'!F1427</f>
        <v>7350</v>
      </c>
      <c r="E26" s="242">
        <f>+'[2]AVE 04-99'!G1427</f>
        <v>6108.6986601378076</v>
      </c>
      <c r="F26" s="242">
        <f>+'[2]AVE 04-99'!H1427</f>
        <v>7085.0179578583648</v>
      </c>
      <c r="G26" s="242">
        <f>+'[2]AVE 04-99'!I1427</f>
        <v>6103.1034538687318</v>
      </c>
      <c r="H26" s="242">
        <f>+'[2]AVE 04-99'!J1427</f>
        <v>5358.618920151368</v>
      </c>
      <c r="I26" s="242">
        <f>+'[2]AVE 04-99'!K1427</f>
        <v>13228.972095321391</v>
      </c>
      <c r="J26" s="242">
        <f>+'[2]AVE 04-99'!L1427</f>
        <v>12500.462548680274</v>
      </c>
      <c r="K26" s="242">
        <f>+'[2]AVE 04-99'!M1427</f>
        <v>7520.7524328225199</v>
      </c>
      <c r="L26" s="242">
        <f>+'[2]AVE 04-99'!N1427</f>
        <v>7559.0940160456475</v>
      </c>
      <c r="M26" s="242">
        <f>+'[2]AVE 04-99'!O1427</f>
        <v>8393.0833212814432</v>
      </c>
      <c r="N26" s="242">
        <f>+'[2]AVE 04-99'!P1427</f>
        <v>7334.1532250056562</v>
      </c>
    </row>
    <row r="27" spans="1:14" ht="12" customHeight="1">
      <c r="A27" s="269" t="s">
        <v>39</v>
      </c>
      <c r="B27" s="542">
        <f t="shared" si="1"/>
        <v>8886158.3029015362</v>
      </c>
      <c r="C27" s="242">
        <f>+'[2]AVE 04-99'!E1430</f>
        <v>802223.68295658357</v>
      </c>
      <c r="D27" s="242">
        <f>+'[2]AVE 04-99'!F1430</f>
        <v>744913.42856999999</v>
      </c>
      <c r="E27" s="242">
        <f>+'[2]AVE 04-99'!G1430</f>
        <v>735729.69421709003</v>
      </c>
      <c r="F27" s="242">
        <f>+'[2]AVE 04-99'!H1430</f>
        <v>765569.5264155966</v>
      </c>
      <c r="G27" s="242">
        <f>+'[2]AVE 04-99'!I1430</f>
        <v>790389.59930265846</v>
      </c>
      <c r="H27" s="242">
        <f>+'[2]AVE 04-99'!J1430</f>
        <v>740281.48335310176</v>
      </c>
      <c r="I27" s="242">
        <f>+'[2]AVE 04-99'!K1430</f>
        <v>769187.16490058368</v>
      </c>
      <c r="J27" s="242">
        <f>+'[2]AVE 04-99'!L1430</f>
        <v>755141.9845668209</v>
      </c>
      <c r="K27" s="242">
        <f>+'[2]AVE 04-99'!M1430</f>
        <v>621881.81213269581</v>
      </c>
      <c r="L27" s="242">
        <f>+'[2]AVE 04-99'!N1430</f>
        <v>724566.35827368638</v>
      </c>
      <c r="M27" s="242">
        <f>+'[2]AVE 04-99'!O1430</f>
        <v>683924.24568678369</v>
      </c>
      <c r="N27" s="242">
        <f>+'[2]AVE 04-99'!P1430</f>
        <v>752349.32252593338</v>
      </c>
    </row>
    <row r="28" spans="1:14" ht="12" customHeight="1">
      <c r="A28" s="269" t="s">
        <v>40</v>
      </c>
      <c r="B28" s="542">
        <f t="shared" si="1"/>
        <v>544510.07498156384</v>
      </c>
      <c r="C28" s="242">
        <f>+'[2]AVE 04-99'!E1433</f>
        <v>39994.577518621998</v>
      </c>
      <c r="D28" s="242">
        <f>+'[2]AVE 04-99'!F1433</f>
        <v>39969</v>
      </c>
      <c r="E28" s="242">
        <f>+'[2]AVE 04-99'!G1433</f>
        <v>44436.871840379063</v>
      </c>
      <c r="F28" s="242">
        <f>+'[2]AVE 04-99'!H1433</f>
        <v>52220.3442147389</v>
      </c>
      <c r="G28" s="242">
        <f>+'[2]AVE 04-99'!I1433</f>
        <v>44670.618822394856</v>
      </c>
      <c r="H28" s="242">
        <f>+'[2]AVE 04-99'!J1433</f>
        <v>41898.285098054599</v>
      </c>
      <c r="I28" s="242">
        <f>+'[2]AVE 04-99'!K1433</f>
        <v>48062.102109787898</v>
      </c>
      <c r="J28" s="242">
        <f>+'[2]AVE 04-99'!L1433</f>
        <v>46479.634993952001</v>
      </c>
      <c r="K28" s="242">
        <f>+'[2]AVE 04-99'!M1433</f>
        <v>41149.933331925</v>
      </c>
      <c r="L28" s="242">
        <f>+'[2]AVE 04-99'!N1433</f>
        <v>44680.987474503701</v>
      </c>
      <c r="M28" s="242">
        <f>+'[2]AVE 04-99'!O1433</f>
        <v>46611.9478810734</v>
      </c>
      <c r="N28" s="242">
        <f>+'[2]AVE 04-99'!P1433</f>
        <v>54335.771696132419</v>
      </c>
    </row>
    <row r="29" spans="1:14" ht="12" customHeight="1">
      <c r="A29" s="217" t="s">
        <v>41</v>
      </c>
      <c r="B29" s="542">
        <f t="shared" si="1"/>
        <v>405657.77317555161</v>
      </c>
      <c r="C29" s="242">
        <f>+'[2]AVE 04-99'!E1436</f>
        <v>33938.9410364574</v>
      </c>
      <c r="D29" s="242">
        <f>+'[2]AVE 04-99'!F1436</f>
        <v>29610</v>
      </c>
      <c r="E29" s="242">
        <f>+'[2]AVE 04-99'!G1436</f>
        <v>34953.450235768498</v>
      </c>
      <c r="F29" s="242">
        <f>+'[2]AVE 04-99'!H1436</f>
        <v>42959.123822937865</v>
      </c>
      <c r="G29" s="242">
        <f>+'[2]AVE 04-99'!I1436</f>
        <v>33594.23839939633</v>
      </c>
      <c r="H29" s="242">
        <f>+'[2]AVE 04-99'!J1436</f>
        <v>33837.407931407921</v>
      </c>
      <c r="I29" s="242">
        <f>+'[2]AVE 04-99'!K1436</f>
        <v>34952.887043017319</v>
      </c>
      <c r="J29" s="242">
        <f>+'[2]AVE 04-99'!L1436</f>
        <v>28952.8264386667</v>
      </c>
      <c r="K29" s="242">
        <f>+'[2]AVE 04-99'!M1436</f>
        <v>31029.08210850276</v>
      </c>
      <c r="L29" s="242">
        <f>+'[2]AVE 04-99'!N1436</f>
        <v>34052.629791850348</v>
      </c>
      <c r="M29" s="242">
        <f>+'[2]AVE 04-99'!O1436</f>
        <v>34092.205456587166</v>
      </c>
      <c r="N29" s="242">
        <f>+'[2]AVE 04-99'!P1436</f>
        <v>33684.980910959341</v>
      </c>
    </row>
    <row r="30" spans="1:14" ht="12" customHeight="1">
      <c r="A30" s="271" t="s">
        <v>104</v>
      </c>
      <c r="B30" s="542">
        <f t="shared" si="1"/>
        <v>245574.12355443722</v>
      </c>
      <c r="C30" s="242">
        <f>+'[2]AVE 04-99'!E1439</f>
        <v>20523.3646218744</v>
      </c>
      <c r="D30" s="242">
        <f>+'[2]AVE 04-99'!F1439</f>
        <v>18170</v>
      </c>
      <c r="E30" s="242">
        <f>+'[2]AVE 04-99'!G1439</f>
        <v>22964.070141461099</v>
      </c>
      <c r="F30" s="242">
        <f>+'[2]AVE 04-99'!H1439</f>
        <v>25775.47429376272</v>
      </c>
      <c r="G30" s="242">
        <f>+'[2]AVE 04-99'!I1439</f>
        <v>19356.5430396378</v>
      </c>
      <c r="H30" s="242">
        <f>+'[2]AVE 04-99'!J1439</f>
        <v>20302.444758844751</v>
      </c>
      <c r="I30" s="242">
        <f>+'[2]AVE 04-99'!K1439</f>
        <v>21211.732225810418</v>
      </c>
      <c r="J30" s="242">
        <f>+'[2]AVE 04-99'!L1439</f>
        <v>17812.495863200002</v>
      </c>
      <c r="K30" s="242">
        <f>+'[2]AVE 04-99'!M1439</f>
        <v>18760.108914207955</v>
      </c>
      <c r="L30" s="242">
        <f>+'[2]AVE 04-99'!N1439</f>
        <v>20031.577875110201</v>
      </c>
      <c r="M30" s="242">
        <f>+'[2]AVE 04-99'!O1439</f>
        <v>20455.323273952297</v>
      </c>
      <c r="N30" s="242">
        <f>+'[2]AVE 04-99'!P1439</f>
        <v>20210.988546575605</v>
      </c>
    </row>
    <row r="31" spans="1:14" ht="12" customHeight="1">
      <c r="A31" s="271" t="s">
        <v>105</v>
      </c>
      <c r="B31" s="542">
        <f t="shared" si="1"/>
        <v>160083.6496211144</v>
      </c>
      <c r="C31" s="242">
        <f>+'[2]AVE 04-99'!E1442</f>
        <v>13415.576414583</v>
      </c>
      <c r="D31" s="242">
        <f>+'[2]AVE 04-99'!F1442</f>
        <v>11440</v>
      </c>
      <c r="E31" s="242">
        <f>+'[2]AVE 04-99'!G1442</f>
        <v>11989.3800943074</v>
      </c>
      <c r="F31" s="242">
        <f>+'[2]AVE 04-99'!H1442</f>
        <v>17183.649529175145</v>
      </c>
      <c r="G31" s="242">
        <f>+'[2]AVE 04-99'!I1442</f>
        <v>14237.695359758533</v>
      </c>
      <c r="H31" s="242">
        <f>+'[2]AVE 04-99'!J1442</f>
        <v>13534.96317256317</v>
      </c>
      <c r="I31" s="242">
        <f>+'[2]AVE 04-99'!K1442</f>
        <v>13741.1548172069</v>
      </c>
      <c r="J31" s="242">
        <f>+'[2]AVE 04-99'!L1442</f>
        <v>11140.3305754667</v>
      </c>
      <c r="K31" s="242">
        <f>+'[2]AVE 04-99'!M1442</f>
        <v>12268.973194294806</v>
      </c>
      <c r="L31" s="242">
        <f>+'[2]AVE 04-99'!N1442</f>
        <v>14021.051916740149</v>
      </c>
      <c r="M31" s="242">
        <f>+'[2]AVE 04-99'!O1442</f>
        <v>13636.882182634867</v>
      </c>
      <c r="N31" s="242">
        <f>+'[2]AVE 04-99'!P1442</f>
        <v>13473.992364383737</v>
      </c>
    </row>
    <row r="32" spans="1:14" ht="12" customHeight="1">
      <c r="A32" s="269" t="s">
        <v>44</v>
      </c>
      <c r="B32" s="542">
        <f t="shared" si="1"/>
        <v>1899520.9941670499</v>
      </c>
      <c r="C32" s="242">
        <f>+'[2]AVE 04-99'!E1445</f>
        <v>123722.41961044179</v>
      </c>
      <c r="D32" s="242">
        <f>+'[2]AVE 04-99'!F1445</f>
        <v>131455</v>
      </c>
      <c r="E32" s="242">
        <f>+'[2]AVE 04-99'!G1445</f>
        <v>137673.87068147503</v>
      </c>
      <c r="F32" s="242">
        <f>+'[2]AVE 04-99'!H1445</f>
        <v>140914.9377122251</v>
      </c>
      <c r="G32" s="242">
        <f>+'[2]AVE 04-99'!I1445</f>
        <v>147075.80313602206</v>
      </c>
      <c r="H32" s="242">
        <f>+'[2]AVE 04-99'!J1445</f>
        <v>172148.8499209673</v>
      </c>
      <c r="I32" s="242">
        <f>+'[2]AVE 04-99'!K1445</f>
        <v>170288.66633793275</v>
      </c>
      <c r="J32" s="242">
        <f>+'[2]AVE 04-99'!L1445</f>
        <v>157868.79529816651</v>
      </c>
      <c r="K32" s="242">
        <f>+'[2]AVE 04-99'!M1445</f>
        <v>189172.84530669899</v>
      </c>
      <c r="L32" s="242">
        <f>+'[2]AVE 04-99'!N1445</f>
        <v>180998.3949485388</v>
      </c>
      <c r="M32" s="242">
        <f>+'[2]AVE 04-99'!O1445</f>
        <v>175954.32756462938</v>
      </c>
      <c r="N32" s="242">
        <f>+'[2]AVE 04-99'!P1445</f>
        <v>172247.08364995185</v>
      </c>
    </row>
    <row r="33" spans="1:14" ht="12" customHeight="1">
      <c r="A33" s="269" t="s">
        <v>45</v>
      </c>
      <c r="B33" s="542">
        <f t="shared" si="1"/>
        <v>1354640.1622590732</v>
      </c>
      <c r="C33" s="242">
        <f>+'[2]AVE 04-99'!E1448</f>
        <v>108774.48325588384</v>
      </c>
      <c r="D33" s="242">
        <f>+'[2]AVE 04-99'!F1448</f>
        <v>110270</v>
      </c>
      <c r="E33" s="242">
        <f>+'[2]AVE 04-99'!G1448</f>
        <v>89396.669484582177</v>
      </c>
      <c r="F33" s="242">
        <f>+'[2]AVE 04-99'!H1448</f>
        <v>109222.03137574403</v>
      </c>
      <c r="G33" s="242">
        <f>+'[2]AVE 04-99'!I1448</f>
        <v>120024.84077029886</v>
      </c>
      <c r="H33" s="242">
        <f>+'[2]AVE 04-99'!J1448</f>
        <v>110656.530599135</v>
      </c>
      <c r="I33" s="242">
        <f>+'[2]AVE 04-99'!K1448</f>
        <v>122810.18668750999</v>
      </c>
      <c r="J33" s="242">
        <f>+'[2]AVE 04-99'!L1448</f>
        <v>123386.88090759714</v>
      </c>
      <c r="K33" s="242">
        <f>+'[2]AVE 04-99'!M1448</f>
        <v>121393.82579208814</v>
      </c>
      <c r="L33" s="242">
        <f>+'[2]AVE 04-99'!N1448</f>
        <v>115717.94456565654</v>
      </c>
      <c r="M33" s="242">
        <f>+'[2]AVE 04-99'!O1448</f>
        <v>117813.603638443</v>
      </c>
      <c r="N33" s="242">
        <f>+'[2]AVE 04-99'!P1448</f>
        <v>105173.16518213463</v>
      </c>
    </row>
    <row r="34" spans="1:14" ht="12" customHeight="1">
      <c r="A34" s="217" t="s">
        <v>46</v>
      </c>
      <c r="B34" s="542">
        <f t="shared" si="1"/>
        <v>18414920.156738348</v>
      </c>
      <c r="C34" s="242">
        <f>+'[2]AVE 04-99'!E1451</f>
        <v>1565069.7784120508</v>
      </c>
      <c r="D34" s="242">
        <f>+'[2]AVE 04-99'!F1451</f>
        <v>1514594</v>
      </c>
      <c r="E34" s="242">
        <f>+'[2]AVE 04-99'!G1451</f>
        <v>1488424.1061987728</v>
      </c>
      <c r="F34" s="242">
        <f>+'[2]AVE 04-99'!H1451</f>
        <v>1604984.6099695649</v>
      </c>
      <c r="G34" s="242">
        <f>+'[2]AVE 04-99'!I1451</f>
        <v>1640555.9958863398</v>
      </c>
      <c r="H34" s="242">
        <f>+'[2]AVE 04-99'!J1451</f>
        <v>1384034.9045380019</v>
      </c>
      <c r="I34" s="242">
        <f>+'[2]AVE 04-99'!K1451</f>
        <v>1624740.9499393941</v>
      </c>
      <c r="J34" s="242">
        <f>+'[2]AVE 04-99'!L1451</f>
        <v>1527874.017988791</v>
      </c>
      <c r="K34" s="242">
        <f>+'[2]AVE 04-99'!M1451</f>
        <v>1521289.6098822106</v>
      </c>
      <c r="L34" s="242">
        <f>+'[2]AVE 04-99'!N1451</f>
        <v>1427470.4898858834</v>
      </c>
      <c r="M34" s="242">
        <f>+'[2]AVE 04-99'!O1451</f>
        <v>1411090.2179772712</v>
      </c>
      <c r="N34" s="242">
        <f>+'[2]AVE 04-99'!P1451</f>
        <v>1704791.4760600664</v>
      </c>
    </row>
    <row r="35" spans="1:14" ht="12" customHeight="1">
      <c r="A35" s="217" t="s">
        <v>47</v>
      </c>
      <c r="B35" s="542">
        <f t="shared" si="1"/>
        <v>12043022.391674083</v>
      </c>
      <c r="C35" s="242">
        <f>+'[2]AVE 04-99'!E1454</f>
        <v>917771.49200430664</v>
      </c>
      <c r="D35" s="242">
        <f>+'[2]AVE 04-99'!F1454</f>
        <v>870719</v>
      </c>
      <c r="E35" s="242">
        <f>+'[2]AVE 04-99'!G1454</f>
        <v>921685.42846368731</v>
      </c>
      <c r="F35" s="242">
        <f>+'[2]AVE 04-99'!H1454</f>
        <v>933491.27782085468</v>
      </c>
      <c r="G35" s="242">
        <f>+'[2]AVE 04-99'!I1454</f>
        <v>936141.73199148057</v>
      </c>
      <c r="H35" s="242">
        <f>+'[2]AVE 04-99'!J1454</f>
        <v>899166.61087548337</v>
      </c>
      <c r="I35" s="242">
        <f>+'[2]AVE 04-99'!K1454</f>
        <v>965335.0960643969</v>
      </c>
      <c r="J35" s="242">
        <f>+'[2]AVE 04-99'!L1454</f>
        <v>1012459.8361985647</v>
      </c>
      <c r="K35" s="242">
        <f>+'[2]AVE 04-99'!M1454</f>
        <v>1042858.0049467158</v>
      </c>
      <c r="L35" s="242">
        <f>+'[2]AVE 04-99'!N1454</f>
        <v>1044426.4212116204</v>
      </c>
      <c r="M35" s="242">
        <f>+'[2]AVE 04-99'!O1454</f>
        <v>1028189.7080536229</v>
      </c>
      <c r="N35" s="242">
        <f>+'[2]AVE 04-99'!P1454</f>
        <v>1470777.7840433498</v>
      </c>
    </row>
    <row r="36" spans="1:14" ht="12" customHeight="1">
      <c r="A36" s="217" t="s">
        <v>48</v>
      </c>
      <c r="B36" s="542">
        <f t="shared" si="1"/>
        <v>7328097.7374388371</v>
      </c>
      <c r="C36" s="242">
        <f>+'[2]AVE 04-99'!E1457</f>
        <v>413220.9043665909</v>
      </c>
      <c r="D36" s="242">
        <f>+'[2]AVE 04-99'!F1457</f>
        <v>284662</v>
      </c>
      <c r="E36" s="242">
        <f>+'[2]AVE 04-99'!G1457</f>
        <v>518278.49280463037</v>
      </c>
      <c r="F36" s="242">
        <f>+'[2]AVE 04-99'!H1457</f>
        <v>658933.73481144616</v>
      </c>
      <c r="G36" s="242">
        <f>+'[2]AVE 04-99'!I1457</f>
        <v>611600.97414862574</v>
      </c>
      <c r="H36" s="242">
        <f>+'[2]AVE 04-99'!J1457</f>
        <v>623539.5698902678</v>
      </c>
      <c r="I36" s="242">
        <f>+'[2]AVE 04-99'!K1457</f>
        <v>593643.06117035309</v>
      </c>
      <c r="J36" s="242">
        <f>+'[2]AVE 04-99'!L1457</f>
        <v>761797.82945510093</v>
      </c>
      <c r="K36" s="242">
        <f>+'[2]AVE 04-99'!M1457</f>
        <v>591637.85942633078</v>
      </c>
      <c r="L36" s="242">
        <f>+'[2]AVE 04-99'!N1457</f>
        <v>867013.08704941126</v>
      </c>
      <c r="M36" s="242">
        <f>+'[2]AVE 04-99'!O1457</f>
        <v>561456.80482924252</v>
      </c>
      <c r="N36" s="242">
        <f>+'[2]AVE 04-99'!P1457</f>
        <v>842313.41948683793</v>
      </c>
    </row>
    <row r="37" spans="1:14" ht="12" customHeight="1" thickBot="1">
      <c r="A37" s="272" t="s">
        <v>49</v>
      </c>
      <c r="B37" s="543">
        <f t="shared" si="1"/>
        <v>4328446.1985373171</v>
      </c>
      <c r="C37" s="278">
        <f>+'[2]AVE 04-99'!E1460</f>
        <v>371441.63468969532</v>
      </c>
      <c r="D37" s="278">
        <f>+'[2]AVE 04-99'!F1460</f>
        <v>289612</v>
      </c>
      <c r="E37" s="278">
        <f>+'[2]AVE 04-99'!G1460</f>
        <v>321646.20585256966</v>
      </c>
      <c r="F37" s="278">
        <f>+'[2]AVE 04-99'!H1460</f>
        <v>335612.12406327162</v>
      </c>
      <c r="G37" s="278">
        <f>+'[2]AVE 04-99'!I1460</f>
        <v>351124.54953738546</v>
      </c>
      <c r="H37" s="278">
        <f>+'[2]AVE 04-99'!J1460</f>
        <v>320482.25421080296</v>
      </c>
      <c r="I37" s="278">
        <f>+'[2]AVE 04-99'!K1460</f>
        <v>357345.5955839582</v>
      </c>
      <c r="J37" s="278">
        <f>+'[2]AVE 04-99'!L1460</f>
        <v>400289.52679246676</v>
      </c>
      <c r="K37" s="278">
        <f>+'[2]AVE 04-99'!M1460</f>
        <v>336140.7181126849</v>
      </c>
      <c r="L37" s="278">
        <f>+'[2]AVE 04-99'!N1460</f>
        <v>370670.81160272105</v>
      </c>
      <c r="M37" s="278">
        <f>+'[2]AVE 04-99'!O1460</f>
        <v>346769.88332740148</v>
      </c>
      <c r="N37" s="278">
        <f>+'[2]AVE 04-99'!P1460</f>
        <v>527310.89476435969</v>
      </c>
    </row>
    <row r="38" spans="1:14" ht="10" customHeight="1">
      <c r="A38" s="28" t="s">
        <v>238</v>
      </c>
      <c r="B38" s="536"/>
      <c r="C38" s="536"/>
      <c r="D38" s="536"/>
      <c r="E38" s="536"/>
      <c r="F38" s="536"/>
    </row>
    <row r="39" spans="1:14" ht="10" customHeight="1">
      <c r="A39" s="28" t="s">
        <v>192</v>
      </c>
      <c r="B39" s="536"/>
      <c r="C39" s="536"/>
      <c r="D39" s="536"/>
      <c r="E39" s="536"/>
      <c r="F39" s="536"/>
    </row>
    <row r="40" spans="1:14" ht="10" customHeight="1">
      <c r="A40" s="40" t="s">
        <v>261</v>
      </c>
      <c r="B40" s="536"/>
      <c r="C40" s="536"/>
      <c r="D40" s="536"/>
      <c r="E40" s="536"/>
      <c r="F40" s="536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Hoja52">
    <tabColor theme="9" tint="0.59999389629810485"/>
  </sheetPr>
  <dimension ref="A4:N5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9.59765625" style="213" customWidth="1"/>
    <col min="3" max="14" width="8.59765625" style="213" customWidth="1"/>
    <col min="15" max="16384" width="7" style="213"/>
  </cols>
  <sheetData>
    <row r="4" spans="1:14" ht="13" customHeight="1">
      <c r="A4" s="511" t="s">
        <v>387</v>
      </c>
      <c r="B4" s="507"/>
    </row>
    <row r="5" spans="1:14" ht="13" customHeight="1">
      <c r="A5" s="514" t="s">
        <v>319</v>
      </c>
      <c r="B5" s="507"/>
    </row>
    <row r="6" spans="1:14" ht="5" customHeight="1" thickBot="1"/>
    <row r="7" spans="1:14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</row>
    <row r="8" spans="1:14" ht="15" customHeight="1">
      <c r="A8" s="535" t="s">
        <v>100</v>
      </c>
      <c r="B8" s="549">
        <f>SUM(C8:N8)</f>
        <v>1762855.6472725368</v>
      </c>
      <c r="C8" s="549">
        <f t="shared" ref="C8:N8" si="0">(C9+C10+C11+C12+C13+C17+C18+C19+C20+C21+C22+C23+C24+C25+C26+C27+C28+C29+C32+C33+C34+C35+C36+C37)</f>
        <v>139840.65605059909</v>
      </c>
      <c r="D8" s="549">
        <f t="shared" si="0"/>
        <v>125499.05126461151</v>
      </c>
      <c r="E8" s="549">
        <f t="shared" si="0"/>
        <v>141110.93165395738</v>
      </c>
      <c r="F8" s="549">
        <f t="shared" si="0"/>
        <v>145603.97546430305</v>
      </c>
      <c r="G8" s="549">
        <f t="shared" si="0"/>
        <v>149320.56587980973</v>
      </c>
      <c r="H8" s="549">
        <f t="shared" si="0"/>
        <v>149263.9227893097</v>
      </c>
      <c r="I8" s="549">
        <f t="shared" si="0"/>
        <v>154341.6835894339</v>
      </c>
      <c r="J8" s="549">
        <f t="shared" si="0"/>
        <v>156728.10975128302</v>
      </c>
      <c r="K8" s="549">
        <f t="shared" si="0"/>
        <v>150535.56012952869</v>
      </c>
      <c r="L8" s="549">
        <f t="shared" si="0"/>
        <v>152033.12949989847</v>
      </c>
      <c r="M8" s="549">
        <f t="shared" si="0"/>
        <v>144886.83910498352</v>
      </c>
      <c r="N8" s="549">
        <f t="shared" si="0"/>
        <v>153691.2220948188</v>
      </c>
    </row>
    <row r="9" spans="1:14" ht="12" customHeight="1">
      <c r="A9" s="269" t="s">
        <v>21</v>
      </c>
      <c r="B9" s="550">
        <f t="shared" ref="B9:B37" si="1">SUM(C9:N9)</f>
        <v>294.48804619024395</v>
      </c>
      <c r="C9" s="551">
        <f>+'[2]AVE 04-99'!E1377</f>
        <v>11.610722724528934</v>
      </c>
      <c r="D9" s="551">
        <f>+'[2]AVE 04-99'!F1377</f>
        <v>10.1484893</v>
      </c>
      <c r="E9" s="551">
        <f>+'[2]AVE 04-99'!G1377</f>
        <v>17.813764926710601</v>
      </c>
      <c r="F9" s="551">
        <f>+'[2]AVE 04-99'!H1377</f>
        <v>18.131829515206611</v>
      </c>
      <c r="G9" s="551">
        <f>+'[2]AVE 04-99'!I1377</f>
        <v>11.617596029640751</v>
      </c>
      <c r="H9" s="551">
        <f>+'[2]AVE 04-99'!J1377</f>
        <v>14.051660441062364</v>
      </c>
      <c r="I9" s="551">
        <f>+'[2]AVE 04-99'!K1377</f>
        <v>11.071134823351784</v>
      </c>
      <c r="J9" s="551">
        <f>+'[2]AVE 04-99'!L1377</f>
        <v>25.877209020853201</v>
      </c>
      <c r="K9" s="551">
        <f>+'[2]AVE 04-99'!M1377</f>
        <v>41.49209512558852</v>
      </c>
      <c r="L9" s="551">
        <f>+'[2]AVE 04-99'!N1377</f>
        <v>12.157357319837681</v>
      </c>
      <c r="M9" s="551">
        <f>+'[2]AVE 04-99'!O1377</f>
        <v>88.904507979725111</v>
      </c>
      <c r="N9" s="551">
        <f>+'[2]AVE 04-99'!P1377</f>
        <v>31.611678983738386</v>
      </c>
    </row>
    <row r="10" spans="1:14" ht="12" customHeight="1">
      <c r="A10" s="269" t="s">
        <v>22</v>
      </c>
      <c r="B10" s="550">
        <f t="shared" si="1"/>
        <v>33052.662472437536</v>
      </c>
      <c r="C10" s="551">
        <f>+'[2]AVE 04-99'!E1380</f>
        <v>2704.6476640352594</v>
      </c>
      <c r="D10" s="551">
        <f>+'[2]AVE 04-99'!F1380</f>
        <v>2533.0390084710298</v>
      </c>
      <c r="E10" s="551">
        <f>+'[2]AVE 04-99'!G1380</f>
        <v>2579.7038782515619</v>
      </c>
      <c r="F10" s="551">
        <f>+'[2]AVE 04-99'!H1380</f>
        <v>2725.140356702077</v>
      </c>
      <c r="G10" s="551">
        <f>+'[2]AVE 04-99'!I1380</f>
        <v>2677.1569877163492</v>
      </c>
      <c r="H10" s="551">
        <f>+'[2]AVE 04-99'!J1380</f>
        <v>2641.563151908691</v>
      </c>
      <c r="I10" s="551">
        <f>+'[2]AVE 04-99'!K1380</f>
        <v>2608.8443821805968</v>
      </c>
      <c r="J10" s="551">
        <f>+'[2]AVE 04-99'!L1380</f>
        <v>2879.2448616382908</v>
      </c>
      <c r="K10" s="551">
        <f>+'[2]AVE 04-99'!M1380</f>
        <v>2819.1908093763614</v>
      </c>
      <c r="L10" s="551">
        <f>+'[2]AVE 04-99'!N1380</f>
        <v>2914.7765384846275</v>
      </c>
      <c r="M10" s="551">
        <f>+'[2]AVE 04-99'!O1380</f>
        <v>2969.6299594215916</v>
      </c>
      <c r="N10" s="551">
        <f>+'[2]AVE 04-99'!P1380</f>
        <v>2999.7248742510974</v>
      </c>
    </row>
    <row r="11" spans="1:14" ht="12" customHeight="1">
      <c r="A11" s="269" t="s">
        <v>23</v>
      </c>
      <c r="B11" s="550">
        <f t="shared" si="1"/>
        <v>26357.721988269681</v>
      </c>
      <c r="C11" s="551">
        <f>+'[2]AVE 04-99'!E1383</f>
        <v>2884.6334879986312</v>
      </c>
      <c r="D11" s="551">
        <f>+'[2]AVE 04-99'!F1383</f>
        <v>1479.9683378999998</v>
      </c>
      <c r="E11" s="551">
        <f>+'[2]AVE 04-99'!G1383</f>
        <v>1948.8463167732393</v>
      </c>
      <c r="F11" s="551">
        <f>+'[2]AVE 04-99'!H1383</f>
        <v>2811.5861269798556</v>
      </c>
      <c r="G11" s="551">
        <f>+'[2]AVE 04-99'!I1383</f>
        <v>1467.506683948927</v>
      </c>
      <c r="H11" s="551">
        <f>+'[2]AVE 04-99'!J1383</f>
        <v>2347.9414256639266</v>
      </c>
      <c r="I11" s="551">
        <f>+'[2]AVE 04-99'!K1383</f>
        <v>1977.445810779486</v>
      </c>
      <c r="J11" s="551">
        <f>+'[2]AVE 04-99'!L1383</f>
        <v>2360.4211880030366</v>
      </c>
      <c r="K11" s="551">
        <f>+'[2]AVE 04-99'!M1383</f>
        <v>2533.1884566985755</v>
      </c>
      <c r="L11" s="551">
        <f>+'[2]AVE 04-99'!N1383</f>
        <v>2247.3447009082529</v>
      </c>
      <c r="M11" s="551">
        <f>+'[2]AVE 04-99'!O1383</f>
        <v>2747.0527115414093</v>
      </c>
      <c r="N11" s="551">
        <f>+'[2]AVE 04-99'!P1383</f>
        <v>1551.7867410743465</v>
      </c>
    </row>
    <row r="12" spans="1:14" ht="12" customHeight="1">
      <c r="A12" s="217" t="s">
        <v>24</v>
      </c>
      <c r="B12" s="550">
        <f t="shared" si="1"/>
        <v>316907.38598387118</v>
      </c>
      <c r="C12" s="551">
        <f>+'[2]AVE 04-99'!E1386</f>
        <v>24747.483025386973</v>
      </c>
      <c r="D12" s="551">
        <f>+'[2]AVE 04-99'!F1386</f>
        <v>22389.857640141807</v>
      </c>
      <c r="E12" s="551">
        <f>+'[2]AVE 04-99'!G1386</f>
        <v>27066.810489492218</v>
      </c>
      <c r="F12" s="551">
        <f>+'[2]AVE 04-99'!H1386</f>
        <v>27509.923767863398</v>
      </c>
      <c r="G12" s="551">
        <f>+'[2]AVE 04-99'!I1386</f>
        <v>26289.819468286638</v>
      </c>
      <c r="H12" s="551">
        <f>+'[2]AVE 04-99'!J1386</f>
        <v>26221.746627236094</v>
      </c>
      <c r="I12" s="551">
        <f>+'[2]AVE 04-99'!K1386</f>
        <v>27005.359415722451</v>
      </c>
      <c r="J12" s="551">
        <f>+'[2]AVE 04-99'!L1386</f>
        <v>28156.840880402215</v>
      </c>
      <c r="K12" s="551">
        <f>+'[2]AVE 04-99'!M1386</f>
        <v>27813.567291366664</v>
      </c>
      <c r="L12" s="551">
        <f>+'[2]AVE 04-99'!N1386</f>
        <v>28068.940113880984</v>
      </c>
      <c r="M12" s="551">
        <f>+'[2]AVE 04-99'!O1386</f>
        <v>25908.345319636584</v>
      </c>
      <c r="N12" s="551">
        <f>+'[2]AVE 04-99'!P1386</f>
        <v>25728.691944455157</v>
      </c>
    </row>
    <row r="13" spans="1:14" ht="12" customHeight="1">
      <c r="A13" s="217" t="s">
        <v>25</v>
      </c>
      <c r="B13" s="550">
        <f t="shared" si="1"/>
        <v>3667.2853355487046</v>
      </c>
      <c r="C13" s="551">
        <f>+'[2]AVE 04-99'!E1389</f>
        <v>294.85229539629194</v>
      </c>
      <c r="D13" s="551">
        <f>+'[2]AVE 04-99'!F1389</f>
        <v>249.07750050000001</v>
      </c>
      <c r="E13" s="551">
        <f>+'[2]AVE 04-99'!G1389</f>
        <v>227.71780113620068</v>
      </c>
      <c r="F13" s="551">
        <f>+'[2]AVE 04-99'!H1389</f>
        <v>300.20441063607745</v>
      </c>
      <c r="G13" s="551">
        <f>+'[2]AVE 04-99'!I1389</f>
        <v>299.40281482310246</v>
      </c>
      <c r="H13" s="551">
        <f>+'[2]AVE 04-99'!J1389</f>
        <v>301.06254328530463</v>
      </c>
      <c r="I13" s="551">
        <f>+'[2]AVE 04-99'!K1389</f>
        <v>351.24973600511419</v>
      </c>
      <c r="J13" s="551">
        <f>+'[2]AVE 04-99'!L1389</f>
        <v>302.83795685590729</v>
      </c>
      <c r="K13" s="551">
        <f>+'[2]AVE 04-99'!M1389</f>
        <v>315.9363267599465</v>
      </c>
      <c r="L13" s="551">
        <f>+'[2]AVE 04-99'!N1389</f>
        <v>330.14285818515975</v>
      </c>
      <c r="M13" s="551">
        <f>+'[2]AVE 04-99'!O1389</f>
        <v>341.75009466951116</v>
      </c>
      <c r="N13" s="551">
        <f>+'[2]AVE 04-99'!P1389</f>
        <v>353.05099729608872</v>
      </c>
    </row>
    <row r="14" spans="1:14" ht="12" customHeight="1">
      <c r="A14" s="271" t="s">
        <v>101</v>
      </c>
      <c r="B14" s="550">
        <f t="shared" si="1"/>
        <v>2387.6720416638409</v>
      </c>
      <c r="C14" s="551">
        <f>+'[2]AVE 04-99'!E1392</f>
        <v>193.18791757538912</v>
      </c>
      <c r="D14" s="551">
        <f>+'[2]AVE 04-99'!F1392</f>
        <v>156.87810050000002</v>
      </c>
      <c r="E14" s="551">
        <f>+'[2]AVE 04-99'!G1392</f>
        <v>138.87268321948181</v>
      </c>
      <c r="F14" s="551">
        <f>+'[2]AVE 04-99'!H1392</f>
        <v>188.73312118841403</v>
      </c>
      <c r="G14" s="551">
        <f>+'[2]AVE 04-99'!I1392</f>
        <v>199.6537917669921</v>
      </c>
      <c r="H14" s="551">
        <f>+'[2]AVE 04-99'!J1392</f>
        <v>193.68008129483181</v>
      </c>
      <c r="I14" s="551">
        <f>+'[2]AVE 04-99'!K1392</f>
        <v>241.72469415589188</v>
      </c>
      <c r="J14" s="551">
        <f>+'[2]AVE 04-99'!L1392</f>
        <v>190.20243508485021</v>
      </c>
      <c r="K14" s="551">
        <f>+'[2]AVE 04-99'!M1392</f>
        <v>200.27094617685447</v>
      </c>
      <c r="L14" s="551">
        <f>+'[2]AVE 04-99'!N1392</f>
        <v>217.699626227088</v>
      </c>
      <c r="M14" s="551">
        <f>+'[2]AVE 04-99'!O1392</f>
        <v>232.36959975932592</v>
      </c>
      <c r="N14" s="551">
        <f>+'[2]AVE 04-99'!P1392</f>
        <v>234.39904471472101</v>
      </c>
    </row>
    <row r="15" spans="1:14" ht="12" customHeight="1">
      <c r="A15" s="271" t="s">
        <v>102</v>
      </c>
      <c r="B15" s="550">
        <f t="shared" si="1"/>
        <v>623.07723701037821</v>
      </c>
      <c r="C15" s="551">
        <f>+'[2]AVE 04-99'!E1395</f>
        <v>49.702584712441364</v>
      </c>
      <c r="D15" s="551">
        <f>+'[2]AVE 04-99'!F1395</f>
        <v>45.786000000000001</v>
      </c>
      <c r="E15" s="551">
        <f>+'[2]AVE 04-99'!G1395</f>
        <v>43.435390981507005</v>
      </c>
      <c r="F15" s="551">
        <f>+'[2]AVE 04-99'!H1395</f>
        <v>54.497074841079893</v>
      </c>
      <c r="G15" s="551">
        <f>+'[2]AVE 04-99'!I1395</f>
        <v>48.766189049653946</v>
      </c>
      <c r="H15" s="551">
        <f>+'[2]AVE 04-99'!J1395</f>
        <v>52.498092528675578</v>
      </c>
      <c r="I15" s="551">
        <f>+'[2]AVE 04-99'!K1395</f>
        <v>53.967798237397602</v>
      </c>
      <c r="J15" s="551">
        <f>+'[2]AVE 04-99'!L1395</f>
        <v>55.510699532516803</v>
      </c>
      <c r="K15" s="551">
        <f>+'[2]AVE 04-99'!M1395</f>
        <v>55.525297173956098</v>
      </c>
      <c r="L15" s="551">
        <f>+'[2]AVE 04-99'!N1395</f>
        <v>53.9500245128351</v>
      </c>
      <c r="M15" s="551">
        <f>+'[2]AVE 04-99'!O1395</f>
        <v>51.430464178312803</v>
      </c>
      <c r="N15" s="551">
        <f>+'[2]AVE 04-99'!P1395</f>
        <v>58.007621262002012</v>
      </c>
    </row>
    <row r="16" spans="1:14" ht="12" customHeight="1">
      <c r="A16" s="271" t="s">
        <v>103</v>
      </c>
      <c r="B16" s="550">
        <f t="shared" si="1"/>
        <v>656.53605687448612</v>
      </c>
      <c r="C16" s="551">
        <f>+'[2]AVE 04-99'!E1398</f>
        <v>51.961793108461428</v>
      </c>
      <c r="D16" s="551">
        <f>+'[2]AVE 04-99'!F1398</f>
        <v>46.413400000000003</v>
      </c>
      <c r="E16" s="551">
        <f>+'[2]AVE 04-99'!G1398</f>
        <v>45.409726935211872</v>
      </c>
      <c r="F16" s="551">
        <f>+'[2]AVE 04-99'!H1398</f>
        <v>56.97421460658353</v>
      </c>
      <c r="G16" s="551">
        <f>+'[2]AVE 04-99'!I1398</f>
        <v>50.9828340064564</v>
      </c>
      <c r="H16" s="551">
        <f>+'[2]AVE 04-99'!J1398</f>
        <v>54.884369461797199</v>
      </c>
      <c r="I16" s="551">
        <f>+'[2]AVE 04-99'!K1398</f>
        <v>55.557243611824703</v>
      </c>
      <c r="J16" s="551">
        <f>+'[2]AVE 04-99'!L1398</f>
        <v>57.124822238540297</v>
      </c>
      <c r="K16" s="551">
        <f>+'[2]AVE 04-99'!M1398</f>
        <v>60.14008340913594</v>
      </c>
      <c r="L16" s="551">
        <f>+'[2]AVE 04-99'!N1398</f>
        <v>58.493207445236663</v>
      </c>
      <c r="M16" s="551">
        <f>+'[2]AVE 04-99'!O1398</f>
        <v>57.950030731872431</v>
      </c>
      <c r="N16" s="551">
        <f>+'[2]AVE 04-99'!P1398</f>
        <v>60.64433131936574</v>
      </c>
    </row>
    <row r="17" spans="1:14" ht="12" customHeight="1">
      <c r="A17" s="269" t="s">
        <v>29</v>
      </c>
      <c r="B17" s="550">
        <f t="shared" si="1"/>
        <v>819.70972173995426</v>
      </c>
      <c r="C17" s="551">
        <f>+'[2]AVE 04-99'!E1401</f>
        <v>74.906900832816277</v>
      </c>
      <c r="D17" s="551">
        <f>+'[2]AVE 04-99'!F1401</f>
        <v>55.314900000000002</v>
      </c>
      <c r="E17" s="551">
        <f>+'[2]AVE 04-99'!G1401</f>
        <v>66.608037494235603</v>
      </c>
      <c r="F17" s="551">
        <f>+'[2]AVE 04-99'!H1401</f>
        <v>59.720821322401449</v>
      </c>
      <c r="G17" s="551">
        <f>+'[2]AVE 04-99'!I1401</f>
        <v>50.989509918797296</v>
      </c>
      <c r="H17" s="551">
        <f>+'[2]AVE 04-99'!J1401</f>
        <v>64.873175390769489</v>
      </c>
      <c r="I17" s="551">
        <f>+'[2]AVE 04-99'!K1401</f>
        <v>60.329045685023104</v>
      </c>
      <c r="J17" s="551">
        <f>+'[2]AVE 04-99'!L1401</f>
        <v>71.959243484218177</v>
      </c>
      <c r="K17" s="551">
        <f>+'[2]AVE 04-99'!M1401</f>
        <v>77.980426156611657</v>
      </c>
      <c r="L17" s="551">
        <f>+'[2]AVE 04-99'!N1401</f>
        <v>71.785862208072103</v>
      </c>
      <c r="M17" s="551">
        <f>+'[2]AVE 04-99'!O1401</f>
        <v>89.595008641894736</v>
      </c>
      <c r="N17" s="551">
        <f>+'[2]AVE 04-99'!P1401</f>
        <v>75.646790605114234</v>
      </c>
    </row>
    <row r="18" spans="1:14" ht="12" customHeight="1">
      <c r="A18" s="217" t="s">
        <v>30</v>
      </c>
      <c r="B18" s="550">
        <f t="shared" si="1"/>
        <v>38409.841670182774</v>
      </c>
      <c r="C18" s="551">
        <f>+'[2]AVE 04-99'!E1404</f>
        <v>4576.2430518653773</v>
      </c>
      <c r="D18" s="551">
        <f>+'[2]AVE 04-99'!F1404</f>
        <v>2531.756288099542</v>
      </c>
      <c r="E18" s="551">
        <f>+'[2]AVE 04-99'!G1404</f>
        <v>2999.7280584933533</v>
      </c>
      <c r="F18" s="551">
        <f>+'[2]AVE 04-99'!H1404</f>
        <v>2025.9323649153059</v>
      </c>
      <c r="G18" s="551">
        <f>+'[2]AVE 04-99'!I1404</f>
        <v>4202.0606234723018</v>
      </c>
      <c r="H18" s="551">
        <f>+'[2]AVE 04-99'!J1404</f>
        <v>3081.4166395583529</v>
      </c>
      <c r="I18" s="551">
        <f>+'[2]AVE 04-99'!K1404</f>
        <v>3834.0896299917727</v>
      </c>
      <c r="J18" s="551">
        <f>+'[2]AVE 04-99'!L1404</f>
        <v>2560.2764430382413</v>
      </c>
      <c r="K18" s="551">
        <f>+'[2]AVE 04-99'!M1404</f>
        <v>3092.8956488032204</v>
      </c>
      <c r="L18" s="551">
        <f>+'[2]AVE 04-99'!N1404</f>
        <v>2990.6174551957579</v>
      </c>
      <c r="M18" s="551">
        <f>+'[2]AVE 04-99'!O1404</f>
        <v>2450.7329719237473</v>
      </c>
      <c r="N18" s="551">
        <f>+'[2]AVE 04-99'!P1404</f>
        <v>4064.0924948257966</v>
      </c>
    </row>
    <row r="19" spans="1:14" ht="12" customHeight="1">
      <c r="A19" s="217" t="s">
        <v>31</v>
      </c>
      <c r="B19" s="550">
        <f t="shared" si="1"/>
        <v>942813.34677857126</v>
      </c>
      <c r="C19" s="551">
        <f>+'[2]AVE 04-99'!E1407</f>
        <v>73007.899177371582</v>
      </c>
      <c r="D19" s="551">
        <f>+'[2]AVE 04-99'!F1407</f>
        <v>67524.090440450149</v>
      </c>
      <c r="E19" s="551">
        <f>+'[2]AVE 04-99'!G1407</f>
        <v>74790.249435421298</v>
      </c>
      <c r="F19" s="551">
        <f>+'[2]AVE 04-99'!H1407</f>
        <v>75608.31861409772</v>
      </c>
      <c r="G19" s="551">
        <f>+'[2]AVE 04-99'!I1407</f>
        <v>79825.725108291503</v>
      </c>
      <c r="H19" s="551">
        <f>+'[2]AVE 04-99'!J1407</f>
        <v>81680.636893020564</v>
      </c>
      <c r="I19" s="551">
        <f>+'[2]AVE 04-99'!K1407</f>
        <v>83570.94509599192</v>
      </c>
      <c r="J19" s="551">
        <f>+'[2]AVE 04-99'!L1407</f>
        <v>85212.932685153675</v>
      </c>
      <c r="K19" s="551">
        <f>+'[2]AVE 04-99'!M1407</f>
        <v>81533.853945589202</v>
      </c>
      <c r="L19" s="551">
        <f>+'[2]AVE 04-99'!N1407</f>
        <v>80656.030732754531</v>
      </c>
      <c r="M19" s="551">
        <f>+'[2]AVE 04-99'!O1407</f>
        <v>76883.872043159092</v>
      </c>
      <c r="N19" s="551">
        <f>+'[2]AVE 04-99'!P1407</f>
        <v>82518.792607270079</v>
      </c>
    </row>
    <row r="20" spans="1:14" ht="12" customHeight="1">
      <c r="A20" s="269" t="s">
        <v>32</v>
      </c>
      <c r="B20" s="550">
        <f t="shared" si="1"/>
        <v>95536.056256287236</v>
      </c>
      <c r="C20" s="551">
        <f>+'[2]AVE 04-99'!E1410</f>
        <v>7576.060763817226</v>
      </c>
      <c r="D20" s="551">
        <f>+'[2]AVE 04-99'!F1410</f>
        <v>6957.8731500000004</v>
      </c>
      <c r="E20" s="551">
        <f>+'[2]AVE 04-99'!G1410</f>
        <v>7742.0727087982013</v>
      </c>
      <c r="F20" s="551">
        <f>+'[2]AVE 04-99'!H1410</f>
        <v>8999.9269153421646</v>
      </c>
      <c r="G20" s="551">
        <f>+'[2]AVE 04-99'!I1410</f>
        <v>8121.1537781673196</v>
      </c>
      <c r="H20" s="551">
        <f>+'[2]AVE 04-99'!J1410</f>
        <v>7918.5220420721207</v>
      </c>
      <c r="I20" s="551">
        <f>+'[2]AVE 04-99'!K1410</f>
        <v>7976.7483243972065</v>
      </c>
      <c r="J20" s="551">
        <f>+'[2]AVE 04-99'!L1410</f>
        <v>7949.8353866306616</v>
      </c>
      <c r="K20" s="551">
        <f>+'[2]AVE 04-99'!M1410</f>
        <v>7680.1013163359612</v>
      </c>
      <c r="L20" s="551">
        <f>+'[2]AVE 04-99'!N1410</f>
        <v>8215.1040996245811</v>
      </c>
      <c r="M20" s="551">
        <f>+'[2]AVE 04-99'!O1410</f>
        <v>8462.1690066250576</v>
      </c>
      <c r="N20" s="551">
        <f>+'[2]AVE 04-99'!P1410</f>
        <v>7936.4887644767114</v>
      </c>
    </row>
    <row r="21" spans="1:14" ht="12" customHeight="1">
      <c r="A21" s="269" t="s">
        <v>33</v>
      </c>
      <c r="B21" s="550">
        <f t="shared" si="1"/>
        <v>1319.9086933370509</v>
      </c>
      <c r="C21" s="551">
        <f>+'[2]AVE 04-99'!E1413</f>
        <v>93.951916968892746</v>
      </c>
      <c r="D21" s="551">
        <f>+'[2]AVE 04-99'!F1413</f>
        <v>84.957110999999998</v>
      </c>
      <c r="E21" s="551">
        <f>+'[2]AVE 04-99'!G1413</f>
        <v>88.670263310183415</v>
      </c>
      <c r="F21" s="551">
        <f>+'[2]AVE 04-99'!H1413</f>
        <v>106.61613287735105</v>
      </c>
      <c r="G21" s="551">
        <f>+'[2]AVE 04-99'!I1413</f>
        <v>102.39457939886285</v>
      </c>
      <c r="H21" s="551">
        <f>+'[2]AVE 04-99'!J1413</f>
        <v>136.37633617757299</v>
      </c>
      <c r="I21" s="551">
        <f>+'[2]AVE 04-99'!K1413</f>
        <v>139.62406904094701</v>
      </c>
      <c r="J21" s="551">
        <f>+'[2]AVE 04-99'!L1413</f>
        <v>113.1424280865041</v>
      </c>
      <c r="K21" s="551">
        <f>+'[2]AVE 04-99'!M1413</f>
        <v>96.62746379972522</v>
      </c>
      <c r="L21" s="551">
        <f>+'[2]AVE 04-99'!N1413</f>
        <v>115.02669714402001</v>
      </c>
      <c r="M21" s="551">
        <f>+'[2]AVE 04-99'!O1413</f>
        <v>113.77233429022739</v>
      </c>
      <c r="N21" s="551">
        <f>+'[2]AVE 04-99'!P1413</f>
        <v>128.74936124276397</v>
      </c>
    </row>
    <row r="22" spans="1:14" ht="12" customHeight="1">
      <c r="A22" s="269" t="s">
        <v>34</v>
      </c>
      <c r="B22" s="550">
        <f t="shared" si="1"/>
        <v>641.99827770009563</v>
      </c>
      <c r="C22" s="551">
        <f>+'[2]AVE 04-99'!E1416</f>
        <v>30.086389392721756</v>
      </c>
      <c r="D22" s="551">
        <f>+'[2]AVE 04-99'!F1416</f>
        <v>21.0028586</v>
      </c>
      <c r="E22" s="551">
        <f>+'[2]AVE 04-99'!G1416</f>
        <v>23.635104795378286</v>
      </c>
      <c r="F22" s="551">
        <f>+'[2]AVE 04-99'!H1416</f>
        <v>93.703726242116545</v>
      </c>
      <c r="G22" s="551">
        <f>+'[2]AVE 04-99'!I1416</f>
        <v>50.244208547266645</v>
      </c>
      <c r="H22" s="551">
        <f>+'[2]AVE 04-99'!J1416</f>
        <v>40.2702940408901</v>
      </c>
      <c r="I22" s="551">
        <f>+'[2]AVE 04-99'!K1416</f>
        <v>71.75207163105739</v>
      </c>
      <c r="J22" s="551">
        <f>+'[2]AVE 04-99'!L1416</f>
        <v>61.014700356103731</v>
      </c>
      <c r="K22" s="551">
        <f>+'[2]AVE 04-99'!M1416</f>
        <v>61.777221820709499</v>
      </c>
      <c r="L22" s="551">
        <f>+'[2]AVE 04-99'!N1416</f>
        <v>58.175452470178683</v>
      </c>
      <c r="M22" s="551">
        <f>+'[2]AVE 04-99'!O1416</f>
        <v>88.891815112943419</v>
      </c>
      <c r="N22" s="551">
        <f>+'[2]AVE 04-99'!P1416</f>
        <v>41.444434690729615</v>
      </c>
    </row>
    <row r="23" spans="1:14" ht="12" customHeight="1">
      <c r="A23" s="269" t="s">
        <v>35</v>
      </c>
      <c r="B23" s="550">
        <f t="shared" si="1"/>
        <v>11236.773660744451</v>
      </c>
      <c r="C23" s="551">
        <f>+'[2]AVE 04-99'!E1419</f>
        <v>904.86808876451028</v>
      </c>
      <c r="D23" s="551">
        <f>+'[2]AVE 04-99'!F1419</f>
        <v>891.08499211000003</v>
      </c>
      <c r="E23" s="551">
        <f>+'[2]AVE 04-99'!G1419</f>
        <v>1038.755122845072</v>
      </c>
      <c r="F23" s="551">
        <f>+'[2]AVE 04-99'!H1419</f>
        <v>1012.167504626213</v>
      </c>
      <c r="G23" s="551">
        <f>+'[2]AVE 04-99'!I1419</f>
        <v>946.26318514245963</v>
      </c>
      <c r="H23" s="551">
        <f>+'[2]AVE 04-99'!J1419</f>
        <v>852.14009699912731</v>
      </c>
      <c r="I23" s="551">
        <f>+'[2]AVE 04-99'!K1419</f>
        <v>901.51609728372819</v>
      </c>
      <c r="J23" s="551">
        <f>+'[2]AVE 04-99'!L1419</f>
        <v>961.65644318714692</v>
      </c>
      <c r="K23" s="551">
        <f>+'[2]AVE 04-99'!M1419</f>
        <v>935.59865735935409</v>
      </c>
      <c r="L23" s="551">
        <f>+'[2]AVE 04-99'!N1419</f>
        <v>916.7030492494082</v>
      </c>
      <c r="M23" s="551">
        <f>+'[2]AVE 04-99'!O1419</f>
        <v>894.48407984068149</v>
      </c>
      <c r="N23" s="551">
        <f>+'[2]AVE 04-99'!P1419</f>
        <v>981.53634333674961</v>
      </c>
    </row>
    <row r="24" spans="1:14" ht="12" customHeight="1">
      <c r="A24" s="269" t="s">
        <v>36</v>
      </c>
      <c r="B24" s="550">
        <f t="shared" si="1"/>
        <v>1008.872116298321</v>
      </c>
      <c r="C24" s="551">
        <f>+'[2]AVE 04-99'!E1422</f>
        <v>84.604786120514575</v>
      </c>
      <c r="D24" s="551">
        <f>+'[2]AVE 04-99'!F1422</f>
        <v>86.659653000000006</v>
      </c>
      <c r="E24" s="551">
        <f>+'[2]AVE 04-99'!G1422</f>
        <v>81.518253034317482</v>
      </c>
      <c r="F24" s="551">
        <f>+'[2]AVE 04-99'!H1422</f>
        <v>92.944413359545109</v>
      </c>
      <c r="G24" s="551">
        <f>+'[2]AVE 04-99'!I1422</f>
        <v>82.480908520897188</v>
      </c>
      <c r="H24" s="551">
        <f>+'[2]AVE 04-99'!J1422</f>
        <v>82.015630732326699</v>
      </c>
      <c r="I24" s="551">
        <f>+'[2]AVE 04-99'!K1422</f>
        <v>85.473895436639197</v>
      </c>
      <c r="J24" s="551">
        <f>+'[2]AVE 04-99'!L1422</f>
        <v>87.582842609262386</v>
      </c>
      <c r="K24" s="551">
        <f>+'[2]AVE 04-99'!M1422</f>
        <v>72.876638334175794</v>
      </c>
      <c r="L24" s="551">
        <f>+'[2]AVE 04-99'!N1422</f>
        <v>73.133979035487897</v>
      </c>
      <c r="M24" s="551">
        <f>+'[2]AVE 04-99'!O1422</f>
        <v>81.417326704257604</v>
      </c>
      <c r="N24" s="551">
        <f>+'[2]AVE 04-99'!P1422</f>
        <v>98.163789410897166</v>
      </c>
    </row>
    <row r="25" spans="1:14" ht="12" customHeight="1">
      <c r="A25" s="217" t="s">
        <v>37</v>
      </c>
      <c r="B25" s="550">
        <f t="shared" si="1"/>
        <v>168941.15697256586</v>
      </c>
      <c r="C25" s="551">
        <f>+'[2]AVE 04-99'!E1425</f>
        <v>13499.677187474195</v>
      </c>
      <c r="D25" s="551">
        <f>+'[2]AVE 04-99'!F1425</f>
        <v>12401.3384726514</v>
      </c>
      <c r="E25" s="551">
        <f>+'[2]AVE 04-99'!G1425</f>
        <v>13133.765053169231</v>
      </c>
      <c r="F25" s="551">
        <f>+'[2]AVE 04-99'!H1425</f>
        <v>14069.639831720293</v>
      </c>
      <c r="G25" s="551">
        <f>+'[2]AVE 04-99'!I1425</f>
        <v>15094.82961397997</v>
      </c>
      <c r="H25" s="551">
        <f>+'[2]AVE 04-99'!J1425</f>
        <v>14027.480251231585</v>
      </c>
      <c r="I25" s="551">
        <f>+'[2]AVE 04-99'!K1425</f>
        <v>15224.580739321604</v>
      </c>
      <c r="J25" s="551">
        <f>+'[2]AVE 04-99'!L1425</f>
        <v>14836.064210195436</v>
      </c>
      <c r="K25" s="551">
        <f>+'[2]AVE 04-99'!M1425</f>
        <v>13386.592620727428</v>
      </c>
      <c r="L25" s="551">
        <f>+'[2]AVE 04-99'!N1425</f>
        <v>14471.409136344011</v>
      </c>
      <c r="M25" s="551">
        <f>+'[2]AVE 04-99'!O1425</f>
        <v>13945.410968041468</v>
      </c>
      <c r="N25" s="551">
        <f>+'[2]AVE 04-99'!P1425</f>
        <v>14850.368887709243</v>
      </c>
    </row>
    <row r="26" spans="1:14" ht="12" customHeight="1">
      <c r="A26" s="269" t="s">
        <v>38</v>
      </c>
      <c r="B26" s="550">
        <f t="shared" si="1"/>
        <v>197.5753134885062</v>
      </c>
      <c r="C26" s="551">
        <f>+'[2]AVE 04-99'!E1428</f>
        <v>13.130524286398002</v>
      </c>
      <c r="D26" s="551">
        <f>+'[2]AVE 04-99'!F1428</f>
        <v>13.7286</v>
      </c>
      <c r="E26" s="551">
        <f>+'[2]AVE 04-99'!G1428</f>
        <v>12.443059183892744</v>
      </c>
      <c r="F26" s="551">
        <f>+'[2]AVE 04-99'!H1428</f>
        <v>14.424820779809323</v>
      </c>
      <c r="G26" s="551">
        <f>+'[2]AVE 04-99'!I1428</f>
        <v>12.414196929446055</v>
      </c>
      <c r="H26" s="551">
        <f>+'[2]AVE 04-99'!J1428</f>
        <v>11.346176977578418</v>
      </c>
      <c r="I26" s="551">
        <f>+'[2]AVE 04-99'!K1428</f>
        <v>24.424468734863911</v>
      </c>
      <c r="J26" s="551">
        <f>+'[2]AVE 04-99'!L1428</f>
        <v>23.935308116076776</v>
      </c>
      <c r="K26" s="551">
        <f>+'[2]AVE 04-99'!M1428</f>
        <v>15.252156502053268</v>
      </c>
      <c r="L26" s="551">
        <f>+'[2]AVE 04-99'!N1428</f>
        <v>17.406147862081546</v>
      </c>
      <c r="M26" s="551">
        <f>+'[2]AVE 04-99'!O1428</f>
        <v>23.818970974523751</v>
      </c>
      <c r="N26" s="551">
        <f>+'[2]AVE 04-99'!P1428</f>
        <v>15.250883141782426</v>
      </c>
    </row>
    <row r="27" spans="1:14" ht="12" customHeight="1">
      <c r="A27" s="269" t="s">
        <v>39</v>
      </c>
      <c r="B27" s="550">
        <f t="shared" si="1"/>
        <v>20226.654199608467</v>
      </c>
      <c r="C27" s="551">
        <f>+'[2]AVE 04-99'!E1431</f>
        <v>1778.4172277443565</v>
      </c>
      <c r="D27" s="551">
        <f>+'[2]AVE 04-99'!F1431</f>
        <v>1538.9736</v>
      </c>
      <c r="E27" s="551">
        <f>+'[2]AVE 04-99'!G1431</f>
        <v>1658.4135539654958</v>
      </c>
      <c r="F27" s="551">
        <f>+'[2]AVE 04-99'!H1431</f>
        <v>1746.7991941377948</v>
      </c>
      <c r="G27" s="551">
        <f>+'[2]AVE 04-99'!I1431</f>
        <v>1786.9875412419669</v>
      </c>
      <c r="H27" s="551">
        <f>+'[2]AVE 04-99'!J1431</f>
        <v>1722.2176906577336</v>
      </c>
      <c r="I27" s="551">
        <f>+'[2]AVE 04-99'!K1431</f>
        <v>1752.3378723665257</v>
      </c>
      <c r="J27" s="551">
        <f>+'[2]AVE 04-99'!L1431</f>
        <v>1776.0178748338915</v>
      </c>
      <c r="K27" s="551">
        <f>+'[2]AVE 04-99'!M1431</f>
        <v>1461.6411163373339</v>
      </c>
      <c r="L27" s="551">
        <f>+'[2]AVE 04-99'!N1431</f>
        <v>1682.9161330549905</v>
      </c>
      <c r="M27" s="551">
        <f>+'[2]AVE 04-99'!O1431</f>
        <v>1580.3304698465884</v>
      </c>
      <c r="N27" s="551">
        <f>+'[2]AVE 04-99'!P1431</f>
        <v>1741.6019254217883</v>
      </c>
    </row>
    <row r="28" spans="1:14" ht="12" customHeight="1">
      <c r="A28" s="269" t="s">
        <v>40</v>
      </c>
      <c r="B28" s="550">
        <f t="shared" si="1"/>
        <v>1103.6316454878115</v>
      </c>
      <c r="C28" s="551">
        <f>+'[2]AVE 04-99'!E1434</f>
        <v>76.414599781689603</v>
      </c>
      <c r="D28" s="551">
        <f>+'[2]AVE 04-99'!F1434</f>
        <v>74.419961973699998</v>
      </c>
      <c r="E28" s="551">
        <f>+'[2]AVE 04-99'!G1434</f>
        <v>90.867957914454607</v>
      </c>
      <c r="F28" s="551">
        <f>+'[2]AVE 04-99'!H1434</f>
        <v>106.31858815856224</v>
      </c>
      <c r="G28" s="551">
        <f>+'[2]AVE 04-99'!I1434</f>
        <v>86.863584930696604</v>
      </c>
      <c r="H28" s="551">
        <f>+'[2]AVE 04-99'!J1434</f>
        <v>85.520212918230499</v>
      </c>
      <c r="I28" s="551">
        <f>+'[2]AVE 04-99'!K1434</f>
        <v>96.211379912790349</v>
      </c>
      <c r="J28" s="551">
        <f>+'[2]AVE 04-99'!L1434</f>
        <v>92.496463716726211</v>
      </c>
      <c r="K28" s="551">
        <f>+'[2]AVE 04-99'!M1434</f>
        <v>83.446087053730508</v>
      </c>
      <c r="L28" s="551">
        <f>+'[2]AVE 04-99'!N1434</f>
        <v>86.892438751422006</v>
      </c>
      <c r="M28" s="551">
        <f>+'[2]AVE 04-99'!O1434</f>
        <v>91.501079803074603</v>
      </c>
      <c r="N28" s="551">
        <f>+'[2]AVE 04-99'!P1434</f>
        <v>132.6792905727342</v>
      </c>
    </row>
    <row r="29" spans="1:14" ht="12" customHeight="1">
      <c r="A29" s="217" t="s">
        <v>41</v>
      </c>
      <c r="B29" s="550">
        <f t="shared" si="1"/>
        <v>814.11887305307698</v>
      </c>
      <c r="C29" s="551">
        <f>+'[2]AVE 04-99'!E1437</f>
        <v>62.615298371095697</v>
      </c>
      <c r="D29" s="551">
        <f>+'[2]AVE 04-99'!F1437</f>
        <v>56.097051999999998</v>
      </c>
      <c r="E29" s="551">
        <f>+'[2]AVE 04-99'!G1437</f>
        <v>68.938151788970004</v>
      </c>
      <c r="F29" s="551">
        <f>+'[2]AVE 04-99'!H1437</f>
        <v>87.463103931331446</v>
      </c>
      <c r="G29" s="551">
        <f>+'[2]AVE 04-99'!I1437</f>
        <v>69.401506607864349</v>
      </c>
      <c r="H29" s="551">
        <f>+'[2]AVE 04-99'!J1437</f>
        <v>69.646300021167534</v>
      </c>
      <c r="I29" s="551">
        <f>+'[2]AVE 04-99'!K1437</f>
        <v>70.4644120235738</v>
      </c>
      <c r="J29" s="551">
        <f>+'[2]AVE 04-99'!L1437</f>
        <v>61.614883612411006</v>
      </c>
      <c r="K29" s="551">
        <f>+'[2]AVE 04-99'!M1437</f>
        <v>64.408165554631708</v>
      </c>
      <c r="L29" s="551">
        <f>+'[2]AVE 04-99'!N1437</f>
        <v>67.075952714677001</v>
      </c>
      <c r="M29" s="551">
        <f>+'[2]AVE 04-99'!O1437</f>
        <v>66.3483722035499</v>
      </c>
      <c r="N29" s="551">
        <f>+'[2]AVE 04-99'!P1437</f>
        <v>70.045674223804667</v>
      </c>
    </row>
    <row r="30" spans="1:14" ht="12" customHeight="1">
      <c r="A30" s="271" t="s">
        <v>104</v>
      </c>
      <c r="B30" s="550">
        <f t="shared" si="1"/>
        <v>494.95280091326617</v>
      </c>
      <c r="C30" s="551">
        <f>+'[2]AVE 04-99'!E1440</f>
        <v>37.769179022657397</v>
      </c>
      <c r="D30" s="551">
        <f>+'[2]AVE 04-99'!F1440</f>
        <v>34.187441999999997</v>
      </c>
      <c r="E30" s="551">
        <f>+'[2]AVE 04-99'!G1440</f>
        <v>44.516491073381999</v>
      </c>
      <c r="F30" s="551">
        <f>+'[2]AVE 04-99'!H1440</f>
        <v>52.477862358798866</v>
      </c>
      <c r="G30" s="551">
        <f>+'[2]AVE 04-99'!I1440</f>
        <v>40.440903964718601</v>
      </c>
      <c r="H30" s="551">
        <f>+'[2]AVE 04-99'!J1440</f>
        <v>40.987780012700497</v>
      </c>
      <c r="I30" s="551">
        <f>+'[2]AVE 04-99'!K1440</f>
        <v>41.558647214144301</v>
      </c>
      <c r="J30" s="551">
        <f>+'[2]AVE 04-99'!L1440</f>
        <v>37.878354167446602</v>
      </c>
      <c r="K30" s="551">
        <f>+'[2]AVE 04-99'!M1440</f>
        <v>40.492819332779</v>
      </c>
      <c r="L30" s="551">
        <f>+'[2]AVE 04-99'!N1440</f>
        <v>41.445571628806199</v>
      </c>
      <c r="M30" s="551">
        <f>+'[2]AVE 04-99'!O1440</f>
        <v>41.170345603549897</v>
      </c>
      <c r="N30" s="551">
        <f>+'[2]AVE 04-99'!P1440</f>
        <v>42.027404534282802</v>
      </c>
    </row>
    <row r="31" spans="1:14" ht="12" customHeight="1">
      <c r="A31" s="271" t="s">
        <v>105</v>
      </c>
      <c r="B31" s="550">
        <f t="shared" si="1"/>
        <v>319.16607213981086</v>
      </c>
      <c r="C31" s="551">
        <f>+'[2]AVE 04-99'!E1443</f>
        <v>24.8461193484383</v>
      </c>
      <c r="D31" s="551">
        <f>+'[2]AVE 04-99'!F1443</f>
        <v>21.909610000000001</v>
      </c>
      <c r="E31" s="551">
        <f>+'[2]AVE 04-99'!G1443</f>
        <v>24.421660715588001</v>
      </c>
      <c r="F31" s="551">
        <f>+'[2]AVE 04-99'!H1443</f>
        <v>34.98524157253258</v>
      </c>
      <c r="G31" s="551">
        <f>+'[2]AVE 04-99'!I1443</f>
        <v>28.960602643145748</v>
      </c>
      <c r="H31" s="551">
        <f>+'[2]AVE 04-99'!J1443</f>
        <v>28.658520008467033</v>
      </c>
      <c r="I31" s="551">
        <f>+'[2]AVE 04-99'!K1443</f>
        <v>28.905764809429499</v>
      </c>
      <c r="J31" s="551">
        <f>+'[2]AVE 04-99'!L1443</f>
        <v>23.7365294449644</v>
      </c>
      <c r="K31" s="551">
        <f>+'[2]AVE 04-99'!M1443</f>
        <v>23.915346221852701</v>
      </c>
      <c r="L31" s="551">
        <f>+'[2]AVE 04-99'!N1443</f>
        <v>25.630381085870798</v>
      </c>
      <c r="M31" s="551">
        <f>+'[2]AVE 04-99'!O1443</f>
        <v>25.178026599999999</v>
      </c>
      <c r="N31" s="551">
        <f>+'[2]AVE 04-99'!P1443</f>
        <v>28.018269689521869</v>
      </c>
    </row>
    <row r="32" spans="1:14" ht="12" customHeight="1">
      <c r="A32" s="269" t="s">
        <v>44</v>
      </c>
      <c r="B32" s="550">
        <f t="shared" si="1"/>
        <v>4057.5674204861743</v>
      </c>
      <c r="C32" s="551">
        <f>+'[2]AVE 04-99'!E1446</f>
        <v>257.00299103673905</v>
      </c>
      <c r="D32" s="551">
        <f>+'[2]AVE 04-99'!F1446</f>
        <v>263.79083591428599</v>
      </c>
      <c r="E32" s="551">
        <f>+'[2]AVE 04-99'!G1446</f>
        <v>287.60815521703171</v>
      </c>
      <c r="F32" s="551">
        <f>+'[2]AVE 04-99'!H1446</f>
        <v>303.5596874482402</v>
      </c>
      <c r="G32" s="551">
        <f>+'[2]AVE 04-99'!I1446</f>
        <v>304.72386971341683</v>
      </c>
      <c r="H32" s="551">
        <f>+'[2]AVE 04-99'!J1446</f>
        <v>377.82952288630997</v>
      </c>
      <c r="I32" s="551">
        <f>+'[2]AVE 04-99'!K1446</f>
        <v>367.61679699054184</v>
      </c>
      <c r="J32" s="551">
        <f>+'[2]AVE 04-99'!L1446</f>
        <v>342.99964829473032</v>
      </c>
      <c r="K32" s="551">
        <f>+'[2]AVE 04-99'!M1446</f>
        <v>402.93596253358101</v>
      </c>
      <c r="L32" s="551">
        <f>+'[2]AVE 04-99'!N1446</f>
        <v>380.11826368161894</v>
      </c>
      <c r="M32" s="551">
        <f>+'[2]AVE 04-99'!O1446</f>
        <v>393.28587811444004</v>
      </c>
      <c r="N32" s="551">
        <f>+'[2]AVE 04-99'!P1446</f>
        <v>376.09580865523844</v>
      </c>
    </row>
    <row r="33" spans="1:14" ht="12" customHeight="1">
      <c r="A33" s="269" t="s">
        <v>45</v>
      </c>
      <c r="B33" s="550">
        <f t="shared" si="1"/>
        <v>2686.0480783858047</v>
      </c>
      <c r="C33" s="551">
        <f>+'[2]AVE 04-99'!E1449</f>
        <v>203.93033648903335</v>
      </c>
      <c r="D33" s="551">
        <f>+'[2]AVE 04-99'!F1449</f>
        <v>205.504717</v>
      </c>
      <c r="E33" s="551">
        <f>+'[2]AVE 04-99'!G1449</f>
        <v>181.93485224662371</v>
      </c>
      <c r="F33" s="551">
        <f>+'[2]AVE 04-99'!H1449</f>
        <v>222.0864039352237</v>
      </c>
      <c r="G33" s="551">
        <f>+'[2]AVE 04-99'!I1449</f>
        <v>244.36913845519132</v>
      </c>
      <c r="H33" s="551">
        <f>+'[2]AVE 04-99'!J1449</f>
        <v>227.40872716235998</v>
      </c>
      <c r="I33" s="551">
        <f>+'[2]AVE 04-99'!K1449</f>
        <v>233.37501152951901</v>
      </c>
      <c r="J33" s="551">
        <f>+'[2]AVE 04-99'!L1449</f>
        <v>261.95727419934707</v>
      </c>
      <c r="K33" s="551">
        <f>+'[2]AVE 04-99'!M1449</f>
        <v>236.79648176984119</v>
      </c>
      <c r="L33" s="551">
        <f>+'[2]AVE 04-99'!N1449</f>
        <v>224.41115423535845</v>
      </c>
      <c r="M33" s="551">
        <f>+'[2]AVE 04-99'!O1449</f>
        <v>222.23034328070801</v>
      </c>
      <c r="N33" s="551">
        <f>+'[2]AVE 04-99'!P1449</f>
        <v>222.04363808259922</v>
      </c>
    </row>
    <row r="34" spans="1:14" ht="12" customHeight="1">
      <c r="A34" s="217" t="s">
        <v>46</v>
      </c>
      <c r="B34" s="550">
        <f t="shared" si="1"/>
        <v>40421.136187124866</v>
      </c>
      <c r="C34" s="551">
        <f>+'[2]AVE 04-99'!E1452</f>
        <v>3285.4996982693506</v>
      </c>
      <c r="D34" s="551">
        <f>+'[2]AVE 04-99'!F1452</f>
        <v>3117.3272999999999</v>
      </c>
      <c r="E34" s="551">
        <f>+'[2]AVE 04-99'!G1452</f>
        <v>3164.8266169061103</v>
      </c>
      <c r="F34" s="551">
        <f>+'[2]AVE 04-99'!H1452</f>
        <v>3504.2938328231367</v>
      </c>
      <c r="G34" s="551">
        <f>+'[2]AVE 04-99'!I1452</f>
        <v>3567.7256675567805</v>
      </c>
      <c r="H34" s="551">
        <f>+'[2]AVE 04-99'!J1452</f>
        <v>3253.2465566317064</v>
      </c>
      <c r="I34" s="551">
        <f>+'[2]AVE 04-99'!K1452</f>
        <v>3630.6207354900216</v>
      </c>
      <c r="J34" s="551">
        <f>+'[2]AVE 04-99'!L1452</f>
        <v>3572.1558851859318</v>
      </c>
      <c r="K34" s="551">
        <f>+'[2]AVE 04-99'!M1452</f>
        <v>3394.8546473400429</v>
      </c>
      <c r="L34" s="551">
        <f>+'[2]AVE 04-99'!N1452</f>
        <v>3240.2647358843415</v>
      </c>
      <c r="M34" s="551">
        <f>+'[2]AVE 04-99'!O1452</f>
        <v>3090.0312952820755</v>
      </c>
      <c r="N34" s="551">
        <f>+'[2]AVE 04-99'!P1452</f>
        <v>3600.2892157553711</v>
      </c>
    </row>
    <row r="35" spans="1:14" ht="12" customHeight="1">
      <c r="A35" s="217" t="s">
        <v>47</v>
      </c>
      <c r="B35" s="550">
        <f t="shared" si="1"/>
        <v>26872.718854253861</v>
      </c>
      <c r="C35" s="551">
        <f>+'[2]AVE 04-99'!E1455</f>
        <v>2024.389387309086</v>
      </c>
      <c r="D35" s="551">
        <f>+'[2]AVE 04-99'!F1455</f>
        <v>1797.3480999999999</v>
      </c>
      <c r="E35" s="551">
        <f>+'[2]AVE 04-99'!G1455</f>
        <v>2065.5228728798807</v>
      </c>
      <c r="F35" s="551">
        <f>+'[2]AVE 04-99'!H1455</f>
        <v>2093.3006063906191</v>
      </c>
      <c r="G35" s="551">
        <f>+'[2]AVE 04-99'!I1455</f>
        <v>1987.3583329036312</v>
      </c>
      <c r="H35" s="551">
        <f>+'[2]AVE 04-99'!J1455</f>
        <v>2045.7118184935257</v>
      </c>
      <c r="I35" s="551">
        <f>+'[2]AVE 04-99'!K1455</f>
        <v>2171.8254780332582</v>
      </c>
      <c r="J35" s="551">
        <f>+'[2]AVE 04-99'!L1455</f>
        <v>2377.6763372931064</v>
      </c>
      <c r="K35" s="551">
        <f>+'[2]AVE 04-99'!M1455</f>
        <v>2386.8937581452947</v>
      </c>
      <c r="L35" s="551">
        <f>+'[2]AVE 04-99'!N1455</f>
        <v>2390.1612657195114</v>
      </c>
      <c r="M35" s="551">
        <f>+'[2]AVE 04-99'!O1455</f>
        <v>2317.1384625555775</v>
      </c>
      <c r="N35" s="551">
        <f>+'[2]AVE 04-99'!P1455</f>
        <v>3215.3924345303717</v>
      </c>
    </row>
    <row r="36" spans="1:14" ht="12" customHeight="1">
      <c r="A36" s="217" t="s">
        <v>48</v>
      </c>
      <c r="B36" s="550">
        <f t="shared" si="1"/>
        <v>15749.991063769909</v>
      </c>
      <c r="C36" s="551">
        <f>+'[2]AVE 04-99'!E1458</f>
        <v>856.07183566566925</v>
      </c>
      <c r="D36" s="551">
        <f>+'[2]AVE 04-99'!F1458</f>
        <v>589.84185549959216</v>
      </c>
      <c r="E36" s="551">
        <f>+'[2]AVE 04-99'!G1458</f>
        <v>1048.1337904179197</v>
      </c>
      <c r="F36" s="551">
        <f>+'[2]AVE 04-99'!H1458</f>
        <v>1331.8428193102541</v>
      </c>
      <c r="G36" s="551">
        <f>+'[2]AVE 04-99'!I1458</f>
        <v>1243.3620562512569</v>
      </c>
      <c r="H36" s="551">
        <f>+'[2]AVE 04-99'!J1458</f>
        <v>1344.9298159487635</v>
      </c>
      <c r="I36" s="551">
        <f>+'[2]AVE 04-99'!K1458</f>
        <v>1324.3961289363069</v>
      </c>
      <c r="J36" s="551">
        <f>+'[2]AVE 04-99'!L1458</f>
        <v>1708.9670176541842</v>
      </c>
      <c r="K36" s="551">
        <f>+'[2]AVE 04-99'!M1458</f>
        <v>1287.8603567137479</v>
      </c>
      <c r="L36" s="551">
        <f>+'[2]AVE 04-99'!N1458</f>
        <v>1945.3863067123043</v>
      </c>
      <c r="M36" s="551">
        <f>+'[2]AVE 04-99'!O1458</f>
        <v>1266.6403236673552</v>
      </c>
      <c r="N36" s="551">
        <f>+'[2]AVE 04-99'!P1458</f>
        <v>1802.5587569925533</v>
      </c>
    </row>
    <row r="37" spans="1:14" ht="12" customHeight="1" thickBot="1">
      <c r="A37" s="272" t="s">
        <v>49</v>
      </c>
      <c r="B37" s="552">
        <f t="shared" si="1"/>
        <v>9718.9976631339359</v>
      </c>
      <c r="C37" s="553">
        <f>+'[2]AVE 04-99'!E1461</f>
        <v>791.65869349615332</v>
      </c>
      <c r="D37" s="553">
        <f>+'[2]AVE 04-99'!F1461</f>
        <v>625.85040000000004</v>
      </c>
      <c r="E37" s="553">
        <f>+'[2]AVE 04-99'!G1461</f>
        <v>726.34835549582522</v>
      </c>
      <c r="F37" s="553">
        <f>+'[2]AVE 04-99'!H1461</f>
        <v>759.92959118839133</v>
      </c>
      <c r="G37" s="553">
        <f>+'[2]AVE 04-99'!I1461</f>
        <v>795.71491897541034</v>
      </c>
      <c r="H37" s="553">
        <f>+'[2]AVE 04-99'!J1461</f>
        <v>715.96919985390184</v>
      </c>
      <c r="I37" s="553">
        <f>+'[2]AVE 04-99'!K1461</f>
        <v>851.38185712561892</v>
      </c>
      <c r="J37" s="553">
        <f>+'[2]AVE 04-99'!L1461</f>
        <v>930.60257971505371</v>
      </c>
      <c r="K37" s="553">
        <f>+'[2]AVE 04-99'!M1461</f>
        <v>739.79247932487465</v>
      </c>
      <c r="L37" s="553">
        <f>+'[2]AVE 04-99'!N1461</f>
        <v>857.14906847719408</v>
      </c>
      <c r="M37" s="553">
        <f>+'[2]AVE 04-99'!O1461</f>
        <v>769.48576166744442</v>
      </c>
      <c r="N37" s="553">
        <f>+'[2]AVE 04-99'!P1461</f>
        <v>1155.1147578140678</v>
      </c>
    </row>
    <row r="38" spans="1:14" ht="10" customHeight="1">
      <c r="A38" s="28" t="s">
        <v>238</v>
      </c>
      <c r="B38" s="536"/>
      <c r="C38" s="536"/>
      <c r="D38" s="536"/>
      <c r="E38" s="536"/>
      <c r="F38" s="536"/>
    </row>
    <row r="39" spans="1:14" ht="10" customHeight="1">
      <c r="A39" s="28" t="s">
        <v>192</v>
      </c>
      <c r="B39" s="536"/>
      <c r="C39" s="536"/>
      <c r="D39" s="536"/>
      <c r="E39" s="536"/>
      <c r="F39" s="536"/>
    </row>
    <row r="40" spans="1:14" ht="10" customHeight="1">
      <c r="A40" s="40" t="s">
        <v>261</v>
      </c>
      <c r="B40" s="536"/>
      <c r="C40" s="536"/>
      <c r="D40" s="536"/>
      <c r="E40" s="536"/>
      <c r="F40" s="536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Hoja53">
    <tabColor theme="9" tint="0.59999389629810485"/>
  </sheetPr>
  <dimension ref="A4:N5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14" ht="13" customHeight="1">
      <c r="A4" s="511" t="s">
        <v>388</v>
      </c>
      <c r="B4" s="507"/>
    </row>
    <row r="5" spans="1:14" ht="13" customHeight="1">
      <c r="A5" s="514" t="s">
        <v>595</v>
      </c>
      <c r="B5" s="507"/>
    </row>
    <row r="6" spans="1:14" ht="5" customHeight="1" thickBot="1"/>
    <row r="7" spans="1:14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</row>
    <row r="8" spans="1:14" ht="15" customHeight="1">
      <c r="A8" s="535" t="s">
        <v>100</v>
      </c>
      <c r="B8" s="554">
        <f>('C-51'!B8/'C-50'!B8)*1000</f>
        <v>2.2412515024846034</v>
      </c>
      <c r="C8" s="554">
        <f>('C-51'!C8/'C-50'!C8)*1000</f>
        <v>2.1686558797870727</v>
      </c>
      <c r="D8" s="554">
        <f>('C-51'!D8/'C-50'!D8)*1000</f>
        <v>2.0983584273328688</v>
      </c>
      <c r="E8" s="554">
        <f>('C-51'!E8/'C-50'!E8)*1000</f>
        <v>2.1647980388647894</v>
      </c>
      <c r="F8" s="554">
        <f>('C-51'!F8/'C-50'!F8)*1000</f>
        <v>2.1744881096191038</v>
      </c>
      <c r="G8" s="554">
        <f>('C-51'!G8/'C-50'!G8)*1000</f>
        <v>2.2192075775252205</v>
      </c>
      <c r="H8" s="554">
        <f>('C-51'!H8/'C-50'!H8)*1000</f>
        <v>2.3336913657148459</v>
      </c>
      <c r="I8" s="554">
        <f>('C-51'!I8/'C-50'!I8)*1000</f>
        <v>2.3216155929874578</v>
      </c>
      <c r="J8" s="554">
        <f>('C-51'!J8/'C-50'!J8)*1000</f>
        <v>2.3431178107374366</v>
      </c>
      <c r="K8" s="554">
        <f>('C-51'!K8/'C-50'!K8)*1000</f>
        <v>2.344061872685987</v>
      </c>
      <c r="L8" s="554">
        <f>('C-51'!L8/'C-50'!L8)*1000</f>
        <v>2.2406879451888262</v>
      </c>
      <c r="M8" s="554">
        <f>('C-51'!M8/'C-50'!M8)*1000</f>
        <v>2.2167333502187763</v>
      </c>
      <c r="N8" s="554">
        <f>('C-51'!N8/'C-50'!N8)*1000</f>
        <v>2.2579124946970275</v>
      </c>
    </row>
    <row r="9" spans="1:14" ht="12" customHeight="1">
      <c r="A9" s="269" t="s">
        <v>21</v>
      </c>
      <c r="B9" s="555">
        <f>('C-51'!B9/'C-50'!B9)*1000</f>
        <v>2.2295682914618733</v>
      </c>
      <c r="C9" s="556">
        <f>('C-51'!C9/'C-50'!C9)*1000</f>
        <v>1.9477640323257774</v>
      </c>
      <c r="D9" s="556">
        <f>('C-51'!D9/'C-50'!D9)*1000</f>
        <v>1.8519141058394162</v>
      </c>
      <c r="E9" s="556">
        <f>('C-51'!E9/'C-50'!E9)*1000</f>
        <v>2.0362172910280791</v>
      </c>
      <c r="F9" s="556">
        <f>('C-51'!F9/'C-50'!F9)*1000</f>
        <v>2.087630876981954</v>
      </c>
      <c r="G9" s="556">
        <f>('C-51'!G9/'C-50'!G9)*1000</f>
        <v>1.9542913064617304</v>
      </c>
      <c r="H9" s="556">
        <f>('C-51'!H9/'C-50'!H9)*1000</f>
        <v>2.1351100743849023</v>
      </c>
      <c r="I9" s="556">
        <f>('C-51'!I9/'C-50'!I9)*1000</f>
        <v>2.0435539393955295</v>
      </c>
      <c r="J9" s="556">
        <f>('C-51'!J9/'C-50'!J9)*1000</f>
        <v>2.0678323905466351</v>
      </c>
      <c r="K9" s="556">
        <f>('C-51'!K9/'C-50'!K9)*1000</f>
        <v>2.2229868912540871</v>
      </c>
      <c r="L9" s="556">
        <f>('C-51'!L9/'C-50'!L9)*1000</f>
        <v>2.1159378174130379</v>
      </c>
      <c r="M9" s="556">
        <f>('C-51'!M9/'C-50'!M9)*1000</f>
        <v>2.5054535071211141</v>
      </c>
      <c r="N9" s="556">
        <f>('C-51'!N9/'C-50'!N9)*1000</f>
        <v>2.4590131982948535</v>
      </c>
    </row>
    <row r="10" spans="1:14" ht="12" customHeight="1">
      <c r="A10" s="269" t="s">
        <v>22</v>
      </c>
      <c r="B10" s="555">
        <f>('C-51'!B10/'C-50'!B10)*1000</f>
        <v>2.2357237219791077</v>
      </c>
      <c r="C10" s="556">
        <f>('C-51'!C10/'C-50'!C10)*1000</f>
        <v>2.2105939415086264</v>
      </c>
      <c r="D10" s="556">
        <f>('C-51'!D10/'C-50'!D10)*1000</f>
        <v>2.026212260069181</v>
      </c>
      <c r="E10" s="556">
        <f>('C-51'!E10/'C-50'!E10)*1000</f>
        <v>2.1273013500120395</v>
      </c>
      <c r="F10" s="556">
        <f>('C-51'!F10/'C-50'!F10)*1000</f>
        <v>2.2495623742267896</v>
      </c>
      <c r="G10" s="556">
        <f>('C-51'!G10/'C-50'!G10)*1000</f>
        <v>2.2405018398544287</v>
      </c>
      <c r="H10" s="556">
        <f>('C-51'!H10/'C-50'!H10)*1000</f>
        <v>2.2148022301027086</v>
      </c>
      <c r="I10" s="556">
        <f>('C-51'!I10/'C-50'!I10)*1000</f>
        <v>2.2539796789879181</v>
      </c>
      <c r="J10" s="556">
        <f>('C-51'!J10/'C-50'!J10)*1000</f>
        <v>2.3397365071778751</v>
      </c>
      <c r="K10" s="556">
        <f>('C-51'!K10/'C-50'!K10)*1000</f>
        <v>2.2949999395210212</v>
      </c>
      <c r="L10" s="556">
        <f>('C-51'!L10/'C-50'!L10)*1000</f>
        <v>2.299144482929699</v>
      </c>
      <c r="M10" s="556">
        <f>('C-51'!M10/'C-50'!M10)*1000</f>
        <v>2.2679210159399252</v>
      </c>
      <c r="N10" s="556">
        <f>('C-51'!N10/'C-50'!N10)*1000</f>
        <v>2.2986504098197962</v>
      </c>
    </row>
    <row r="11" spans="1:14" ht="12" customHeight="1">
      <c r="A11" s="269" t="s">
        <v>23</v>
      </c>
      <c r="B11" s="555">
        <f>('C-51'!B11/'C-50'!B11)*1000</f>
        <v>2.1820392952482486</v>
      </c>
      <c r="C11" s="556">
        <f>('C-51'!C11/'C-50'!C11)*1000</f>
        <v>2.1133405557522265</v>
      </c>
      <c r="D11" s="556">
        <f>('C-51'!D11/'C-50'!D11)*1000</f>
        <v>2.0069540440814531</v>
      </c>
      <c r="E11" s="556">
        <f>('C-51'!E11/'C-50'!E11)*1000</f>
        <v>2.092125825321745</v>
      </c>
      <c r="F11" s="556">
        <f>('C-51'!F11/'C-50'!F11)*1000</f>
        <v>2.0165209515286309</v>
      </c>
      <c r="G11" s="556">
        <f>('C-51'!G11/'C-50'!G11)*1000</f>
        <v>2.1105573763401346</v>
      </c>
      <c r="H11" s="556">
        <f>('C-51'!H11/'C-50'!H11)*1000</f>
        <v>2.2438348974466318</v>
      </c>
      <c r="I11" s="556">
        <f>('C-51'!I11/'C-50'!I11)*1000</f>
        <v>2.2996321669358259</v>
      </c>
      <c r="J11" s="556">
        <f>('C-51'!J11/'C-50'!J11)*1000</f>
        <v>2.3002254355825666</v>
      </c>
      <c r="K11" s="556">
        <f>('C-51'!K11/'C-50'!K11)*1000</f>
        <v>2.2943992736102357</v>
      </c>
      <c r="L11" s="556">
        <f>('C-51'!L11/'C-50'!L11)*1000</f>
        <v>2.2314910306835678</v>
      </c>
      <c r="M11" s="556">
        <f>('C-51'!M11/'C-50'!M11)*1000</f>
        <v>2.2733863968336849</v>
      </c>
      <c r="N11" s="556">
        <f>('C-51'!N11/'C-50'!N11)*1000</f>
        <v>2.2045185041503599</v>
      </c>
    </row>
    <row r="12" spans="1:14" ht="12" customHeight="1">
      <c r="A12" s="217" t="s">
        <v>24</v>
      </c>
      <c r="B12" s="555">
        <f>('C-51'!B12/'C-50'!B12)*1000</f>
        <v>2.2523784111622422</v>
      </c>
      <c r="C12" s="556">
        <f>('C-51'!C12/'C-50'!C12)*1000</f>
        <v>2.0767766522007598</v>
      </c>
      <c r="D12" s="556">
        <f>('C-51'!D12/'C-50'!D12)*1000</f>
        <v>2.0964737463594023</v>
      </c>
      <c r="E12" s="556">
        <f>('C-51'!E12/'C-50'!E12)*1000</f>
        <v>2.2615134331830653</v>
      </c>
      <c r="F12" s="556">
        <f>('C-51'!F12/'C-50'!F12)*1000</f>
        <v>2.2619009430366241</v>
      </c>
      <c r="G12" s="556">
        <f>('C-51'!G12/'C-50'!G12)*1000</f>
        <v>2.172987376234933</v>
      </c>
      <c r="H12" s="556">
        <f>('C-51'!H12/'C-50'!H12)*1000</f>
        <v>2.3668008740674455</v>
      </c>
      <c r="I12" s="556">
        <f>('C-51'!I12/'C-50'!I12)*1000</f>
        <v>2.3616990591610905</v>
      </c>
      <c r="J12" s="556">
        <f>('C-51'!J12/'C-50'!J12)*1000</f>
        <v>2.3529482352731126</v>
      </c>
      <c r="K12" s="556">
        <f>('C-51'!K12/'C-50'!K12)*1000</f>
        <v>2.2943491982567918</v>
      </c>
      <c r="L12" s="556">
        <f>('C-51'!L12/'C-50'!L12)*1000</f>
        <v>2.2704922681167554</v>
      </c>
      <c r="M12" s="556">
        <f>('C-51'!M12/'C-50'!M12)*1000</f>
        <v>2.2878873266966169</v>
      </c>
      <c r="N12" s="556">
        <f>('C-51'!N12/'C-50'!N12)*1000</f>
        <v>2.221030104408475</v>
      </c>
    </row>
    <row r="13" spans="1:14" ht="12" customHeight="1">
      <c r="A13" s="217" t="s">
        <v>25</v>
      </c>
      <c r="B13" s="555">
        <f>('C-51'!B13/'C-50'!B13)*1000</f>
        <v>2.0733040218287169</v>
      </c>
      <c r="C13" s="556">
        <f>('C-51'!C13/'C-50'!C13)*1000</f>
        <v>1.9394698745819381</v>
      </c>
      <c r="D13" s="556">
        <f>('C-51'!D13/'C-50'!D13)*1000</f>
        <v>1.9047887709945326</v>
      </c>
      <c r="E13" s="556">
        <f>('C-51'!E13/'C-50'!E13)*1000</f>
        <v>2.0695168693156454</v>
      </c>
      <c r="F13" s="556">
        <f>('C-51'!F13/'C-50'!F13)*1000</f>
        <v>2.0678095100944018</v>
      </c>
      <c r="G13" s="556">
        <f>('C-51'!G13/'C-50'!G13)*1000</f>
        <v>2.059947388275523</v>
      </c>
      <c r="H13" s="556">
        <f>('C-51'!H13/'C-50'!H13)*1000</f>
        <v>2.1172307394838703</v>
      </c>
      <c r="I13" s="556">
        <f>('C-51'!I13/'C-50'!I13)*1000</f>
        <v>2.0842376603664903</v>
      </c>
      <c r="J13" s="556">
        <f>('C-51'!J13/'C-50'!J13)*1000</f>
        <v>2.0412305533448838</v>
      </c>
      <c r="K13" s="556">
        <f>('C-51'!K13/'C-50'!K13)*1000</f>
        <v>2.1181897683340738</v>
      </c>
      <c r="L13" s="556">
        <f>('C-51'!L13/'C-50'!L13)*1000</f>
        <v>2.092893702535445</v>
      </c>
      <c r="M13" s="556">
        <f>('C-51'!M13/'C-50'!M13)*1000</f>
        <v>2.2211804066966048</v>
      </c>
      <c r="N13" s="556">
        <f>('C-51'!N13/'C-50'!N13)*1000</f>
        <v>2.1316919135495902</v>
      </c>
    </row>
    <row r="14" spans="1:14" ht="12" customHeight="1">
      <c r="A14" s="271" t="s">
        <v>101</v>
      </c>
      <c r="B14" s="555">
        <f>('C-51'!B14/'C-50'!B14)*1000</f>
        <v>2.0904814870423238</v>
      </c>
      <c r="C14" s="556">
        <f>('C-51'!C14/'C-50'!C14)*1000</f>
        <v>1.975102430329756</v>
      </c>
      <c r="D14" s="556">
        <f>('C-51'!D14/'C-50'!D14)*1000</f>
        <v>1.9242508849671069</v>
      </c>
      <c r="E14" s="556">
        <f>('C-51'!E14/'C-50'!E14)*1000</f>
        <v>2.0760666696203578</v>
      </c>
      <c r="F14" s="556">
        <f>('C-51'!F14/'C-50'!F14)*1000</f>
        <v>2.0870925380741654</v>
      </c>
      <c r="G14" s="556">
        <f>('C-51'!G14/'C-50'!G14)*1000</f>
        <v>2.0731193474422658</v>
      </c>
      <c r="H14" s="556">
        <f>('C-51'!H14/'C-50'!H14)*1000</f>
        <v>2.1171537401789982</v>
      </c>
      <c r="I14" s="556">
        <f>('C-51'!I14/'C-50'!I14)*1000</f>
        <v>2.0761906805631152</v>
      </c>
      <c r="J14" s="556">
        <f>('C-51'!J14/'C-50'!J14)*1000</f>
        <v>2.0048757183489938</v>
      </c>
      <c r="K14" s="556">
        <f>('C-51'!K14/'C-50'!K14)*1000</f>
        <v>2.1096127567452614</v>
      </c>
      <c r="L14" s="556">
        <f>('C-51'!L14/'C-50'!L14)*1000</f>
        <v>2.1076479153068992</v>
      </c>
      <c r="M14" s="556">
        <f>('C-51'!M14/'C-50'!M14)*1000</f>
        <v>2.3321662155422072</v>
      </c>
      <c r="N14" s="556">
        <f>('C-51'!N14/'C-50'!N14)*1000</f>
        <v>2.1591592024504456</v>
      </c>
    </row>
    <row r="15" spans="1:14" ht="12" customHeight="1">
      <c r="A15" s="271" t="s">
        <v>102</v>
      </c>
      <c r="B15" s="555">
        <f>('C-51'!B15/'C-50'!B15)*1000</f>
        <v>2.0360519484238537</v>
      </c>
      <c r="C15" s="556">
        <f>('C-51'!C15/'C-50'!C15)*1000</f>
        <v>1.875184452830079</v>
      </c>
      <c r="D15" s="556">
        <f>('C-51'!D15/'C-50'!D15)*1000</f>
        <v>1.892765605622158</v>
      </c>
      <c r="E15" s="556">
        <f>('C-51'!E15/'C-50'!E15)*1000</f>
        <v>2.0593613396957573</v>
      </c>
      <c r="F15" s="556">
        <f>('C-51'!F15/'C-50'!F15)*1000</f>
        <v>2.0359610752729274</v>
      </c>
      <c r="G15" s="556">
        <f>('C-51'!G15/'C-50'!G15)*1000</f>
        <v>2.0340793865417348</v>
      </c>
      <c r="H15" s="556">
        <f>('C-51'!H15/'C-50'!H15)*1000</f>
        <v>2.1173696332296599</v>
      </c>
      <c r="I15" s="556">
        <f>('C-51'!I15/'C-50'!I15)*1000</f>
        <v>2.0806756957851866</v>
      </c>
      <c r="J15" s="556">
        <f>('C-51'!J15/'C-50'!J15)*1000</f>
        <v>2.1245095743511819</v>
      </c>
      <c r="K15" s="556">
        <f>('C-51'!K15/'C-50'!K15)*1000</f>
        <v>2.1358255680256839</v>
      </c>
      <c r="L15" s="556">
        <f>('C-51'!L15/'C-50'!L15)*1000</f>
        <v>2.037736407578508</v>
      </c>
      <c r="M15" s="556">
        <f>('C-51'!M15/'C-50'!M15)*1000</f>
        <v>1.9581732188266183</v>
      </c>
      <c r="N15" s="556">
        <f>('C-51'!N15/'C-50'!N15)*1000</f>
        <v>2.0794333952261632</v>
      </c>
    </row>
    <row r="16" spans="1:14" ht="12" customHeight="1">
      <c r="A16" s="271" t="s">
        <v>103</v>
      </c>
      <c r="B16" s="555">
        <f>('C-51'!B16/'C-50'!B16)*1000</f>
        <v>2.0476682091178895</v>
      </c>
      <c r="C16" s="556">
        <f>('C-51'!C16/'C-50'!C16)*1000</f>
        <v>1.875184452830079</v>
      </c>
      <c r="D16" s="556">
        <f>('C-51'!D16/'C-50'!D16)*1000</f>
        <v>1.8530522617479142</v>
      </c>
      <c r="E16" s="556">
        <f>('C-51'!E16/'C-50'!E16)*1000</f>
        <v>2.0593613396957577</v>
      </c>
      <c r="F16" s="556">
        <f>('C-51'!F16/'C-50'!F16)*1000</f>
        <v>2.0359610752729278</v>
      </c>
      <c r="G16" s="556">
        <f>('C-51'!G16/'C-50'!G16)*1000</f>
        <v>2.0340793865417353</v>
      </c>
      <c r="H16" s="556">
        <f>('C-51'!H16/'C-50'!H16)*1000</f>
        <v>2.1173696332296599</v>
      </c>
      <c r="I16" s="556">
        <f>('C-51'!I16/'C-50'!I16)*1000</f>
        <v>2.1235799163197768</v>
      </c>
      <c r="J16" s="556">
        <f>('C-51'!J16/'C-50'!J16)*1000</f>
        <v>2.0877554786187278</v>
      </c>
      <c r="K16" s="556">
        <f>('C-51'!K16/'C-50'!K16)*1000</f>
        <v>2.1307944533476211</v>
      </c>
      <c r="L16" s="556">
        <f>('C-51'!L16/'C-50'!L16)*1000</f>
        <v>2.0906186963667968</v>
      </c>
      <c r="M16" s="556">
        <f>('C-51'!M16/'C-50'!M16)*1000</f>
        <v>2.072726873316606</v>
      </c>
      <c r="N16" s="556">
        <f>('C-51'!N16/'C-50'!N16)*1000</f>
        <v>2.0794333952261637</v>
      </c>
    </row>
    <row r="17" spans="1:14" ht="12" customHeight="1">
      <c r="A17" s="269" t="s">
        <v>29</v>
      </c>
      <c r="B17" s="555">
        <f>('C-51'!B17/'C-50'!B17)*1000</f>
        <v>2.0721270519223065</v>
      </c>
      <c r="C17" s="556">
        <f>('C-51'!C17/'C-50'!C17)*1000</f>
        <v>1.9775831111084889</v>
      </c>
      <c r="D17" s="556">
        <f>('C-51'!D17/'C-50'!D17)*1000</f>
        <v>1.9081999448047469</v>
      </c>
      <c r="E17" s="556">
        <f>('C-51'!E17/'C-50'!E17)*1000</f>
        <v>2.0989662657381731</v>
      </c>
      <c r="F17" s="556">
        <f>('C-51'!F17/'C-50'!F17)*1000</f>
        <v>2.0661626485916798</v>
      </c>
      <c r="G17" s="556">
        <f>('C-51'!G17/'C-50'!G17)*1000</f>
        <v>2.0323864808498433</v>
      </c>
      <c r="H17" s="556">
        <f>('C-51'!H17/'C-50'!H17)*1000</f>
        <v>2.0977944177372416</v>
      </c>
      <c r="I17" s="556">
        <f>('C-51'!I17/'C-50'!I17)*1000</f>
        <v>2.0487136613766856</v>
      </c>
      <c r="J17" s="556">
        <f>('C-51'!J17/'C-50'!J17)*1000</f>
        <v>2.1650343702874131</v>
      </c>
      <c r="K17" s="556">
        <f>('C-51'!K17/'C-50'!K17)*1000</f>
        <v>2.1173771420380656</v>
      </c>
      <c r="L17" s="556">
        <f>('C-51'!L17/'C-50'!L17)*1000</f>
        <v>2.1206354360465922</v>
      </c>
      <c r="M17" s="556">
        <f>('C-51'!M17/'C-50'!M17)*1000</f>
        <v>2.1398431522994756</v>
      </c>
      <c r="N17" s="556">
        <f>('C-51'!N17/'C-50'!N17)*1000</f>
        <v>2.0535234810754104</v>
      </c>
    </row>
    <row r="18" spans="1:14" ht="12" customHeight="1">
      <c r="A18" s="217" t="s">
        <v>30</v>
      </c>
      <c r="B18" s="555">
        <f>('C-51'!B18/'C-50'!B18)*1000</f>
        <v>2.2349829404830701</v>
      </c>
      <c r="C18" s="556">
        <f>('C-51'!C18/'C-50'!C18)*1000</f>
        <v>2.2292325468372161</v>
      </c>
      <c r="D18" s="556">
        <f>('C-51'!D18/'C-50'!D18)*1000</f>
        <v>2.1171292309862677</v>
      </c>
      <c r="E18" s="556">
        <f>('C-51'!E18/'C-50'!E18)*1000</f>
        <v>2.1817126137519653</v>
      </c>
      <c r="F18" s="556">
        <f>('C-51'!F18/'C-50'!F18)*1000</f>
        <v>2.1141823924735381</v>
      </c>
      <c r="G18" s="556">
        <f>('C-51'!G18/'C-50'!G18)*1000</f>
        <v>2.2656899572924072</v>
      </c>
      <c r="H18" s="556">
        <f>('C-51'!H18/'C-50'!H18)*1000</f>
        <v>2.1365327183871985</v>
      </c>
      <c r="I18" s="556">
        <f>('C-51'!I18/'C-50'!I18)*1000</f>
        <v>2.310562896381597</v>
      </c>
      <c r="J18" s="556">
        <f>('C-51'!J18/'C-50'!J18)*1000</f>
        <v>2.3426341107174653</v>
      </c>
      <c r="K18" s="556">
        <f>('C-51'!K18/'C-50'!K18)*1000</f>
        <v>2.3692885331149078</v>
      </c>
      <c r="L18" s="556">
        <f>('C-51'!L18/'C-50'!L18)*1000</f>
        <v>2.1253808219521702</v>
      </c>
      <c r="M18" s="556">
        <f>('C-51'!M18/'C-50'!M18)*1000</f>
        <v>2.2857866416186376</v>
      </c>
      <c r="N18" s="556">
        <f>('C-51'!N18/'C-50'!N18)*1000</f>
        <v>2.29607802521708</v>
      </c>
    </row>
    <row r="19" spans="1:14" ht="12" customHeight="1">
      <c r="A19" s="217" t="s">
        <v>31</v>
      </c>
      <c r="B19" s="555">
        <f>('C-51'!B19/'C-50'!B19)*1000</f>
        <v>2.262040085204152</v>
      </c>
      <c r="C19" s="556">
        <f>('C-51'!C19/'C-50'!C19)*1000</f>
        <v>2.1969473924607095</v>
      </c>
      <c r="D19" s="556">
        <f>('C-51'!D19/'C-50'!D19)*1000</f>
        <v>2.1379983417062589</v>
      </c>
      <c r="E19" s="556">
        <f>('C-51'!E19/'C-50'!E19)*1000</f>
        <v>2.1495206757430254</v>
      </c>
      <c r="F19" s="556">
        <f>('C-51'!F19/'C-50'!F19)*1000</f>
        <v>2.1915501228207521</v>
      </c>
      <c r="G19" s="556">
        <f>('C-51'!G19/'C-50'!G19)*1000</f>
        <v>2.2753603156643112</v>
      </c>
      <c r="H19" s="556">
        <f>('C-51'!H19/'C-50'!H19)*1000</f>
        <v>2.3663691116378982</v>
      </c>
      <c r="I19" s="556">
        <f>('C-51'!I19/'C-50'!I19)*1000</f>
        <v>2.3511464602824175</v>
      </c>
      <c r="J19" s="556">
        <f>('C-51'!J19/'C-50'!J19)*1000</f>
        <v>2.364160205230037</v>
      </c>
      <c r="K19" s="556">
        <f>('C-51'!K19/'C-50'!K19)*1000</f>
        <v>2.4175572329202106</v>
      </c>
      <c r="L19" s="556">
        <f>('C-51'!L19/'C-50'!L19)*1000</f>
        <v>2.218639704621395</v>
      </c>
      <c r="M19" s="556">
        <f>('C-51'!M19/'C-50'!M19)*1000</f>
        <v>2.1810251614096279</v>
      </c>
      <c r="N19" s="556">
        <f>('C-51'!N19/'C-50'!N19)*1000</f>
        <v>2.281387970473868</v>
      </c>
    </row>
    <row r="20" spans="1:14" ht="12" customHeight="1">
      <c r="A20" s="269" t="s">
        <v>32</v>
      </c>
      <c r="B20" s="555">
        <f>('C-51'!B20/'C-50'!B20)*1000</f>
        <v>2.1019469966128903</v>
      </c>
      <c r="C20" s="556">
        <f>('C-51'!C20/'C-50'!C20)*1000</f>
        <v>2.136445995761922</v>
      </c>
      <c r="D20" s="556">
        <f>('C-51'!D20/'C-50'!D20)*1000</f>
        <v>1.9685515011840915</v>
      </c>
      <c r="E20" s="556">
        <f>('C-51'!E20/'C-50'!E20)*1000</f>
        <v>2.0440692413187369</v>
      </c>
      <c r="F20" s="556">
        <f>('C-51'!F20/'C-50'!F20)*1000</f>
        <v>2.0019328900014273</v>
      </c>
      <c r="G20" s="556">
        <f>('C-51'!G20/'C-50'!G20)*1000</f>
        <v>2.0012778000695488</v>
      </c>
      <c r="H20" s="556">
        <f>('C-51'!H20/'C-50'!H20)*1000</f>
        <v>2.1226118330805344</v>
      </c>
      <c r="I20" s="556">
        <f>('C-51'!I20/'C-50'!I20)*1000</f>
        <v>2.1058607135690899</v>
      </c>
      <c r="J20" s="556">
        <f>('C-51'!J20/'C-50'!J20)*1000</f>
        <v>2.14352187512563</v>
      </c>
      <c r="K20" s="556">
        <f>('C-51'!K20/'C-50'!K20)*1000</f>
        <v>2.1178373733470637</v>
      </c>
      <c r="L20" s="556">
        <f>('C-51'!L20/'C-50'!L20)*1000</f>
        <v>2.2324033491514546</v>
      </c>
      <c r="M20" s="556">
        <f>('C-51'!M20/'C-50'!M20)*1000</f>
        <v>2.2457658723760034</v>
      </c>
      <c r="N20" s="556">
        <f>('C-51'!N20/'C-50'!N20)*1000</f>
        <v>2.1289830901719475</v>
      </c>
    </row>
    <row r="21" spans="1:14" ht="12" customHeight="1">
      <c r="A21" s="269" t="s">
        <v>33</v>
      </c>
      <c r="B21" s="555">
        <f>('C-51'!B21/'C-50'!B21)*1000</f>
        <v>2.0429806416360767</v>
      </c>
      <c r="C21" s="556">
        <f>('C-51'!C21/'C-50'!C21)*1000</f>
        <v>1.8645898295843326</v>
      </c>
      <c r="D21" s="556">
        <f>('C-51'!D21/'C-50'!D21)*1000</f>
        <v>1.8900358398220245</v>
      </c>
      <c r="E21" s="556">
        <f>('C-51'!E21/'C-50'!E21)*1000</f>
        <v>2.023110442536316</v>
      </c>
      <c r="F21" s="556">
        <f>('C-51'!F21/'C-50'!F21)*1000</f>
        <v>2.0322038750295088</v>
      </c>
      <c r="G21" s="556">
        <f>('C-51'!G21/'C-50'!G21)*1000</f>
        <v>2.0320702644760118</v>
      </c>
      <c r="H21" s="556">
        <f>('C-51'!H21/'C-50'!H21)*1000</f>
        <v>2.0953598542315284</v>
      </c>
      <c r="I21" s="556">
        <f>('C-51'!I21/'C-50'!I21)*1000</f>
        <v>1.9451775911832159</v>
      </c>
      <c r="J21" s="556">
        <f>('C-51'!J21/'C-50'!J21)*1000</f>
        <v>2.1259395121369207</v>
      </c>
      <c r="K21" s="556">
        <f>('C-51'!K21/'C-50'!K21)*1000</f>
        <v>2.0331594108989064</v>
      </c>
      <c r="L21" s="556">
        <f>('C-51'!L21/'C-50'!L21)*1000</f>
        <v>2.2575654924171453</v>
      </c>
      <c r="M21" s="556">
        <f>('C-51'!M21/'C-50'!M21)*1000</f>
        <v>2.0572059111406471</v>
      </c>
      <c r="N21" s="556">
        <f>('C-51'!N21/'C-50'!N21)*1000</f>
        <v>2.1392211460588966</v>
      </c>
    </row>
    <row r="22" spans="1:14" ht="12" customHeight="1">
      <c r="A22" s="269" t="s">
        <v>34</v>
      </c>
      <c r="B22" s="555">
        <f>('C-51'!B22/'C-50'!B22)*1000</f>
        <v>2.1393948395912377</v>
      </c>
      <c r="C22" s="556">
        <f>('C-51'!C22/'C-50'!C22)*1000</f>
        <v>1.9559316115371301</v>
      </c>
      <c r="D22" s="556">
        <f>('C-51'!D22/'C-50'!D22)*1000</f>
        <v>1.8845095199641095</v>
      </c>
      <c r="E22" s="556">
        <f>('C-51'!E22/'C-50'!E22)*1000</f>
        <v>2.0399766494158542</v>
      </c>
      <c r="F22" s="556">
        <f>('C-51'!F22/'C-50'!F22)*1000</f>
        <v>2.156612175917231</v>
      </c>
      <c r="G22" s="556">
        <f>('C-51'!G22/'C-50'!G22)*1000</f>
        <v>2.0741983804031228</v>
      </c>
      <c r="H22" s="556">
        <f>('C-51'!H22/'C-50'!H22)*1000</f>
        <v>2.1900644446124709</v>
      </c>
      <c r="I22" s="556">
        <f>('C-51'!I22/'C-50'!I22)*1000</f>
        <v>2.1693342034171192</v>
      </c>
      <c r="J22" s="556">
        <f>('C-51'!J22/'C-50'!J22)*1000</f>
        <v>2.2148371811612937</v>
      </c>
      <c r="K22" s="556">
        <f>('C-51'!K22/'C-50'!K22)*1000</f>
        <v>2.1830915524371592</v>
      </c>
      <c r="L22" s="556">
        <f>('C-51'!L22/'C-50'!L22)*1000</f>
        <v>2.2025181070772963</v>
      </c>
      <c r="M22" s="556">
        <f>('C-51'!M22/'C-50'!M22)*1000</f>
        <v>2.1803891574985292</v>
      </c>
      <c r="N22" s="556">
        <f>('C-51'!N22/'C-50'!N22)*1000</f>
        <v>2.0924628892805472</v>
      </c>
    </row>
    <row r="23" spans="1:14" ht="12" customHeight="1">
      <c r="A23" s="269" t="s">
        <v>35</v>
      </c>
      <c r="B23" s="555">
        <f>('C-51'!B23/'C-50'!B23)*1000</f>
        <v>2.1898683388762281</v>
      </c>
      <c r="C23" s="556">
        <f>('C-51'!C23/'C-50'!C23)*1000</f>
        <v>2.1882344809734113</v>
      </c>
      <c r="D23" s="556">
        <f>('C-51'!D23/'C-50'!D23)*1000</f>
        <v>2.0559482811281486</v>
      </c>
      <c r="E23" s="556">
        <f>('C-51'!E23/'C-50'!E23)*1000</f>
        <v>2.0861854212909052</v>
      </c>
      <c r="F23" s="556">
        <f>('C-51'!F23/'C-50'!F23)*1000</f>
        <v>2.0609636650827632</v>
      </c>
      <c r="G23" s="556">
        <f>('C-51'!G23/'C-50'!G23)*1000</f>
        <v>2.051840109834012</v>
      </c>
      <c r="H23" s="556">
        <f>('C-51'!H23/'C-50'!H23)*1000</f>
        <v>2.2221293442325392</v>
      </c>
      <c r="I23" s="556">
        <f>('C-51'!I23/'C-50'!I23)*1000</f>
        <v>2.2758270628051092</v>
      </c>
      <c r="J23" s="556">
        <f>('C-51'!J23/'C-50'!J23)*1000</f>
        <v>2.2736502785369357</v>
      </c>
      <c r="K23" s="556">
        <f>('C-51'!K23/'C-50'!K23)*1000</f>
        <v>2.23875180633223</v>
      </c>
      <c r="L23" s="556">
        <f>('C-51'!L23/'C-50'!L23)*1000</f>
        <v>2.2801118163354941</v>
      </c>
      <c r="M23" s="556">
        <f>('C-51'!M23/'C-50'!M23)*1000</f>
        <v>2.2911003946935118</v>
      </c>
      <c r="N23" s="556">
        <f>('C-51'!N23/'C-50'!N23)*1000</f>
        <v>2.3304644781050192</v>
      </c>
    </row>
    <row r="24" spans="1:14" ht="12" customHeight="1">
      <c r="A24" s="269" t="s">
        <v>36</v>
      </c>
      <c r="B24" s="555">
        <f>('C-51'!B24/'C-50'!B24)*1000</f>
        <v>1.9837587552822855</v>
      </c>
      <c r="C24" s="556">
        <f>('C-51'!C24/'C-50'!C24)*1000</f>
        <v>1.8715862790957234</v>
      </c>
      <c r="D24" s="556">
        <f>('C-51'!D24/'C-50'!D24)*1000</f>
        <v>1.8575763740032585</v>
      </c>
      <c r="E24" s="556">
        <f>('C-51'!E24/'C-50'!E24)*1000</f>
        <v>2.0272668301786907</v>
      </c>
      <c r="F24" s="556">
        <f>('C-51'!F24/'C-50'!F24)*1000</f>
        <v>2.0359610752729282</v>
      </c>
      <c r="G24" s="556">
        <f>('C-51'!G24/'C-50'!G24)*1000</f>
        <v>2.0340793865417348</v>
      </c>
      <c r="H24" s="556">
        <f>('C-51'!H24/'C-50'!H24)*1000</f>
        <v>2.0244299516507724</v>
      </c>
      <c r="I24" s="556">
        <f>('C-51'!I24/'C-50'!I24)*1000</f>
        <v>1.9852679215085811</v>
      </c>
      <c r="J24" s="556">
        <f>('C-51'!J24/'C-50'!J24)*1000</f>
        <v>2.1199199877615476</v>
      </c>
      <c r="K24" s="556">
        <f>('C-51'!K24/'C-50'!K24)*1000</f>
        <v>2.0052911209384403</v>
      </c>
      <c r="L24" s="556">
        <f>('C-51'!L24/'C-50'!L24)*1000</f>
        <v>1.9022479933117296</v>
      </c>
      <c r="M24" s="556">
        <f>('C-51'!M24/'C-50'!M24)*1000</f>
        <v>1.8750771893275604</v>
      </c>
      <c r="N24" s="556">
        <f>('C-51'!N24/'C-50'!N24)*1000</f>
        <v>2.0794333952261632</v>
      </c>
    </row>
    <row r="25" spans="1:14" ht="12" customHeight="1">
      <c r="A25" s="217" t="s">
        <v>37</v>
      </c>
      <c r="B25" s="555">
        <f>('C-51'!B25/'C-50'!B25)*1000</f>
        <v>2.2415013100625103</v>
      </c>
      <c r="C25" s="556">
        <f>('C-51'!C25/'C-50'!C25)*1000</f>
        <v>2.2336033225091865</v>
      </c>
      <c r="D25" s="556">
        <f>('C-51'!D25/'C-50'!D25)*1000</f>
        <v>2.0319683589952953</v>
      </c>
      <c r="E25" s="556">
        <f>('C-51'!E25/'C-50'!E25)*1000</f>
        <v>2.1626934945208989</v>
      </c>
      <c r="F25" s="556">
        <f>('C-51'!F25/'C-50'!F25)*1000</f>
        <v>2.0776549536108528</v>
      </c>
      <c r="G25" s="556">
        <f>('C-51'!G25/'C-50'!G25)*1000</f>
        <v>2.1979938781951991</v>
      </c>
      <c r="H25" s="556">
        <f>('C-51'!H25/'C-50'!H25)*1000</f>
        <v>2.3640320942695063</v>
      </c>
      <c r="I25" s="556">
        <f>('C-51'!I25/'C-50'!I25)*1000</f>
        <v>2.310535836416185</v>
      </c>
      <c r="J25" s="556">
        <f>('C-51'!J25/'C-50'!J25)*1000</f>
        <v>2.3722108554273733</v>
      </c>
      <c r="K25" s="556">
        <f>('C-51'!K25/'C-50'!K25)*1000</f>
        <v>2.2810835020011302</v>
      </c>
      <c r="L25" s="556">
        <f>('C-51'!L25/'C-50'!L25)*1000</f>
        <v>2.3189404767039798</v>
      </c>
      <c r="M25" s="556">
        <f>('C-51'!M25/'C-50'!M25)*1000</f>
        <v>2.230647558879943</v>
      </c>
      <c r="N25" s="556">
        <f>('C-51'!N25/'C-50'!N25)*1000</f>
        <v>2.3303758775582306</v>
      </c>
    </row>
    <row r="26" spans="1:14" ht="12" customHeight="1">
      <c r="A26" s="269" t="s">
        <v>38</v>
      </c>
      <c r="B26" s="555">
        <f>('C-51'!B26/'C-50'!B26)*1000</f>
        <v>2.0676027459288338</v>
      </c>
      <c r="C26" s="556">
        <f>('C-51'!C26/'C-50'!C26)*1000</f>
        <v>1.8715862790957234</v>
      </c>
      <c r="D26" s="556">
        <f>('C-51'!D26/'C-50'!D26)*1000</f>
        <v>1.8678367346938776</v>
      </c>
      <c r="E26" s="556">
        <f>('C-51'!E26/'C-50'!E26)*1000</f>
        <v>2.0369410698042252</v>
      </c>
      <c r="F26" s="556">
        <f>('C-51'!F26/'C-50'!F26)*1000</f>
        <v>2.0359610752729282</v>
      </c>
      <c r="G26" s="556">
        <f>('C-51'!G26/'C-50'!G26)*1000</f>
        <v>2.0340793865417353</v>
      </c>
      <c r="H26" s="556">
        <f>('C-51'!H26/'C-50'!H26)*1000</f>
        <v>2.1173696332296599</v>
      </c>
      <c r="I26" s="556">
        <f>('C-51'!I26/'C-50'!I26)*1000</f>
        <v>1.8462862086996132</v>
      </c>
      <c r="J26" s="556">
        <f>('C-51'!J26/'C-50'!J26)*1000</f>
        <v>1.9147537959388332</v>
      </c>
      <c r="K26" s="556">
        <f>('C-51'!K26/'C-50'!K26)*1000</f>
        <v>2.0280093831421557</v>
      </c>
      <c r="L26" s="556">
        <f>('C-51'!L26/'C-50'!L26)*1000</f>
        <v>2.3026764616412514</v>
      </c>
      <c r="M26" s="556">
        <f>('C-51'!M26/'C-50'!M26)*1000</f>
        <v>2.8379285731774559</v>
      </c>
      <c r="N26" s="556">
        <f>('C-51'!N26/'C-50'!N26)*1000</f>
        <v>2.0794333952261632</v>
      </c>
    </row>
    <row r="27" spans="1:14" ht="12" customHeight="1">
      <c r="A27" s="269" t="s">
        <v>39</v>
      </c>
      <c r="B27" s="555">
        <f>('C-51'!B27/'C-50'!B27)*1000</f>
        <v>2.276197824767987</v>
      </c>
      <c r="C27" s="556">
        <f>('C-51'!C27/'C-50'!C27)*1000</f>
        <v>2.2168595436998646</v>
      </c>
      <c r="D27" s="556">
        <f>('C-51'!D27/'C-50'!D27)*1000</f>
        <v>2.0659764490409929</v>
      </c>
      <c r="E27" s="556">
        <f>('C-51'!E27/'C-50'!E27)*1000</f>
        <v>2.2541071360865197</v>
      </c>
      <c r="F27" s="556">
        <f>('C-51'!F27/'C-50'!F27)*1000</f>
        <v>2.2816989624917858</v>
      </c>
      <c r="G27" s="556">
        <f>('C-51'!G27/'C-50'!G27)*1000</f>
        <v>2.2608945548101631</v>
      </c>
      <c r="H27" s="556">
        <f>('C-51'!H27/'C-50'!H27)*1000</f>
        <v>2.3264362669953003</v>
      </c>
      <c r="I27" s="556">
        <f>('C-51'!I27/'C-50'!I27)*1000</f>
        <v>2.2781683734842519</v>
      </c>
      <c r="J27" s="556">
        <f>('C-51'!J27/'C-50'!J27)*1000</f>
        <v>2.3518992601804349</v>
      </c>
      <c r="K27" s="556">
        <f>('C-51'!K27/'C-50'!K27)*1000</f>
        <v>2.3503519283266194</v>
      </c>
      <c r="L27" s="556">
        <f>('C-51'!L27/'C-50'!L27)*1000</f>
        <v>2.3226528720773314</v>
      </c>
      <c r="M27" s="556">
        <f>('C-51'!M27/'C-50'!M27)*1000</f>
        <v>2.3106805758284685</v>
      </c>
      <c r="N27" s="556">
        <f>('C-51'!N27/'C-50'!N27)*1000</f>
        <v>2.3148846862446075</v>
      </c>
    </row>
    <row r="28" spans="1:14" ht="12" customHeight="1">
      <c r="A28" s="269" t="s">
        <v>40</v>
      </c>
      <c r="B28" s="555">
        <f>('C-51'!B28/'C-50'!B28)*1000</f>
        <v>2.0268342060065252</v>
      </c>
      <c r="C28" s="556">
        <f>('C-51'!C28/'C-50'!C28)*1000</f>
        <v>1.9106240026191041</v>
      </c>
      <c r="D28" s="556">
        <f>('C-51'!D28/'C-50'!D28)*1000</f>
        <v>1.861942054434687</v>
      </c>
      <c r="E28" s="556">
        <f>('C-51'!E28/'C-50'!E28)*1000</f>
        <v>2.0448774666421135</v>
      </c>
      <c r="F28" s="556">
        <f>('C-51'!F28/'C-50'!F28)*1000</f>
        <v>2.0359610752729278</v>
      </c>
      <c r="G28" s="556">
        <f>('C-51'!G28/'C-50'!G28)*1000</f>
        <v>1.9445350707151838</v>
      </c>
      <c r="H28" s="556">
        <f>('C-51'!H28/'C-50'!H28)*1000</f>
        <v>2.0411387415520101</v>
      </c>
      <c r="I28" s="556">
        <f>('C-51'!I28/'C-50'!I28)*1000</f>
        <v>2.0018138135742674</v>
      </c>
      <c r="J28" s="556">
        <f>('C-51'!J28/'C-50'!J28)*1000</f>
        <v>1.9900428161443604</v>
      </c>
      <c r="K28" s="556">
        <f>('C-51'!K28/'C-50'!K28)*1000</f>
        <v>2.02785473261001</v>
      </c>
      <c r="L28" s="556">
        <f>('C-51'!L28/'C-50'!L28)*1000</f>
        <v>1.9447295966993883</v>
      </c>
      <c r="M28" s="556">
        <f>('C-51'!M28/'C-50'!M28)*1000</f>
        <v>1.9630391769194493</v>
      </c>
      <c r="N28" s="556">
        <f>('C-51'!N28/'C-50'!N28)*1000</f>
        <v>2.4418405487039068</v>
      </c>
    </row>
    <row r="29" spans="1:14" ht="12" customHeight="1">
      <c r="A29" s="217" t="s">
        <v>41</v>
      </c>
      <c r="B29" s="555">
        <f>('C-51'!B29/'C-50'!B29)*1000</f>
        <v>2.0069105706517809</v>
      </c>
      <c r="C29" s="556">
        <f>('C-51'!C29/'C-50'!C29)*1000</f>
        <v>1.8449396610175315</v>
      </c>
      <c r="D29" s="556">
        <f>('C-51'!D29/'C-50'!D29)*1000</f>
        <v>1.8945306315433974</v>
      </c>
      <c r="E29" s="556">
        <f>('C-51'!E29/'C-50'!E29)*1000</f>
        <v>1.9722846049236176</v>
      </c>
      <c r="F29" s="556">
        <f>('C-51'!F29/'C-50'!F29)*1000</f>
        <v>2.0359610752729282</v>
      </c>
      <c r="G29" s="556">
        <f>('C-51'!G29/'C-50'!G29)*1000</f>
        <v>2.0658752784558274</v>
      </c>
      <c r="H29" s="556">
        <f>('C-51'!H29/'C-50'!H29)*1000</f>
        <v>2.0582634509814728</v>
      </c>
      <c r="I29" s="556">
        <f>('C-51'!I29/'C-50'!I29)*1000</f>
        <v>2.0159825978566985</v>
      </c>
      <c r="J29" s="556">
        <f>('C-51'!J29/'C-50'!J29)*1000</f>
        <v>2.1281129061072912</v>
      </c>
      <c r="K29" s="556">
        <f>('C-51'!K29/'C-50'!K29)*1000</f>
        <v>2.0757354448774441</v>
      </c>
      <c r="L29" s="556">
        <f>('C-51'!L29/'C-50'!L29)*1000</f>
        <v>1.9697730579013892</v>
      </c>
      <c r="M29" s="556">
        <f>('C-51'!M29/'C-50'!M29)*1000</f>
        <v>1.9461449124503714</v>
      </c>
      <c r="N29" s="556">
        <f>('C-51'!N29/'C-50'!N29)*1000</f>
        <v>2.0794333952261628</v>
      </c>
    </row>
    <row r="30" spans="1:14" ht="12" customHeight="1">
      <c r="A30" s="271" t="s">
        <v>104</v>
      </c>
      <c r="B30" s="555">
        <f>('C-51'!B30/'C-50'!B30)*1000</f>
        <v>2.0154924865426564</v>
      </c>
      <c r="C30" s="556">
        <f>('C-51'!C30/'C-50'!C30)*1000</f>
        <v>1.8403015157856673</v>
      </c>
      <c r="D30" s="556">
        <f>('C-51'!D30/'C-50'!D30)*1000</f>
        <v>1.8815323059988991</v>
      </c>
      <c r="E30" s="556">
        <f>('C-51'!E30/'C-50'!E30)*1000</f>
        <v>1.9385279177060386</v>
      </c>
      <c r="F30" s="556">
        <f>('C-51'!F30/'C-50'!F30)*1000</f>
        <v>2.0359610752729282</v>
      </c>
      <c r="G30" s="556">
        <f>('C-51'!G30/'C-50'!G30)*1000</f>
        <v>2.0892627305353448</v>
      </c>
      <c r="H30" s="556">
        <f>('C-51'!H30/'C-50'!H30)*1000</f>
        <v>2.0188593294826815</v>
      </c>
      <c r="I30" s="556">
        <f>('C-51'!I30/'C-50'!I30)*1000</f>
        <v>1.9592292968688232</v>
      </c>
      <c r="J30" s="556">
        <f>('C-51'!J30/'C-50'!J30)*1000</f>
        <v>2.1265045874734469</v>
      </c>
      <c r="K30" s="556">
        <f>('C-51'!K30/'C-50'!K30)*1000</f>
        <v>2.1584533180461332</v>
      </c>
      <c r="L30" s="556">
        <f>('C-51'!L30/'C-50'!L30)*1000</f>
        <v>2.0690118315793531</v>
      </c>
      <c r="M30" s="556">
        <f>('C-51'!M30/'C-50'!M30)*1000</f>
        <v>2.0126959154918858</v>
      </c>
      <c r="N30" s="556">
        <f>('C-51'!N30/'C-50'!N30)*1000</f>
        <v>2.0794333952261628</v>
      </c>
    </row>
    <row r="31" spans="1:14" ht="12" customHeight="1">
      <c r="A31" s="271" t="s">
        <v>105</v>
      </c>
      <c r="B31" s="555">
        <f>('C-51'!B31/'C-50'!B31)*1000</f>
        <v>1.9937456004733298</v>
      </c>
      <c r="C31" s="556">
        <f>('C-51'!C31/'C-50'!C31)*1000</f>
        <v>1.8520351702093152</v>
      </c>
      <c r="D31" s="556">
        <f>('C-51'!D31/'C-50'!D31)*1000</f>
        <v>1.9151756993006994</v>
      </c>
      <c r="E31" s="556">
        <f>('C-51'!E31/'C-50'!E31)*1000</f>
        <v>2.0369410698042252</v>
      </c>
      <c r="F31" s="556">
        <f>('C-51'!F31/'C-50'!F31)*1000</f>
        <v>2.0359610752729282</v>
      </c>
      <c r="G31" s="556">
        <f>('C-51'!G31/'C-50'!G31)*1000</f>
        <v>2.0340793865417357</v>
      </c>
      <c r="H31" s="556">
        <f>('C-51'!H31/'C-50'!H31)*1000</f>
        <v>2.1173696332296599</v>
      </c>
      <c r="I31" s="556">
        <f>('C-51'!I31/'C-50'!I31)*1000</f>
        <v>2.1035906511462361</v>
      </c>
      <c r="J31" s="556">
        <f>('C-51'!J31/'C-50'!J31)*1000</f>
        <v>2.1306844787206876</v>
      </c>
      <c r="K31" s="556">
        <f>('C-51'!K31/'C-50'!K31)*1000</f>
        <v>1.9492540934862892</v>
      </c>
      <c r="L31" s="556">
        <f>('C-51'!L31/'C-50'!L31)*1000</f>
        <v>1.827992738210314</v>
      </c>
      <c r="M31" s="556">
        <f>('C-51'!M31/'C-50'!M31)*1000</f>
        <v>1.8463184078880996</v>
      </c>
      <c r="N31" s="556">
        <f>('C-51'!N31/'C-50'!N31)*1000</f>
        <v>2.0794333952261628</v>
      </c>
    </row>
    <row r="32" spans="1:14" ht="12" customHeight="1">
      <c r="A32" s="269" t="s">
        <v>44</v>
      </c>
      <c r="B32" s="555">
        <f>('C-51'!B32/'C-50'!B32)*1000</f>
        <v>2.1361003289492144</v>
      </c>
      <c r="C32" s="556">
        <f>('C-51'!C32/'C-50'!C32)*1000</f>
        <v>2.0772548083520408</v>
      </c>
      <c r="D32" s="556">
        <f>('C-51'!D32/'C-50'!D32)*1000</f>
        <v>2.0067006649749803</v>
      </c>
      <c r="E32" s="556">
        <f>('C-51'!E32/'C-50'!E32)*1000</f>
        <v>2.0890540361318637</v>
      </c>
      <c r="F32" s="556">
        <f>('C-51'!F32/'C-50'!F32)*1000</f>
        <v>2.1542051706978458</v>
      </c>
      <c r="G32" s="556">
        <f>('C-51'!G32/'C-50'!G32)*1000</f>
        <v>2.0718830916843269</v>
      </c>
      <c r="H32" s="556">
        <f>('C-51'!H32/'C-50'!H32)*1000</f>
        <v>2.1947838923104608</v>
      </c>
      <c r="I32" s="556">
        <f>('C-51'!I32/'C-50'!I32)*1000</f>
        <v>2.1587860478102359</v>
      </c>
      <c r="J32" s="556">
        <f>('C-51'!J32/'C-50'!J32)*1000</f>
        <v>2.1726880707926322</v>
      </c>
      <c r="K32" s="556">
        <f>('C-51'!K32/'C-50'!K32)*1000</f>
        <v>2.1299883811564797</v>
      </c>
      <c r="L32" s="556">
        <f>('C-51'!L32/'C-50'!L32)*1000</f>
        <v>2.1001195275222941</v>
      </c>
      <c r="M32" s="556">
        <f>('C-51'!M32/'C-50'!M32)*1000</f>
        <v>2.2351588821819859</v>
      </c>
      <c r="N32" s="556">
        <f>('C-51'!N32/'C-50'!N32)*1000</f>
        <v>2.1834669167436065</v>
      </c>
    </row>
    <row r="33" spans="1:14" ht="12" customHeight="1">
      <c r="A33" s="269" t="s">
        <v>45</v>
      </c>
      <c r="B33" s="555">
        <f>('C-51'!B33/'C-50'!B33)*1000</f>
        <v>1.9828498764619538</v>
      </c>
      <c r="C33" s="556">
        <f>('C-51'!C33/'C-50'!C33)*1000</f>
        <v>1.8747994050158114</v>
      </c>
      <c r="D33" s="556">
        <f>('C-51'!D33/'C-50'!D33)*1000</f>
        <v>1.863650285662465</v>
      </c>
      <c r="E33" s="556">
        <f>('C-51'!E33/'C-50'!E33)*1000</f>
        <v>2.0351412787027949</v>
      </c>
      <c r="F33" s="556">
        <f>('C-51'!F33/'C-50'!F33)*1000</f>
        <v>2.0333480446926071</v>
      </c>
      <c r="G33" s="556">
        <f>('C-51'!G33/'C-50'!G33)*1000</f>
        <v>2.0359880245361879</v>
      </c>
      <c r="H33" s="556">
        <f>('C-51'!H33/'C-50'!H33)*1000</f>
        <v>2.0550863643662582</v>
      </c>
      <c r="I33" s="556">
        <f>('C-51'!I33/'C-50'!I33)*1000</f>
        <v>1.9002903409253888</v>
      </c>
      <c r="J33" s="556">
        <f>('C-51'!J33/'C-50'!J33)*1000</f>
        <v>2.1230561326493338</v>
      </c>
      <c r="K33" s="556">
        <f>('C-51'!K33/'C-50'!K33)*1000</f>
        <v>1.9506468325284005</v>
      </c>
      <c r="L33" s="556">
        <f>('C-51'!L33/'C-50'!L33)*1000</f>
        <v>1.939294333974547</v>
      </c>
      <c r="M33" s="556">
        <f>('C-51'!M33/'C-50'!M33)*1000</f>
        <v>1.8862876307791119</v>
      </c>
      <c r="N33" s="556">
        <f>('C-51'!N33/'C-50'!N33)*1000</f>
        <v>2.1112195083039769</v>
      </c>
    </row>
    <row r="34" spans="1:14" ht="12" customHeight="1">
      <c r="A34" s="217" t="s">
        <v>46</v>
      </c>
      <c r="B34" s="555">
        <f>('C-51'!B34/'C-50'!B34)*1000</f>
        <v>2.1950209853249918</v>
      </c>
      <c r="C34" s="556">
        <f>('C-51'!C34/'C-50'!C34)*1000</f>
        <v>2.0992672298629906</v>
      </c>
      <c r="D34" s="556">
        <f>('C-51'!D34/'C-50'!D34)*1000</f>
        <v>2.0581933508253694</v>
      </c>
      <c r="E34" s="556">
        <f>('C-51'!E34/'C-50'!E34)*1000</f>
        <v>2.1262935770293558</v>
      </c>
      <c r="F34" s="556">
        <f>('C-51'!F34/'C-50'!F34)*1000</f>
        <v>2.1833815795215554</v>
      </c>
      <c r="G34" s="556">
        <f>('C-51'!G34/'C-50'!G34)*1000</f>
        <v>2.1747052075654709</v>
      </c>
      <c r="H34" s="556">
        <f>('C-51'!H34/'C-50'!H34)*1000</f>
        <v>2.3505523928369834</v>
      </c>
      <c r="I34" s="556">
        <f>('C-51'!I34/'C-50'!I34)*1000</f>
        <v>2.2345843721274155</v>
      </c>
      <c r="J34" s="556">
        <f>('C-51'!J34/'C-50'!J34)*1000</f>
        <v>2.3379911191160385</v>
      </c>
      <c r="K34" s="556">
        <f>('C-51'!K34/'C-50'!K34)*1000</f>
        <v>2.2315636847101699</v>
      </c>
      <c r="L34" s="556">
        <f>('C-51'!L34/'C-50'!L34)*1000</f>
        <v>2.2699346563328104</v>
      </c>
      <c r="M34" s="556">
        <f>('C-51'!M34/'C-50'!M34)*1000</f>
        <v>2.1898183800830853</v>
      </c>
      <c r="N34" s="556">
        <f>('C-51'!N34/'C-50'!N34)*1000</f>
        <v>2.1118648622504721</v>
      </c>
    </row>
    <row r="35" spans="1:14" ht="12" customHeight="1">
      <c r="A35" s="217" t="s">
        <v>47</v>
      </c>
      <c r="B35" s="555">
        <f>('C-51'!B35/'C-50'!B35)*1000</f>
        <v>2.2313932483287799</v>
      </c>
      <c r="C35" s="556">
        <f>('C-51'!C35/'C-50'!C35)*1000</f>
        <v>2.2057662554848529</v>
      </c>
      <c r="D35" s="556">
        <f>('C-51'!D35/'C-50'!D35)*1000</f>
        <v>2.0642114160825704</v>
      </c>
      <c r="E35" s="556">
        <f>('C-51'!E35/'C-50'!E35)*1000</f>
        <v>2.2410280222426868</v>
      </c>
      <c r="F35" s="556">
        <f>('C-51'!F35/'C-50'!F35)*1000</f>
        <v>2.2424425981539189</v>
      </c>
      <c r="G35" s="556">
        <f>('C-51'!G35/'C-50'!G35)*1000</f>
        <v>2.1229246224029219</v>
      </c>
      <c r="H35" s="556">
        <f>('C-51'!H35/'C-50'!H35)*1000</f>
        <v>2.2751198651623596</v>
      </c>
      <c r="I35" s="556">
        <f>('C-51'!I35/'C-50'!I35)*1000</f>
        <v>2.2498151024319304</v>
      </c>
      <c r="J35" s="556">
        <f>('C-51'!J35/'C-50'!J35)*1000</f>
        <v>2.34841546526967</v>
      </c>
      <c r="K35" s="556">
        <f>('C-51'!K35/'C-50'!K35)*1000</f>
        <v>2.2888003417754383</v>
      </c>
      <c r="L35" s="556">
        <f>('C-51'!L35/'C-50'!L35)*1000</f>
        <v>2.2884917665590341</v>
      </c>
      <c r="M35" s="556">
        <f>('C-51'!M35/'C-50'!M35)*1000</f>
        <v>2.2536098585755657</v>
      </c>
      <c r="N35" s="556">
        <f>('C-51'!N35/'C-50'!N35)*1000</f>
        <v>2.1861850712014843</v>
      </c>
    </row>
    <row r="36" spans="1:14" ht="12" customHeight="1">
      <c r="A36" s="217" t="s">
        <v>48</v>
      </c>
      <c r="B36" s="555">
        <f>('C-51'!B36/'C-50'!B36)*1000</f>
        <v>2.1492605077173157</v>
      </c>
      <c r="C36" s="556">
        <f>('C-51'!C36/'C-50'!C36)*1000</f>
        <v>2.0717050532037002</v>
      </c>
      <c r="D36" s="556">
        <f>('C-51'!D36/'C-50'!D36)*1000</f>
        <v>2.0720779573655501</v>
      </c>
      <c r="E36" s="556">
        <f>('C-51'!E36/'C-50'!E36)*1000</f>
        <v>2.0223370349520233</v>
      </c>
      <c r="F36" s="556">
        <f>('C-51'!F36/'C-50'!F36)*1000</f>
        <v>2.0212090365829587</v>
      </c>
      <c r="G36" s="556">
        <f>('C-51'!G36/'C-50'!G36)*1000</f>
        <v>2.0329628447405095</v>
      </c>
      <c r="H36" s="556">
        <f>('C-51'!H36/'C-50'!H36)*1000</f>
        <v>2.1569277731410823</v>
      </c>
      <c r="I36" s="556">
        <f>('C-51'!I36/'C-50'!I36)*1000</f>
        <v>2.2309637146693699</v>
      </c>
      <c r="J36" s="556">
        <f>('C-51'!J36/'C-50'!J36)*1000</f>
        <v>2.2433340600045746</v>
      </c>
      <c r="K36" s="556">
        <f>('C-51'!K36/'C-50'!K36)*1000</f>
        <v>2.176771374912509</v>
      </c>
      <c r="L36" s="556">
        <f>('C-51'!L36/'C-50'!L36)*1000</f>
        <v>2.2437796335148472</v>
      </c>
      <c r="M36" s="556">
        <f>('C-51'!M36/'C-50'!M36)*1000</f>
        <v>2.2559889073792276</v>
      </c>
      <c r="N36" s="556">
        <f>('C-51'!N36/'C-50'!N36)*1000</f>
        <v>2.1400095442985165</v>
      </c>
    </row>
    <row r="37" spans="1:14" ht="12" customHeight="1" thickBot="1">
      <c r="A37" s="272" t="s">
        <v>49</v>
      </c>
      <c r="B37" s="557">
        <f>('C-51'!B37/'C-50'!B37)*1000</f>
        <v>2.2453779525822015</v>
      </c>
      <c r="C37" s="558">
        <f>('C-51'!C37/'C-50'!C37)*1000</f>
        <v>2.1313138311958753</v>
      </c>
      <c r="D37" s="558">
        <f>('C-51'!D37/'C-50'!D37)*1000</f>
        <v>2.1609960913221831</v>
      </c>
      <c r="E37" s="558">
        <f>('C-51'!E37/'C-50'!E37)*1000</f>
        <v>2.2582214317452749</v>
      </c>
      <c r="F37" s="558">
        <f>('C-51'!F37/'C-50'!F37)*1000</f>
        <v>2.2643091137110551</v>
      </c>
      <c r="G37" s="558">
        <f>('C-51'!G37/'C-50'!G37)*1000</f>
        <v>2.2661899318170224</v>
      </c>
      <c r="H37" s="558">
        <f>('C-51'!H37/'C-50'!H37)*1000</f>
        <v>2.2340369566389788</v>
      </c>
      <c r="I37" s="558">
        <f>('C-51'!I37/'C-50'!I37)*1000</f>
        <v>2.3825167223184289</v>
      </c>
      <c r="J37" s="558">
        <f>('C-51'!J37/'C-50'!J37)*1000</f>
        <v>2.324823702413608</v>
      </c>
      <c r="K37" s="558">
        <f>('C-51'!K37/'C-50'!K37)*1000</f>
        <v>2.2008416102594062</v>
      </c>
      <c r="L37" s="558">
        <f>('C-51'!L37/'C-50'!L37)*1000</f>
        <v>2.3124266644331102</v>
      </c>
      <c r="M37" s="558">
        <f>('C-51'!M37/'C-50'!M37)*1000</f>
        <v>2.2190097775617308</v>
      </c>
      <c r="N37" s="558">
        <f>('C-51'!N37/'C-50'!N37)*1000</f>
        <v>2.190576317089477</v>
      </c>
    </row>
    <row r="38" spans="1:14" ht="10" customHeight="1">
      <c r="A38" s="28" t="s">
        <v>238</v>
      </c>
      <c r="B38" s="541"/>
      <c r="C38" s="536"/>
      <c r="D38" s="536"/>
      <c r="E38" s="536"/>
      <c r="F38" s="536"/>
    </row>
    <row r="39" spans="1:14" ht="10" customHeight="1">
      <c r="A39" s="28" t="s">
        <v>192</v>
      </c>
      <c r="B39" s="536"/>
      <c r="C39" s="536"/>
      <c r="D39" s="536"/>
      <c r="E39" s="536"/>
      <c r="F39" s="536"/>
    </row>
    <row r="40" spans="1:14" ht="10" customHeight="1">
      <c r="A40" s="40" t="s">
        <v>261</v>
      </c>
      <c r="B40" s="538"/>
      <c r="C40" s="536"/>
      <c r="D40" s="536"/>
      <c r="E40" s="536"/>
      <c r="F40" s="536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Hoja54">
    <tabColor theme="9" tint="0.59999389629810485"/>
  </sheetPr>
  <dimension ref="A4:O62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9.19921875" style="277" customWidth="1"/>
    <col min="3" max="14" width="8.59765625" style="277" customWidth="1"/>
    <col min="15" max="16384" width="7" style="213"/>
  </cols>
  <sheetData>
    <row r="4" spans="1:15" ht="13" customHeight="1">
      <c r="A4" s="511" t="s">
        <v>391</v>
      </c>
      <c r="B4" s="507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</row>
    <row r="5" spans="1:15" ht="13" customHeight="1">
      <c r="A5" s="514" t="s">
        <v>325</v>
      </c>
      <c r="B5" s="507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</row>
    <row r="6" spans="1:15" ht="5" customHeight="1" thickBot="1"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</row>
    <row r="7" spans="1:15" ht="15" customHeight="1">
      <c r="A7" s="519" t="s">
        <v>18</v>
      </c>
      <c r="B7" s="527" t="s">
        <v>118</v>
      </c>
      <c r="C7" s="548" t="s">
        <v>57</v>
      </c>
      <c r="D7" s="548" t="s">
        <v>58</v>
      </c>
      <c r="E7" s="548" t="s">
        <v>59</v>
      </c>
      <c r="F7" s="548" t="s">
        <v>60</v>
      </c>
      <c r="G7" s="548" t="s">
        <v>61</v>
      </c>
      <c r="H7" s="548" t="s">
        <v>62</v>
      </c>
      <c r="I7" s="548" t="s">
        <v>63</v>
      </c>
      <c r="J7" s="548" t="s">
        <v>64</v>
      </c>
      <c r="K7" s="548" t="s">
        <v>65</v>
      </c>
      <c r="L7" s="548" t="s">
        <v>66</v>
      </c>
      <c r="M7" s="548" t="s">
        <v>67</v>
      </c>
      <c r="N7" s="548" t="s">
        <v>68</v>
      </c>
    </row>
    <row r="8" spans="1:15" ht="15" customHeight="1">
      <c r="A8" s="530" t="s">
        <v>106</v>
      </c>
      <c r="B8" s="559">
        <f t="shared" ref="B8:B37" si="0">SUM(C8:N8)</f>
        <v>2682837.4766814355</v>
      </c>
      <c r="C8" s="559">
        <f t="shared" ref="C8:N8" si="1">(C9+C10+C11+C12+C13+C17+C18+C19+C20+C21+C22+C23+C24+C25+C26+C27+C28+C29+C32+C33+C34+C35+C36+C37)</f>
        <v>188821</v>
      </c>
      <c r="D8" s="559">
        <f t="shared" si="1"/>
        <v>204090</v>
      </c>
      <c r="E8" s="559">
        <f t="shared" si="1"/>
        <v>215610</v>
      </c>
      <c r="F8" s="559">
        <f t="shared" si="1"/>
        <v>240544</v>
      </c>
      <c r="G8" s="559">
        <f t="shared" si="1"/>
        <v>249395.94983057849</v>
      </c>
      <c r="H8" s="559">
        <f t="shared" si="1"/>
        <v>250022</v>
      </c>
      <c r="I8" s="559">
        <f t="shared" si="1"/>
        <v>246648.24374876398</v>
      </c>
      <c r="J8" s="559">
        <f t="shared" si="1"/>
        <v>236865.6356238052</v>
      </c>
      <c r="K8" s="559">
        <f t="shared" si="1"/>
        <v>221878.37874909359</v>
      </c>
      <c r="L8" s="559">
        <f t="shared" si="1"/>
        <v>211596</v>
      </c>
      <c r="M8" s="559">
        <f t="shared" si="1"/>
        <v>208319</v>
      </c>
      <c r="N8" s="559">
        <f t="shared" si="1"/>
        <v>209047.26872919401</v>
      </c>
      <c r="O8" s="242"/>
    </row>
    <row r="9" spans="1:15" ht="12" customHeight="1">
      <c r="A9" s="290" t="s">
        <v>21</v>
      </c>
      <c r="B9" s="550">
        <f t="shared" si="0"/>
        <v>2941</v>
      </c>
      <c r="C9" s="551">
        <f>+'[2]OVI 04-99'!E1376</f>
        <v>187</v>
      </c>
      <c r="D9" s="551">
        <f>+'[2]OVI 04-99'!F1376</f>
        <v>228</v>
      </c>
      <c r="E9" s="551">
        <f>+'[2]OVI 04-99'!G1376</f>
        <v>251</v>
      </c>
      <c r="F9" s="551">
        <f>+'[2]OVI 04-99'!H1376</f>
        <v>248</v>
      </c>
      <c r="G9" s="551">
        <f>+'[2]OVI 04-99'!I1376</f>
        <v>210</v>
      </c>
      <c r="H9" s="551">
        <f>+'[2]OVI 04-99'!J1376</f>
        <v>225</v>
      </c>
      <c r="I9" s="551">
        <f>+'[2]OVI 04-99'!K1376</f>
        <v>240</v>
      </c>
      <c r="J9" s="551">
        <f>+'[2]OVI 04-99'!L1376</f>
        <v>326</v>
      </c>
      <c r="K9" s="551">
        <f>+'[2]OVI 04-99'!M1376</f>
        <v>322</v>
      </c>
      <c r="L9" s="551">
        <f>+'[2]OVI 04-99'!N1376</f>
        <v>259</v>
      </c>
      <c r="M9" s="551">
        <f>+'[2]OVI 04-99'!O1376</f>
        <v>215</v>
      </c>
      <c r="N9" s="551">
        <f>+'[2]OVI 04-99'!P1376</f>
        <v>230</v>
      </c>
      <c r="O9" s="242"/>
    </row>
    <row r="10" spans="1:15" ht="12" customHeight="1">
      <c r="A10" s="290" t="s">
        <v>22</v>
      </c>
      <c r="B10" s="550">
        <f t="shared" si="0"/>
        <v>120555.2856205092</v>
      </c>
      <c r="C10" s="551">
        <f>+'[2]OVI 04-99'!E1379</f>
        <v>8233</v>
      </c>
      <c r="D10" s="551">
        <f>+'[2]OVI 04-99'!F1379</f>
        <v>8840</v>
      </c>
      <c r="E10" s="551">
        <f>+'[2]OVI 04-99'!G1379</f>
        <v>9580</v>
      </c>
      <c r="F10" s="551">
        <f>+'[2]OVI 04-99'!H1379</f>
        <v>10487</v>
      </c>
      <c r="G10" s="551">
        <f>+'[2]OVI 04-99'!I1379</f>
        <v>9901.0274988464007</v>
      </c>
      <c r="H10" s="551">
        <f>+'[2]OVI 04-99'!J1379</f>
        <v>11962</v>
      </c>
      <c r="I10" s="551">
        <f>+'[2]OVI 04-99'!K1379</f>
        <v>11608.243748764</v>
      </c>
      <c r="J10" s="551">
        <f>+'[2]OVI 04-99'!L1379</f>
        <v>11254.635623805199</v>
      </c>
      <c r="K10" s="551">
        <f>+'[2]OVI 04-99'!M1379</f>
        <v>10779.378749093599</v>
      </c>
      <c r="L10" s="551">
        <f>+'[2]OVI 04-99'!N1379</f>
        <v>9365</v>
      </c>
      <c r="M10" s="551">
        <f>+'[2]OVI 04-99'!O1379</f>
        <v>9119</v>
      </c>
      <c r="N10" s="551">
        <f>+'[2]OVI 04-99'!P1379</f>
        <v>9426</v>
      </c>
      <c r="O10" s="242"/>
    </row>
    <row r="11" spans="1:15" ht="12" customHeight="1">
      <c r="A11" s="290" t="s">
        <v>23</v>
      </c>
      <c r="B11" s="550">
        <f t="shared" si="0"/>
        <v>31831</v>
      </c>
      <c r="C11" s="551">
        <f>+'[2]OVI 04-99'!E1382</f>
        <v>2498</v>
      </c>
      <c r="D11" s="551">
        <f>+'[2]OVI 04-99'!F1382</f>
        <v>2660</v>
      </c>
      <c r="E11" s="551">
        <f>+'[2]OVI 04-99'!G1382</f>
        <v>2610</v>
      </c>
      <c r="F11" s="551">
        <f>+'[2]OVI 04-99'!H1382</f>
        <v>2602</v>
      </c>
      <c r="G11" s="551">
        <f>+'[2]OVI 04-99'!I1382</f>
        <v>2685</v>
      </c>
      <c r="H11" s="551">
        <f>+'[2]OVI 04-99'!J1382</f>
        <v>2697</v>
      </c>
      <c r="I11" s="551">
        <f>+'[2]OVI 04-99'!K1382</f>
        <v>2568</v>
      </c>
      <c r="J11" s="551">
        <f>+'[2]OVI 04-99'!L1382</f>
        <v>2415</v>
      </c>
      <c r="K11" s="551">
        <f>+'[2]OVI 04-99'!M1382</f>
        <v>2398</v>
      </c>
      <c r="L11" s="551">
        <f>+'[2]OVI 04-99'!N1382</f>
        <v>2790</v>
      </c>
      <c r="M11" s="551">
        <f>+'[2]OVI 04-99'!O1382</f>
        <v>2698</v>
      </c>
      <c r="N11" s="551">
        <f>+'[2]OVI 04-99'!P1382</f>
        <v>3210</v>
      </c>
      <c r="O11" s="242"/>
    </row>
    <row r="12" spans="1:15" ht="12" customHeight="1">
      <c r="A12" s="211" t="s">
        <v>24</v>
      </c>
      <c r="B12" s="550">
        <f t="shared" si="0"/>
        <v>188941</v>
      </c>
      <c r="C12" s="551">
        <f>+'[2]OVI 04-99'!E1385</f>
        <v>14763</v>
      </c>
      <c r="D12" s="551">
        <f>+'[2]OVI 04-99'!F1385</f>
        <v>15328</v>
      </c>
      <c r="E12" s="551">
        <f>+'[2]OVI 04-99'!G1385</f>
        <v>15163</v>
      </c>
      <c r="F12" s="551">
        <f>+'[2]OVI 04-99'!H1385</f>
        <v>16033.000000000002</v>
      </c>
      <c r="G12" s="551">
        <f>+'[2]OVI 04-99'!I1385</f>
        <v>16210.999999999998</v>
      </c>
      <c r="H12" s="551">
        <f>+'[2]OVI 04-99'!J1385</f>
        <v>16602</v>
      </c>
      <c r="I12" s="551">
        <f>+'[2]OVI 04-99'!K1385</f>
        <v>16224</v>
      </c>
      <c r="J12" s="551">
        <f>+'[2]OVI 04-99'!L1385</f>
        <v>16073</v>
      </c>
      <c r="K12" s="551">
        <f>+'[2]OVI 04-99'!M1385</f>
        <v>15718</v>
      </c>
      <c r="L12" s="551">
        <f>+'[2]OVI 04-99'!N1385</f>
        <v>15679</v>
      </c>
      <c r="M12" s="551">
        <f>+'[2]OVI 04-99'!O1385</f>
        <v>15522</v>
      </c>
      <c r="N12" s="551">
        <f>+'[2]OVI 04-99'!P1385</f>
        <v>15625</v>
      </c>
      <c r="O12" s="242"/>
    </row>
    <row r="13" spans="1:15" ht="12" customHeight="1">
      <c r="A13" s="291" t="s">
        <v>25</v>
      </c>
      <c r="B13" s="550">
        <f t="shared" si="0"/>
        <v>99840</v>
      </c>
      <c r="C13" s="551">
        <f>+'[2]OVI 04-99'!E1388</f>
        <v>7403</v>
      </c>
      <c r="D13" s="551">
        <f>+'[2]OVI 04-99'!F1388</f>
        <v>7867</v>
      </c>
      <c r="E13" s="551">
        <f>+'[2]OVI 04-99'!G1388</f>
        <v>8340</v>
      </c>
      <c r="F13" s="551">
        <f>+'[2]OVI 04-99'!H1388</f>
        <v>8083</v>
      </c>
      <c r="G13" s="551">
        <f>+'[2]OVI 04-99'!I1388</f>
        <v>8431</v>
      </c>
      <c r="H13" s="551">
        <f>+'[2]OVI 04-99'!J1388</f>
        <v>8570</v>
      </c>
      <c r="I13" s="551">
        <f>+'[2]OVI 04-99'!K1388</f>
        <v>8763</v>
      </c>
      <c r="J13" s="551">
        <f>+'[2]OVI 04-99'!L1388</f>
        <v>8728</v>
      </c>
      <c r="K13" s="551">
        <f>+'[2]OVI 04-99'!M1388</f>
        <v>8744</v>
      </c>
      <c r="L13" s="551">
        <f>+'[2]OVI 04-99'!N1388</f>
        <v>8476</v>
      </c>
      <c r="M13" s="551">
        <f>+'[2]OVI 04-99'!O1388</f>
        <v>8554</v>
      </c>
      <c r="N13" s="551">
        <f>+'[2]OVI 04-99'!P1388</f>
        <v>7881</v>
      </c>
      <c r="O13" s="242"/>
    </row>
    <row r="14" spans="1:15" ht="12" customHeight="1">
      <c r="A14" s="226" t="s">
        <v>107</v>
      </c>
      <c r="B14" s="550">
        <f t="shared" si="0"/>
        <v>71305</v>
      </c>
      <c r="C14" s="551">
        <f>+'[2]OVI 04-99'!E1391</f>
        <v>5297</v>
      </c>
      <c r="D14" s="551">
        <f>+'[2]OVI 04-99'!F1391</f>
        <v>5706</v>
      </c>
      <c r="E14" s="551">
        <f>+'[2]OVI 04-99'!G1391</f>
        <v>5898</v>
      </c>
      <c r="F14" s="551">
        <f>+'[2]OVI 04-99'!H1391</f>
        <v>5797</v>
      </c>
      <c r="G14" s="551">
        <f>+'[2]OVI 04-99'!I1391</f>
        <v>5858</v>
      </c>
      <c r="H14" s="551">
        <f>+'[2]OVI 04-99'!J1391</f>
        <v>5903</v>
      </c>
      <c r="I14" s="551">
        <f>+'[2]OVI 04-99'!K1391</f>
        <v>6221</v>
      </c>
      <c r="J14" s="551">
        <f>+'[2]OVI 04-99'!L1391</f>
        <v>6255</v>
      </c>
      <c r="K14" s="551">
        <f>+'[2]OVI 04-99'!M1391</f>
        <v>6300</v>
      </c>
      <c r="L14" s="551">
        <f>+'[2]OVI 04-99'!N1391</f>
        <v>6064</v>
      </c>
      <c r="M14" s="551">
        <f>+'[2]OVI 04-99'!O1391</f>
        <v>6180</v>
      </c>
      <c r="N14" s="551">
        <f>+'[2]OVI 04-99'!P1391</f>
        <v>5826</v>
      </c>
      <c r="O14" s="242"/>
    </row>
    <row r="15" spans="1:15" ht="12" customHeight="1">
      <c r="A15" s="226" t="s">
        <v>108</v>
      </c>
      <c r="B15" s="550">
        <f t="shared" si="0"/>
        <v>22463</v>
      </c>
      <c r="C15" s="551">
        <f>+'[2]OVI 04-99'!E1394</f>
        <v>1669</v>
      </c>
      <c r="D15" s="551">
        <f>+'[2]OVI 04-99'!F1394</f>
        <v>1649</v>
      </c>
      <c r="E15" s="551">
        <f>+'[2]OVI 04-99'!G1394</f>
        <v>1798</v>
      </c>
      <c r="F15" s="551">
        <f>+'[2]OVI 04-99'!H1394</f>
        <v>1642</v>
      </c>
      <c r="G15" s="551">
        <f>+'[2]OVI 04-99'!I1394</f>
        <v>1890</v>
      </c>
      <c r="H15" s="551">
        <f>+'[2]OVI 04-99'!J1394</f>
        <v>2023</v>
      </c>
      <c r="I15" s="551">
        <f>+'[2]OVI 04-99'!K1394</f>
        <v>2050</v>
      </c>
      <c r="J15" s="551">
        <f>+'[2]OVI 04-99'!L1394</f>
        <v>2063</v>
      </c>
      <c r="K15" s="551">
        <f>+'[2]OVI 04-99'!M1394</f>
        <v>2005</v>
      </c>
      <c r="L15" s="551">
        <f>+'[2]OVI 04-99'!N1394</f>
        <v>1990</v>
      </c>
      <c r="M15" s="551">
        <f>+'[2]OVI 04-99'!O1394</f>
        <v>1999</v>
      </c>
      <c r="N15" s="551">
        <f>+'[2]OVI 04-99'!P1394</f>
        <v>1685</v>
      </c>
      <c r="O15" s="242"/>
    </row>
    <row r="16" spans="1:15" ht="12" customHeight="1">
      <c r="A16" s="226" t="s">
        <v>109</v>
      </c>
      <c r="B16" s="550">
        <f t="shared" si="0"/>
        <v>6072</v>
      </c>
      <c r="C16" s="551">
        <f>+'[2]OVI 04-99'!E1397</f>
        <v>437</v>
      </c>
      <c r="D16" s="551">
        <f>+'[2]OVI 04-99'!F1397</f>
        <v>512</v>
      </c>
      <c r="E16" s="551">
        <f>+'[2]OVI 04-99'!G1397</f>
        <v>644</v>
      </c>
      <c r="F16" s="551">
        <f>+'[2]OVI 04-99'!H1397</f>
        <v>644</v>
      </c>
      <c r="G16" s="551">
        <f>+'[2]OVI 04-99'!I1397</f>
        <v>683</v>
      </c>
      <c r="H16" s="551">
        <f>+'[2]OVI 04-99'!J1397</f>
        <v>644</v>
      </c>
      <c r="I16" s="551">
        <f>+'[2]OVI 04-99'!K1397</f>
        <v>492</v>
      </c>
      <c r="J16" s="551">
        <f>+'[2]OVI 04-99'!L1397</f>
        <v>410</v>
      </c>
      <c r="K16" s="551">
        <f>+'[2]OVI 04-99'!M1397</f>
        <v>439</v>
      </c>
      <c r="L16" s="551">
        <f>+'[2]OVI 04-99'!N1397</f>
        <v>422</v>
      </c>
      <c r="M16" s="551">
        <f>+'[2]OVI 04-99'!O1397</f>
        <v>375</v>
      </c>
      <c r="N16" s="551">
        <f>+'[2]OVI 04-99'!P1397</f>
        <v>370</v>
      </c>
      <c r="O16" s="242"/>
    </row>
    <row r="17" spans="1:15" ht="12" customHeight="1">
      <c r="A17" s="290" t="s">
        <v>29</v>
      </c>
      <c r="B17" s="550">
        <f t="shared" si="0"/>
        <v>3532</v>
      </c>
      <c r="C17" s="551">
        <f>+'[2]OVI 04-99'!E1400</f>
        <v>285.00000000000006</v>
      </c>
      <c r="D17" s="551">
        <f>+'[2]OVI 04-99'!F1400</f>
        <v>260</v>
      </c>
      <c r="E17" s="551">
        <f>+'[2]OVI 04-99'!G1400</f>
        <v>279</v>
      </c>
      <c r="F17" s="551">
        <f>+'[2]OVI 04-99'!H1400</f>
        <v>247</v>
      </c>
      <c r="G17" s="551">
        <f>+'[2]OVI 04-99'!I1400</f>
        <v>267</v>
      </c>
      <c r="H17" s="551">
        <f>+'[2]OVI 04-99'!J1400</f>
        <v>304.00000000000006</v>
      </c>
      <c r="I17" s="551">
        <f>+'[2]OVI 04-99'!K1400</f>
        <v>288.00000000000006</v>
      </c>
      <c r="J17" s="551">
        <f>+'[2]OVI 04-99'!L1400</f>
        <v>289.00000000000006</v>
      </c>
      <c r="K17" s="551">
        <f>+'[2]OVI 04-99'!M1400</f>
        <v>294.00000000000006</v>
      </c>
      <c r="L17" s="551">
        <f>+'[2]OVI 04-99'!N1400</f>
        <v>285.00000000000006</v>
      </c>
      <c r="M17" s="551">
        <f>+'[2]OVI 04-99'!O1400</f>
        <v>297.00000000000006</v>
      </c>
      <c r="N17" s="551">
        <f>+'[2]OVI 04-99'!P1400</f>
        <v>436.99999999999994</v>
      </c>
      <c r="O17" s="242"/>
    </row>
    <row r="18" spans="1:15" ht="12" customHeight="1">
      <c r="A18" s="211" t="s">
        <v>30</v>
      </c>
      <c r="B18" s="550">
        <f t="shared" si="0"/>
        <v>132633</v>
      </c>
      <c r="C18" s="551">
        <f>+'[2]OVI 04-99'!E1403</f>
        <v>11142</v>
      </c>
      <c r="D18" s="551">
        <f>+'[2]OVI 04-99'!F1403</f>
        <v>10798</v>
      </c>
      <c r="E18" s="551">
        <f>+'[2]OVI 04-99'!G1403</f>
        <v>11779</v>
      </c>
      <c r="F18" s="551">
        <f>+'[2]OVI 04-99'!H1403</f>
        <v>10528</v>
      </c>
      <c r="G18" s="551">
        <f>+'[2]OVI 04-99'!I1403</f>
        <v>10791</v>
      </c>
      <c r="H18" s="551">
        <f>+'[2]OVI 04-99'!J1403</f>
        <v>10807</v>
      </c>
      <c r="I18" s="551">
        <f>+'[2]OVI 04-99'!K1403</f>
        <v>10952</v>
      </c>
      <c r="J18" s="551">
        <f>+'[2]OVI 04-99'!L1403</f>
        <v>11032</v>
      </c>
      <c r="K18" s="551">
        <f>+'[2]OVI 04-99'!M1403</f>
        <v>11022</v>
      </c>
      <c r="L18" s="551">
        <f>+'[2]OVI 04-99'!N1403</f>
        <v>11345</v>
      </c>
      <c r="M18" s="551">
        <f>+'[2]OVI 04-99'!O1403</f>
        <v>11135</v>
      </c>
      <c r="N18" s="551">
        <f>+'[2]OVI 04-99'!P1403</f>
        <v>11302</v>
      </c>
      <c r="O18" s="242"/>
    </row>
    <row r="19" spans="1:15" ht="12" customHeight="1">
      <c r="A19" s="211" t="s">
        <v>31</v>
      </c>
      <c r="B19" s="550">
        <f t="shared" si="0"/>
        <v>64093</v>
      </c>
      <c r="C19" s="551">
        <f>+'[2]OVI 04-99'!E1406</f>
        <v>4540</v>
      </c>
      <c r="D19" s="551">
        <f>+'[2]OVI 04-99'!F1406</f>
        <v>5419</v>
      </c>
      <c r="E19" s="551">
        <f>+'[2]OVI 04-99'!G1406</f>
        <v>4956</v>
      </c>
      <c r="F19" s="551">
        <f>+'[2]OVI 04-99'!H1406</f>
        <v>5166</v>
      </c>
      <c r="G19" s="551">
        <f>+'[2]OVI 04-99'!I1406</f>
        <v>5724</v>
      </c>
      <c r="H19" s="551">
        <f>+'[2]OVI 04-99'!J1406</f>
        <v>5104</v>
      </c>
      <c r="I19" s="551">
        <f>+'[2]OVI 04-99'!K1406</f>
        <v>6131</v>
      </c>
      <c r="J19" s="551">
        <f>+'[2]OVI 04-99'!L1406</f>
        <v>4521</v>
      </c>
      <c r="K19" s="551">
        <f>+'[2]OVI 04-99'!M1406</f>
        <v>5828</v>
      </c>
      <c r="L19" s="551">
        <f>+'[2]OVI 04-99'!N1406</f>
        <v>5375</v>
      </c>
      <c r="M19" s="551">
        <f>+'[2]OVI 04-99'!O1406</f>
        <v>5291</v>
      </c>
      <c r="N19" s="551">
        <f>+'[2]OVI 04-99'!P1406</f>
        <v>6038</v>
      </c>
      <c r="O19" s="242"/>
    </row>
    <row r="20" spans="1:15" ht="12" customHeight="1">
      <c r="A20" s="290" t="s">
        <v>32</v>
      </c>
      <c r="B20" s="550">
        <f t="shared" si="0"/>
        <v>9044</v>
      </c>
      <c r="C20" s="551">
        <f>+'[2]OVI 04-99'!E1409</f>
        <v>561</v>
      </c>
      <c r="D20" s="551">
        <f>+'[2]OVI 04-99'!F1409</f>
        <v>534</v>
      </c>
      <c r="E20" s="551">
        <f>+'[2]OVI 04-99'!G1409</f>
        <v>568</v>
      </c>
      <c r="F20" s="551">
        <f>+'[2]OVI 04-99'!H1409</f>
        <v>626</v>
      </c>
      <c r="G20" s="551">
        <f>+'[2]OVI 04-99'!I1409</f>
        <v>772</v>
      </c>
      <c r="H20" s="551">
        <f>+'[2]OVI 04-99'!J1409</f>
        <v>704</v>
      </c>
      <c r="I20" s="551">
        <f>+'[2]OVI 04-99'!K1409</f>
        <v>795</v>
      </c>
      <c r="J20" s="551">
        <f>+'[2]OVI 04-99'!L1409</f>
        <v>831</v>
      </c>
      <c r="K20" s="551">
        <f>+'[2]OVI 04-99'!M1409</f>
        <v>889</v>
      </c>
      <c r="L20" s="551">
        <f>+'[2]OVI 04-99'!N1409</f>
        <v>957</v>
      </c>
      <c r="M20" s="551">
        <f>+'[2]OVI 04-99'!O1409</f>
        <v>1006</v>
      </c>
      <c r="N20" s="551">
        <f>+'[2]OVI 04-99'!P1409</f>
        <v>801</v>
      </c>
      <c r="O20" s="242"/>
    </row>
    <row r="21" spans="1:15" ht="12" customHeight="1">
      <c r="A21" s="290" t="s">
        <v>33</v>
      </c>
      <c r="B21" s="550">
        <f t="shared" si="0"/>
        <v>157449</v>
      </c>
      <c r="C21" s="551">
        <f>+'[2]OVI 04-99'!E1412</f>
        <v>11440</v>
      </c>
      <c r="D21" s="551">
        <f>+'[2]OVI 04-99'!F1412</f>
        <v>11891</v>
      </c>
      <c r="E21" s="551">
        <f>+'[2]OVI 04-99'!G1412</f>
        <v>12915</v>
      </c>
      <c r="F21" s="551">
        <f>+'[2]OVI 04-99'!H1412</f>
        <v>13359</v>
      </c>
      <c r="G21" s="551">
        <f>+'[2]OVI 04-99'!I1412</f>
        <v>12987</v>
      </c>
      <c r="H21" s="551">
        <f>+'[2]OVI 04-99'!J1412</f>
        <v>13446</v>
      </c>
      <c r="I21" s="551">
        <f>+'[2]OVI 04-99'!K1412</f>
        <v>14198</v>
      </c>
      <c r="J21" s="551">
        <f>+'[2]OVI 04-99'!L1412</f>
        <v>14225</v>
      </c>
      <c r="K21" s="551">
        <f>+'[2]OVI 04-99'!M1412</f>
        <v>13065</v>
      </c>
      <c r="L21" s="551">
        <f>+'[2]OVI 04-99'!N1412</f>
        <v>13412</v>
      </c>
      <c r="M21" s="551">
        <f>+'[2]OVI 04-99'!O1412</f>
        <v>12852</v>
      </c>
      <c r="N21" s="551">
        <f>+'[2]OVI 04-99'!P1412</f>
        <v>13659</v>
      </c>
      <c r="O21" s="242"/>
    </row>
    <row r="22" spans="1:15" ht="12" customHeight="1">
      <c r="A22" s="290" t="s">
        <v>34</v>
      </c>
      <c r="B22" s="550">
        <f t="shared" si="0"/>
        <v>107119</v>
      </c>
      <c r="C22" s="551">
        <f>+'[2]OVI 04-99'!E1415</f>
        <v>4741</v>
      </c>
      <c r="D22" s="551">
        <f>+'[2]OVI 04-99'!F1415</f>
        <v>5636</v>
      </c>
      <c r="E22" s="551">
        <f>+'[2]OVI 04-99'!G1415</f>
        <v>6884</v>
      </c>
      <c r="F22" s="551">
        <f>+'[2]OVI 04-99'!H1415</f>
        <v>9585</v>
      </c>
      <c r="G22" s="551">
        <f>+'[2]OVI 04-99'!I1415</f>
        <v>11933</v>
      </c>
      <c r="H22" s="551">
        <f>+'[2]OVI 04-99'!J1415</f>
        <v>13460</v>
      </c>
      <c r="I22" s="551">
        <f>+'[2]OVI 04-99'!K1415</f>
        <v>12587</v>
      </c>
      <c r="J22" s="551">
        <f>+'[2]OVI 04-99'!L1415</f>
        <v>10782</v>
      </c>
      <c r="K22" s="551">
        <f>+'[2]OVI 04-99'!M1415</f>
        <v>6976</v>
      </c>
      <c r="L22" s="551">
        <f>+'[2]OVI 04-99'!N1415</f>
        <v>6051</v>
      </c>
      <c r="M22" s="551">
        <f>+'[2]OVI 04-99'!O1415</f>
        <v>8434</v>
      </c>
      <c r="N22" s="551">
        <f>+'[2]OVI 04-99'!P1415</f>
        <v>10050</v>
      </c>
      <c r="O22" s="242"/>
    </row>
    <row r="23" spans="1:15" ht="12" customHeight="1">
      <c r="A23" s="290" t="s">
        <v>35</v>
      </c>
      <c r="B23" s="550">
        <f t="shared" si="0"/>
        <v>303867.19106092612</v>
      </c>
      <c r="C23" s="551">
        <f>+'[2]OVI 04-99'!E1418</f>
        <v>25303.000000000004</v>
      </c>
      <c r="D23" s="551">
        <f>+'[2]OVI 04-99'!F1418</f>
        <v>25090</v>
      </c>
      <c r="E23" s="551">
        <f>+'[2]OVI 04-99'!G1418</f>
        <v>24774.999999999996</v>
      </c>
      <c r="F23" s="551">
        <f>+'[2]OVI 04-99'!H1418</f>
        <v>25082</v>
      </c>
      <c r="G23" s="551">
        <f>+'[2]OVI 04-99'!I1418</f>
        <v>25389.922331732087</v>
      </c>
      <c r="H23" s="551">
        <f>+'[2]OVI 04-99'!J1418</f>
        <v>25603</v>
      </c>
      <c r="I23" s="551">
        <f>+'[2]OVI 04-99'!K1418</f>
        <v>25735.000000000004</v>
      </c>
      <c r="J23" s="551">
        <f>+'[2]OVI 04-99'!L1418</f>
        <v>25346</v>
      </c>
      <c r="K23" s="551">
        <f>+'[2]OVI 04-99'!M1418</f>
        <v>25602</v>
      </c>
      <c r="L23" s="551">
        <f>+'[2]OVI 04-99'!N1418</f>
        <v>25338</v>
      </c>
      <c r="M23" s="551">
        <f>+'[2]OVI 04-99'!O1418</f>
        <v>25169</v>
      </c>
      <c r="N23" s="551">
        <f>+'[2]OVI 04-99'!P1418</f>
        <v>25434.268729194006</v>
      </c>
      <c r="O23" s="242"/>
    </row>
    <row r="24" spans="1:15" ht="12" customHeight="1">
      <c r="A24" s="290" t="s">
        <v>110</v>
      </c>
      <c r="B24" s="550">
        <f t="shared" si="0"/>
        <v>110863</v>
      </c>
      <c r="C24" s="551">
        <f>+'[2]OVI 04-99'!E1421</f>
        <v>8634</v>
      </c>
      <c r="D24" s="551">
        <f>+'[2]OVI 04-99'!F1421</f>
        <v>8716</v>
      </c>
      <c r="E24" s="551">
        <f>+'[2]OVI 04-99'!G1421</f>
        <v>8449</v>
      </c>
      <c r="F24" s="551">
        <f>+'[2]OVI 04-99'!H1421</f>
        <v>9054</v>
      </c>
      <c r="G24" s="551">
        <f>+'[2]OVI 04-99'!I1421</f>
        <v>9710</v>
      </c>
      <c r="H24" s="551">
        <f>+'[2]OVI 04-99'!J1421</f>
        <v>9863</v>
      </c>
      <c r="I24" s="551">
        <f>+'[2]OVI 04-99'!K1421</f>
        <v>9147</v>
      </c>
      <c r="J24" s="551">
        <f>+'[2]OVI 04-99'!L1421</f>
        <v>9180</v>
      </c>
      <c r="K24" s="551">
        <f>+'[2]OVI 04-99'!M1421</f>
        <v>9245</v>
      </c>
      <c r="L24" s="551">
        <f>+'[2]OVI 04-99'!N1421</f>
        <v>9898</v>
      </c>
      <c r="M24" s="551">
        <f>+'[2]OVI 04-99'!O1421</f>
        <v>9394</v>
      </c>
      <c r="N24" s="551">
        <f>+'[2]OVI 04-99'!P1421</f>
        <v>9573</v>
      </c>
      <c r="O24" s="242"/>
    </row>
    <row r="25" spans="1:15" ht="12" customHeight="1">
      <c r="A25" s="211" t="s">
        <v>37</v>
      </c>
      <c r="B25" s="550">
        <f t="shared" si="0"/>
        <v>146807</v>
      </c>
      <c r="C25" s="551">
        <f>+'[2]OVI 04-99'!E1424</f>
        <v>11814</v>
      </c>
      <c r="D25" s="551">
        <f>+'[2]OVI 04-99'!F1424</f>
        <v>12308</v>
      </c>
      <c r="E25" s="551">
        <f>+'[2]OVI 04-99'!G1424</f>
        <v>12296</v>
      </c>
      <c r="F25" s="551">
        <f>+'[2]OVI 04-99'!H1424</f>
        <v>12334</v>
      </c>
      <c r="G25" s="551">
        <f>+'[2]OVI 04-99'!I1424</f>
        <v>12740</v>
      </c>
      <c r="H25" s="551">
        <f>+'[2]OVI 04-99'!J1424</f>
        <v>12680</v>
      </c>
      <c r="I25" s="551">
        <f>+'[2]OVI 04-99'!K1424</f>
        <v>12300</v>
      </c>
      <c r="J25" s="551">
        <f>+'[2]OVI 04-99'!L1424</f>
        <v>12147</v>
      </c>
      <c r="K25" s="551">
        <f>+'[2]OVI 04-99'!M1424</f>
        <v>12068</v>
      </c>
      <c r="L25" s="551">
        <f>+'[2]OVI 04-99'!N1424</f>
        <v>11931</v>
      </c>
      <c r="M25" s="551">
        <f>+'[2]OVI 04-99'!O1424</f>
        <v>11921</v>
      </c>
      <c r="N25" s="551">
        <f>+'[2]OVI 04-99'!P1424</f>
        <v>12268</v>
      </c>
      <c r="O25" s="242"/>
    </row>
    <row r="26" spans="1:15" ht="12" customHeight="1">
      <c r="A26" s="290" t="s">
        <v>38</v>
      </c>
      <c r="B26" s="550">
        <f t="shared" si="0"/>
        <v>4033</v>
      </c>
      <c r="C26" s="551">
        <f>+'[2]OVI 04-99'!E1427</f>
        <v>320</v>
      </c>
      <c r="D26" s="551">
        <f>+'[2]OVI 04-99'!F1427</f>
        <v>288</v>
      </c>
      <c r="E26" s="551">
        <f>+'[2]OVI 04-99'!G1427</f>
        <v>334</v>
      </c>
      <c r="F26" s="551">
        <f>+'[2]OVI 04-99'!H1427</f>
        <v>390</v>
      </c>
      <c r="G26" s="551">
        <f>+'[2]OVI 04-99'!I1427</f>
        <v>423</v>
      </c>
      <c r="H26" s="551">
        <f>+'[2]OVI 04-99'!J1427</f>
        <v>379</v>
      </c>
      <c r="I26" s="551">
        <f>+'[2]OVI 04-99'!K1427</f>
        <v>388</v>
      </c>
      <c r="J26" s="551">
        <f>+'[2]OVI 04-99'!L1427</f>
        <v>350</v>
      </c>
      <c r="K26" s="551">
        <f>+'[2]OVI 04-99'!M1427</f>
        <v>294</v>
      </c>
      <c r="L26" s="551">
        <f>+'[2]OVI 04-99'!N1427</f>
        <v>294</v>
      </c>
      <c r="M26" s="551">
        <f>+'[2]OVI 04-99'!O1427</f>
        <v>271</v>
      </c>
      <c r="N26" s="551">
        <f>+'[2]OVI 04-99'!P1427</f>
        <v>302</v>
      </c>
      <c r="O26" s="242"/>
    </row>
    <row r="27" spans="1:15" ht="12" customHeight="1">
      <c r="A27" s="290" t="s">
        <v>39</v>
      </c>
      <c r="B27" s="550">
        <f t="shared" si="0"/>
        <v>8114</v>
      </c>
      <c r="C27" s="551">
        <f>+'[2]OVI 04-99'!E1430</f>
        <v>549</v>
      </c>
      <c r="D27" s="551">
        <f>+'[2]OVI 04-99'!F1430</f>
        <v>614</v>
      </c>
      <c r="E27" s="551">
        <f>+'[2]OVI 04-99'!G1430</f>
        <v>639</v>
      </c>
      <c r="F27" s="551">
        <f>+'[2]OVI 04-99'!H1430</f>
        <v>607</v>
      </c>
      <c r="G27" s="551">
        <f>+'[2]OVI 04-99'!I1430</f>
        <v>652</v>
      </c>
      <c r="H27" s="551">
        <f>+'[2]OVI 04-99'!J1430</f>
        <v>695</v>
      </c>
      <c r="I27" s="551">
        <f>+'[2]OVI 04-99'!K1430</f>
        <v>684</v>
      </c>
      <c r="J27" s="551">
        <f>+'[2]OVI 04-99'!L1430</f>
        <v>715</v>
      </c>
      <c r="K27" s="551">
        <f>+'[2]OVI 04-99'!M1430</f>
        <v>740</v>
      </c>
      <c r="L27" s="551">
        <f>+'[2]OVI 04-99'!N1430</f>
        <v>693</v>
      </c>
      <c r="M27" s="551">
        <f>+'[2]OVI 04-99'!O1430</f>
        <v>745</v>
      </c>
      <c r="N27" s="551">
        <f>+'[2]OVI 04-99'!P1430</f>
        <v>781</v>
      </c>
      <c r="O27" s="242"/>
    </row>
    <row r="28" spans="1:15" ht="12" customHeight="1">
      <c r="A28" s="290" t="s">
        <v>40</v>
      </c>
      <c r="B28" s="550">
        <f t="shared" si="0"/>
        <v>166207</v>
      </c>
      <c r="C28" s="551">
        <f>+'[2]OVI 04-99'!E1433</f>
        <v>9866</v>
      </c>
      <c r="D28" s="551">
        <f>+'[2]OVI 04-99'!F1433</f>
        <v>12365</v>
      </c>
      <c r="E28" s="551">
        <f>+'[2]OVI 04-99'!G1433</f>
        <v>14339</v>
      </c>
      <c r="F28" s="551">
        <f>+'[2]OVI 04-99'!H1433</f>
        <v>16065</v>
      </c>
      <c r="G28" s="551">
        <f>+'[2]OVI 04-99'!I1433</f>
        <v>17625</v>
      </c>
      <c r="H28" s="551">
        <f>+'[2]OVI 04-99'!J1433</f>
        <v>16068</v>
      </c>
      <c r="I28" s="551">
        <f>+'[2]OVI 04-99'!K1433</f>
        <v>15540</v>
      </c>
      <c r="J28" s="551">
        <f>+'[2]OVI 04-99'!L1433</f>
        <v>14425</v>
      </c>
      <c r="K28" s="551">
        <f>+'[2]OVI 04-99'!M1433</f>
        <v>11958</v>
      </c>
      <c r="L28" s="551">
        <f>+'[2]OVI 04-99'!N1433</f>
        <v>11756</v>
      </c>
      <c r="M28" s="551">
        <f>+'[2]OVI 04-99'!O1433</f>
        <v>12438</v>
      </c>
      <c r="N28" s="551">
        <f>+'[2]OVI 04-99'!P1433</f>
        <v>13762</v>
      </c>
      <c r="O28" s="242"/>
    </row>
    <row r="29" spans="1:15" ht="12" customHeight="1">
      <c r="A29" s="291" t="s">
        <v>41</v>
      </c>
      <c r="B29" s="550">
        <f t="shared" si="0"/>
        <v>79281</v>
      </c>
      <c r="C29" s="551">
        <f>+'[2]OVI 04-99'!E1436</f>
        <v>6967</v>
      </c>
      <c r="D29" s="551">
        <f>+'[2]OVI 04-99'!F1436</f>
        <v>6754</v>
      </c>
      <c r="E29" s="551">
        <f>+'[2]OVI 04-99'!G1436</f>
        <v>6610</v>
      </c>
      <c r="F29" s="551">
        <f>+'[2]OVI 04-99'!H1436</f>
        <v>6634</v>
      </c>
      <c r="G29" s="551">
        <f>+'[2]OVI 04-99'!I1436</f>
        <v>6660</v>
      </c>
      <c r="H29" s="551">
        <f>+'[2]OVI 04-99'!J1436</f>
        <v>6693</v>
      </c>
      <c r="I29" s="551">
        <f>+'[2]OVI 04-99'!K1436</f>
        <v>6699</v>
      </c>
      <c r="J29" s="551">
        <f>+'[2]OVI 04-99'!L1436</f>
        <v>6740</v>
      </c>
      <c r="K29" s="551">
        <f>+'[2]OVI 04-99'!M1436</f>
        <v>6690</v>
      </c>
      <c r="L29" s="551">
        <f>+'[2]OVI 04-99'!N1436</f>
        <v>6520</v>
      </c>
      <c r="M29" s="551">
        <f>+'[2]OVI 04-99'!O1436</f>
        <v>6137</v>
      </c>
      <c r="N29" s="551">
        <f>+'[2]OVI 04-99'!P1436</f>
        <v>6177</v>
      </c>
      <c r="O29" s="242"/>
    </row>
    <row r="30" spans="1:15" ht="12" customHeight="1">
      <c r="A30" s="226" t="s">
        <v>111</v>
      </c>
      <c r="B30" s="550">
        <f t="shared" si="0"/>
        <v>40475</v>
      </c>
      <c r="C30" s="551">
        <f>+'[2]OVI 04-99'!E1439</f>
        <v>3397</v>
      </c>
      <c r="D30" s="551">
        <f>+'[2]OVI 04-99'!F1439</f>
        <v>3380</v>
      </c>
      <c r="E30" s="551">
        <f>+'[2]OVI 04-99'!G1439</f>
        <v>3440</v>
      </c>
      <c r="F30" s="551">
        <f>+'[2]OVI 04-99'!H1439</f>
        <v>3452</v>
      </c>
      <c r="G30" s="551">
        <f>+'[2]OVI 04-99'!I1439</f>
        <v>3470</v>
      </c>
      <c r="H30" s="551">
        <f>+'[2]OVI 04-99'!J1439</f>
        <v>3492</v>
      </c>
      <c r="I30" s="551">
        <f>+'[2]OVI 04-99'!K1439</f>
        <v>3499</v>
      </c>
      <c r="J30" s="551">
        <f>+'[2]OVI 04-99'!L1439</f>
        <v>3510</v>
      </c>
      <c r="K30" s="551">
        <f>+'[2]OVI 04-99'!M1439</f>
        <v>3499</v>
      </c>
      <c r="L30" s="551">
        <f>+'[2]OVI 04-99'!N1439</f>
        <v>3425</v>
      </c>
      <c r="M30" s="551">
        <f>+'[2]OVI 04-99'!O1439</f>
        <v>2940</v>
      </c>
      <c r="N30" s="551">
        <f>+'[2]OVI 04-99'!P1439</f>
        <v>2971</v>
      </c>
      <c r="O30" s="242"/>
    </row>
    <row r="31" spans="1:15" ht="12" customHeight="1">
      <c r="A31" s="226" t="s">
        <v>112</v>
      </c>
      <c r="B31" s="550">
        <f t="shared" si="0"/>
        <v>38806</v>
      </c>
      <c r="C31" s="551">
        <f>+'[2]OVI 04-99'!E1442</f>
        <v>3570</v>
      </c>
      <c r="D31" s="551">
        <f>+'[2]OVI 04-99'!F1442</f>
        <v>3374</v>
      </c>
      <c r="E31" s="551">
        <f>+'[2]OVI 04-99'!G1442</f>
        <v>3170</v>
      </c>
      <c r="F31" s="551">
        <f>+'[2]OVI 04-99'!H1442</f>
        <v>3182</v>
      </c>
      <c r="G31" s="551">
        <f>+'[2]OVI 04-99'!I1442</f>
        <v>3190</v>
      </c>
      <c r="H31" s="551">
        <f>+'[2]OVI 04-99'!J1442</f>
        <v>3201</v>
      </c>
      <c r="I31" s="551">
        <f>+'[2]OVI 04-99'!K1442</f>
        <v>3200</v>
      </c>
      <c r="J31" s="551">
        <f>+'[2]OVI 04-99'!L1442</f>
        <v>3230</v>
      </c>
      <c r="K31" s="551">
        <f>+'[2]OVI 04-99'!M1442</f>
        <v>3191</v>
      </c>
      <c r="L31" s="551">
        <f>+'[2]OVI 04-99'!N1442</f>
        <v>3095</v>
      </c>
      <c r="M31" s="551">
        <f>+'[2]OVI 04-99'!O1442</f>
        <v>3197</v>
      </c>
      <c r="N31" s="551">
        <f>+'[2]OVI 04-99'!P1442</f>
        <v>3206</v>
      </c>
      <c r="O31" s="242"/>
    </row>
    <row r="32" spans="1:15" ht="12" customHeight="1">
      <c r="A32" s="290" t="s">
        <v>44</v>
      </c>
      <c r="B32" s="550">
        <f t="shared" si="0"/>
        <v>302899</v>
      </c>
      <c r="C32" s="551">
        <f>+'[2]OVI 04-99'!E1445</f>
        <v>22897</v>
      </c>
      <c r="D32" s="551">
        <f>+'[2]OVI 04-99'!F1445</f>
        <v>24226</v>
      </c>
      <c r="E32" s="551">
        <f>+'[2]OVI 04-99'!G1445</f>
        <v>25672</v>
      </c>
      <c r="F32" s="551">
        <f>+'[2]OVI 04-99'!H1445</f>
        <v>26943</v>
      </c>
      <c r="G32" s="551">
        <f>+'[2]OVI 04-99'!I1445</f>
        <v>27874</v>
      </c>
      <c r="H32" s="551">
        <f>+'[2]OVI 04-99'!J1445</f>
        <v>28830</v>
      </c>
      <c r="I32" s="551">
        <f>+'[2]OVI 04-99'!K1445</f>
        <v>28664</v>
      </c>
      <c r="J32" s="551">
        <f>+'[2]OVI 04-99'!L1445</f>
        <v>27579</v>
      </c>
      <c r="K32" s="551">
        <f>+'[2]OVI 04-99'!M1445</f>
        <v>24958</v>
      </c>
      <c r="L32" s="551">
        <f>+'[2]OVI 04-99'!N1445</f>
        <v>22681</v>
      </c>
      <c r="M32" s="551">
        <f>+'[2]OVI 04-99'!O1445</f>
        <v>21306</v>
      </c>
      <c r="N32" s="551">
        <f>+'[2]OVI 04-99'!P1445</f>
        <v>21269</v>
      </c>
      <c r="O32" s="242"/>
    </row>
    <row r="33" spans="1:15" ht="12" customHeight="1">
      <c r="A33" s="290" t="s">
        <v>45</v>
      </c>
      <c r="B33" s="550">
        <f t="shared" si="0"/>
        <v>629215</v>
      </c>
      <c r="C33" s="551">
        <f>+'[2]OVI 04-99'!E1448</f>
        <v>35600</v>
      </c>
      <c r="D33" s="551">
        <f>+'[2]OVI 04-99'!F1448</f>
        <v>43085</v>
      </c>
      <c r="E33" s="551">
        <f>+'[2]OVI 04-99'!G1448</f>
        <v>48135</v>
      </c>
      <c r="F33" s="551">
        <f>+'[2]OVI 04-99'!H1448</f>
        <v>65455</v>
      </c>
      <c r="G33" s="551">
        <f>+'[2]OVI 04-99'!I1448</f>
        <v>67370</v>
      </c>
      <c r="H33" s="551">
        <f>+'[2]OVI 04-99'!J1448</f>
        <v>64250</v>
      </c>
      <c r="I33" s="551">
        <f>+'[2]OVI 04-99'!K1448</f>
        <v>62020</v>
      </c>
      <c r="J33" s="551">
        <f>+'[2]OVI 04-99'!L1448</f>
        <v>58825</v>
      </c>
      <c r="K33" s="551">
        <f>+'[2]OVI 04-99'!M1448</f>
        <v>53175</v>
      </c>
      <c r="L33" s="551">
        <f>+'[2]OVI 04-99'!N1448</f>
        <v>47260</v>
      </c>
      <c r="M33" s="551">
        <f>+'[2]OVI 04-99'!O1448</f>
        <v>44645</v>
      </c>
      <c r="N33" s="551">
        <f>+'[2]OVI 04-99'!P1448</f>
        <v>39395</v>
      </c>
      <c r="O33" s="242"/>
    </row>
    <row r="34" spans="1:15" ht="12" customHeight="1">
      <c r="A34" s="211" t="s">
        <v>113</v>
      </c>
      <c r="B34" s="550">
        <f t="shared" si="0"/>
        <v>6854</v>
      </c>
      <c r="C34" s="551">
        <f>+'[2]OVI 04-99'!E1451</f>
        <v>527</v>
      </c>
      <c r="D34" s="551">
        <f>+'[2]OVI 04-99'!F1451</f>
        <v>685</v>
      </c>
      <c r="E34" s="551">
        <f>+'[2]OVI 04-99'!G1451</f>
        <v>538</v>
      </c>
      <c r="F34" s="551">
        <f>+'[2]OVI 04-99'!H1451</f>
        <v>546</v>
      </c>
      <c r="G34" s="551">
        <f>+'[2]OVI 04-99'!I1451</f>
        <v>526</v>
      </c>
      <c r="H34" s="551">
        <f>+'[2]OVI 04-99'!J1451</f>
        <v>569</v>
      </c>
      <c r="I34" s="551">
        <f>+'[2]OVI 04-99'!K1451</f>
        <v>571</v>
      </c>
      <c r="J34" s="551">
        <f>+'[2]OVI 04-99'!L1451</f>
        <v>542</v>
      </c>
      <c r="K34" s="551">
        <f>+'[2]OVI 04-99'!M1451</f>
        <v>526</v>
      </c>
      <c r="L34" s="551">
        <f>+'[2]OVI 04-99'!N1451</f>
        <v>649</v>
      </c>
      <c r="M34" s="551">
        <f>+'[2]OVI 04-99'!O1451</f>
        <v>498</v>
      </c>
      <c r="N34" s="551">
        <f>+'[2]OVI 04-99'!P1451</f>
        <v>677</v>
      </c>
      <c r="O34" s="242"/>
    </row>
    <row r="35" spans="1:15" ht="12" customHeight="1">
      <c r="A35" s="211" t="s">
        <v>47</v>
      </c>
      <c r="B35" s="550">
        <f t="shared" si="0"/>
        <v>2359</v>
      </c>
      <c r="C35" s="551">
        <f>+'[2]OVI 04-99'!E1454</f>
        <v>216.00000000000003</v>
      </c>
      <c r="D35" s="551">
        <f>+'[2]OVI 04-99'!F1454</f>
        <v>199</v>
      </c>
      <c r="E35" s="551">
        <f>+'[2]OVI 04-99'!G1454</f>
        <v>188</v>
      </c>
      <c r="F35" s="551">
        <f>+'[2]OVI 04-99'!H1454</f>
        <v>186</v>
      </c>
      <c r="G35" s="551">
        <f>+'[2]OVI 04-99'!I1454</f>
        <v>179.00000000000003</v>
      </c>
      <c r="H35" s="551">
        <f>+'[2]OVI 04-99'!J1454</f>
        <v>190</v>
      </c>
      <c r="I35" s="551">
        <f>+'[2]OVI 04-99'!K1454</f>
        <v>183.00000000000003</v>
      </c>
      <c r="J35" s="551">
        <f>+'[2]OVI 04-99'!L1454</f>
        <v>182.00000000000003</v>
      </c>
      <c r="K35" s="551">
        <f>+'[2]OVI 04-99'!M1454</f>
        <v>185.00000000000003</v>
      </c>
      <c r="L35" s="551">
        <f>+'[2]OVI 04-99'!N1454</f>
        <v>185</v>
      </c>
      <c r="M35" s="551">
        <f>+'[2]OVI 04-99'!O1454</f>
        <v>196.99999999999997</v>
      </c>
      <c r="N35" s="551">
        <f>+'[2]OVI 04-99'!P1454</f>
        <v>269</v>
      </c>
      <c r="O35" s="242"/>
    </row>
    <row r="36" spans="1:15" ht="12" customHeight="1">
      <c r="A36" s="211" t="s">
        <v>48</v>
      </c>
      <c r="B36" s="550">
        <f t="shared" si="0"/>
        <v>2288</v>
      </c>
      <c r="C36" s="551">
        <f>+'[2]OVI 04-99'!E1457</f>
        <v>132</v>
      </c>
      <c r="D36" s="551">
        <f>+'[2]OVI 04-99'!F1457</f>
        <v>129</v>
      </c>
      <c r="E36" s="551">
        <f>+'[2]OVI 04-99'!G1457</f>
        <v>139.99999999999997</v>
      </c>
      <c r="F36" s="551">
        <f>+'[2]OVI 04-99'!H1457</f>
        <v>129</v>
      </c>
      <c r="G36" s="551">
        <f>+'[2]OVI 04-99'!I1457</f>
        <v>167.99999999999997</v>
      </c>
      <c r="H36" s="551">
        <f>+'[2]OVI 04-99'!J1457</f>
        <v>174</v>
      </c>
      <c r="I36" s="551">
        <f>+'[2]OVI 04-99'!K1457</f>
        <v>199</v>
      </c>
      <c r="J36" s="551">
        <f>+'[2]OVI 04-99'!L1457</f>
        <v>186</v>
      </c>
      <c r="K36" s="551">
        <f>+'[2]OVI 04-99'!M1457</f>
        <v>242</v>
      </c>
      <c r="L36" s="551">
        <f>+'[2]OVI 04-99'!N1457</f>
        <v>244</v>
      </c>
      <c r="M36" s="551">
        <f>+'[2]OVI 04-99'!O1457</f>
        <v>257</v>
      </c>
      <c r="N36" s="551">
        <f>+'[2]OVI 04-99'!P1457</f>
        <v>288</v>
      </c>
      <c r="O36" s="242"/>
    </row>
    <row r="37" spans="1:15" ht="12" customHeight="1" thickBot="1">
      <c r="A37" s="272" t="s">
        <v>49</v>
      </c>
      <c r="B37" s="552">
        <f t="shared" si="0"/>
        <v>2072</v>
      </c>
      <c r="C37" s="553">
        <f>+'[2]OVI 04-99'!E1460</f>
        <v>203</v>
      </c>
      <c r="D37" s="553">
        <f>+'[2]OVI 04-99'!F1460</f>
        <v>170</v>
      </c>
      <c r="E37" s="553">
        <f>+'[2]OVI 04-99'!G1460</f>
        <v>170</v>
      </c>
      <c r="F37" s="553">
        <f>+'[2]OVI 04-99'!H1460</f>
        <v>155</v>
      </c>
      <c r="G37" s="553">
        <f>+'[2]OVI 04-99'!I1460</f>
        <v>166.99999999999997</v>
      </c>
      <c r="H37" s="553">
        <f>+'[2]OVI 04-99'!J1460</f>
        <v>147</v>
      </c>
      <c r="I37" s="553">
        <f>+'[2]OVI 04-99'!K1460</f>
        <v>164</v>
      </c>
      <c r="J37" s="553">
        <f>+'[2]OVI 04-99'!L1460</f>
        <v>172</v>
      </c>
      <c r="K37" s="553">
        <f>+'[2]OVI 04-99'!M1460</f>
        <v>160</v>
      </c>
      <c r="L37" s="553">
        <f>+'[2]OVI 04-99'!N1460</f>
        <v>153</v>
      </c>
      <c r="M37" s="553">
        <f>+'[2]OVI 04-99'!O1460</f>
        <v>218</v>
      </c>
      <c r="N37" s="553">
        <f>+'[2]OVI 04-99'!P1460</f>
        <v>193</v>
      </c>
      <c r="O37" s="242"/>
    </row>
    <row r="38" spans="1:15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  <c r="O38" s="242"/>
    </row>
    <row r="39" spans="1:15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  <c r="O39" s="242"/>
    </row>
    <row r="40" spans="1:15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  <c r="O40" s="242"/>
    </row>
    <row r="41" spans="1:15" ht="13" customHeight="1">
      <c r="A41" s="12"/>
      <c r="B41" s="242"/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92"/>
      <c r="N41" s="292"/>
      <c r="O41" s="242"/>
    </row>
    <row r="42" spans="1:15" ht="13" customHeight="1">
      <c r="A42" s="141"/>
      <c r="B42" s="242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42"/>
    </row>
    <row r="43" spans="1:15" ht="13" customHeight="1">
      <c r="A43" s="191"/>
      <c r="B43" s="24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42"/>
    </row>
    <row r="44" spans="1:15" ht="13" customHeight="1">
      <c r="A44" s="31"/>
      <c r="B44" s="24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42"/>
    </row>
    <row r="45" spans="1:15" ht="13" customHeight="1">
      <c r="A45" s="58"/>
      <c r="B45" s="24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42"/>
    </row>
    <row r="46" spans="1:15" ht="13" customHeight="1">
      <c r="A46" s="31"/>
      <c r="B46" s="24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42"/>
    </row>
    <row r="47" spans="1:15" ht="13" customHeight="1">
      <c r="A47" s="141"/>
      <c r="B47" s="242"/>
      <c r="C47" s="292"/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42"/>
    </row>
    <row r="48" spans="1:15" ht="13" customHeight="1">
      <c r="A48" s="141"/>
      <c r="B48" s="242"/>
      <c r="C48" s="292"/>
      <c r="D48" s="292"/>
      <c r="E48" s="292"/>
      <c r="F48" s="292"/>
      <c r="G48" s="292"/>
      <c r="H48" s="292"/>
      <c r="I48" s="292"/>
      <c r="J48" s="292"/>
      <c r="K48" s="292"/>
      <c r="L48" s="292"/>
      <c r="M48" s="292"/>
      <c r="N48" s="292"/>
      <c r="O48" s="242"/>
    </row>
    <row r="49" spans="1:15" ht="13" customHeight="1">
      <c r="A49" s="141"/>
      <c r="B49" s="24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42"/>
    </row>
    <row r="50" spans="1:15" ht="13" customHeight="1">
      <c r="A50" s="141"/>
      <c r="B50" s="242"/>
      <c r="C50" s="242"/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</row>
    <row r="51" spans="1:15" ht="13" customHeight="1">
      <c r="A51" s="141"/>
      <c r="B51" s="242"/>
      <c r="C51" s="242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42"/>
      <c r="O51" s="242"/>
    </row>
    <row r="52" spans="1:15" ht="13" customHeight="1">
      <c r="A52" s="141"/>
      <c r="B52" s="24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42"/>
      <c r="N52" s="242"/>
      <c r="O52" s="242"/>
    </row>
    <row r="53" spans="1:15" ht="13" customHeight="1">
      <c r="A53" s="141"/>
      <c r="B53" s="242"/>
      <c r="C53" s="292"/>
      <c r="D53" s="292"/>
      <c r="E53" s="292"/>
      <c r="F53" s="292"/>
      <c r="G53" s="292"/>
      <c r="H53" s="292"/>
      <c r="I53" s="292"/>
      <c r="J53" s="292"/>
      <c r="K53" s="292"/>
      <c r="L53" s="292"/>
      <c r="M53" s="242"/>
      <c r="N53" s="242"/>
      <c r="O53" s="242"/>
    </row>
    <row r="54" spans="1:15" ht="13" customHeight="1">
      <c r="A54" s="141"/>
      <c r="B54" s="242"/>
      <c r="C54" s="292"/>
      <c r="D54" s="292"/>
      <c r="E54" s="292"/>
      <c r="F54" s="292"/>
      <c r="G54" s="292"/>
      <c r="H54" s="292"/>
      <c r="I54" s="292"/>
      <c r="J54" s="292"/>
      <c r="K54" s="292"/>
      <c r="L54" s="292"/>
      <c r="M54" s="292"/>
      <c r="N54" s="292"/>
      <c r="O54" s="242"/>
    </row>
    <row r="55" spans="1:15" ht="13" customHeight="1">
      <c r="A55" s="226"/>
      <c r="B55" s="242"/>
      <c r="C55" s="292"/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42"/>
    </row>
    <row r="56" spans="1:15" ht="13" customHeight="1">
      <c r="A56" s="290"/>
      <c r="B56" s="242"/>
      <c r="C56" s="292"/>
      <c r="D56" s="292"/>
      <c r="E56" s="292"/>
      <c r="F56" s="292"/>
      <c r="G56" s="292"/>
      <c r="H56" s="292"/>
      <c r="I56" s="292"/>
      <c r="J56" s="292"/>
      <c r="K56" s="292"/>
      <c r="L56" s="292"/>
      <c r="M56" s="292"/>
      <c r="N56" s="292"/>
      <c r="O56" s="242"/>
    </row>
    <row r="57" spans="1:15" ht="13" customHeight="1">
      <c r="A57" s="290"/>
      <c r="B57" s="24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42"/>
    </row>
    <row r="58" spans="1:15" ht="13" customHeight="1">
      <c r="A58" s="290"/>
      <c r="B58" s="24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42"/>
    </row>
    <row r="59" spans="1:15" ht="13" customHeight="1">
      <c r="A59" s="290"/>
      <c r="B59" s="24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42"/>
    </row>
    <row r="60" spans="1:15" ht="13" customHeight="1">
      <c r="A60" s="211"/>
      <c r="B60" s="24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42"/>
    </row>
    <row r="61" spans="1:15" ht="13" customHeight="1">
      <c r="A61" s="211"/>
      <c r="B61" s="242"/>
      <c r="C61" s="292"/>
      <c r="D61" s="292"/>
      <c r="E61" s="292"/>
      <c r="F61" s="292"/>
      <c r="G61" s="292"/>
      <c r="H61" s="292"/>
      <c r="I61" s="292"/>
      <c r="J61" s="292"/>
      <c r="K61" s="292"/>
      <c r="L61" s="292"/>
      <c r="M61" s="292"/>
      <c r="N61" s="292"/>
      <c r="O61" s="242"/>
    </row>
    <row r="62" spans="1:15" ht="13" customHeight="1">
      <c r="A62" s="211"/>
      <c r="B62" s="24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42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Hoja55">
    <tabColor theme="9" tint="0.59999389629810485"/>
  </sheetPr>
  <dimension ref="A4:N54"/>
  <sheetViews>
    <sheetView showGridLines="0" topLeftCell="A3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23" customWidth="1"/>
    <col min="3" max="14" width="8.59765625" style="223" customWidth="1"/>
    <col min="15" max="16384" width="7" style="213"/>
  </cols>
  <sheetData>
    <row r="4" spans="1:14" ht="13" customHeight="1">
      <c r="A4" s="511" t="s">
        <v>389</v>
      </c>
      <c r="B4" s="507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</row>
    <row r="5" spans="1:14" ht="13" customHeight="1">
      <c r="A5" s="514" t="s">
        <v>319</v>
      </c>
      <c r="B5" s="507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</row>
    <row r="6" spans="1:14" ht="5" customHeight="1" thickBot="1"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</row>
    <row r="7" spans="1:14" ht="15" customHeight="1">
      <c r="A7" s="519" t="s">
        <v>18</v>
      </c>
      <c r="B7" s="522" t="s">
        <v>118</v>
      </c>
      <c r="C7" s="546" t="s">
        <v>57</v>
      </c>
      <c r="D7" s="546" t="s">
        <v>58</v>
      </c>
      <c r="E7" s="546" t="s">
        <v>59</v>
      </c>
      <c r="F7" s="546" t="s">
        <v>60</v>
      </c>
      <c r="G7" s="546" t="s">
        <v>61</v>
      </c>
      <c r="H7" s="546" t="s">
        <v>62</v>
      </c>
      <c r="I7" s="546" t="s">
        <v>63</v>
      </c>
      <c r="J7" s="546" t="s">
        <v>64</v>
      </c>
      <c r="K7" s="546" t="s">
        <v>65</v>
      </c>
      <c r="L7" s="546" t="s">
        <v>66</v>
      </c>
      <c r="M7" s="546" t="s">
        <v>67</v>
      </c>
      <c r="N7" s="546" t="s">
        <v>68</v>
      </c>
    </row>
    <row r="8" spans="1:14" ht="15" customHeight="1">
      <c r="A8" s="534" t="s">
        <v>106</v>
      </c>
      <c r="B8" s="560">
        <f t="shared" ref="B8:B37" si="0">SUM(C8:N8)</f>
        <v>33780.94700890487</v>
      </c>
      <c r="C8" s="560">
        <f t="shared" ref="C8:N8" si="1">(C9+C10+C11+C12+C13+C17+C18+C19+C20+C21+C22+C23+C24+C25+C26+C27+C28+C29+C32+C33+C34+C35+C36+C37)</f>
        <v>2331.4494214810479</v>
      </c>
      <c r="D8" s="560">
        <f t="shared" si="1"/>
        <v>2547.7452184794001</v>
      </c>
      <c r="E8" s="560">
        <f t="shared" si="1"/>
        <v>2726.8208779999995</v>
      </c>
      <c r="F8" s="560">
        <f t="shared" si="1"/>
        <v>3081.6559457299772</v>
      </c>
      <c r="G8" s="560">
        <f t="shared" si="1"/>
        <v>3210.7729303796827</v>
      </c>
      <c r="H8" s="560">
        <f t="shared" si="1"/>
        <v>3209.047078979565</v>
      </c>
      <c r="I8" s="560">
        <f t="shared" si="1"/>
        <v>3120.870007977258</v>
      </c>
      <c r="J8" s="560">
        <f t="shared" si="1"/>
        <v>2961.4583046784937</v>
      </c>
      <c r="K8" s="560">
        <f t="shared" si="1"/>
        <v>2806.1649124840469</v>
      </c>
      <c r="L8" s="560">
        <f t="shared" si="1"/>
        <v>2612.659131988134</v>
      </c>
      <c r="M8" s="560">
        <f t="shared" si="1"/>
        <v>2571.6622367268669</v>
      </c>
      <c r="N8" s="560">
        <f t="shared" si="1"/>
        <v>2600.6409420004006</v>
      </c>
    </row>
    <row r="9" spans="1:14" ht="12" customHeight="1">
      <c r="A9" s="290" t="s">
        <v>21</v>
      </c>
      <c r="B9" s="561">
        <f t="shared" si="0"/>
        <v>32.792900000000003</v>
      </c>
      <c r="C9" s="562">
        <f>+'[2]OVI 04-99'!E1377</f>
        <v>2.38</v>
      </c>
      <c r="D9" s="562">
        <f>+'[2]OVI 04-99'!F1377</f>
        <v>2.3919999999999999</v>
      </c>
      <c r="E9" s="562">
        <f>+'[2]OVI 04-99'!G1377</f>
        <v>2.72</v>
      </c>
      <c r="F9" s="562">
        <f>+'[2]OVI 04-99'!H1377</f>
        <v>2.7759999999999998</v>
      </c>
      <c r="G9" s="562">
        <f>+'[2]OVI 04-99'!I1377</f>
        <v>2.5357400000000001</v>
      </c>
      <c r="H9" s="562">
        <f>+'[2]OVI 04-99'!J1377</f>
        <v>2.7143999999999999</v>
      </c>
      <c r="I9" s="562">
        <f>+'[2]OVI 04-99'!K1377</f>
        <v>2.8056000000000001</v>
      </c>
      <c r="J9" s="562">
        <f>+'[2]OVI 04-99'!L1377</f>
        <v>3.68</v>
      </c>
      <c r="K9" s="562">
        <f>+'[2]OVI 04-99'!M1377</f>
        <v>3.0552000000000001</v>
      </c>
      <c r="L9" s="562">
        <f>+'[2]OVI 04-99'!N1377</f>
        <v>2.4460000000000002</v>
      </c>
      <c r="M9" s="562">
        <f>+'[2]OVI 04-99'!O1377</f>
        <v>2.4256000000000002</v>
      </c>
      <c r="N9" s="562">
        <f>+'[2]OVI 04-99'!P1377</f>
        <v>2.8623599999999998</v>
      </c>
    </row>
    <row r="10" spans="1:14" ht="12" customHeight="1">
      <c r="A10" s="290" t="s">
        <v>22</v>
      </c>
      <c r="B10" s="561">
        <f t="shared" si="0"/>
        <v>1493.1464758146337</v>
      </c>
      <c r="C10" s="562">
        <f>+'[2]OVI 04-99'!E1380</f>
        <v>110.659737481048</v>
      </c>
      <c r="D10" s="562">
        <f>+'[2]OVI 04-99'!F1380</f>
        <v>116.8040624794</v>
      </c>
      <c r="E10" s="562">
        <f>+'[2]OVI 04-99'!G1380</f>
        <v>120.44</v>
      </c>
      <c r="F10" s="562">
        <f>+'[2]OVI 04-99'!H1380</f>
        <v>131.85354872997701</v>
      </c>
      <c r="G10" s="562">
        <f>+'[2]OVI 04-99'!I1380</f>
        <v>128.218494979235</v>
      </c>
      <c r="H10" s="562">
        <f>+'[2]OVI 04-99'!J1380</f>
        <v>135.389629979565</v>
      </c>
      <c r="I10" s="562">
        <f>+'[2]OVI 04-99'!K1380</f>
        <v>139.19168497725801</v>
      </c>
      <c r="J10" s="562">
        <f>+'[2]OVI 04-99'!L1380</f>
        <v>128.583441228494</v>
      </c>
      <c r="K10" s="562">
        <f>+'[2]OVI 04-99'!M1380</f>
        <v>136.91706598404735</v>
      </c>
      <c r="L10" s="562">
        <f>+'[2]OVI 04-99'!N1380</f>
        <v>121.83913998813399</v>
      </c>
      <c r="M10" s="562">
        <f>+'[2]OVI 04-99'!O1380</f>
        <v>107.49686998747521</v>
      </c>
      <c r="N10" s="562">
        <f>+'[2]OVI 04-99'!P1380</f>
        <v>115.75279999999999</v>
      </c>
    </row>
    <row r="11" spans="1:14" ht="12" customHeight="1">
      <c r="A11" s="290" t="s">
        <v>23</v>
      </c>
      <c r="B11" s="561">
        <f t="shared" si="0"/>
        <v>529.44004999999993</v>
      </c>
      <c r="C11" s="562">
        <f>+'[2]OVI 04-99'!E1383</f>
        <v>42.157800000000002</v>
      </c>
      <c r="D11" s="562">
        <f>+'[2]OVI 04-99'!F1383</f>
        <v>45.71</v>
      </c>
      <c r="E11" s="562">
        <f>+'[2]OVI 04-99'!G1383</f>
        <v>44.52</v>
      </c>
      <c r="F11" s="562">
        <f>+'[2]OVI 04-99'!H1383</f>
        <v>44.39</v>
      </c>
      <c r="G11" s="562">
        <f>+'[2]OVI 04-99'!I1383</f>
        <v>44.52</v>
      </c>
      <c r="H11" s="562">
        <f>+'[2]OVI 04-99'!J1383</f>
        <v>44.540999999999997</v>
      </c>
      <c r="I11" s="562">
        <f>+'[2]OVI 04-99'!K1383</f>
        <v>42.84375</v>
      </c>
      <c r="J11" s="562">
        <f>+'[2]OVI 04-99'!L1383</f>
        <v>40.1175</v>
      </c>
      <c r="K11" s="562">
        <f>+'[2]OVI 04-99'!M1383</f>
        <v>39.451999999999998</v>
      </c>
      <c r="L11" s="562">
        <f>+'[2]OVI 04-99'!N1383</f>
        <v>45.457000000000001</v>
      </c>
      <c r="M11" s="562">
        <f>+'[2]OVI 04-99'!O1383</f>
        <v>43.253</v>
      </c>
      <c r="N11" s="562">
        <f>+'[2]OVI 04-99'!P1383</f>
        <v>52.478000000000002</v>
      </c>
    </row>
    <row r="12" spans="1:14" ht="12" customHeight="1">
      <c r="A12" s="211" t="s">
        <v>24</v>
      </c>
      <c r="B12" s="561">
        <f t="shared" si="0"/>
        <v>2503.7272840000001</v>
      </c>
      <c r="C12" s="562">
        <f>+'[2]OVI 04-99'!E1386</f>
        <v>197.25348399999999</v>
      </c>
      <c r="D12" s="562">
        <f>+'[2]OVI 04-99'!F1386</f>
        <v>203.050096</v>
      </c>
      <c r="E12" s="562">
        <f>+'[2]OVI 04-99'!G1386</f>
        <v>201.73158000000001</v>
      </c>
      <c r="F12" s="562">
        <f>+'[2]OVI 04-99'!H1386</f>
        <v>211.05026800000002</v>
      </c>
      <c r="G12" s="562">
        <f>+'[2]OVI 04-99'!I1386</f>
        <v>216.61677200000005</v>
      </c>
      <c r="H12" s="562">
        <f>+'[2]OVI 04-99'!J1386</f>
        <v>223.27973199999997</v>
      </c>
      <c r="I12" s="562">
        <f>+'[2]OVI 04-99'!K1386</f>
        <v>211.76616400000003</v>
      </c>
      <c r="J12" s="562">
        <f>+'[2]OVI 04-99'!L1386</f>
        <v>210.096924</v>
      </c>
      <c r="K12" s="562">
        <f>+'[2]OVI 04-99'!M1386</f>
        <v>206.29524800000002</v>
      </c>
      <c r="L12" s="562">
        <f>+'[2]OVI 04-99'!N1386</f>
        <v>208.5942</v>
      </c>
      <c r="M12" s="562">
        <f>+'[2]OVI 04-99'!O1386</f>
        <v>202.093144</v>
      </c>
      <c r="N12" s="562">
        <f>+'[2]OVI 04-99'!P1386</f>
        <v>211.89967199999998</v>
      </c>
    </row>
    <row r="13" spans="1:14" ht="12" customHeight="1">
      <c r="A13" s="291" t="s">
        <v>25</v>
      </c>
      <c r="B13" s="561">
        <f t="shared" si="0"/>
        <v>1210.5444680000001</v>
      </c>
      <c r="C13" s="562">
        <f>+'[2]OVI 04-99'!E1389</f>
        <v>93.092619999999997</v>
      </c>
      <c r="D13" s="562">
        <f>+'[2]OVI 04-99'!F1389</f>
        <v>96.855000000000018</v>
      </c>
      <c r="E13" s="562">
        <f>+'[2]OVI 04-99'!G1389</f>
        <v>110.54161000000002</v>
      </c>
      <c r="F13" s="562">
        <f>+'[2]OVI 04-99'!H1389</f>
        <v>96.191780000000008</v>
      </c>
      <c r="G13" s="562">
        <f>+'[2]OVI 04-99'!I1389</f>
        <v>100.21394000000001</v>
      </c>
      <c r="H13" s="562">
        <f>+'[2]OVI 04-99'!J1389</f>
        <v>101.09478000000003</v>
      </c>
      <c r="I13" s="562">
        <f>+'[2]OVI 04-99'!K1389</f>
        <v>103.05268000000001</v>
      </c>
      <c r="J13" s="562">
        <f>+'[2]OVI 04-99'!L1389</f>
        <v>103.12006000000001</v>
      </c>
      <c r="K13" s="562">
        <f>+'[2]OVI 04-99'!M1389</f>
        <v>112.00122000000003</v>
      </c>
      <c r="L13" s="562">
        <f>+'[2]OVI 04-99'!N1389</f>
        <v>102.68871200000002</v>
      </c>
      <c r="M13" s="562">
        <f>+'[2]OVI 04-99'!O1389</f>
        <v>99.958393999999998</v>
      </c>
      <c r="N13" s="562">
        <f>+'[2]OVI 04-99'!P1389</f>
        <v>91.733671999999999</v>
      </c>
    </row>
    <row r="14" spans="1:14" ht="12" customHeight="1">
      <c r="A14" s="226" t="s">
        <v>107</v>
      </c>
      <c r="B14" s="561">
        <f t="shared" si="0"/>
        <v>862.35805000000016</v>
      </c>
      <c r="C14" s="562">
        <f>+'[2]OVI 04-99'!E1392</f>
        <v>66.393500000000003</v>
      </c>
      <c r="D14" s="562">
        <f>+'[2]OVI 04-99'!F1392</f>
        <v>70.051600000000008</v>
      </c>
      <c r="E14" s="562">
        <f>+'[2]OVI 04-99'!G1392</f>
        <v>79.477650000000025</v>
      </c>
      <c r="F14" s="562">
        <f>+'[2]OVI 04-99'!H1392</f>
        <v>68.785900000000012</v>
      </c>
      <c r="G14" s="562">
        <f>+'[2]OVI 04-99'!I1392</f>
        <v>69.481499999999997</v>
      </c>
      <c r="H14" s="562">
        <f>+'[2]OVI 04-99'!J1392</f>
        <v>68.999100000000027</v>
      </c>
      <c r="I14" s="562">
        <f>+'[2]OVI 04-99'!K1392</f>
        <v>72.289400000000001</v>
      </c>
      <c r="J14" s="562">
        <f>+'[2]OVI 04-99'!L1392</f>
        <v>73.176300000000012</v>
      </c>
      <c r="K14" s="562">
        <f>+'[2]OVI 04-99'!M1392</f>
        <v>82.210100000000025</v>
      </c>
      <c r="L14" s="562">
        <f>+'[2]OVI 04-99'!N1392</f>
        <v>73.974200000000025</v>
      </c>
      <c r="M14" s="562">
        <f>+'[2]OVI 04-99'!O1392</f>
        <v>71.022999999999996</v>
      </c>
      <c r="N14" s="562">
        <f>+'[2]OVI 04-99'!P1392</f>
        <v>66.495800000000003</v>
      </c>
    </row>
    <row r="15" spans="1:14" ht="12" customHeight="1">
      <c r="A15" s="226" t="s">
        <v>108</v>
      </c>
      <c r="B15" s="561">
        <f t="shared" si="0"/>
        <v>287.54160000000002</v>
      </c>
      <c r="C15" s="562">
        <f>+'[2]OVI 04-99'!E1395</f>
        <v>22.36</v>
      </c>
      <c r="D15" s="562">
        <f>+'[2]OVI 04-99'!F1395</f>
        <v>21.197200000000009</v>
      </c>
      <c r="E15" s="562">
        <f>+'[2]OVI 04-99'!G1395</f>
        <v>24.671599999999998</v>
      </c>
      <c r="F15" s="562">
        <f>+'[2]OVI 04-99'!H1395</f>
        <v>21.043200000000002</v>
      </c>
      <c r="G15" s="562">
        <f>+'[2]OVI 04-99'!I1395</f>
        <v>23.978400000000004</v>
      </c>
      <c r="H15" s="562">
        <f>+'[2]OVI 04-99'!J1395</f>
        <v>25.713200000000001</v>
      </c>
      <c r="I15" s="562">
        <f>+'[2]OVI 04-99'!K1395</f>
        <v>25.89</v>
      </c>
      <c r="J15" s="562">
        <f>+'[2]OVI 04-99'!L1395</f>
        <v>25.899000000000001</v>
      </c>
      <c r="K15" s="562">
        <f>+'[2]OVI 04-99'!M1395</f>
        <v>25.45</v>
      </c>
      <c r="L15" s="562">
        <f>+'[2]OVI 04-99'!N1395</f>
        <v>24.56</v>
      </c>
      <c r="M15" s="562">
        <f>+'[2]OVI 04-99'!O1395</f>
        <v>25.215</v>
      </c>
      <c r="N15" s="562">
        <f>+'[2]OVI 04-99'!P1395</f>
        <v>21.564</v>
      </c>
    </row>
    <row r="16" spans="1:14" ht="12" customHeight="1">
      <c r="A16" s="226" t="s">
        <v>109</v>
      </c>
      <c r="B16" s="561">
        <f t="shared" si="0"/>
        <v>60.644818000000015</v>
      </c>
      <c r="C16" s="562">
        <f>+'[2]OVI 04-99'!E1398</f>
        <v>4.3391200000000003</v>
      </c>
      <c r="D16" s="562">
        <f>+'[2]OVI 04-99'!F1398</f>
        <v>5.6062000000000003</v>
      </c>
      <c r="E16" s="562">
        <f>+'[2]OVI 04-99'!G1398</f>
        <v>6.3923600000000009</v>
      </c>
      <c r="F16" s="562">
        <f>+'[2]OVI 04-99'!H1398</f>
        <v>6.3626800000000001</v>
      </c>
      <c r="G16" s="562">
        <f>+'[2]OVI 04-99'!I1398</f>
        <v>6.7540399999999998</v>
      </c>
      <c r="H16" s="562">
        <f>+'[2]OVI 04-99'!J1398</f>
        <v>6.382480000000001</v>
      </c>
      <c r="I16" s="562">
        <f>+'[2]OVI 04-99'!K1398</f>
        <v>4.8732800000000012</v>
      </c>
      <c r="J16" s="562">
        <f>+'[2]OVI 04-99'!L1398</f>
        <v>4.0447600000000001</v>
      </c>
      <c r="K16" s="562">
        <f>+'[2]OVI 04-99'!M1398</f>
        <v>4.3411200000000019</v>
      </c>
      <c r="L16" s="562">
        <f>+'[2]OVI 04-99'!N1398</f>
        <v>4.1545120000000004</v>
      </c>
      <c r="M16" s="562">
        <f>+'[2]OVI 04-99'!O1398</f>
        <v>3.7203939999999998</v>
      </c>
      <c r="N16" s="562">
        <f>+'[2]OVI 04-99'!P1398</f>
        <v>3.6738720000000002</v>
      </c>
    </row>
    <row r="17" spans="1:14" ht="12" customHeight="1">
      <c r="A17" s="290" t="s">
        <v>29</v>
      </c>
      <c r="B17" s="561">
        <f t="shared" si="0"/>
        <v>56.037600000000005</v>
      </c>
      <c r="C17" s="562">
        <f>+'[2]OVI 04-99'!E1401</f>
        <v>4.5404</v>
      </c>
      <c r="D17" s="562">
        <f>+'[2]OVI 04-99'!F1401</f>
        <v>4.0808</v>
      </c>
      <c r="E17" s="562">
        <f>+'[2]OVI 04-99'!G1401</f>
        <v>4.4447999999999999</v>
      </c>
      <c r="F17" s="562">
        <f>+'[2]OVI 04-99'!H1401</f>
        <v>3.9296000000000002</v>
      </c>
      <c r="G17" s="562">
        <f>+'[2]OVI 04-99'!I1401</f>
        <v>4.3304</v>
      </c>
      <c r="H17" s="562">
        <f>+'[2]OVI 04-99'!J1401</f>
        <v>4.8807999999999998</v>
      </c>
      <c r="I17" s="562">
        <f>+'[2]OVI 04-99'!K1401</f>
        <v>4.5927999999999995</v>
      </c>
      <c r="J17" s="562">
        <f>+'[2]OVI 04-99'!L1401</f>
        <v>4.5076000000000001</v>
      </c>
      <c r="K17" s="562">
        <f>+'[2]OVI 04-99'!M1401</f>
        <v>4.5107999999999997</v>
      </c>
      <c r="L17" s="562">
        <f>+'[2]OVI 04-99'!N1401</f>
        <v>4.4560000000000004</v>
      </c>
      <c r="M17" s="562">
        <f>+'[2]OVI 04-99'!O1401</f>
        <v>4.7488000000000001</v>
      </c>
      <c r="N17" s="562">
        <f>+'[2]OVI 04-99'!P1401</f>
        <v>7.0148000000000001</v>
      </c>
    </row>
    <row r="18" spans="1:14" ht="12" customHeight="1">
      <c r="A18" s="290" t="s">
        <v>30</v>
      </c>
      <c r="B18" s="561">
        <f t="shared" si="0"/>
        <v>1402.56743080396</v>
      </c>
      <c r="C18" s="562">
        <f>+'[2]OVI 04-99'!E1404</f>
        <v>114.92</v>
      </c>
      <c r="D18" s="562">
        <f>+'[2]OVI 04-99'!F1404</f>
        <v>111.45</v>
      </c>
      <c r="E18" s="562">
        <f>+'[2]OVI 04-99'!G1404</f>
        <v>127.04300000000001</v>
      </c>
      <c r="F18" s="562">
        <f>+'[2]OVI 04-99'!H1404</f>
        <v>114.877145</v>
      </c>
      <c r="G18" s="562">
        <f>+'[2]OVI 04-99'!I1404</f>
        <v>111.13360985396</v>
      </c>
      <c r="H18" s="562">
        <f>+'[2]OVI 04-99'!J1404</f>
        <v>114.567145</v>
      </c>
      <c r="I18" s="562">
        <f>+'[2]OVI 04-99'!K1404</f>
        <v>116.36714499999999</v>
      </c>
      <c r="J18" s="562">
        <f>+'[2]OVI 04-99'!L1404</f>
        <v>117.37267145</v>
      </c>
      <c r="K18" s="562">
        <f>+'[2]OVI 04-99'!M1404</f>
        <v>117.37671450000001</v>
      </c>
      <c r="L18" s="562">
        <f>+'[2]OVI 04-99'!N1404</f>
        <v>119.97</v>
      </c>
      <c r="M18" s="562">
        <f>+'[2]OVI 04-99'!O1404</f>
        <v>118.72</v>
      </c>
      <c r="N18" s="562">
        <f>+'[2]OVI 04-99'!P1404</f>
        <v>118.77</v>
      </c>
    </row>
    <row r="19" spans="1:14" ht="12" customHeight="1">
      <c r="A19" s="211" t="s">
        <v>31</v>
      </c>
      <c r="B19" s="561">
        <f t="shared" si="0"/>
        <v>793.20737599999995</v>
      </c>
      <c r="C19" s="562">
        <f>+'[2]OVI 04-99'!E1407</f>
        <v>55.15352</v>
      </c>
      <c r="D19" s="562">
        <f>+'[2]OVI 04-99'!F1407</f>
        <v>64.963859999999997</v>
      </c>
      <c r="E19" s="562">
        <f>+'[2]OVI 04-99'!G1407</f>
        <v>63.164560000000002</v>
      </c>
      <c r="F19" s="562">
        <f>+'[2]OVI 04-99'!H1407</f>
        <v>64.566680000000005</v>
      </c>
      <c r="G19" s="562">
        <f>+'[2]OVI 04-99'!I1407</f>
        <v>72.630359999999996</v>
      </c>
      <c r="H19" s="562">
        <f>+'[2]OVI 04-99'!J1407</f>
        <v>61.963676000000007</v>
      </c>
      <c r="I19" s="562">
        <f>+'[2]OVI 04-99'!K1407</f>
        <v>77.351980000000026</v>
      </c>
      <c r="J19" s="562">
        <f>+'[2]OVI 04-99'!L1407</f>
        <v>54.86862</v>
      </c>
      <c r="K19" s="562">
        <f>+'[2]OVI 04-99'!M1407</f>
        <v>70.89564</v>
      </c>
      <c r="L19" s="562">
        <f>+'[2]OVI 04-99'!N1407</f>
        <v>65.288539999999998</v>
      </c>
      <c r="M19" s="562">
        <f>+'[2]OVI 04-99'!O1407</f>
        <v>64.222139999999996</v>
      </c>
      <c r="N19" s="562">
        <f>+'[2]OVI 04-99'!P1407</f>
        <v>78.137799999999999</v>
      </c>
    </row>
    <row r="20" spans="1:14" ht="12" customHeight="1">
      <c r="A20" s="290" t="s">
        <v>32</v>
      </c>
      <c r="B20" s="561">
        <f t="shared" si="0"/>
        <v>128.21528000000001</v>
      </c>
      <c r="C20" s="562">
        <f>+'[2]OVI 04-99'!E1410</f>
        <v>7.5410399999999997</v>
      </c>
      <c r="D20" s="562">
        <f>+'[2]OVI 04-99'!F1410</f>
        <v>7.4371519999999975</v>
      </c>
      <c r="E20" s="562">
        <f>+'[2]OVI 04-99'!G1410</f>
        <v>8.3752000000000031</v>
      </c>
      <c r="F20" s="562">
        <f>+'[2]OVI 04-99'!H1410</f>
        <v>9.222900000000001</v>
      </c>
      <c r="G20" s="562">
        <f>+'[2]OVI 04-99'!I1410</f>
        <v>11.085079999999998</v>
      </c>
      <c r="H20" s="562">
        <f>+'[2]OVI 04-99'!J1410</f>
        <v>10.25488</v>
      </c>
      <c r="I20" s="562">
        <f>+'[2]OVI 04-99'!K1410</f>
        <v>11.655660000000001</v>
      </c>
      <c r="J20" s="562">
        <f>+'[2]OVI 04-99'!L1410</f>
        <v>12.153887999999997</v>
      </c>
      <c r="K20" s="562">
        <f>+'[2]OVI 04-99'!M1410</f>
        <v>13.140460000000003</v>
      </c>
      <c r="L20" s="562">
        <f>+'[2]OVI 04-99'!N1410</f>
        <v>13.854648000000005</v>
      </c>
      <c r="M20" s="562">
        <f>+'[2]OVI 04-99'!O1410</f>
        <v>13.641779999999997</v>
      </c>
      <c r="N20" s="562">
        <f>+'[2]OVI 04-99'!P1410</f>
        <v>9.8525919999999996</v>
      </c>
    </row>
    <row r="21" spans="1:14" ht="12" customHeight="1">
      <c r="A21" s="290" t="s">
        <v>33</v>
      </c>
      <c r="B21" s="561">
        <f t="shared" si="0"/>
        <v>1799.4414800000004</v>
      </c>
      <c r="C21" s="562">
        <f>+'[2]OVI 04-99'!E1413</f>
        <v>131.05691999999999</v>
      </c>
      <c r="D21" s="562">
        <f>+'[2]OVI 04-99'!F1413</f>
        <v>135.47400000000002</v>
      </c>
      <c r="E21" s="562">
        <f>+'[2]OVI 04-99'!G1413</f>
        <v>146.58612000000002</v>
      </c>
      <c r="F21" s="562">
        <f>+'[2]OVI 04-99'!H1413</f>
        <v>151.55100000000002</v>
      </c>
      <c r="G21" s="562">
        <f>+'[2]OVI 04-99'!I1413</f>
        <v>148.92211999999998</v>
      </c>
      <c r="H21" s="562">
        <f>+'[2]OVI 04-99'!J1413</f>
        <v>160.52252000000004</v>
      </c>
      <c r="I21" s="562">
        <f>+'[2]OVI 04-99'!K1413</f>
        <v>166.798</v>
      </c>
      <c r="J21" s="562">
        <f>+'[2]OVI 04-99'!L1413</f>
        <v>163.62200000000007</v>
      </c>
      <c r="K21" s="562">
        <f>+'[2]OVI 04-99'!M1413</f>
        <v>147.48519999999999</v>
      </c>
      <c r="L21" s="562">
        <f>+'[2]OVI 04-99'!N1413</f>
        <v>153.63720000000004</v>
      </c>
      <c r="M21" s="562">
        <f>+'[2]OVI 04-99'!O1413</f>
        <v>142.88199999999995</v>
      </c>
      <c r="N21" s="562">
        <f>+'[2]OVI 04-99'!P1413</f>
        <v>150.90439999999998</v>
      </c>
    </row>
    <row r="22" spans="1:14" ht="12" customHeight="1">
      <c r="A22" s="290" t="s">
        <v>34</v>
      </c>
      <c r="B22" s="561">
        <f t="shared" si="0"/>
        <v>1337.5357280000001</v>
      </c>
      <c r="C22" s="562">
        <f>+'[2]OVI 04-99'!E1416</f>
        <v>58.373272</v>
      </c>
      <c r="D22" s="562">
        <f>+'[2]OVI 04-99'!F1416</f>
        <v>70.316300000000027</v>
      </c>
      <c r="E22" s="562">
        <f>+'[2]OVI 04-99'!G1416</f>
        <v>84.891564000000002</v>
      </c>
      <c r="F22" s="562">
        <f>+'[2]OVI 04-99'!H1416</f>
        <v>118.75971999999997</v>
      </c>
      <c r="G22" s="562">
        <f>+'[2]OVI 04-99'!I1416</f>
        <v>149.333504</v>
      </c>
      <c r="H22" s="562">
        <f>+'[2]OVI 04-99'!J1416</f>
        <v>168.82910399999997</v>
      </c>
      <c r="I22" s="562">
        <f>+'[2]OVI 04-99'!K1416</f>
        <v>155.93695599999998</v>
      </c>
      <c r="J22" s="562">
        <f>+'[2]OVI 04-99'!L1416</f>
        <v>133.38065600000002</v>
      </c>
      <c r="K22" s="562">
        <f>+'[2]OVI 04-99'!M1416</f>
        <v>94.350496000000007</v>
      </c>
      <c r="L22" s="562">
        <f>+'[2]OVI 04-99'!N1416</f>
        <v>72.488280000000003</v>
      </c>
      <c r="M22" s="562">
        <f>+'[2]OVI 04-99'!O1416</f>
        <v>103.21674399999998</v>
      </c>
      <c r="N22" s="562">
        <f>+'[2]OVI 04-99'!P1416</f>
        <v>127.659132</v>
      </c>
    </row>
    <row r="23" spans="1:14" ht="12" customHeight="1">
      <c r="A23" s="290" t="s">
        <v>35</v>
      </c>
      <c r="B23" s="561">
        <f t="shared" si="0"/>
        <v>3284.9051890862806</v>
      </c>
      <c r="C23" s="562">
        <f>+'[2]OVI 04-99'!E1419</f>
        <v>269.16840000000002</v>
      </c>
      <c r="D23" s="562">
        <f>+'[2]OVI 04-99'!F1419</f>
        <v>266.65160000000003</v>
      </c>
      <c r="E23" s="562">
        <f>+'[2]OVI 04-99'!G1419</f>
        <v>266.3612</v>
      </c>
      <c r="F23" s="562">
        <f>+'[2]OVI 04-99'!H1419</f>
        <v>270.59319999999997</v>
      </c>
      <c r="G23" s="562">
        <f>+'[2]OVI 04-99'!I1419</f>
        <v>265.41027754648786</v>
      </c>
      <c r="H23" s="562">
        <f>+'[2]OVI 04-99'!J1419</f>
        <v>277.43919999999997</v>
      </c>
      <c r="I23" s="562">
        <f>+'[2]OVI 04-99'!K1419</f>
        <v>278.32679999999999</v>
      </c>
      <c r="J23" s="562">
        <f>+'[2]OVI 04-99'!L1419</f>
        <v>271.07400000000001</v>
      </c>
      <c r="K23" s="562">
        <f>+'[2]OVI 04-99'!M1419</f>
        <v>275.49760000000003</v>
      </c>
      <c r="L23" s="562">
        <f>+'[2]OVI 04-99'!N1419</f>
        <v>275.07960000000003</v>
      </c>
      <c r="M23" s="562">
        <f>+'[2]OVI 04-99'!O1419</f>
        <v>275.65586153939154</v>
      </c>
      <c r="N23" s="562">
        <f>+'[2]OVI 04-99'!P1419</f>
        <v>293.64745000040097</v>
      </c>
    </row>
    <row r="24" spans="1:14" ht="12" customHeight="1">
      <c r="A24" s="290" t="s">
        <v>110</v>
      </c>
      <c r="B24" s="561">
        <f t="shared" si="0"/>
        <v>1440.6907991999997</v>
      </c>
      <c r="C24" s="562">
        <f>+'[2]OVI 04-99'!E1422</f>
        <v>107.47734800000001</v>
      </c>
      <c r="D24" s="562">
        <f>+'[2]OVI 04-99'!F1422</f>
        <v>108.28134800000001</v>
      </c>
      <c r="E24" s="562">
        <f>+'[2]OVI 04-99'!G1422</f>
        <v>105.68374399999999</v>
      </c>
      <c r="F24" s="562">
        <f>+'[2]OVI 04-99'!H1422</f>
        <v>113.448604</v>
      </c>
      <c r="G24" s="562">
        <f>+'[2]OVI 04-99'!I1422</f>
        <v>134.13313200000002</v>
      </c>
      <c r="H24" s="562">
        <f>+'[2]OVI 04-99'!J1422</f>
        <v>151.23259199999998</v>
      </c>
      <c r="I24" s="562">
        <f>+'[2]OVI 04-99'!K1422</f>
        <v>112.82406799999997</v>
      </c>
      <c r="J24" s="562">
        <f>+'[2]OVI 04-99'!L1422</f>
        <v>111.34555600000002</v>
      </c>
      <c r="K24" s="562">
        <f>+'[2]OVI 04-99'!M1422</f>
        <v>135.03344800000002</v>
      </c>
      <c r="L24" s="562">
        <f>+'[2]OVI 04-99'!N1422</f>
        <v>121.386212</v>
      </c>
      <c r="M24" s="562">
        <f>+'[2]OVI 04-99'!O1422</f>
        <v>121.96042320000002</v>
      </c>
      <c r="N24" s="562">
        <f>+'[2]OVI 04-99'!P1422</f>
        <v>117.88432399999995</v>
      </c>
    </row>
    <row r="25" spans="1:14" ht="12" customHeight="1">
      <c r="A25" s="211" t="s">
        <v>37</v>
      </c>
      <c r="B25" s="561">
        <f t="shared" si="0"/>
        <v>2148.0411999999997</v>
      </c>
      <c r="C25" s="562">
        <f>+'[2]OVI 04-99'!E1425</f>
        <v>171.48599999999999</v>
      </c>
      <c r="D25" s="562">
        <f>+'[2]OVI 04-99'!F1425</f>
        <v>174.47629999999998</v>
      </c>
      <c r="E25" s="562">
        <f>+'[2]OVI 04-99'!G1425</f>
        <v>179.78569999999999</v>
      </c>
      <c r="F25" s="562">
        <f>+'[2]OVI 04-99'!H1425</f>
        <v>184.81180000000001</v>
      </c>
      <c r="G25" s="562">
        <f>+'[2]OVI 04-99'!I1425</f>
        <v>191.86490000000003</v>
      </c>
      <c r="H25" s="562">
        <f>+'[2]OVI 04-99'!J1425</f>
        <v>190.09050000000002</v>
      </c>
      <c r="I25" s="562">
        <f>+'[2]OVI 04-99'!K1425</f>
        <v>182.898</v>
      </c>
      <c r="J25" s="562">
        <f>+'[2]OVI 04-99'!L1425</f>
        <v>178.64479999999998</v>
      </c>
      <c r="K25" s="562">
        <f>+'[2]OVI 04-99'!M1425</f>
        <v>176.02379999999999</v>
      </c>
      <c r="L25" s="562">
        <f>+'[2]OVI 04-99'!N1425</f>
        <v>172.73810000000003</v>
      </c>
      <c r="M25" s="562">
        <f>+'[2]OVI 04-99'!O1425</f>
        <v>170.63619999999997</v>
      </c>
      <c r="N25" s="562">
        <f>+'[2]OVI 04-99'!P1425</f>
        <v>174.58510000000001</v>
      </c>
    </row>
    <row r="26" spans="1:14" ht="12" customHeight="1">
      <c r="A26" s="290" t="s">
        <v>38</v>
      </c>
      <c r="B26" s="561">
        <f t="shared" si="0"/>
        <v>81.854380000000006</v>
      </c>
      <c r="C26" s="562">
        <f>+'[2]OVI 04-99'!E1428</f>
        <v>6.4166799999999995</v>
      </c>
      <c r="D26" s="562">
        <f>+'[2]OVI 04-99'!F1428</f>
        <v>5.9268999999999998</v>
      </c>
      <c r="E26" s="562">
        <f>+'[2]OVI 04-99'!G1428</f>
        <v>6.7915999999999999</v>
      </c>
      <c r="F26" s="562">
        <f>+'[2]OVI 04-99'!H1428</f>
        <v>7.68</v>
      </c>
      <c r="G26" s="562">
        <f>+'[2]OVI 04-99'!I1428</f>
        <v>8.9168000000000003</v>
      </c>
      <c r="H26" s="562">
        <f>+'[2]OVI 04-99'!J1428</f>
        <v>7.5772000000000013</v>
      </c>
      <c r="I26" s="562">
        <f>+'[2]OVI 04-99'!K1428</f>
        <v>7.7735000000000003</v>
      </c>
      <c r="J26" s="562">
        <f>+'[2]OVI 04-99'!L1428</f>
        <v>7.1824000000000003</v>
      </c>
      <c r="K26" s="562">
        <f>+'[2]OVI 04-99'!M1428</f>
        <v>5.8790000000000004</v>
      </c>
      <c r="L26" s="562">
        <f>+'[2]OVI 04-99'!N1428</f>
        <v>6.1150000000000002</v>
      </c>
      <c r="M26" s="562">
        <f>+'[2]OVI 04-99'!O1428</f>
        <v>5.6328000000000005</v>
      </c>
      <c r="N26" s="562">
        <f>+'[2]OVI 04-99'!P1428</f>
        <v>5.9625000000000004</v>
      </c>
    </row>
    <row r="27" spans="1:14" ht="12" customHeight="1">
      <c r="A27" s="290" t="s">
        <v>39</v>
      </c>
      <c r="B27" s="561">
        <f t="shared" si="0"/>
        <v>187.416</v>
      </c>
      <c r="C27" s="562">
        <f>+'[2]OVI 04-99'!E1431</f>
        <v>12.656000000000002</v>
      </c>
      <c r="D27" s="562">
        <f>+'[2]OVI 04-99'!F1431</f>
        <v>13.871999999999998</v>
      </c>
      <c r="E27" s="562">
        <f>+'[2]OVI 04-99'!G1431</f>
        <v>14.552000000000001</v>
      </c>
      <c r="F27" s="562">
        <f>+'[2]OVI 04-99'!H1431</f>
        <v>14.368000000000002</v>
      </c>
      <c r="G27" s="562">
        <f>+'[2]OVI 04-99'!I1431</f>
        <v>15.467999999999998</v>
      </c>
      <c r="H27" s="562">
        <f>+'[2]OVI 04-99'!J1431</f>
        <v>16.084</v>
      </c>
      <c r="I27" s="562">
        <f>+'[2]OVI 04-99'!K1431</f>
        <v>16.039999999999996</v>
      </c>
      <c r="J27" s="562">
        <f>+'[2]OVI 04-99'!L1431</f>
        <v>16.228000000000002</v>
      </c>
      <c r="K27" s="562">
        <f>+'[2]OVI 04-99'!M1431</f>
        <v>16.856000000000002</v>
      </c>
      <c r="L27" s="562">
        <f>+'[2]OVI 04-99'!N1431</f>
        <v>15.952000000000002</v>
      </c>
      <c r="M27" s="562">
        <f>+'[2]OVI 04-99'!O1431</f>
        <v>17.191999999999997</v>
      </c>
      <c r="N27" s="562">
        <f>+'[2]OVI 04-99'!P1431</f>
        <v>18.148</v>
      </c>
    </row>
    <row r="28" spans="1:14" ht="12" customHeight="1">
      <c r="A28" s="290" t="s">
        <v>40</v>
      </c>
      <c r="B28" s="561">
        <f t="shared" si="0"/>
        <v>1958.4956000000004</v>
      </c>
      <c r="C28" s="562">
        <f>+'[2]OVI 04-99'!E1434</f>
        <v>108.42880000000001</v>
      </c>
      <c r="D28" s="562">
        <f>+'[2]OVI 04-99'!F1434</f>
        <v>142.45680000000002</v>
      </c>
      <c r="E28" s="562">
        <f>+'[2]OVI 04-99'!G1434</f>
        <v>171.68120000000002</v>
      </c>
      <c r="F28" s="562">
        <f>+'[2]OVI 04-99'!H1434</f>
        <v>194.69040000000001</v>
      </c>
      <c r="G28" s="562">
        <f>+'[2]OVI 04-99'!I1434</f>
        <v>218.87480000000002</v>
      </c>
      <c r="H28" s="562">
        <f>+'[2]OVI 04-99'!J1434</f>
        <v>194.96280000000002</v>
      </c>
      <c r="I28" s="562">
        <f>+'[2]OVI 04-99'!K1434</f>
        <v>182.1772</v>
      </c>
      <c r="J28" s="562">
        <f>+'[2]OVI 04-99'!L1434</f>
        <v>168.35360000000003</v>
      </c>
      <c r="K28" s="562">
        <f>+'[2]OVI 04-99'!M1434</f>
        <v>140.65119999999999</v>
      </c>
      <c r="L28" s="562">
        <f>+'[2]OVI 04-99'!N1434</f>
        <v>133.15920000000003</v>
      </c>
      <c r="M28" s="562">
        <f>+'[2]OVI 04-99'!O1434</f>
        <v>144.93320000000003</v>
      </c>
      <c r="N28" s="562">
        <f>+'[2]OVI 04-99'!P1434</f>
        <v>158.12640000000002</v>
      </c>
    </row>
    <row r="29" spans="1:14" ht="12" customHeight="1">
      <c r="A29" s="291" t="s">
        <v>41</v>
      </c>
      <c r="B29" s="561">
        <f t="shared" si="0"/>
        <v>919.91719999999998</v>
      </c>
      <c r="C29" s="562">
        <f>+'[2]OVI 04-99'!E1437</f>
        <v>77.478999999999999</v>
      </c>
      <c r="D29" s="562">
        <f>+'[2]OVI 04-99'!F1437</f>
        <v>76.91</v>
      </c>
      <c r="E29" s="562">
        <f>+'[2]OVI 04-99'!G1437</f>
        <v>77.44</v>
      </c>
      <c r="F29" s="562">
        <f>+'[2]OVI 04-99'!H1437</f>
        <v>78.072199999999995</v>
      </c>
      <c r="G29" s="562">
        <f>+'[2]OVI 04-99'!I1437</f>
        <v>78.498000000000005</v>
      </c>
      <c r="H29" s="562">
        <f>+'[2]OVI 04-99'!J1437</f>
        <v>78.69</v>
      </c>
      <c r="I29" s="562">
        <f>+'[2]OVI 04-99'!K1437</f>
        <v>79.5</v>
      </c>
      <c r="J29" s="562">
        <f>+'[2]OVI 04-99'!L1437</f>
        <v>79.87</v>
      </c>
      <c r="K29" s="562">
        <f>+'[2]OVI 04-99'!M1437</f>
        <v>78.168999999999997</v>
      </c>
      <c r="L29" s="562">
        <f>+'[2]OVI 04-99'!N1437</f>
        <v>77.052999999999997</v>
      </c>
      <c r="M29" s="562">
        <f>+'[2]OVI 04-99'!O1437</f>
        <v>68.995000000000005</v>
      </c>
      <c r="N29" s="562">
        <f>+'[2]OVI 04-99'!P1437</f>
        <v>69.241</v>
      </c>
    </row>
    <row r="30" spans="1:14" ht="12" customHeight="1">
      <c r="A30" s="226" t="s">
        <v>111</v>
      </c>
      <c r="B30" s="561">
        <f t="shared" si="0"/>
        <v>498.05599999999998</v>
      </c>
      <c r="C30" s="562">
        <f>+'[2]OVI 04-99'!E1440</f>
        <v>39.421999999999997</v>
      </c>
      <c r="D30" s="562">
        <f>+'[2]OVI 04-99'!F1440</f>
        <v>40.020000000000003</v>
      </c>
      <c r="E30" s="562">
        <f>+'[2]OVI 04-99'!G1440</f>
        <v>42.89</v>
      </c>
      <c r="F30" s="562">
        <f>+'[2]OVI 04-99'!H1440</f>
        <v>43.05</v>
      </c>
      <c r="G30" s="562">
        <f>+'[2]OVI 04-99'!I1440</f>
        <v>43.258000000000003</v>
      </c>
      <c r="H30" s="562">
        <f>+'[2]OVI 04-99'!J1440</f>
        <v>43.35</v>
      </c>
      <c r="I30" s="562">
        <f>+'[2]OVI 04-99'!K1440</f>
        <v>44.06</v>
      </c>
      <c r="J30" s="562">
        <f>+'[2]OVI 04-99'!L1440</f>
        <v>44.25</v>
      </c>
      <c r="K30" s="562">
        <f>+'[2]OVI 04-99'!M1440</f>
        <v>43.58</v>
      </c>
      <c r="L30" s="562">
        <f>+'[2]OVI 04-99'!N1440</f>
        <v>43.012</v>
      </c>
      <c r="M30" s="562">
        <f>+'[2]OVI 04-99'!O1440</f>
        <v>35.543999999999997</v>
      </c>
      <c r="N30" s="562">
        <f>+'[2]OVI 04-99'!P1440</f>
        <v>35.619999999999997</v>
      </c>
    </row>
    <row r="31" spans="1:14" ht="12" customHeight="1">
      <c r="A31" s="226" t="s">
        <v>112</v>
      </c>
      <c r="B31" s="561">
        <f t="shared" si="0"/>
        <v>421.8612</v>
      </c>
      <c r="C31" s="562">
        <f>+'[2]OVI 04-99'!E1443</f>
        <v>38.057000000000002</v>
      </c>
      <c r="D31" s="562">
        <f>+'[2]OVI 04-99'!F1443</f>
        <v>36.89</v>
      </c>
      <c r="E31" s="562">
        <f>+'[2]OVI 04-99'!G1443</f>
        <v>34.549999999999997</v>
      </c>
      <c r="F31" s="562">
        <f>+'[2]OVI 04-99'!H1443</f>
        <v>35.022199999999998</v>
      </c>
      <c r="G31" s="562">
        <f>+'[2]OVI 04-99'!I1443</f>
        <v>35.24</v>
      </c>
      <c r="H31" s="562">
        <f>+'[2]OVI 04-99'!J1443</f>
        <v>35.340000000000003</v>
      </c>
      <c r="I31" s="562">
        <f>+'[2]OVI 04-99'!K1443</f>
        <v>35.44</v>
      </c>
      <c r="J31" s="562">
        <f>+'[2]OVI 04-99'!L1443</f>
        <v>35.619999999999997</v>
      </c>
      <c r="K31" s="562">
        <f>+'[2]OVI 04-99'!M1443</f>
        <v>34.588999999999999</v>
      </c>
      <c r="L31" s="562">
        <f>+'[2]OVI 04-99'!N1443</f>
        <v>34.040999999999997</v>
      </c>
      <c r="M31" s="562">
        <f>+'[2]OVI 04-99'!O1443</f>
        <v>33.451000000000001</v>
      </c>
      <c r="N31" s="562">
        <f>+'[2]OVI 04-99'!P1443</f>
        <v>33.621000000000002</v>
      </c>
    </row>
    <row r="32" spans="1:14" ht="12" customHeight="1">
      <c r="A32" s="290" t="s">
        <v>44</v>
      </c>
      <c r="B32" s="561">
        <f t="shared" si="0"/>
        <v>3630.5352000000003</v>
      </c>
      <c r="C32" s="562">
        <f>+'[2]OVI 04-99'!E1446</f>
        <v>266.74439999999998</v>
      </c>
      <c r="D32" s="562">
        <f>+'[2]OVI 04-99'!F1446</f>
        <v>286.47880000000004</v>
      </c>
      <c r="E32" s="562">
        <f>+'[2]OVI 04-99'!G1446</f>
        <v>304.27119999999991</v>
      </c>
      <c r="F32" s="562">
        <f>+'[2]OVI 04-99'!H1446</f>
        <v>325.1624000000001</v>
      </c>
      <c r="G32" s="562">
        <f>+'[2]OVI 04-99'!I1446</f>
        <v>340.06320000000005</v>
      </c>
      <c r="H32" s="562">
        <f>+'[2]OVI 04-99'!J1446</f>
        <v>355.44080000000002</v>
      </c>
      <c r="I32" s="562">
        <f>+'[2]OVI 04-99'!K1446</f>
        <v>353.27760000000006</v>
      </c>
      <c r="J32" s="562">
        <f>+'[2]OVI 04-99'!L1446</f>
        <v>335.96840000000003</v>
      </c>
      <c r="K32" s="562">
        <f>+'[2]OVI 04-99'!M1446</f>
        <v>297.66440000000006</v>
      </c>
      <c r="L32" s="562">
        <f>+'[2]OVI 04-99'!N1446</f>
        <v>264.41079999999988</v>
      </c>
      <c r="M32" s="562">
        <f>+'[2]OVI 04-99'!O1446</f>
        <v>248.76400000000004</v>
      </c>
      <c r="N32" s="562">
        <f>+'[2]OVI 04-99'!P1446</f>
        <v>252.28920000000005</v>
      </c>
    </row>
    <row r="33" spans="1:14" ht="12" customHeight="1">
      <c r="A33" s="290" t="s">
        <v>45</v>
      </c>
      <c r="B33" s="561">
        <f t="shared" si="0"/>
        <v>8678.5620000000017</v>
      </c>
      <c r="C33" s="562">
        <f>+'[2]OVI 04-99'!E1449</f>
        <v>481.23099999999999</v>
      </c>
      <c r="D33" s="562">
        <f>+'[2]OVI 04-99'!F1449</f>
        <v>602.09100000000012</v>
      </c>
      <c r="E33" s="562">
        <f>+'[2]OVI 04-99'!G1449</f>
        <v>673.04699999999991</v>
      </c>
      <c r="F33" s="562">
        <f>+'[2]OVI 04-99'!H1449</f>
        <v>931.48350000000016</v>
      </c>
      <c r="G33" s="562">
        <f>+'[2]OVI 04-99'!I1449</f>
        <v>954.88499999999999</v>
      </c>
      <c r="H33" s="562">
        <f>+'[2]OVI 04-99'!J1449</f>
        <v>896.04000000000008</v>
      </c>
      <c r="I33" s="562">
        <f>+'[2]OVI 04-99'!K1449</f>
        <v>862.35699999999986</v>
      </c>
      <c r="J33" s="562">
        <f>+'[2]OVI 04-99'!L1449</f>
        <v>808.1450000000001</v>
      </c>
      <c r="K33" s="562">
        <f>+'[2]OVI 04-99'!M1449</f>
        <v>721.47450000000003</v>
      </c>
      <c r="L33" s="562">
        <f>+'[2]OVI 04-99'!N1449</f>
        <v>621.31399999999996</v>
      </c>
      <c r="M33" s="562">
        <f>+'[2]OVI 04-99'!O1449</f>
        <v>600.59400000000005</v>
      </c>
      <c r="N33" s="562">
        <f>+'[2]OVI 04-99'!P1449</f>
        <v>525.90000000000009</v>
      </c>
    </row>
    <row r="34" spans="1:14" ht="12" customHeight="1">
      <c r="A34" s="211" t="s">
        <v>113</v>
      </c>
      <c r="B34" s="561">
        <f t="shared" si="0"/>
        <v>71.081999999999994</v>
      </c>
      <c r="C34" s="562">
        <f>+'[2]OVI 04-99'!E1452</f>
        <v>5.7279999999999989</v>
      </c>
      <c r="D34" s="562">
        <f>+'[2]OVI 04-99'!F1452</f>
        <v>5.1472000000000007</v>
      </c>
      <c r="E34" s="562">
        <f>+'[2]OVI 04-99'!G1452</f>
        <v>5.7816000000000001</v>
      </c>
      <c r="F34" s="562">
        <f>+'[2]OVI 04-99'!H1452</f>
        <v>5.5627999999999993</v>
      </c>
      <c r="G34" s="562">
        <f>+'[2]OVI 04-99'!I1452</f>
        <v>5.9570000000000007</v>
      </c>
      <c r="H34" s="562">
        <f>+'[2]OVI 04-99'!J1452</f>
        <v>6.3648000000000007</v>
      </c>
      <c r="I34" s="562">
        <f>+'[2]OVI 04-99'!K1452</f>
        <v>6.0121999999999991</v>
      </c>
      <c r="J34" s="562">
        <f>+'[2]OVI 04-99'!L1452</f>
        <v>5.7379999999999995</v>
      </c>
      <c r="K34" s="562">
        <f>+'[2]OVI 04-99'!M1452</f>
        <v>5.516</v>
      </c>
      <c r="L34" s="562">
        <f>+'[2]OVI 04-99'!N1452</f>
        <v>6.7879999999999985</v>
      </c>
      <c r="M34" s="562">
        <f>+'[2]OVI 04-99'!O1452</f>
        <v>5.2468000000000004</v>
      </c>
      <c r="N34" s="562">
        <f>+'[2]OVI 04-99'!P1452</f>
        <v>7.2395999999999994</v>
      </c>
    </row>
    <row r="35" spans="1:14" ht="12" customHeight="1">
      <c r="A35" s="211" t="s">
        <v>47</v>
      </c>
      <c r="B35" s="561">
        <f t="shared" si="0"/>
        <v>29.007640000000002</v>
      </c>
      <c r="C35" s="562">
        <f>+'[2]OVI 04-99'!E1455</f>
        <v>2.4160000000000004</v>
      </c>
      <c r="D35" s="562">
        <f>+'[2]OVI 04-99'!F1455</f>
        <v>2.3320000000000003</v>
      </c>
      <c r="E35" s="562">
        <f>+'[2]OVI 04-99'!G1455</f>
        <v>2.3675999999999999</v>
      </c>
      <c r="F35" s="562">
        <f>+'[2]OVI 04-99'!H1455</f>
        <v>2.3435999999999999</v>
      </c>
      <c r="G35" s="562">
        <f>+'[2]OVI 04-99'!I1455</f>
        <v>2.1635999999999997</v>
      </c>
      <c r="H35" s="562">
        <f>+'[2]OVI 04-99'!J1455</f>
        <v>2.3071999999999995</v>
      </c>
      <c r="I35" s="562">
        <f>+'[2]OVI 04-99'!K1455</f>
        <v>2.1835999999999998</v>
      </c>
      <c r="J35" s="562">
        <f>+'[2]OVI 04-99'!L1455</f>
        <v>2.2236000000000007</v>
      </c>
      <c r="K35" s="562">
        <f>+'[2]OVI 04-99'!M1455</f>
        <v>2.3248000000000002</v>
      </c>
      <c r="L35" s="562">
        <f>+'[2]OVI 04-99'!N1455</f>
        <v>2.3367999999999998</v>
      </c>
      <c r="M35" s="562">
        <f>+'[2]OVI 04-99'!O1455</f>
        <v>2.5232000000000006</v>
      </c>
      <c r="N35" s="562">
        <f>+'[2]OVI 04-99'!P1455</f>
        <v>3.4856400000000001</v>
      </c>
    </row>
    <row r="36" spans="1:14" ht="12" customHeight="1">
      <c r="A36" s="211" t="s">
        <v>48</v>
      </c>
      <c r="B36" s="561">
        <f t="shared" si="0"/>
        <v>27.737028000000002</v>
      </c>
      <c r="C36" s="562">
        <f>+'[2]OVI 04-99'!E1458</f>
        <v>1.5840000000000001</v>
      </c>
      <c r="D36" s="562">
        <f>+'[2]OVI 04-99'!F1458</f>
        <v>1.548</v>
      </c>
      <c r="E36" s="562">
        <f>+'[2]OVI 04-99'!G1458</f>
        <v>1.6796</v>
      </c>
      <c r="F36" s="562">
        <f>+'[2]OVI 04-99'!H1458</f>
        <v>1.5508</v>
      </c>
      <c r="G36" s="562">
        <f>+'[2]OVI 04-99'!I1458</f>
        <v>2.0232000000000001</v>
      </c>
      <c r="H36" s="562">
        <f>+'[2]OVI 04-99'!J1458</f>
        <v>2.1493200000000008</v>
      </c>
      <c r="I36" s="562">
        <f>+'[2]OVI 04-99'!K1458</f>
        <v>2.4666199999999998</v>
      </c>
      <c r="J36" s="562">
        <f>+'[2]OVI 04-99'!L1458</f>
        <v>2.2815880000000002</v>
      </c>
      <c r="K36" s="562">
        <f>+'[2]OVI 04-99'!M1458</f>
        <v>2.9081200000000003</v>
      </c>
      <c r="L36" s="562">
        <f>+'[2]OVI 04-99'!N1458</f>
        <v>2.9597000000000007</v>
      </c>
      <c r="M36" s="562">
        <f>+'[2]OVI 04-99'!O1458</f>
        <v>3.0892800000000005</v>
      </c>
      <c r="N36" s="562">
        <f>+'[2]OVI 04-99'!P1458</f>
        <v>3.4967999999999999</v>
      </c>
    </row>
    <row r="37" spans="1:14" ht="12" customHeight="1" thickBot="1">
      <c r="A37" s="272" t="s">
        <v>49</v>
      </c>
      <c r="B37" s="563">
        <f t="shared" si="0"/>
        <v>36.046700000000001</v>
      </c>
      <c r="C37" s="564">
        <f>+'[2]OVI 04-99'!E1461</f>
        <v>3.5049999999999999</v>
      </c>
      <c r="D37" s="564">
        <f>+'[2]OVI 04-99'!F1461</f>
        <v>3.04</v>
      </c>
      <c r="E37" s="564">
        <f>+'[2]OVI 04-99'!G1461</f>
        <v>2.92</v>
      </c>
      <c r="F37" s="564">
        <f>+'[2]OVI 04-99'!H1461</f>
        <v>2.72</v>
      </c>
      <c r="G37" s="564">
        <f>+'[2]OVI 04-99'!I1461</f>
        <v>2.9750000000000001</v>
      </c>
      <c r="H37" s="564">
        <f>+'[2]OVI 04-99'!J1461</f>
        <v>2.6310000000000002</v>
      </c>
      <c r="I37" s="564">
        <f>+'[2]OVI 04-99'!K1461</f>
        <v>2.6710000000000003</v>
      </c>
      <c r="J37" s="564">
        <f>+'[2]OVI 04-99'!L1461</f>
        <v>2.9000000000000004</v>
      </c>
      <c r="K37" s="564">
        <f>+'[2]OVI 04-99'!M1461</f>
        <v>2.6870000000000003</v>
      </c>
      <c r="L37" s="564">
        <f>+'[2]OVI 04-99'!N1461</f>
        <v>2.6470000000000002</v>
      </c>
      <c r="M37" s="564">
        <f>+'[2]OVI 04-99'!O1461</f>
        <v>3.7810000000000006</v>
      </c>
      <c r="N37" s="564">
        <f>+'[2]OVI 04-99'!P1461</f>
        <v>3.5697000000000001</v>
      </c>
    </row>
    <row r="38" spans="1:14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14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14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Hoja56">
    <tabColor theme="9" tint="0.59999389629810485"/>
  </sheetPr>
  <dimension ref="A4:O58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15" ht="13" customHeight="1">
      <c r="A4" s="511" t="s">
        <v>390</v>
      </c>
      <c r="B4" s="507"/>
    </row>
    <row r="5" spans="1:15" ht="13" customHeight="1">
      <c r="A5" s="514" t="s">
        <v>595</v>
      </c>
      <c r="B5" s="507"/>
    </row>
    <row r="6" spans="1:15" ht="5" customHeight="1" thickBot="1">
      <c r="A6" s="1105"/>
      <c r="B6" s="1105"/>
      <c r="C6" s="1105"/>
      <c r="D6" s="1105"/>
      <c r="E6" s="1105"/>
      <c r="F6" s="1105"/>
      <c r="G6" s="1105"/>
      <c r="H6" s="1105"/>
      <c r="I6" s="1105"/>
      <c r="J6" s="1105"/>
      <c r="K6" s="1105"/>
      <c r="L6" s="1105"/>
      <c r="M6" s="1105"/>
      <c r="N6" s="1105"/>
      <c r="O6" s="217"/>
    </row>
    <row r="7" spans="1:15" ht="15" customHeight="1">
      <c r="A7" s="519" t="s">
        <v>18</v>
      </c>
      <c r="B7" s="522" t="s">
        <v>118</v>
      </c>
      <c r="C7" s="546" t="s">
        <v>57</v>
      </c>
      <c r="D7" s="546" t="s">
        <v>58</v>
      </c>
      <c r="E7" s="546" t="s">
        <v>59</v>
      </c>
      <c r="F7" s="546" t="s">
        <v>60</v>
      </c>
      <c r="G7" s="546" t="s">
        <v>61</v>
      </c>
      <c r="H7" s="546" t="s">
        <v>62</v>
      </c>
      <c r="I7" s="546" t="s">
        <v>63</v>
      </c>
      <c r="J7" s="546" t="s">
        <v>64</v>
      </c>
      <c r="K7" s="546" t="s">
        <v>65</v>
      </c>
      <c r="L7" s="546" t="s">
        <v>66</v>
      </c>
      <c r="M7" s="546" t="s">
        <v>67</v>
      </c>
      <c r="N7" s="546" t="s">
        <v>68</v>
      </c>
      <c r="O7" s="215"/>
    </row>
    <row r="8" spans="1:15" ht="15" customHeight="1">
      <c r="A8" s="533" t="s">
        <v>207</v>
      </c>
      <c r="B8" s="565">
        <f>('C-54'!B8/'C-53'!B8)*1000</f>
        <v>12.591499597914732</v>
      </c>
      <c r="C8" s="565">
        <f>('C-54'!C8/'C-53'!C8)*1000</f>
        <v>12.347405328226458</v>
      </c>
      <c r="D8" s="565">
        <f>('C-54'!D8/'C-53'!D8)*1000</f>
        <v>12.483439749519331</v>
      </c>
      <c r="E8" s="565">
        <f>('C-54'!E8/'C-53'!E8)*1000</f>
        <v>12.647005602708592</v>
      </c>
      <c r="F8" s="565">
        <f>('C-54'!F8/'C-53'!F8)*1000</f>
        <v>12.811194399901794</v>
      </c>
      <c r="G8" s="565">
        <f>('C-54'!G8/'C-53'!G8)*1000</f>
        <v>12.874198368340981</v>
      </c>
      <c r="H8" s="565">
        <f>('C-54'!H8/'C-53'!H8)*1000</f>
        <v>12.835058830741154</v>
      </c>
      <c r="I8" s="565">
        <f>('C-54'!I8/'C-53'!I8)*1000</f>
        <v>12.653120738034437</v>
      </c>
      <c r="J8" s="565">
        <f>('C-54'!J8/'C-53'!J8)*1000</f>
        <v>12.502692916510446</v>
      </c>
      <c r="K8" s="565">
        <f>('C-54'!K8/'C-53'!K8)*1000</f>
        <v>12.647311235572612</v>
      </c>
      <c r="L8" s="565">
        <f>('C-54'!L8/'C-53'!L8)*1000</f>
        <v>12.34739376920232</v>
      </c>
      <c r="M8" s="565">
        <f>('C-54'!M8/'C-53'!M8)*1000</f>
        <v>12.344828060459522</v>
      </c>
      <c r="N8" s="565">
        <f>('C-54'!N8/'C-53'!N8)*1000</f>
        <v>12.440444488032739</v>
      </c>
    </row>
    <row r="9" spans="1:15" ht="12" customHeight="1">
      <c r="A9" s="290" t="s">
        <v>21</v>
      </c>
      <c r="B9" s="566">
        <f>('C-54'!B9/'C-53'!B9)*1000</f>
        <v>11.150255015300919</v>
      </c>
      <c r="C9" s="567">
        <f>('C-54'!C9/'C-53'!C9)*1000</f>
        <v>12.727272727272727</v>
      </c>
      <c r="D9" s="567">
        <f>('C-54'!D9/'C-53'!D9)*1000</f>
        <v>10.491228070175438</v>
      </c>
      <c r="E9" s="567">
        <f>('C-54'!E9/'C-53'!E9)*1000</f>
        <v>10.836653386454184</v>
      </c>
      <c r="F9" s="567">
        <f>('C-54'!F9/'C-53'!F9)*1000</f>
        <v>11.193548387096774</v>
      </c>
      <c r="G9" s="567">
        <f>('C-54'!G9/'C-53'!G9)*1000</f>
        <v>12.07495238095238</v>
      </c>
      <c r="H9" s="567">
        <f>('C-54'!H9/'C-53'!H9)*1000</f>
        <v>12.064</v>
      </c>
      <c r="I9" s="567">
        <f>('C-54'!I9/'C-53'!I9)*1000</f>
        <v>11.690000000000001</v>
      </c>
      <c r="J9" s="567">
        <f>('C-54'!J9/'C-53'!J9)*1000</f>
        <v>11.288343558282209</v>
      </c>
      <c r="K9" s="567">
        <f>('C-54'!K9/'C-53'!K9)*1000</f>
        <v>9.4881987577639766</v>
      </c>
      <c r="L9" s="567">
        <f>('C-54'!L9/'C-53'!L9)*1000</f>
        <v>9.4440154440154451</v>
      </c>
      <c r="M9" s="567">
        <f>('C-54'!M9/'C-53'!M9)*1000</f>
        <v>11.28186046511628</v>
      </c>
      <c r="N9" s="567">
        <f>('C-54'!N9/'C-53'!N9)*1000</f>
        <v>12.445043478260869</v>
      </c>
    </row>
    <row r="10" spans="1:15" ht="12" customHeight="1">
      <c r="A10" s="290" t="s">
        <v>22</v>
      </c>
      <c r="B10" s="566">
        <f>('C-54'!B10/'C-53'!B10)*1000</f>
        <v>12.385574536440032</v>
      </c>
      <c r="C10" s="567">
        <f>('C-54'!C10/'C-53'!C10)*1000</f>
        <v>13.440998115030728</v>
      </c>
      <c r="D10" s="567">
        <f>('C-54'!D10/'C-53'!D10)*1000</f>
        <v>13.213129239751131</v>
      </c>
      <c r="E10" s="567">
        <f>('C-54'!E10/'C-53'!E10)*1000</f>
        <v>12.572025052192068</v>
      </c>
      <c r="F10" s="567">
        <f>('C-54'!F10/'C-53'!F10)*1000</f>
        <v>12.573047461616955</v>
      </c>
      <c r="G10" s="567">
        <f>('C-54'!G10/'C-53'!G10)*1000</f>
        <v>12.950019075714529</v>
      </c>
      <c r="H10" s="567">
        <f>('C-54'!H10/'C-53'!H10)*1000</f>
        <v>11.318310481488464</v>
      </c>
      <c r="I10" s="567">
        <f>('C-54'!I10/'C-53'!I10)*1000</f>
        <v>11.990761737069707</v>
      </c>
      <c r="J10" s="567">
        <f>('C-54'!J10/'C-53'!J10)*1000</f>
        <v>11.424931515021349</v>
      </c>
      <c r="K10" s="567">
        <f>('C-54'!K10/'C-53'!K10)*1000</f>
        <v>12.701758530894949</v>
      </c>
      <c r="L10" s="567">
        <f>('C-54'!L10/'C-53'!L10)*1000</f>
        <v>13.010052321210251</v>
      </c>
      <c r="M10" s="567">
        <f>('C-54'!M10/'C-53'!M10)*1000</f>
        <v>11.788230067713041</v>
      </c>
      <c r="N10" s="567">
        <f>('C-54'!N10/'C-53'!N10)*1000</f>
        <v>12.280161256100147</v>
      </c>
    </row>
    <row r="11" spans="1:15" ht="12" customHeight="1">
      <c r="A11" s="290" t="s">
        <v>23</v>
      </c>
      <c r="B11" s="566">
        <f>('C-54'!B11/'C-53'!B11)*1000</f>
        <v>16.632843768653199</v>
      </c>
      <c r="C11" s="567">
        <f>('C-54'!C11/'C-53'!C11)*1000</f>
        <v>16.876621297037634</v>
      </c>
      <c r="D11" s="567">
        <f>('C-54'!D11/'C-53'!D11)*1000</f>
        <v>17.184210526315791</v>
      </c>
      <c r="E11" s="567">
        <f>('C-54'!E11/'C-53'!E11)*1000</f>
        <v>17.057471264367816</v>
      </c>
      <c r="F11" s="567">
        <f>('C-54'!F11/'C-53'!F11)*1000</f>
        <v>17.059953881629514</v>
      </c>
      <c r="G11" s="567">
        <f>('C-54'!G11/'C-53'!G11)*1000</f>
        <v>16.58100558659218</v>
      </c>
      <c r="H11" s="567">
        <f>('C-54'!H11/'C-53'!H11)*1000</f>
        <v>16.515016685205783</v>
      </c>
      <c r="I11" s="567">
        <f>('C-54'!I11/'C-53'!I11)*1000</f>
        <v>16.683703271028037</v>
      </c>
      <c r="J11" s="567">
        <f>('C-54'!J11/'C-53'!J11)*1000</f>
        <v>16.611801242236027</v>
      </c>
      <c r="K11" s="567">
        <f>('C-54'!K11/'C-53'!K11)*1000</f>
        <v>16.452043369474563</v>
      </c>
      <c r="L11" s="567">
        <f>('C-54'!L11/'C-53'!L11)*1000</f>
        <v>16.292831541218636</v>
      </c>
      <c r="M11" s="567">
        <f>('C-54'!M11/'C-53'!M11)*1000</f>
        <v>16.031504818383986</v>
      </c>
      <c r="N11" s="567">
        <f>('C-54'!N11/'C-53'!N11)*1000</f>
        <v>16.34828660436137</v>
      </c>
    </row>
    <row r="12" spans="1:15" ht="12" customHeight="1">
      <c r="A12" s="211" t="s">
        <v>24</v>
      </c>
      <c r="B12" s="566">
        <f>('C-54'!B12/'C-53'!B12)*1000</f>
        <v>13.251370978241885</v>
      </c>
      <c r="C12" s="567">
        <f>('C-54'!C12/'C-53'!C12)*1000</f>
        <v>13.361341461762514</v>
      </c>
      <c r="D12" s="567">
        <f>('C-54'!D12/'C-53'!D12)*1000</f>
        <v>13.247005219206679</v>
      </c>
      <c r="E12" s="567">
        <f>('C-54'!E12/'C-53'!E12)*1000</f>
        <v>13.304199696629954</v>
      </c>
      <c r="F12" s="567">
        <f>('C-54'!F12/'C-53'!F12)*1000</f>
        <v>13.163492047651719</v>
      </c>
      <c r="G12" s="567">
        <f>('C-54'!G12/'C-53'!G12)*1000</f>
        <v>13.362332490284381</v>
      </c>
      <c r="H12" s="567">
        <f>('C-54'!H12/'C-53'!H12)*1000</f>
        <v>13.448965907721959</v>
      </c>
      <c r="I12" s="567">
        <f>('C-54'!I12/'C-53'!I12)*1000</f>
        <v>13.052648175542409</v>
      </c>
      <c r="J12" s="567">
        <f>('C-54'!J12/'C-53'!J12)*1000</f>
        <v>13.071419398992099</v>
      </c>
      <c r="K12" s="567">
        <f>('C-54'!K12/'C-53'!K12)*1000</f>
        <v>13.12477719811681</v>
      </c>
      <c r="L12" s="567">
        <f>('C-54'!L12/'C-53'!L12)*1000</f>
        <v>13.304050003188978</v>
      </c>
      <c r="M12" s="567">
        <f>('C-54'!M12/'C-53'!M12)*1000</f>
        <v>13.019787656229868</v>
      </c>
      <c r="N12" s="567">
        <f>('C-54'!N12/'C-53'!N12)*1000</f>
        <v>13.561579007999999</v>
      </c>
    </row>
    <row r="13" spans="1:15" ht="12" customHeight="1">
      <c r="A13" s="291" t="s">
        <v>25</v>
      </c>
      <c r="B13" s="566">
        <f>('C-54'!B13/'C-53'!B13)*1000</f>
        <v>12.124844431089745</v>
      </c>
      <c r="C13" s="567">
        <f>('C-54'!C13/'C-53'!C13)*1000</f>
        <v>12.574985816560854</v>
      </c>
      <c r="D13" s="567">
        <f>('C-54'!D13/'C-53'!D13)*1000</f>
        <v>12.311554595144276</v>
      </c>
      <c r="E13" s="567">
        <f>('C-54'!E13/'C-53'!E13)*1000</f>
        <v>13.254389688249402</v>
      </c>
      <c r="F13" s="567">
        <f>('C-54'!F13/'C-53'!F13)*1000</f>
        <v>11.900504763083015</v>
      </c>
      <c r="G13" s="567">
        <f>('C-54'!G13/'C-53'!G13)*1000</f>
        <v>11.886364606808209</v>
      </c>
      <c r="H13" s="567">
        <f>('C-54'!H13/'C-53'!H13)*1000</f>
        <v>11.796357059509921</v>
      </c>
      <c r="I13" s="567">
        <f>('C-54'!I13/'C-53'!I13)*1000</f>
        <v>11.759977176765949</v>
      </c>
      <c r="J13" s="567">
        <f>('C-54'!J13/'C-53'!J13)*1000</f>
        <v>11.814855637030249</v>
      </c>
      <c r="K13" s="567">
        <f>('C-54'!K13/'C-53'!K13)*1000</f>
        <v>12.808922689844469</v>
      </c>
      <c r="L13" s="567">
        <f>('C-54'!L13/'C-53'!L13)*1000</f>
        <v>12.115232656913642</v>
      </c>
      <c r="M13" s="567">
        <f>('C-54'!M13/'C-53'!M13)*1000</f>
        <v>11.685573299041383</v>
      </c>
      <c r="N13" s="567">
        <f>('C-54'!N13/'C-53'!N13)*1000</f>
        <v>11.639851795457428</v>
      </c>
    </row>
    <row r="14" spans="1:15" ht="12" customHeight="1">
      <c r="A14" s="226" t="s">
        <v>107</v>
      </c>
      <c r="B14" s="566">
        <f>('C-54'!B14/'C-53'!B14)*1000</f>
        <v>12.093935207909686</v>
      </c>
      <c r="C14" s="567">
        <f>('C-54'!C14/'C-53'!C14)*1000</f>
        <v>12.534170285067018</v>
      </c>
      <c r="D14" s="567">
        <f>('C-54'!D14/'C-53'!D14)*1000</f>
        <v>12.276831405538033</v>
      </c>
      <c r="E14" s="567">
        <f>('C-54'!E14/'C-53'!E14)*1000</f>
        <v>13.475356052899292</v>
      </c>
      <c r="F14" s="567">
        <f>('C-54'!F14/'C-53'!F14)*1000</f>
        <v>11.865775401069522</v>
      </c>
      <c r="G14" s="567">
        <f>('C-54'!G14/'C-53'!G14)*1000</f>
        <v>11.860959371799249</v>
      </c>
      <c r="H14" s="567">
        <f>('C-54'!H14/'C-53'!H14)*1000</f>
        <v>11.688819244451977</v>
      </c>
      <c r="I14" s="567">
        <f>('C-54'!I14/'C-53'!I14)*1000</f>
        <v>11.620221829287896</v>
      </c>
      <c r="J14" s="567">
        <f>('C-54'!J14/'C-53'!J14)*1000</f>
        <v>11.698848920863311</v>
      </c>
      <c r="K14" s="567">
        <f>('C-54'!K14/'C-53'!K14)*1000</f>
        <v>13.049222222222227</v>
      </c>
      <c r="L14" s="567">
        <f>('C-54'!L14/'C-53'!L14)*1000</f>
        <v>12.198911609498683</v>
      </c>
      <c r="M14" s="567">
        <f>('C-54'!M14/'C-53'!M14)*1000</f>
        <v>11.492394822006471</v>
      </c>
      <c r="N14" s="567">
        <f>('C-54'!N14/'C-53'!N14)*1000</f>
        <v>11.413628561620323</v>
      </c>
    </row>
    <row r="15" spans="1:15" ht="12" customHeight="1">
      <c r="A15" s="226" t="s">
        <v>108</v>
      </c>
      <c r="B15" s="566">
        <f>('C-54'!B15/'C-53'!B15)*1000</f>
        <v>12.800676668298982</v>
      </c>
      <c r="C15" s="567">
        <f>('C-54'!C15/'C-53'!C15)*1000</f>
        <v>13.397243858597964</v>
      </c>
      <c r="D15" s="567">
        <f>('C-54'!D15/'C-53'!D15)*1000</f>
        <v>12.854578532443909</v>
      </c>
      <c r="E15" s="567">
        <f>('C-54'!E15/'C-53'!E15)*1000</f>
        <v>13.721690767519464</v>
      </c>
      <c r="F15" s="567">
        <f>('C-54'!F15/'C-53'!F15)*1000</f>
        <v>12.815590742996347</v>
      </c>
      <c r="G15" s="567">
        <f>('C-54'!G15/'C-53'!G15)*1000</f>
        <v>12.686984126984131</v>
      </c>
      <c r="H15" s="567">
        <f>('C-54'!H15/'C-53'!H15)*1000</f>
        <v>12.71043005437469</v>
      </c>
      <c r="I15" s="567">
        <f>('C-54'!I15/'C-53'!I15)*1000</f>
        <v>12.629268292682926</v>
      </c>
      <c r="J15" s="567">
        <f>('C-54'!J15/'C-53'!J15)*1000</f>
        <v>12.554047503635482</v>
      </c>
      <c r="K15" s="567">
        <f>('C-54'!K15/'C-53'!K15)*1000</f>
        <v>12.693266832917706</v>
      </c>
      <c r="L15" s="567">
        <f>('C-54'!L15/'C-53'!L15)*1000</f>
        <v>12.341708542713567</v>
      </c>
      <c r="M15" s="567">
        <f>('C-54'!M15/'C-53'!M15)*1000</f>
        <v>12.613806903451726</v>
      </c>
      <c r="N15" s="567">
        <f>('C-54'!N15/'C-53'!N15)*1000</f>
        <v>12.797626112759644</v>
      </c>
    </row>
    <row r="16" spans="1:15" ht="12" customHeight="1">
      <c r="A16" s="226" t="s">
        <v>109</v>
      </c>
      <c r="B16" s="566">
        <f>('C-54'!B16/'C-53'!B16)*1000</f>
        <v>9.9876182476943374</v>
      </c>
      <c r="C16" s="567">
        <f>('C-54'!C16/'C-53'!C16)*1000</f>
        <v>9.9293363844393596</v>
      </c>
      <c r="D16" s="567">
        <f>('C-54'!D16/'C-53'!D16)*1000</f>
        <v>10.949609375000001</v>
      </c>
      <c r="E16" s="567">
        <f>('C-54'!E16/'C-53'!E16)*1000</f>
        <v>9.926024844720498</v>
      </c>
      <c r="F16" s="567">
        <f>('C-54'!F16/'C-53'!F16)*1000</f>
        <v>9.8799378881987572</v>
      </c>
      <c r="G16" s="567">
        <f>('C-54'!G16/'C-53'!G16)*1000</f>
        <v>9.8887847730600278</v>
      </c>
      <c r="H16" s="567">
        <f>('C-54'!H16/'C-53'!H16)*1000</f>
        <v>9.9106832298136656</v>
      </c>
      <c r="I16" s="567">
        <f>('C-54'!I16/'C-53'!I16)*1000</f>
        <v>9.9050406504065069</v>
      </c>
      <c r="J16" s="567">
        <f>('C-54'!J16/'C-53'!J16)*1000</f>
        <v>9.8652682926829272</v>
      </c>
      <c r="K16" s="567">
        <f>('C-54'!K16/'C-53'!K16)*1000</f>
        <v>9.8886560364464735</v>
      </c>
      <c r="L16" s="567">
        <f>('C-54'!L16/'C-53'!L16)*1000</f>
        <v>9.8448151658767777</v>
      </c>
      <c r="M16" s="567">
        <f>('C-54'!M16/'C-53'!M16)*1000</f>
        <v>9.921050666666666</v>
      </c>
      <c r="N16" s="567">
        <f>('C-54'!N16/'C-53'!N16)*1000</f>
        <v>9.9293837837837842</v>
      </c>
    </row>
    <row r="17" spans="1:14" ht="12" customHeight="1">
      <c r="A17" s="290" t="s">
        <v>29</v>
      </c>
      <c r="B17" s="566">
        <f>('C-54'!B17/'C-53'!B17)*1000</f>
        <v>15.865685164212911</v>
      </c>
      <c r="C17" s="567">
        <f>('C-54'!C17/'C-53'!C17)*1000</f>
        <v>15.931228070175438</v>
      </c>
      <c r="D17" s="567">
        <f>('C-54'!D17/'C-53'!D17)*1000</f>
        <v>15.695384615384615</v>
      </c>
      <c r="E17" s="567">
        <f>('C-54'!E17/'C-53'!E17)*1000</f>
        <v>15.931182795698925</v>
      </c>
      <c r="F17" s="567">
        <f>('C-54'!F17/'C-53'!F17)*1000</f>
        <v>15.909311740890688</v>
      </c>
      <c r="G17" s="567">
        <f>('C-54'!G17/'C-53'!G17)*1000</f>
        <v>16.218726591760301</v>
      </c>
      <c r="H17" s="567">
        <f>('C-54'!H17/'C-53'!H17)*1000</f>
        <v>16.055263157894732</v>
      </c>
      <c r="I17" s="567">
        <f>('C-54'!I17/'C-53'!I17)*1000</f>
        <v>15.947222222222218</v>
      </c>
      <c r="J17" s="567">
        <f>('C-54'!J17/'C-53'!J17)*1000</f>
        <v>15.597231833910032</v>
      </c>
      <c r="K17" s="567">
        <f>('C-54'!K17/'C-53'!K17)*1000</f>
        <v>15.34285714285714</v>
      </c>
      <c r="L17" s="567">
        <f>('C-54'!L17/'C-53'!L17)*1000</f>
        <v>15.635087719298244</v>
      </c>
      <c r="M17" s="567">
        <f>('C-54'!M17/'C-53'!M17)*1000</f>
        <v>15.989225589225589</v>
      </c>
      <c r="N17" s="567">
        <f>('C-54'!N17/'C-53'!N17)*1000</f>
        <v>16.052173913043479</v>
      </c>
    </row>
    <row r="18" spans="1:14" ht="12" customHeight="1">
      <c r="A18" s="290" t="s">
        <v>30</v>
      </c>
      <c r="B18" s="566">
        <f>('C-54'!B18/'C-53'!B18)*1000</f>
        <v>10.574799867332866</v>
      </c>
      <c r="C18" s="567">
        <f>('C-54'!C18/'C-53'!C18)*1000</f>
        <v>10.314126727697003</v>
      </c>
      <c r="D18" s="567">
        <f>('C-54'!D18/'C-53'!D18)*1000</f>
        <v>10.321355806630859</v>
      </c>
      <c r="E18" s="567">
        <f>('C-54'!E18/'C-53'!E18)*1000</f>
        <v>10.785550556074369</v>
      </c>
      <c r="F18" s="567">
        <f>('C-54'!F18/'C-53'!F18)*1000</f>
        <v>10.911582921732522</v>
      </c>
      <c r="G18" s="567">
        <f>('C-54'!G18/'C-53'!G18)*1000</f>
        <v>10.298731336665739</v>
      </c>
      <c r="H18" s="567">
        <f>('C-54'!H18/'C-53'!H18)*1000</f>
        <v>10.601197834736745</v>
      </c>
      <c r="I18" s="567">
        <f>('C-54'!I18/'C-53'!I18)*1000</f>
        <v>10.625195854638422</v>
      </c>
      <c r="J18" s="567">
        <f>('C-54'!J18/'C-53'!J18)*1000</f>
        <v>10.639292190899203</v>
      </c>
      <c r="K18" s="567">
        <f>('C-54'!K18/'C-53'!K18)*1000</f>
        <v>10.649311785519869</v>
      </c>
      <c r="L18" s="567">
        <f>('C-54'!L18/'C-53'!L18)*1000</f>
        <v>10.574702512119876</v>
      </c>
      <c r="M18" s="567">
        <f>('C-54'!M18/'C-53'!M18)*1000</f>
        <v>10.661876964526268</v>
      </c>
      <c r="N18" s="567">
        <f>('C-54'!N18/'C-53'!N18)*1000</f>
        <v>10.508759511590869</v>
      </c>
    </row>
    <row r="19" spans="1:14" ht="12" customHeight="1">
      <c r="A19" s="211" t="s">
        <v>31</v>
      </c>
      <c r="B19" s="566">
        <f>('C-54'!B19/'C-53'!B19)*1000</f>
        <v>12.375881547126831</v>
      </c>
      <c r="C19" s="567">
        <f>('C-54'!C19/'C-53'!C19)*1000</f>
        <v>12.14835242290749</v>
      </c>
      <c r="D19" s="567">
        <f>('C-54'!D19/'C-53'!D19)*1000</f>
        <v>11.988163867872302</v>
      </c>
      <c r="E19" s="567">
        <f>('C-54'!E19/'C-53'!E19)*1000</f>
        <v>12.745068603712673</v>
      </c>
      <c r="F19" s="567">
        <f>('C-54'!F19/'C-53'!F19)*1000</f>
        <v>12.498389469608982</v>
      </c>
      <c r="G19" s="567">
        <f>('C-54'!G19/'C-53'!G19)*1000</f>
        <v>12.688742138364779</v>
      </c>
      <c r="H19" s="567">
        <f>('C-54'!H19/'C-53'!H19)*1000</f>
        <v>12.140218652037619</v>
      </c>
      <c r="I19" s="567">
        <f>('C-54'!I19/'C-53'!I19)*1000</f>
        <v>12.616535638558151</v>
      </c>
      <c r="J19" s="567">
        <f>('C-54'!J19/'C-53'!J19)*1000</f>
        <v>12.136390179163902</v>
      </c>
      <c r="K19" s="567">
        <f>('C-54'!K19/'C-53'!K19)*1000</f>
        <v>12.164660260809883</v>
      </c>
      <c r="L19" s="567">
        <f>('C-54'!L19/'C-53'!L19)*1000</f>
        <v>12.146705116279069</v>
      </c>
      <c r="M19" s="567">
        <f>('C-54'!M19/'C-53'!M19)*1000</f>
        <v>12.137996597996597</v>
      </c>
      <c r="N19" s="567">
        <f>('C-54'!N19/'C-53'!N19)*1000</f>
        <v>12.941006955945676</v>
      </c>
    </row>
    <row r="20" spans="1:14" ht="12" customHeight="1">
      <c r="A20" s="290" t="s">
        <v>32</v>
      </c>
      <c r="B20" s="566">
        <f>('C-54'!B20/'C-53'!B20)*1000</f>
        <v>14.176833259619638</v>
      </c>
      <c r="C20" s="567">
        <f>('C-54'!C20/'C-53'!C20)*1000</f>
        <v>13.442139037433154</v>
      </c>
      <c r="D20" s="567">
        <f>('C-54'!D20/'C-53'!D20)*1000</f>
        <v>13.927250936329584</v>
      </c>
      <c r="E20" s="567">
        <f>('C-54'!E20/'C-53'!E20)*1000</f>
        <v>14.745070422535216</v>
      </c>
      <c r="F20" s="567">
        <f>('C-54'!F20/'C-53'!F20)*1000</f>
        <v>14.733067092651758</v>
      </c>
      <c r="G20" s="567">
        <f>('C-54'!G20/'C-53'!G20)*1000</f>
        <v>14.358911917098443</v>
      </c>
      <c r="H20" s="567">
        <f>('C-54'!H20/'C-53'!H20)*1000</f>
        <v>14.566590909090909</v>
      </c>
      <c r="I20" s="567">
        <f>('C-54'!I20/'C-53'!I20)*1000</f>
        <v>14.661207547169813</v>
      </c>
      <c r="J20" s="567">
        <f>('C-54'!J20/'C-53'!J20)*1000</f>
        <v>14.625617328519853</v>
      </c>
      <c r="K20" s="567">
        <f>('C-54'!K20/'C-53'!K20)*1000</f>
        <v>14.781169853768281</v>
      </c>
      <c r="L20" s="567">
        <f>('C-54'!L20/'C-53'!L20)*1000</f>
        <v>14.477166144200632</v>
      </c>
      <c r="M20" s="567">
        <f>('C-54'!M20/'C-53'!M20)*1000</f>
        <v>13.560417495029817</v>
      </c>
      <c r="N20" s="567">
        <f>('C-54'!N20/'C-53'!N20)*1000</f>
        <v>12.300364544319599</v>
      </c>
    </row>
    <row r="21" spans="1:14" ht="12" customHeight="1">
      <c r="A21" s="290" t="s">
        <v>33</v>
      </c>
      <c r="B21" s="566">
        <f>('C-54'!B21/'C-53'!B21)*1000</f>
        <v>11.428726000165135</v>
      </c>
      <c r="C21" s="567">
        <f>('C-54'!C21/'C-53'!C21)*1000</f>
        <v>11.456024475524474</v>
      </c>
      <c r="D21" s="567">
        <f>('C-54'!D21/'C-53'!D21)*1000</f>
        <v>11.392986292153731</v>
      </c>
      <c r="E21" s="567">
        <f>('C-54'!E21/'C-53'!E21)*1000</f>
        <v>11.35006736353078</v>
      </c>
      <c r="F21" s="567">
        <f>('C-54'!F21/'C-53'!F21)*1000</f>
        <v>11.344486862789132</v>
      </c>
      <c r="G21" s="567">
        <f>('C-54'!G21/'C-53'!G21)*1000</f>
        <v>11.467014707014705</v>
      </c>
      <c r="H21" s="567">
        <f>('C-54'!H21/'C-53'!H21)*1000</f>
        <v>11.93831027814964</v>
      </c>
      <c r="I21" s="567">
        <f>('C-54'!I21/'C-53'!I21)*1000</f>
        <v>11.747992675024651</v>
      </c>
      <c r="J21" s="567">
        <f>('C-54'!J21/'C-53'!J21)*1000</f>
        <v>11.502425307557122</v>
      </c>
      <c r="K21" s="567">
        <f>('C-54'!K21/'C-53'!K21)*1000</f>
        <v>11.288572522005358</v>
      </c>
      <c r="L21" s="567">
        <f>('C-54'!L21/'C-53'!L21)*1000</f>
        <v>11.455204294661501</v>
      </c>
      <c r="M21" s="567">
        <f>('C-54'!M21/'C-53'!M21)*1000</f>
        <v>11.117491441020848</v>
      </c>
      <c r="N21" s="567">
        <f>('C-54'!N21/'C-53'!N21)*1000</f>
        <v>11.047983014861995</v>
      </c>
    </row>
    <row r="22" spans="1:14" ht="12" customHeight="1">
      <c r="A22" s="290" t="s">
        <v>34</v>
      </c>
      <c r="B22" s="566">
        <f>('C-54'!B22/'C-53'!B22)*1000</f>
        <v>12.48644711022321</v>
      </c>
      <c r="C22" s="567">
        <f>('C-54'!C22/'C-53'!C22)*1000</f>
        <v>12.312438726007171</v>
      </c>
      <c r="D22" s="567">
        <f>('C-54'!D22/'C-53'!D22)*1000</f>
        <v>12.476277501774312</v>
      </c>
      <c r="E22" s="567">
        <f>('C-54'!E22/'C-53'!E22)*1000</f>
        <v>12.331720511330623</v>
      </c>
      <c r="F22" s="567">
        <f>('C-54'!F22/'C-53'!F22)*1000</f>
        <v>12.390163797600414</v>
      </c>
      <c r="G22" s="567">
        <f>('C-54'!G22/'C-53'!G22)*1000</f>
        <v>12.514330344423028</v>
      </c>
      <c r="H22" s="567">
        <f>('C-54'!H22/'C-53'!H22)*1000</f>
        <v>12.543024071322435</v>
      </c>
      <c r="I22" s="567">
        <f>('C-54'!I22/'C-53'!I22)*1000</f>
        <v>12.388730912846587</v>
      </c>
      <c r="J22" s="567">
        <f>('C-54'!J22/'C-53'!J22)*1000</f>
        <v>12.370678538304583</v>
      </c>
      <c r="K22" s="567">
        <f>('C-54'!K22/'C-53'!K22)*1000</f>
        <v>13.525013761467891</v>
      </c>
      <c r="L22" s="567">
        <f>('C-54'!L22/'C-53'!L22)*1000</f>
        <v>11.979553792761527</v>
      </c>
      <c r="M22" s="567">
        <f>('C-54'!M22/'C-53'!M22)*1000</f>
        <v>12.238172160303531</v>
      </c>
      <c r="N22" s="567">
        <f>('C-54'!N22/'C-53'!N22)*1000</f>
        <v>12.702401194029852</v>
      </c>
    </row>
    <row r="23" spans="1:14" ht="12" customHeight="1">
      <c r="A23" s="290" t="s">
        <v>35</v>
      </c>
      <c r="B23" s="566">
        <f>('C-54'!B23/'C-53'!B23)*1000</f>
        <v>10.810331900648166</v>
      </c>
      <c r="C23" s="567">
        <f>('C-54'!C23/'C-53'!C23)*1000</f>
        <v>10.637805793779393</v>
      </c>
      <c r="D23" s="567">
        <f>('C-54'!D23/'C-53'!D23)*1000</f>
        <v>10.627803905938622</v>
      </c>
      <c r="E23" s="567">
        <f>('C-54'!E23/'C-53'!E23)*1000</f>
        <v>10.751208879919275</v>
      </c>
      <c r="F23" s="567">
        <f>('C-54'!F23/'C-53'!F23)*1000</f>
        <v>10.788342237461126</v>
      </c>
      <c r="G23" s="567">
        <f>('C-54'!G23/'C-53'!G23)*1000</f>
        <v>10.453370990220817</v>
      </c>
      <c r="H23" s="567">
        <f>('C-54'!H23/'C-53'!H23)*1000</f>
        <v>10.836198882943403</v>
      </c>
      <c r="I23" s="567">
        <f>('C-54'!I23/'C-53'!I23)*1000</f>
        <v>10.815107829803766</v>
      </c>
      <c r="J23" s="567">
        <f>('C-54'!J23/'C-53'!J23)*1000</f>
        <v>10.69494200268287</v>
      </c>
      <c r="K23" s="567">
        <f>('C-54'!K23/'C-53'!K23)*1000</f>
        <v>10.760784313725491</v>
      </c>
      <c r="L23" s="567">
        <f>('C-54'!L23/'C-53'!L23)*1000</f>
        <v>10.856405399005448</v>
      </c>
      <c r="M23" s="567">
        <f>('C-54'!M23/'C-53'!M23)*1000</f>
        <v>10.95219760576072</v>
      </c>
      <c r="N23" s="567">
        <f>('C-54'!N23/'C-53'!N23)*1000</f>
        <v>11.545346678803705</v>
      </c>
    </row>
    <row r="24" spans="1:14" ht="12" customHeight="1">
      <c r="A24" s="290" t="s">
        <v>36</v>
      </c>
      <c r="B24" s="566">
        <f>('C-54'!B24/'C-53'!B24)*1000</f>
        <v>12.995235553791614</v>
      </c>
      <c r="C24" s="567">
        <f>('C-54'!C24/'C-53'!C24)*1000</f>
        <v>12.448152420662499</v>
      </c>
      <c r="D24" s="567">
        <f>('C-54'!D24/'C-53'!D24)*1000</f>
        <v>12.423284534189996</v>
      </c>
      <c r="E24" s="567">
        <f>('C-54'!E24/'C-53'!E24)*1000</f>
        <v>12.508432240501834</v>
      </c>
      <c r="F24" s="567">
        <f>('C-54'!F24/'C-53'!F24)*1000</f>
        <v>12.530219129666447</v>
      </c>
      <c r="G24" s="567">
        <f>('C-54'!G24/'C-53'!G24)*1000</f>
        <v>13.813916786817716</v>
      </c>
      <c r="H24" s="567">
        <f>('C-54'!H24/'C-53'!H24)*1000</f>
        <v>15.333325762952446</v>
      </c>
      <c r="I24" s="567">
        <f>('C-54'!I24/'C-53'!I24)*1000</f>
        <v>12.33454334754564</v>
      </c>
      <c r="J24" s="567">
        <f>('C-54'!J24/'C-53'!J24)*1000</f>
        <v>12.129145533769064</v>
      </c>
      <c r="K24" s="567">
        <f>('C-54'!K24/'C-53'!K24)*1000</f>
        <v>14.606105786911845</v>
      </c>
      <c r="L24" s="567">
        <f>('C-54'!L24/'C-53'!L24)*1000</f>
        <v>12.263711052737927</v>
      </c>
      <c r="M24" s="567">
        <f>('C-54'!M24/'C-53'!M24)*1000</f>
        <v>12.982800000000003</v>
      </c>
      <c r="N24" s="567">
        <f>('C-54'!N24/'C-53'!N24)*1000</f>
        <v>12.314250914029035</v>
      </c>
    </row>
    <row r="25" spans="1:14" ht="12" customHeight="1">
      <c r="A25" s="211" t="s">
        <v>37</v>
      </c>
      <c r="B25" s="566">
        <f>('C-54'!B25/'C-53'!B25)*1000</f>
        <v>14.63173554394545</v>
      </c>
      <c r="C25" s="567">
        <f>('C-54'!C25/'C-53'!C25)*1000</f>
        <v>14.515490096495682</v>
      </c>
      <c r="D25" s="567">
        <f>('C-54'!D25/'C-53'!D25)*1000</f>
        <v>14.175844978875526</v>
      </c>
      <c r="E25" s="567">
        <f>('C-54'!E25/'C-53'!E25)*1000</f>
        <v>14.621478529603122</v>
      </c>
      <c r="F25" s="567">
        <f>('C-54'!F25/'C-53'!F25)*1000</f>
        <v>14.983930598346035</v>
      </c>
      <c r="G25" s="567">
        <f>('C-54'!G25/'C-53'!G25)*1000</f>
        <v>15.06003924646782</v>
      </c>
      <c r="H25" s="567">
        <f>('C-54'!H25/'C-53'!H25)*1000</f>
        <v>14.991364353312305</v>
      </c>
      <c r="I25" s="567">
        <f>('C-54'!I25/'C-53'!I25)*1000</f>
        <v>14.869756097560975</v>
      </c>
      <c r="J25" s="567">
        <f>('C-54'!J25/'C-53'!J25)*1000</f>
        <v>14.706907055239975</v>
      </c>
      <c r="K25" s="567">
        <f>('C-54'!K25/'C-53'!K25)*1000</f>
        <v>14.585996022538945</v>
      </c>
      <c r="L25" s="567">
        <f>('C-54'!L25/'C-53'!L25)*1000</f>
        <v>14.478090688123379</v>
      </c>
      <c r="M25" s="567">
        <f>('C-54'!M25/'C-53'!M25)*1000</f>
        <v>14.313916617733408</v>
      </c>
      <c r="N25" s="567">
        <f>('C-54'!N25/'C-53'!N25)*1000</f>
        <v>14.23093413759374</v>
      </c>
    </row>
    <row r="26" spans="1:14" ht="12" customHeight="1">
      <c r="A26" s="290" t="s">
        <v>38</v>
      </c>
      <c r="B26" s="566">
        <f>('C-54'!B26/'C-53'!B26)*1000</f>
        <v>20.296151748078355</v>
      </c>
      <c r="C26" s="567">
        <f>('C-54'!C26/'C-53'!C26)*1000</f>
        <v>20.052124999999997</v>
      </c>
      <c r="D26" s="567">
        <f>('C-54'!D26/'C-53'!D26)*1000</f>
        <v>20.579513888888886</v>
      </c>
      <c r="E26" s="567">
        <f>('C-54'!E26/'C-53'!E26)*1000</f>
        <v>20.334131736526945</v>
      </c>
      <c r="F26" s="567">
        <f>('C-54'!F26/'C-53'!F26)*1000</f>
        <v>19.692307692307693</v>
      </c>
      <c r="G26" s="567">
        <f>('C-54'!G26/'C-53'!G26)*1000</f>
        <v>21.079905437352249</v>
      </c>
      <c r="H26" s="567">
        <f>('C-54'!H26/'C-53'!H26)*1000</f>
        <v>19.992612137203167</v>
      </c>
      <c r="I26" s="567">
        <f>('C-54'!I26/'C-53'!I26)*1000</f>
        <v>20.034793814432991</v>
      </c>
      <c r="J26" s="567">
        <f>('C-54'!J26/'C-53'!J26)*1000</f>
        <v>20.521142857142859</v>
      </c>
      <c r="K26" s="567">
        <f>('C-54'!K26/'C-53'!K26)*1000</f>
        <v>19.996598639455783</v>
      </c>
      <c r="L26" s="567">
        <f>('C-54'!L26/'C-53'!L26)*1000</f>
        <v>20.799319727891156</v>
      </c>
      <c r="M26" s="567">
        <f>('C-54'!M26/'C-53'!M26)*1000</f>
        <v>20.785239852398526</v>
      </c>
      <c r="N26" s="567">
        <f>('C-54'!N26/'C-53'!N26)*1000</f>
        <v>19.743377483443709</v>
      </c>
    </row>
    <row r="27" spans="1:14" ht="12" customHeight="1">
      <c r="A27" s="290" t="s">
        <v>39</v>
      </c>
      <c r="B27" s="566">
        <f>('C-54'!B27/'C-53'!B27)*1000</f>
        <v>23.097855558294306</v>
      </c>
      <c r="C27" s="567">
        <f>('C-54'!C27/'C-53'!C27)*1000</f>
        <v>23.052823315118399</v>
      </c>
      <c r="D27" s="567">
        <f>('C-54'!D27/'C-53'!D27)*1000</f>
        <v>22.592833876221494</v>
      </c>
      <c r="E27" s="567">
        <f>('C-54'!E27/'C-53'!E27)*1000</f>
        <v>22.77308294209703</v>
      </c>
      <c r="F27" s="567">
        <f>('C-54'!F27/'C-53'!F27)*1000</f>
        <v>23.670510708401981</v>
      </c>
      <c r="G27" s="567">
        <f>('C-54'!G27/'C-53'!G27)*1000</f>
        <v>23.723926380368095</v>
      </c>
      <c r="H27" s="567">
        <f>('C-54'!H27/'C-53'!H27)*1000</f>
        <v>23.142446043165467</v>
      </c>
      <c r="I27" s="567">
        <f>('C-54'!I27/'C-53'!I27)*1000</f>
        <v>23.45029239766081</v>
      </c>
      <c r="J27" s="567">
        <f>('C-54'!J27/'C-53'!J27)*1000</f>
        <v>22.6965034965035</v>
      </c>
      <c r="K27" s="567">
        <f>('C-54'!K27/'C-53'!K27)*1000</f>
        <v>22.778378378378378</v>
      </c>
      <c r="L27" s="567">
        <f>('C-54'!L27/'C-53'!L27)*1000</f>
        <v>23.01875901875902</v>
      </c>
      <c r="M27" s="567">
        <f>('C-54'!M27/'C-53'!M27)*1000</f>
        <v>23.076510067114089</v>
      </c>
      <c r="N27" s="567">
        <f>('C-54'!N27/'C-53'!N27)*1000</f>
        <v>23.23687580025608</v>
      </c>
    </row>
    <row r="28" spans="1:14" ht="12" customHeight="1">
      <c r="A28" s="290" t="s">
        <v>40</v>
      </c>
      <c r="B28" s="566">
        <f>('C-54'!B28/'C-53'!B28)*1000</f>
        <v>11.783472416925884</v>
      </c>
      <c r="C28" s="567">
        <f>('C-54'!C28/'C-53'!C28)*1000</f>
        <v>10.990147982971823</v>
      </c>
      <c r="D28" s="567">
        <f>('C-54'!D28/'C-53'!D28)*1000</f>
        <v>11.520970481196928</v>
      </c>
      <c r="E28" s="567">
        <f>('C-54'!E28/'C-53'!E28)*1000</f>
        <v>11.973024618174213</v>
      </c>
      <c r="F28" s="567">
        <f>('C-54'!F28/'C-53'!F28)*1000</f>
        <v>12.118916900093371</v>
      </c>
      <c r="G28" s="567">
        <f>('C-54'!G28/'C-53'!G28)*1000</f>
        <v>12.418428368794327</v>
      </c>
      <c r="H28" s="567">
        <f>('C-54'!H28/'C-53'!H28)*1000</f>
        <v>12.133607169529501</v>
      </c>
      <c r="I28" s="567">
        <f>('C-54'!I28/'C-53'!I28)*1000</f>
        <v>11.723114543114542</v>
      </c>
      <c r="J28" s="567">
        <f>('C-54'!J28/'C-53'!J28)*1000</f>
        <v>11.670960138648182</v>
      </c>
      <c r="K28" s="567">
        <f>('C-54'!K28/'C-53'!K28)*1000</f>
        <v>11.762100685733399</v>
      </c>
      <c r="L28" s="567">
        <f>('C-54'!L28/'C-53'!L28)*1000</f>
        <v>11.326913916298063</v>
      </c>
      <c r="M28" s="567">
        <f>('C-54'!M28/'C-53'!M28)*1000</f>
        <v>11.65245216272713</v>
      </c>
      <c r="N28" s="567">
        <f>('C-54'!N28/'C-53'!N28)*1000</f>
        <v>11.490074117134139</v>
      </c>
    </row>
    <row r="29" spans="1:14" ht="12" customHeight="1">
      <c r="A29" s="291" t="s">
        <v>41</v>
      </c>
      <c r="B29" s="566">
        <f>('C-54'!B29/'C-53'!B29)*1000</f>
        <v>11.603249202204815</v>
      </c>
      <c r="C29" s="567">
        <f>('C-54'!C29/'C-53'!C29)*1000</f>
        <v>11.120855461461174</v>
      </c>
      <c r="D29" s="567">
        <f>('C-54'!D29/'C-53'!D29)*1000</f>
        <v>11.387326029019841</v>
      </c>
      <c r="E29" s="567">
        <f>('C-54'!E29/'C-53'!E29)*1000</f>
        <v>11.715582450832072</v>
      </c>
      <c r="F29" s="567">
        <f>('C-54'!F29/'C-53'!F29)*1000</f>
        <v>11.768495628580041</v>
      </c>
      <c r="G29" s="567">
        <f>('C-54'!G29/'C-53'!G29)*1000</f>
        <v>11.786486486486487</v>
      </c>
      <c r="H29" s="567">
        <f>('C-54'!H29/'C-53'!H29)*1000</f>
        <v>11.757059614522634</v>
      </c>
      <c r="I29" s="567">
        <f>('C-54'!I29/'C-53'!I29)*1000</f>
        <v>11.86744290192566</v>
      </c>
      <c r="J29" s="567">
        <f>('C-54'!J29/'C-53'!J29)*1000</f>
        <v>11.850148367952523</v>
      </c>
      <c r="K29" s="567">
        <f>('C-54'!K29/'C-53'!K29)*1000</f>
        <v>11.684454409566516</v>
      </c>
      <c r="L29" s="567">
        <f>('C-54'!L29/'C-53'!L29)*1000</f>
        <v>11.817944785276074</v>
      </c>
      <c r="M29" s="567">
        <f>('C-54'!M29/'C-53'!M29)*1000</f>
        <v>11.242463744500572</v>
      </c>
      <c r="N29" s="567">
        <f>('C-54'!N29/'C-53'!N29)*1000</f>
        <v>11.209486805892828</v>
      </c>
    </row>
    <row r="30" spans="1:14" ht="12" customHeight="1">
      <c r="A30" s="226" t="s">
        <v>111</v>
      </c>
      <c r="B30" s="566">
        <f>('C-54'!B30/'C-53'!B30)*1000</f>
        <v>12.305274861025323</v>
      </c>
      <c r="C30" s="567">
        <v>0</v>
      </c>
      <c r="D30" s="567">
        <f>('C-54'!D30/'C-53'!D30)*1000</f>
        <v>11.840236686390533</v>
      </c>
      <c r="E30" s="567">
        <f>('C-54'!E30/'C-53'!E30)*1000</f>
        <v>12.468023255813954</v>
      </c>
      <c r="F30" s="567">
        <f>('C-54'!F30/'C-53'!F30)*1000</f>
        <v>12.471031286210891</v>
      </c>
      <c r="G30" s="567">
        <f>('C-54'!G30/'C-53'!G30)*1000</f>
        <v>12.46628242074928</v>
      </c>
      <c r="H30" s="567">
        <f>('C-54'!H30/'C-53'!H30)*1000</f>
        <v>12.414089347079038</v>
      </c>
      <c r="I30" s="567">
        <f>('C-54'!I30/'C-53'!I30)*1000</f>
        <v>12.592169191197485</v>
      </c>
      <c r="J30" s="567">
        <f>('C-54'!J30/'C-53'!J30)*1000</f>
        <v>12.606837606837606</v>
      </c>
      <c r="K30" s="567">
        <f>('C-54'!K30/'C-53'!K30)*1000</f>
        <v>12.454987139182622</v>
      </c>
      <c r="L30" s="567">
        <f>('C-54'!L30/'C-53'!L30)*1000</f>
        <v>12.558248175182483</v>
      </c>
      <c r="M30" s="567">
        <f>('C-54'!M30/'C-53'!M30)*1000</f>
        <v>12.089795918367345</v>
      </c>
      <c r="N30" s="567">
        <f>('C-54'!N30/'C-53'!N30)*1000</f>
        <v>11.989229215752271</v>
      </c>
    </row>
    <row r="31" spans="1:14" ht="12" customHeight="1">
      <c r="A31" s="226" t="s">
        <v>112</v>
      </c>
      <c r="B31" s="566">
        <f>('C-54'!B31/'C-53'!B31)*1000</f>
        <v>10.871030253053652</v>
      </c>
      <c r="C31" s="567">
        <f>('C-54'!C31/'C-53'!C31)*1000</f>
        <v>10.660224089635856</v>
      </c>
      <c r="D31" s="567">
        <f>('C-54'!D31/'C-53'!D31)*1000</f>
        <v>10.933609958506224</v>
      </c>
      <c r="E31" s="567">
        <f>('C-54'!E31/'C-53'!E31)*1000</f>
        <v>10.899053627760253</v>
      </c>
      <c r="F31" s="567">
        <f>('C-54'!F31/'C-53'!F31)*1000</f>
        <v>11.006348208673788</v>
      </c>
      <c r="G31" s="567">
        <f>('C-54'!G31/'C-53'!G31)*1000</f>
        <v>11.047021943573668</v>
      </c>
      <c r="H31" s="567">
        <f>('C-54'!H31/'C-53'!H31)*1000</f>
        <v>11.040299906279289</v>
      </c>
      <c r="I31" s="567">
        <f>('C-54'!I31/'C-53'!I31)*1000</f>
        <v>11.074999999999999</v>
      </c>
      <c r="J31" s="567">
        <f>('C-54'!J31/'C-53'!J31)*1000</f>
        <v>11.027863777089783</v>
      </c>
      <c r="K31" s="567">
        <f>('C-54'!K31/'C-53'!K31)*1000</f>
        <v>10.83954873080539</v>
      </c>
      <c r="L31" s="567">
        <f>('C-54'!L31/'C-53'!L31)*1000</f>
        <v>10.99870759289176</v>
      </c>
      <c r="M31" s="567">
        <f>('C-54'!M31/'C-53'!M31)*1000</f>
        <v>10.463246793869253</v>
      </c>
      <c r="N31" s="567">
        <f>('C-54'!N31/'C-53'!N31)*1000</f>
        <v>10.486899563318778</v>
      </c>
    </row>
    <row r="32" spans="1:14" ht="12" customHeight="1">
      <c r="A32" s="290" t="s">
        <v>44</v>
      </c>
      <c r="B32" s="566">
        <f>('C-54'!B32/'C-53'!B32)*1000</f>
        <v>11.985959676327754</v>
      </c>
      <c r="C32" s="567">
        <f>('C-54'!C32/'C-53'!C32)*1000</f>
        <v>11.649753242782896</v>
      </c>
      <c r="D32" s="567">
        <f>('C-54'!D32/'C-53'!D32)*1000</f>
        <v>11.825262115082971</v>
      </c>
      <c r="E32" s="567">
        <f>('C-54'!E32/'C-53'!E32)*1000</f>
        <v>11.852259270800868</v>
      </c>
      <c r="F32" s="567">
        <f>('C-54'!F32/'C-53'!F32)*1000</f>
        <v>12.068529859332669</v>
      </c>
      <c r="G32" s="567">
        <f>('C-54'!G32/'C-53'!G32)*1000</f>
        <v>12.200014350290596</v>
      </c>
      <c r="H32" s="567">
        <f>('C-54'!H32/'C-53'!H32)*1000</f>
        <v>12.328851890391952</v>
      </c>
      <c r="I32" s="567">
        <f>('C-54'!I32/'C-53'!I32)*1000</f>
        <v>12.32478370080938</v>
      </c>
      <c r="J32" s="567">
        <f>('C-54'!J32/'C-53'!J32)*1000</f>
        <v>12.182037057181191</v>
      </c>
      <c r="K32" s="567">
        <f>('C-54'!K32/'C-53'!K32)*1000</f>
        <v>11.926612709351712</v>
      </c>
      <c r="L32" s="567">
        <f>('C-54'!L32/'C-53'!L32)*1000</f>
        <v>11.657810502182437</v>
      </c>
      <c r="M32" s="567">
        <f>('C-54'!M32/'C-53'!M32)*1000</f>
        <v>11.675772082981322</v>
      </c>
      <c r="N32" s="567">
        <f>('C-54'!N32/'C-53'!N32)*1000</f>
        <v>11.8618270722648</v>
      </c>
    </row>
    <row r="33" spans="1:14" ht="12" customHeight="1">
      <c r="A33" s="290" t="s">
        <v>45</v>
      </c>
      <c r="B33" s="566">
        <f>('C-54'!B33/'C-53'!B33)*1000</f>
        <v>13.792681356928874</v>
      </c>
      <c r="C33" s="567">
        <f>('C-54'!C33/'C-53'!C33)*1000</f>
        <v>13.517724719101125</v>
      </c>
      <c r="D33" s="567">
        <f>('C-54'!D33/'C-53'!D33)*1000</f>
        <v>13.974492282696998</v>
      </c>
      <c r="E33" s="567">
        <f>('C-54'!E33/'C-53'!E33)*1000</f>
        <v>13.982486755998751</v>
      </c>
      <c r="F33" s="567">
        <f>('C-54'!F33/'C-53'!F33)*1000</f>
        <v>14.230899090978538</v>
      </c>
      <c r="G33" s="567">
        <f>('C-54'!G33/'C-53'!G33)*1000</f>
        <v>14.173742021671368</v>
      </c>
      <c r="H33" s="567">
        <f>('C-54'!H33/'C-53'!H33)*1000</f>
        <v>13.94614785992218</v>
      </c>
      <c r="I33" s="567">
        <f>('C-54'!I33/'C-53'!I33)*1000</f>
        <v>13.904498548855205</v>
      </c>
      <c r="J33" s="567">
        <f>('C-54'!J33/'C-53'!J33)*1000</f>
        <v>13.738121546961327</v>
      </c>
      <c r="K33" s="567">
        <f>('C-54'!K33/'C-53'!K33)*1000</f>
        <v>13.567926657263753</v>
      </c>
      <c r="L33" s="567">
        <f>('C-54'!L33/'C-53'!L33)*1000</f>
        <v>13.146720270842149</v>
      </c>
      <c r="M33" s="567">
        <f>('C-54'!M33/'C-53'!M33)*1000</f>
        <v>13.45265987232613</v>
      </c>
      <c r="N33" s="567">
        <f>('C-54'!N33/'C-53'!N33)*1000</f>
        <v>13.349409823581675</v>
      </c>
    </row>
    <row r="34" spans="1:14" ht="12" customHeight="1">
      <c r="A34" s="211" t="s">
        <v>113</v>
      </c>
      <c r="B34" s="566">
        <f>('C-54'!B34/'C-53'!B34)*1000</f>
        <v>10.370878319229647</v>
      </c>
      <c r="C34" s="567">
        <f>('C-54'!C34/'C-53'!C34)*1000</f>
        <v>10.869070208728651</v>
      </c>
      <c r="D34" s="567">
        <f>('C-54'!D34/'C-53'!D34)*1000</f>
        <v>7.5141605839416066</v>
      </c>
      <c r="E34" s="567">
        <f>('C-54'!E34/'C-53'!E34)*1000</f>
        <v>10.74646840148699</v>
      </c>
      <c r="F34" s="567">
        <f>('C-54'!F34/'C-53'!F34)*1000</f>
        <v>10.188278388278388</v>
      </c>
      <c r="G34" s="567">
        <f>('C-54'!G34/'C-53'!G34)*1000</f>
        <v>11.325095057034222</v>
      </c>
      <c r="H34" s="567">
        <f>('C-54'!H34/'C-53'!H34)*1000</f>
        <v>11.185940246045696</v>
      </c>
      <c r="I34" s="567">
        <f>('C-54'!I34/'C-53'!I34)*1000</f>
        <v>10.5292469352014</v>
      </c>
      <c r="J34" s="567">
        <f>('C-54'!J34/'C-53'!J34)*1000</f>
        <v>10.586715867158672</v>
      </c>
      <c r="K34" s="567">
        <f>('C-54'!K34/'C-53'!K34)*1000</f>
        <v>10.486692015209126</v>
      </c>
      <c r="L34" s="567">
        <f>('C-54'!L34/'C-53'!L34)*1000</f>
        <v>10.459167950693372</v>
      </c>
      <c r="M34" s="567">
        <f>('C-54'!M34/'C-53'!M34)*1000</f>
        <v>10.535742971887551</v>
      </c>
      <c r="N34" s="567">
        <f>('C-54'!N34/'C-53'!N34)*1000</f>
        <v>10.693648449039882</v>
      </c>
    </row>
    <row r="35" spans="1:14" ht="12" customHeight="1">
      <c r="A35" s="211" t="s">
        <v>47</v>
      </c>
      <c r="B35" s="566">
        <f>('C-54'!B35/'C-53'!B35)*1000</f>
        <v>12.296583298007631</v>
      </c>
      <c r="C35" s="567">
        <f>('C-54'!C35/'C-53'!C35)*1000</f>
        <v>11.185185185185185</v>
      </c>
      <c r="D35" s="567">
        <f>('C-54'!D35/'C-53'!D35)*1000</f>
        <v>11.718592964824122</v>
      </c>
      <c r="E35" s="567">
        <f>('C-54'!E35/'C-53'!E35)*1000</f>
        <v>12.593617021276595</v>
      </c>
      <c r="F35" s="567">
        <f>('C-54'!F35/'C-53'!F35)*1000</f>
        <v>12.6</v>
      </c>
      <c r="G35" s="567">
        <f>('C-54'!G35/'C-53'!G35)*1000</f>
        <v>12.087150837988824</v>
      </c>
      <c r="H35" s="567">
        <f>('C-54'!H35/'C-53'!H35)*1000</f>
        <v>12.14315789473684</v>
      </c>
      <c r="I35" s="567">
        <f>('C-54'!I35/'C-53'!I35)*1000</f>
        <v>11.932240437158468</v>
      </c>
      <c r="J35" s="567">
        <f>('C-54'!J35/'C-53'!J35)*1000</f>
        <v>12.217582417582419</v>
      </c>
      <c r="K35" s="567">
        <f>('C-54'!K35/'C-53'!K35)*1000</f>
        <v>12.566486486486486</v>
      </c>
      <c r="L35" s="567">
        <f>('C-54'!L35/'C-53'!L35)*1000</f>
        <v>12.63135135135135</v>
      </c>
      <c r="M35" s="567">
        <f>('C-54'!M35/'C-53'!M35)*1000</f>
        <v>12.808121827411172</v>
      </c>
      <c r="N35" s="567">
        <f>('C-54'!N35/'C-53'!N35)*1000</f>
        <v>12.957769516728625</v>
      </c>
    </row>
    <row r="36" spans="1:14" ht="12" customHeight="1">
      <c r="A36" s="211" t="s">
        <v>48</v>
      </c>
      <c r="B36" s="566">
        <f>('C-54'!B36/'C-53'!B36)*1000</f>
        <v>12.122826923076923</v>
      </c>
      <c r="C36" s="567">
        <f>('C-54'!C36/'C-53'!C36)*1000</f>
        <v>12</v>
      </c>
      <c r="D36" s="567">
        <f>('C-54'!D36/'C-53'!D36)*1000</f>
        <v>12</v>
      </c>
      <c r="E36" s="567">
        <f>('C-54'!E36/'C-53'!E36)*1000</f>
        <v>11.997142857142858</v>
      </c>
      <c r="F36" s="567">
        <f>('C-54'!F36/'C-53'!F36)*1000</f>
        <v>12.02170542635659</v>
      </c>
      <c r="G36" s="567">
        <f>('C-54'!G36/'C-53'!G36)*1000</f>
        <v>12.042857142857144</v>
      </c>
      <c r="H36" s="567">
        <f>('C-54'!H36/'C-53'!H36)*1000</f>
        <v>12.352413793103452</v>
      </c>
      <c r="I36" s="567">
        <f>('C-54'!I36/'C-53'!I36)*1000</f>
        <v>12.395075376884421</v>
      </c>
      <c r="J36" s="567">
        <f>('C-54'!J36/'C-53'!J36)*1000</f>
        <v>12.266602150537636</v>
      </c>
      <c r="K36" s="567">
        <f>('C-54'!K36/'C-53'!K36)*1000</f>
        <v>12.017024793388432</v>
      </c>
      <c r="L36" s="567">
        <f>('C-54'!L36/'C-53'!L36)*1000</f>
        <v>12.129918032786888</v>
      </c>
      <c r="M36" s="567">
        <f>('C-54'!M36/'C-53'!M36)*1000</f>
        <v>12.020544747081713</v>
      </c>
      <c r="N36" s="567">
        <f>('C-54'!N36/'C-53'!N36)*1000</f>
        <v>12.141666666666667</v>
      </c>
    </row>
    <row r="37" spans="1:14" ht="12" customHeight="1" thickBot="1">
      <c r="A37" s="272" t="s">
        <v>49</v>
      </c>
      <c r="B37" s="568">
        <f>('C-54'!B37/'C-53'!B37)*1000</f>
        <v>17.397055984555987</v>
      </c>
      <c r="C37" s="569">
        <f>('C-54'!C37/'C-53'!C37)*1000</f>
        <v>17.266009852216747</v>
      </c>
      <c r="D37" s="569">
        <f>('C-54'!D37/'C-53'!D37)*1000</f>
        <v>17.882352941176471</v>
      </c>
      <c r="E37" s="569">
        <f>('C-54'!E37/'C-53'!E37)*1000</f>
        <v>17.176470588235293</v>
      </c>
      <c r="F37" s="569">
        <f>('C-54'!F37/'C-53'!F37)*1000</f>
        <v>17.548387096774196</v>
      </c>
      <c r="G37" s="569">
        <f>('C-54'!G37/'C-53'!G37)*1000</f>
        <v>17.814371257485032</v>
      </c>
      <c r="H37" s="569">
        <f>('C-54'!H37/'C-53'!H37)*1000</f>
        <v>17.897959183673471</v>
      </c>
      <c r="I37" s="569">
        <f>('C-54'!I37/'C-53'!I37)*1000</f>
        <v>16.286585365853661</v>
      </c>
      <c r="J37" s="569">
        <f>('C-54'!J37/'C-53'!J37)*1000</f>
        <v>16.86046511627907</v>
      </c>
      <c r="K37" s="569">
        <f>('C-54'!K37/'C-53'!K37)*1000</f>
        <v>16.793750000000003</v>
      </c>
      <c r="L37" s="569">
        <f>('C-54'!L37/'C-53'!L37)*1000</f>
        <v>17.300653594771241</v>
      </c>
      <c r="M37" s="569">
        <f>('C-54'!M37/'C-53'!M37)*1000</f>
        <v>17.344036697247709</v>
      </c>
      <c r="N37" s="569">
        <f>('C-54'!N37/'C-53'!N37)*1000</f>
        <v>18.495854922279793</v>
      </c>
    </row>
    <row r="38" spans="1:14" ht="10" customHeight="1">
      <c r="A38" s="28" t="s">
        <v>238</v>
      </c>
      <c r="B38" s="541"/>
      <c r="C38" s="541"/>
      <c r="D38" s="541"/>
      <c r="E38" s="541"/>
      <c r="F38" s="539"/>
      <c r="G38" s="223"/>
      <c r="H38" s="223"/>
      <c r="I38" s="223"/>
      <c r="J38" s="223"/>
      <c r="K38" s="223"/>
      <c r="L38" s="223"/>
      <c r="M38" s="223"/>
      <c r="N38" s="223"/>
    </row>
    <row r="39" spans="1:14" ht="10" customHeight="1">
      <c r="A39" s="28" t="s">
        <v>192</v>
      </c>
      <c r="B39" s="536"/>
      <c r="C39" s="536"/>
      <c r="D39" s="536"/>
      <c r="E39" s="536"/>
      <c r="F39" s="539"/>
      <c r="G39" s="223"/>
      <c r="H39" s="223"/>
      <c r="I39" s="223"/>
      <c r="J39" s="223"/>
      <c r="K39" s="223"/>
      <c r="L39" s="223"/>
      <c r="M39" s="223"/>
      <c r="N39" s="223"/>
    </row>
    <row r="40" spans="1:14" ht="10" customHeight="1">
      <c r="A40" s="40" t="s">
        <v>261</v>
      </c>
      <c r="B40" s="538"/>
      <c r="C40" s="538"/>
      <c r="D40" s="538"/>
      <c r="E40" s="536"/>
      <c r="F40" s="539"/>
      <c r="G40" s="223"/>
      <c r="H40" s="223"/>
      <c r="I40" s="223"/>
      <c r="J40" s="223"/>
      <c r="K40" s="223"/>
      <c r="L40" s="223"/>
      <c r="M40" s="223"/>
      <c r="N40" s="223"/>
    </row>
    <row r="41" spans="1:14" ht="13" customHeight="1">
      <c r="A41" s="12"/>
      <c r="B41" s="223"/>
      <c r="C41" s="223"/>
      <c r="D41" s="223"/>
      <c r="E41" s="223"/>
      <c r="F41" s="223"/>
      <c r="G41" s="223"/>
      <c r="H41" s="223"/>
      <c r="I41" s="223"/>
      <c r="J41" s="223"/>
      <c r="K41" s="223"/>
      <c r="L41" s="223"/>
      <c r="M41" s="223"/>
      <c r="N41" s="223"/>
    </row>
    <row r="42" spans="1:14" ht="13" customHeight="1">
      <c r="A42" s="141"/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  <c r="M42" s="223"/>
      <c r="N42" s="223"/>
    </row>
    <row r="43" spans="1:14" ht="13" customHeight="1">
      <c r="A43" s="191"/>
      <c r="B43" s="223"/>
      <c r="C43" s="223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</row>
    <row r="44" spans="1:14" ht="13" customHeight="1">
      <c r="A44" s="31"/>
      <c r="B44" s="223"/>
      <c r="C44" s="223"/>
      <c r="D44" s="223"/>
      <c r="E44" s="223"/>
      <c r="F44" s="223"/>
      <c r="G44" s="223"/>
      <c r="H44" s="223"/>
      <c r="I44" s="223"/>
      <c r="J44" s="223"/>
      <c r="K44" s="223"/>
      <c r="L44" s="223"/>
      <c r="M44" s="223"/>
      <c r="N44" s="223"/>
    </row>
    <row r="45" spans="1:14" ht="13" customHeight="1">
      <c r="A45" s="58"/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</row>
    <row r="46" spans="1:14" ht="13" customHeight="1">
      <c r="A46" s="31"/>
      <c r="B46" s="223"/>
      <c r="C46" s="223"/>
      <c r="D46" s="223"/>
      <c r="E46" s="223"/>
      <c r="F46" s="223"/>
      <c r="G46" s="223"/>
      <c r="H46" s="223"/>
      <c r="I46" s="223"/>
      <c r="J46" s="223"/>
      <c r="K46" s="223"/>
      <c r="L46" s="223"/>
      <c r="M46" s="223"/>
      <c r="N46" s="223"/>
    </row>
    <row r="47" spans="1:14" ht="13" customHeight="1">
      <c r="A47" s="141"/>
      <c r="B47" s="223"/>
      <c r="C47" s="223"/>
      <c r="D47" s="223"/>
      <c r="E47" s="223"/>
      <c r="F47" s="223"/>
      <c r="G47" s="223"/>
      <c r="H47" s="223"/>
      <c r="I47" s="223"/>
      <c r="J47" s="223"/>
      <c r="K47" s="223"/>
      <c r="L47" s="223"/>
      <c r="M47" s="223"/>
      <c r="N47" s="223"/>
    </row>
    <row r="48" spans="1:14" ht="13" customHeight="1">
      <c r="A48" s="141"/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ht="13" customHeight="1">
      <c r="A49" s="141"/>
      <c r="B49" s="223"/>
      <c r="C49" s="223"/>
      <c r="D49" s="223"/>
      <c r="E49" s="223"/>
      <c r="F49" s="223"/>
      <c r="G49" s="223"/>
      <c r="H49" s="223"/>
      <c r="I49" s="223"/>
      <c r="J49" s="223"/>
      <c r="K49" s="223"/>
      <c r="L49" s="223"/>
      <c r="M49" s="223"/>
      <c r="N49" s="223"/>
    </row>
    <row r="50" spans="1:14" ht="13" customHeight="1">
      <c r="A50" s="141"/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</row>
    <row r="51" spans="1:14" ht="13" customHeight="1">
      <c r="A51" s="141"/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</row>
    <row r="52" spans="1:14" ht="13" customHeight="1">
      <c r="A52" s="141"/>
      <c r="B52" s="223"/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</row>
    <row r="53" spans="1:14" ht="13" customHeight="1">
      <c r="A53" s="141"/>
      <c r="B53" s="223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</row>
    <row r="54" spans="1:14" ht="13" customHeight="1">
      <c r="A54" s="141"/>
      <c r="B54" s="223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</row>
    <row r="55" spans="1:14" ht="13" customHeight="1"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</row>
    <row r="56" spans="1:14" ht="13" customHeight="1"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</row>
    <row r="57" spans="1:14" ht="13" customHeight="1">
      <c r="B57" s="223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</row>
    <row r="58" spans="1:14" ht="13" customHeight="1">
      <c r="B58" s="223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</row>
  </sheetData>
  <mergeCells count="1">
    <mergeCell ref="A6:N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Hoja57">
    <tabColor theme="9" tint="0.59999389629810485"/>
  </sheetPr>
  <dimension ref="A4:P5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14" width="8.59765625" style="213" customWidth="1"/>
    <col min="15" max="16384" width="7" style="213"/>
  </cols>
  <sheetData>
    <row r="4" spans="1:16" ht="13" customHeight="1">
      <c r="A4" s="511" t="s">
        <v>392</v>
      </c>
      <c r="B4" s="507"/>
    </row>
    <row r="5" spans="1:16" ht="13" customHeight="1">
      <c r="A5" s="514" t="s">
        <v>385</v>
      </c>
      <c r="B5" s="507"/>
    </row>
    <row r="6" spans="1:16" ht="5" customHeight="1" thickBot="1">
      <c r="P6" s="217"/>
    </row>
    <row r="7" spans="1:16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  <c r="O7" s="276"/>
      <c r="P7" s="217"/>
    </row>
    <row r="8" spans="1:16" ht="15" customHeight="1">
      <c r="A8" s="530" t="s">
        <v>106</v>
      </c>
      <c r="B8" s="559">
        <f t="shared" ref="B8:B37" si="0">SUM(C8:N8)</f>
        <v>3284606.4369907747</v>
      </c>
      <c r="C8" s="559">
        <f t="shared" ref="C8:N8" si="1">(C9+C10+C11+C12+C13+C17+C18+C19+C20+C21+C22+C23+C24+C25+C26+C27+C28+C29+C32+C33+C34+C35+C36+C37)</f>
        <v>255814.58971976</v>
      </c>
      <c r="D8" s="559">
        <f t="shared" si="1"/>
        <v>252823.93704344</v>
      </c>
      <c r="E8" s="559">
        <f t="shared" si="1"/>
        <v>262772.26338160003</v>
      </c>
      <c r="F8" s="559">
        <f t="shared" si="1"/>
        <v>266085.58971976</v>
      </c>
      <c r="G8" s="559">
        <f t="shared" si="1"/>
        <v>273121.8500818389</v>
      </c>
      <c r="H8" s="559">
        <f t="shared" si="1"/>
        <v>281218.82321799779</v>
      </c>
      <c r="I8" s="559">
        <f t="shared" si="1"/>
        <v>295569.70766371198</v>
      </c>
      <c r="J8" s="559">
        <f t="shared" si="1"/>
        <v>275132.05498739198</v>
      </c>
      <c r="K8" s="559">
        <f t="shared" si="1"/>
        <v>271226.40231107199</v>
      </c>
      <c r="L8" s="559">
        <f t="shared" si="1"/>
        <v>269811</v>
      </c>
      <c r="M8" s="559">
        <f t="shared" si="1"/>
        <v>270579.33284633601</v>
      </c>
      <c r="N8" s="559">
        <f t="shared" si="1"/>
        <v>310450.88601786579</v>
      </c>
      <c r="O8" s="279"/>
      <c r="P8" s="217"/>
    </row>
    <row r="9" spans="1:16" ht="12" customHeight="1">
      <c r="A9" s="290" t="s">
        <v>21</v>
      </c>
      <c r="B9" s="550">
        <f t="shared" si="0"/>
        <v>6339</v>
      </c>
      <c r="C9" s="551">
        <f>+'[2]POR 04-99'!E1376</f>
        <v>425</v>
      </c>
      <c r="D9" s="551">
        <f>+'[2]POR 04-99'!F1376</f>
        <v>585</v>
      </c>
      <c r="E9" s="551">
        <f>+'[2]POR 04-99'!G1376</f>
        <v>571</v>
      </c>
      <c r="F9" s="551">
        <f>+'[2]POR 04-99'!H1376</f>
        <v>598</v>
      </c>
      <c r="G9" s="551">
        <f>+'[2]POR 04-99'!I1376</f>
        <v>570</v>
      </c>
      <c r="H9" s="551">
        <f>+'[2]POR 04-99'!J1376</f>
        <v>503</v>
      </c>
      <c r="I9" s="551">
        <f>+'[2]POR 04-99'!K1376</f>
        <v>501</v>
      </c>
      <c r="J9" s="551">
        <f>+'[2]POR 04-99'!L1376</f>
        <v>575</v>
      </c>
      <c r="K9" s="551">
        <f>+'[2]POR 04-99'!M1376</f>
        <v>484</v>
      </c>
      <c r="L9" s="551">
        <f>+'[2]POR 04-99'!N1376</f>
        <v>498</v>
      </c>
      <c r="M9" s="551">
        <f>+'[2]POR 04-99'!O1376</f>
        <v>473</v>
      </c>
      <c r="N9" s="551">
        <f>+'[2]POR 04-99'!P1376</f>
        <v>556</v>
      </c>
      <c r="O9" s="279"/>
      <c r="P9" s="217"/>
    </row>
    <row r="10" spans="1:16" ht="12" customHeight="1">
      <c r="A10" s="290" t="s">
        <v>22</v>
      </c>
      <c r="B10" s="550">
        <f t="shared" si="0"/>
        <v>113620.03612707199</v>
      </c>
      <c r="C10" s="551">
        <f>+'[2]POR 04-99'!E1379</f>
        <v>9540.5897197600007</v>
      </c>
      <c r="D10" s="551">
        <f>+'[2]POR 04-99'!F1379</f>
        <v>7805.9370434400007</v>
      </c>
      <c r="E10" s="551">
        <f>+'[2]POR 04-99'!G1379</f>
        <v>8673.2633815999998</v>
      </c>
      <c r="F10" s="551">
        <f>+'[2]POR 04-99'!H1379</f>
        <v>9540.5897197600007</v>
      </c>
      <c r="G10" s="551">
        <f>+'[2]POR 04-99'!I1379</f>
        <v>10407.91605792</v>
      </c>
      <c r="H10" s="551">
        <f>+'[2]POR 04-99'!J1379</f>
        <v>11275.242396080001</v>
      </c>
      <c r="I10" s="551">
        <f>+'[2]POR 04-99'!K1379</f>
        <v>11448.707663711999</v>
      </c>
      <c r="J10" s="551">
        <f>+'[2]POR 04-99'!L1379</f>
        <v>9714.054987391999</v>
      </c>
      <c r="K10" s="551">
        <f>+'[2]POR 04-99'!M1379</f>
        <v>7979.4023110720009</v>
      </c>
      <c r="L10" s="551">
        <f>+'[2]POR 04-99'!N1379</f>
        <v>8500</v>
      </c>
      <c r="M10" s="551">
        <f>+'[2]POR 04-99'!O1379</f>
        <v>8326.3328463359994</v>
      </c>
      <c r="N10" s="551">
        <f>+'[2]POR 04-99'!P1379</f>
        <v>10408</v>
      </c>
      <c r="O10" s="279"/>
      <c r="P10" s="217"/>
    </row>
    <row r="11" spans="1:16" ht="12" customHeight="1">
      <c r="A11" s="290" t="s">
        <v>23</v>
      </c>
      <c r="B11" s="550">
        <f t="shared" si="0"/>
        <v>31654</v>
      </c>
      <c r="C11" s="551">
        <f>+'[2]POR 04-99'!E1382</f>
        <v>2410</v>
      </c>
      <c r="D11" s="551">
        <f>+'[2]POR 04-99'!F1382</f>
        <v>2346</v>
      </c>
      <c r="E11" s="551">
        <f>+'[2]POR 04-99'!G1382</f>
        <v>2410</v>
      </c>
      <c r="F11" s="551">
        <f>+'[2]POR 04-99'!H1382</f>
        <v>2310</v>
      </c>
      <c r="G11" s="551">
        <f>+'[2]POR 04-99'!I1382</f>
        <v>2590</v>
      </c>
      <c r="H11" s="551">
        <f>+'[2]POR 04-99'!J1382</f>
        <v>2660</v>
      </c>
      <c r="I11" s="551">
        <f>+'[2]POR 04-99'!K1382</f>
        <v>2929</v>
      </c>
      <c r="J11" s="551">
        <f>+'[2]POR 04-99'!L1382</f>
        <v>2602</v>
      </c>
      <c r="K11" s="551">
        <f>+'[2]POR 04-99'!M1382</f>
        <v>2587</v>
      </c>
      <c r="L11" s="551">
        <f>+'[2]POR 04-99'!N1382</f>
        <v>2560</v>
      </c>
      <c r="M11" s="551">
        <f>+'[2]POR 04-99'!O1382</f>
        <v>2610</v>
      </c>
      <c r="N11" s="551">
        <f>+'[2]POR 04-99'!P1382</f>
        <v>3640</v>
      </c>
      <c r="O11" s="279"/>
      <c r="P11" s="217"/>
    </row>
    <row r="12" spans="1:16" ht="12" customHeight="1">
      <c r="A12" s="213" t="s">
        <v>24</v>
      </c>
      <c r="B12" s="550">
        <f t="shared" si="0"/>
        <v>309578</v>
      </c>
      <c r="C12" s="551">
        <f>+'[2]POR 04-99'!E1385</f>
        <v>25622</v>
      </c>
      <c r="D12" s="551">
        <f>+'[2]POR 04-99'!F1385</f>
        <v>24665</v>
      </c>
      <c r="E12" s="551">
        <f>+'[2]POR 04-99'!G1385</f>
        <v>24778</v>
      </c>
      <c r="F12" s="551">
        <f>+'[2]POR 04-99'!H1385</f>
        <v>25395</v>
      </c>
      <c r="G12" s="551">
        <f>+'[2]POR 04-99'!I1385</f>
        <v>26082</v>
      </c>
      <c r="H12" s="551">
        <f>+'[2]POR 04-99'!J1385</f>
        <v>26097</v>
      </c>
      <c r="I12" s="551">
        <f>+'[2]POR 04-99'!K1385</f>
        <v>27272</v>
      </c>
      <c r="J12" s="551">
        <f>+'[2]POR 04-99'!L1385</f>
        <v>27009</v>
      </c>
      <c r="K12" s="551">
        <f>+'[2]POR 04-99'!M1385</f>
        <v>26247</v>
      </c>
      <c r="L12" s="551">
        <f>+'[2]POR 04-99'!N1385</f>
        <v>26057</v>
      </c>
      <c r="M12" s="551">
        <f>+'[2]POR 04-99'!O1385</f>
        <v>24349</v>
      </c>
      <c r="N12" s="551">
        <f>+'[2]POR 04-99'!P1385</f>
        <v>26005</v>
      </c>
      <c r="O12" s="279"/>
      <c r="P12" s="217"/>
    </row>
    <row r="13" spans="1:16" ht="12" customHeight="1">
      <c r="A13" s="217" t="s">
        <v>25</v>
      </c>
      <c r="B13" s="550">
        <f t="shared" si="0"/>
        <v>150866</v>
      </c>
      <c r="C13" s="551">
        <f>+'[2]POR 04-99'!E1388</f>
        <v>11216</v>
      </c>
      <c r="D13" s="551">
        <f>+'[2]POR 04-99'!F1388</f>
        <v>11982</v>
      </c>
      <c r="E13" s="551">
        <f>+'[2]POR 04-99'!G1388</f>
        <v>12204</v>
      </c>
      <c r="F13" s="551">
        <f>+'[2]POR 04-99'!H1388</f>
        <v>12239</v>
      </c>
      <c r="G13" s="551">
        <f>+'[2]POR 04-99'!I1388</f>
        <v>13046</v>
      </c>
      <c r="H13" s="551">
        <f>+'[2]POR 04-99'!J1388</f>
        <v>13129</v>
      </c>
      <c r="I13" s="551">
        <f>+'[2]POR 04-99'!K1388</f>
        <v>13211</v>
      </c>
      <c r="J13" s="551">
        <f>+'[2]POR 04-99'!L1388</f>
        <v>12597</v>
      </c>
      <c r="K13" s="551">
        <f>+'[2]POR 04-99'!M1388</f>
        <v>12864</v>
      </c>
      <c r="L13" s="551">
        <f>+'[2]POR 04-99'!N1388</f>
        <v>12195</v>
      </c>
      <c r="M13" s="551">
        <f>+'[2]POR 04-99'!O1388</f>
        <v>12809</v>
      </c>
      <c r="N13" s="551">
        <f>+'[2]POR 04-99'!P1388</f>
        <v>13374</v>
      </c>
      <c r="O13" s="279"/>
      <c r="P13" s="217"/>
    </row>
    <row r="14" spans="1:16" ht="12" customHeight="1">
      <c r="A14" s="226" t="s">
        <v>107</v>
      </c>
      <c r="B14" s="550">
        <f t="shared" si="0"/>
        <v>64954</v>
      </c>
      <c r="C14" s="551">
        <f>+'[2]POR 04-99'!E1391</f>
        <v>5141</v>
      </c>
      <c r="D14" s="551">
        <f>+'[2]POR 04-99'!F1391</f>
        <v>5294</v>
      </c>
      <c r="E14" s="551">
        <f>+'[2]POR 04-99'!G1391</f>
        <v>5590</v>
      </c>
      <c r="F14" s="551">
        <f>+'[2]POR 04-99'!H1391</f>
        <v>5150</v>
      </c>
      <c r="G14" s="551">
        <f>+'[2]POR 04-99'!I1391</f>
        <v>5126</v>
      </c>
      <c r="H14" s="551">
        <f>+'[2]POR 04-99'!J1391</f>
        <v>5168</v>
      </c>
      <c r="I14" s="551">
        <f>+'[2]POR 04-99'!K1391</f>
        <v>5539</v>
      </c>
      <c r="J14" s="551">
        <f>+'[2]POR 04-99'!L1391</f>
        <v>5193</v>
      </c>
      <c r="K14" s="551">
        <f>+'[2]POR 04-99'!M1391</f>
        <v>5659</v>
      </c>
      <c r="L14" s="551">
        <f>+'[2]POR 04-99'!N1391</f>
        <v>5415</v>
      </c>
      <c r="M14" s="551">
        <f>+'[2]POR 04-99'!O1391</f>
        <v>5820</v>
      </c>
      <c r="N14" s="551">
        <f>+'[2]POR 04-99'!P1391</f>
        <v>5859</v>
      </c>
      <c r="O14" s="279"/>
      <c r="P14" s="217"/>
    </row>
    <row r="15" spans="1:16" ht="12" customHeight="1">
      <c r="A15" s="226" t="s">
        <v>108</v>
      </c>
      <c r="B15" s="550">
        <f t="shared" si="0"/>
        <v>48684</v>
      </c>
      <c r="C15" s="551">
        <f>+'[2]POR 04-99'!E1394</f>
        <v>3145</v>
      </c>
      <c r="D15" s="551">
        <f>+'[2]POR 04-99'!F1394</f>
        <v>3824</v>
      </c>
      <c r="E15" s="551">
        <f>+'[2]POR 04-99'!G1394</f>
        <v>3283</v>
      </c>
      <c r="F15" s="551">
        <f>+'[2]POR 04-99'!H1394</f>
        <v>3753</v>
      </c>
      <c r="G15" s="551">
        <f>+'[2]POR 04-99'!I1394</f>
        <v>4256</v>
      </c>
      <c r="H15" s="551">
        <f>+'[2]POR 04-99'!J1394</f>
        <v>4342</v>
      </c>
      <c r="I15" s="551">
        <f>+'[2]POR 04-99'!K1394</f>
        <v>4411</v>
      </c>
      <c r="J15" s="551">
        <f>+'[2]POR 04-99'!L1394</f>
        <v>4380</v>
      </c>
      <c r="K15" s="551">
        <f>+'[2]POR 04-99'!M1394</f>
        <v>4298</v>
      </c>
      <c r="L15" s="551">
        <f>+'[2]POR 04-99'!N1394</f>
        <v>4201</v>
      </c>
      <c r="M15" s="551">
        <f>+'[2]POR 04-99'!O1394</f>
        <v>4261</v>
      </c>
      <c r="N15" s="551">
        <f>+'[2]POR 04-99'!P1394</f>
        <v>4530</v>
      </c>
      <c r="O15" s="279"/>
      <c r="P15" s="217"/>
    </row>
    <row r="16" spans="1:16" ht="12" customHeight="1">
      <c r="A16" s="226" t="s">
        <v>109</v>
      </c>
      <c r="B16" s="550">
        <f t="shared" si="0"/>
        <v>37228</v>
      </c>
      <c r="C16" s="551">
        <f>+'[2]POR 04-99'!E1397</f>
        <v>2930</v>
      </c>
      <c r="D16" s="551">
        <f>+'[2]POR 04-99'!F1397</f>
        <v>2864</v>
      </c>
      <c r="E16" s="551">
        <f>+'[2]POR 04-99'!G1397</f>
        <v>3331</v>
      </c>
      <c r="F16" s="551">
        <f>+'[2]POR 04-99'!H1397</f>
        <v>3336</v>
      </c>
      <c r="G16" s="551">
        <f>+'[2]POR 04-99'!I1397</f>
        <v>3664</v>
      </c>
      <c r="H16" s="551">
        <f>+'[2]POR 04-99'!J1397</f>
        <v>3619</v>
      </c>
      <c r="I16" s="551">
        <f>+'[2]POR 04-99'!K1397</f>
        <v>3261</v>
      </c>
      <c r="J16" s="551">
        <f>+'[2]POR 04-99'!L1397</f>
        <v>3024</v>
      </c>
      <c r="K16" s="551">
        <f>+'[2]POR 04-99'!M1397</f>
        <v>2907</v>
      </c>
      <c r="L16" s="551">
        <f>+'[2]POR 04-99'!N1397</f>
        <v>2579</v>
      </c>
      <c r="M16" s="551">
        <f>+'[2]POR 04-99'!O1397</f>
        <v>2728</v>
      </c>
      <c r="N16" s="551">
        <f>+'[2]POR 04-99'!P1397</f>
        <v>2985</v>
      </c>
      <c r="O16" s="279"/>
      <c r="P16" s="217"/>
    </row>
    <row r="17" spans="1:16" ht="12" customHeight="1">
      <c r="A17" s="290" t="s">
        <v>29</v>
      </c>
      <c r="B17" s="550">
        <f t="shared" si="0"/>
        <v>34042</v>
      </c>
      <c r="C17" s="551">
        <f>+'[2]POR 04-99'!E1400</f>
        <v>2675.9999999999995</v>
      </c>
      <c r="D17" s="551">
        <f>+'[2]POR 04-99'!F1400</f>
        <v>2787</v>
      </c>
      <c r="E17" s="551">
        <f>+'[2]POR 04-99'!G1400</f>
        <v>2757</v>
      </c>
      <c r="F17" s="551">
        <f>+'[2]POR 04-99'!H1400</f>
        <v>2644</v>
      </c>
      <c r="G17" s="551">
        <f>+'[2]POR 04-99'!I1400</f>
        <v>2756</v>
      </c>
      <c r="H17" s="551">
        <f>+'[2]POR 04-99'!J1400</f>
        <v>2785</v>
      </c>
      <c r="I17" s="551">
        <f>+'[2]POR 04-99'!K1400</f>
        <v>2832</v>
      </c>
      <c r="J17" s="551">
        <f>+'[2]POR 04-99'!L1400</f>
        <v>2849</v>
      </c>
      <c r="K17" s="551">
        <f>+'[2]POR 04-99'!M1400</f>
        <v>2818.0000000000005</v>
      </c>
      <c r="L17" s="551">
        <f>+'[2]POR 04-99'!N1400</f>
        <v>2852.0000000000005</v>
      </c>
      <c r="M17" s="551">
        <f>+'[2]POR 04-99'!O1400</f>
        <v>2923</v>
      </c>
      <c r="N17" s="551">
        <f>+'[2]POR 04-99'!P1400</f>
        <v>3362.9999999999995</v>
      </c>
      <c r="O17" s="279"/>
      <c r="P17" s="217"/>
    </row>
    <row r="18" spans="1:16" ht="12" customHeight="1">
      <c r="A18" s="213" t="s">
        <v>30</v>
      </c>
      <c r="B18" s="550">
        <f t="shared" si="0"/>
        <v>49555</v>
      </c>
      <c r="C18" s="551">
        <f>+'[2]POR 04-99'!E1403</f>
        <v>4745</v>
      </c>
      <c r="D18" s="551">
        <f>+'[2]POR 04-99'!F1403</f>
        <v>4590</v>
      </c>
      <c r="E18" s="551">
        <f>+'[2]POR 04-99'!G1403</f>
        <v>4772</v>
      </c>
      <c r="F18" s="551">
        <f>+'[2]POR 04-99'!H1403</f>
        <v>4719</v>
      </c>
      <c r="G18" s="551">
        <f>+'[2]POR 04-99'!I1403</f>
        <v>4450</v>
      </c>
      <c r="H18" s="551">
        <f>+'[2]POR 04-99'!J1403</f>
        <v>4610</v>
      </c>
      <c r="I18" s="551">
        <f>+'[2]POR 04-99'!K1403</f>
        <v>3625</v>
      </c>
      <c r="J18" s="551">
        <f>+'[2]POR 04-99'!L1403</f>
        <v>3490</v>
      </c>
      <c r="K18" s="551">
        <f>+'[2]POR 04-99'!M1403</f>
        <v>3494</v>
      </c>
      <c r="L18" s="551">
        <f>+'[2]POR 04-99'!N1403</f>
        <v>3695</v>
      </c>
      <c r="M18" s="551">
        <f>+'[2]POR 04-99'!O1403</f>
        <v>3655</v>
      </c>
      <c r="N18" s="551">
        <f>+'[2]POR 04-99'!P1403</f>
        <v>3710</v>
      </c>
      <c r="O18" s="279"/>
      <c r="P18" s="217"/>
    </row>
    <row r="19" spans="1:16" ht="12" customHeight="1">
      <c r="A19" s="213" t="s">
        <v>31</v>
      </c>
      <c r="B19" s="550">
        <f t="shared" si="0"/>
        <v>1178439</v>
      </c>
      <c r="C19" s="551">
        <f>+'[2]POR 04-99'!E1406</f>
        <v>92436</v>
      </c>
      <c r="D19" s="551">
        <f>+'[2]POR 04-99'!F1406</f>
        <v>91816</v>
      </c>
      <c r="E19" s="551">
        <f>+'[2]POR 04-99'!G1406</f>
        <v>91566</v>
      </c>
      <c r="F19" s="551">
        <f>+'[2]POR 04-99'!H1406</f>
        <v>93007</v>
      </c>
      <c r="G19" s="551">
        <f>+'[2]POR 04-99'!I1406</f>
        <v>92753</v>
      </c>
      <c r="H19" s="551">
        <f>+'[2]POR 04-99'!J1406</f>
        <v>94869</v>
      </c>
      <c r="I19" s="551">
        <f>+'[2]POR 04-99'!K1406</f>
        <v>107170</v>
      </c>
      <c r="J19" s="551">
        <f>+'[2]POR 04-99'!L1406</f>
        <v>94557</v>
      </c>
      <c r="K19" s="551">
        <f>+'[2]POR 04-99'!M1406</f>
        <v>98733</v>
      </c>
      <c r="L19" s="551">
        <f>+'[2]POR 04-99'!N1406</f>
        <v>99153</v>
      </c>
      <c r="M19" s="551">
        <f>+'[2]POR 04-99'!O1406</f>
        <v>99772</v>
      </c>
      <c r="N19" s="551">
        <f>+'[2]POR 04-99'!P1406</f>
        <v>122607</v>
      </c>
      <c r="O19" s="279"/>
      <c r="P19" s="217"/>
    </row>
    <row r="20" spans="1:16" ht="12" customHeight="1">
      <c r="A20" s="290" t="s">
        <v>32</v>
      </c>
      <c r="B20" s="550">
        <f t="shared" si="0"/>
        <v>212080</v>
      </c>
      <c r="C20" s="551">
        <f>+'[2]POR 04-99'!E1409</f>
        <v>15779</v>
      </c>
      <c r="D20" s="551">
        <f>+'[2]POR 04-99'!F1409</f>
        <v>15325</v>
      </c>
      <c r="E20" s="551">
        <f>+'[2]POR 04-99'!G1409</f>
        <v>16550</v>
      </c>
      <c r="F20" s="551">
        <f>+'[2]POR 04-99'!H1409</f>
        <v>13907</v>
      </c>
      <c r="G20" s="551">
        <f>+'[2]POR 04-99'!I1409</f>
        <v>17666</v>
      </c>
      <c r="H20" s="551">
        <f>+'[2]POR 04-99'!J1409</f>
        <v>17915</v>
      </c>
      <c r="I20" s="551">
        <f>+'[2]POR 04-99'!K1409</f>
        <v>20710</v>
      </c>
      <c r="J20" s="551">
        <f>+'[2]POR 04-99'!L1409</f>
        <v>19777</v>
      </c>
      <c r="K20" s="551">
        <f>+'[2]POR 04-99'!M1409</f>
        <v>17840</v>
      </c>
      <c r="L20" s="551">
        <f>+'[2]POR 04-99'!N1409</f>
        <v>17473</v>
      </c>
      <c r="M20" s="551">
        <f>+'[2]POR 04-99'!O1409</f>
        <v>20898</v>
      </c>
      <c r="N20" s="551">
        <f>+'[2]POR 04-99'!P1409</f>
        <v>18240</v>
      </c>
      <c r="O20" s="279"/>
      <c r="P20" s="217"/>
    </row>
    <row r="21" spans="1:16" ht="12" customHeight="1">
      <c r="A21" s="290" t="s">
        <v>33</v>
      </c>
      <c r="B21" s="550">
        <f t="shared" si="0"/>
        <v>208424</v>
      </c>
      <c r="C21" s="551">
        <f>+'[2]POR 04-99'!E1412</f>
        <v>12013</v>
      </c>
      <c r="D21" s="551">
        <f>+'[2]POR 04-99'!F1412</f>
        <v>11146</v>
      </c>
      <c r="E21" s="551">
        <f>+'[2]POR 04-99'!G1412</f>
        <v>17157</v>
      </c>
      <c r="F21" s="551">
        <f>+'[2]POR 04-99'!H1412</f>
        <v>17715</v>
      </c>
      <c r="G21" s="551">
        <f>+'[2]POR 04-99'!I1412</f>
        <v>18824</v>
      </c>
      <c r="H21" s="551">
        <f>+'[2]POR 04-99'!J1412</f>
        <v>20535</v>
      </c>
      <c r="I21" s="551">
        <f>+'[2]POR 04-99'!K1412</f>
        <v>18731</v>
      </c>
      <c r="J21" s="551">
        <f>+'[2]POR 04-99'!L1412</f>
        <v>19562</v>
      </c>
      <c r="K21" s="551">
        <f>+'[2]POR 04-99'!M1412</f>
        <v>18626</v>
      </c>
      <c r="L21" s="551">
        <f>+'[2]POR 04-99'!N1412</f>
        <v>17747</v>
      </c>
      <c r="M21" s="551">
        <f>+'[2]POR 04-99'!O1412</f>
        <v>16728</v>
      </c>
      <c r="N21" s="551">
        <f>+'[2]POR 04-99'!P1412</f>
        <v>19640</v>
      </c>
      <c r="O21" s="279"/>
      <c r="P21" s="217"/>
    </row>
    <row r="22" spans="1:16" ht="12" customHeight="1">
      <c r="A22" s="290" t="s">
        <v>34</v>
      </c>
      <c r="B22" s="550">
        <f t="shared" si="0"/>
        <v>36228</v>
      </c>
      <c r="C22" s="551">
        <f>+'[2]POR 04-99'!E1415</f>
        <v>1681</v>
      </c>
      <c r="D22" s="551">
        <f>+'[2]POR 04-99'!F1415</f>
        <v>2171</v>
      </c>
      <c r="E22" s="551">
        <f>+'[2]POR 04-99'!G1415</f>
        <v>2688</v>
      </c>
      <c r="F22" s="551">
        <f>+'[2]POR 04-99'!H1415</f>
        <v>3260</v>
      </c>
      <c r="G22" s="551">
        <f>+'[2]POR 04-99'!I1415</f>
        <v>3697</v>
      </c>
      <c r="H22" s="551">
        <f>+'[2]POR 04-99'!J1415</f>
        <v>4412</v>
      </c>
      <c r="I22" s="551">
        <f>+'[2]POR 04-99'!K1415</f>
        <v>4491</v>
      </c>
      <c r="J22" s="551">
        <f>+'[2]POR 04-99'!L1415</f>
        <v>3726</v>
      </c>
      <c r="K22" s="551">
        <f>+'[2]POR 04-99'!M1415</f>
        <v>3012</v>
      </c>
      <c r="L22" s="551">
        <f>+'[2]POR 04-99'!N1415</f>
        <v>2402</v>
      </c>
      <c r="M22" s="551">
        <f>+'[2]POR 04-99'!O1415</f>
        <v>2125</v>
      </c>
      <c r="N22" s="551">
        <f>+'[2]POR 04-99'!P1415</f>
        <v>2563</v>
      </c>
      <c r="O22" s="279"/>
      <c r="P22" s="217"/>
    </row>
    <row r="23" spans="1:16" ht="12" customHeight="1">
      <c r="A23" s="290" t="s">
        <v>35</v>
      </c>
      <c r="B23" s="550">
        <f t="shared" si="0"/>
        <v>114370.82004178473</v>
      </c>
      <c r="C23" s="551">
        <f>+'[2]POR 04-99'!E1418</f>
        <v>9259</v>
      </c>
      <c r="D23" s="551">
        <f>+'[2]POR 04-99'!F1418</f>
        <v>9330</v>
      </c>
      <c r="E23" s="551">
        <f>+'[2]POR 04-99'!G1418</f>
        <v>9450.0000000000018</v>
      </c>
      <c r="F23" s="551">
        <f>+'[2]POR 04-99'!H1418</f>
        <v>9110</v>
      </c>
      <c r="G23" s="551">
        <f>+'[2]POR 04-99'!I1418</f>
        <v>9549.9340239189423</v>
      </c>
      <c r="H23" s="551">
        <f>+'[2]POR 04-99'!J1418</f>
        <v>10694</v>
      </c>
      <c r="I23" s="551">
        <f>+'[2]POR 04-99'!K1418</f>
        <v>9743</v>
      </c>
      <c r="J23" s="551">
        <f>+'[2]POR 04-99'!L1418</f>
        <v>9237</v>
      </c>
      <c r="K23" s="551">
        <f>+'[2]POR 04-99'!M1418</f>
        <v>9307</v>
      </c>
      <c r="L23" s="551">
        <f>+'[2]POR 04-99'!N1418</f>
        <v>9288</v>
      </c>
      <c r="M23" s="551">
        <f>+'[2]POR 04-99'!O1418</f>
        <v>9171.9999999999982</v>
      </c>
      <c r="N23" s="551">
        <f>+'[2]POR 04-99'!P1418</f>
        <v>10230.886017865798</v>
      </c>
      <c r="O23" s="279"/>
      <c r="P23" s="217"/>
    </row>
    <row r="24" spans="1:16" ht="12" customHeight="1">
      <c r="A24" s="290" t="s">
        <v>36</v>
      </c>
      <c r="B24" s="550">
        <f t="shared" si="0"/>
        <v>44440</v>
      </c>
      <c r="C24" s="551">
        <f>+'[2]POR 04-99'!E1421</f>
        <v>3468</v>
      </c>
      <c r="D24" s="551">
        <f>+'[2]POR 04-99'!F1421</f>
        <v>3467</v>
      </c>
      <c r="E24" s="551">
        <f>+'[2]POR 04-99'!G1421</f>
        <v>3495</v>
      </c>
      <c r="F24" s="551">
        <f>+'[2]POR 04-99'!H1421</f>
        <v>3747</v>
      </c>
      <c r="G24" s="551">
        <f>+'[2]POR 04-99'!I1421</f>
        <v>3832</v>
      </c>
      <c r="H24" s="551">
        <f>+'[2]POR 04-99'!J1421</f>
        <v>3809</v>
      </c>
      <c r="I24" s="551">
        <f>+'[2]POR 04-99'!K1421</f>
        <v>3560</v>
      </c>
      <c r="J24" s="551">
        <f>+'[2]POR 04-99'!L1421</f>
        <v>3580</v>
      </c>
      <c r="K24" s="551">
        <f>+'[2]POR 04-99'!M1421</f>
        <v>3735</v>
      </c>
      <c r="L24" s="551">
        <f>+'[2]POR 04-99'!N1421</f>
        <v>3772</v>
      </c>
      <c r="M24" s="551">
        <f>+'[2]POR 04-99'!O1421</f>
        <v>3616</v>
      </c>
      <c r="N24" s="551">
        <f>+'[2]POR 04-99'!P1421</f>
        <v>4359</v>
      </c>
      <c r="O24" s="279"/>
      <c r="P24" s="217"/>
    </row>
    <row r="25" spans="1:16" ht="12" customHeight="1">
      <c r="A25" s="213" t="s">
        <v>37</v>
      </c>
      <c r="B25" s="550">
        <f t="shared" si="0"/>
        <v>198540</v>
      </c>
      <c r="C25" s="551">
        <f>+'[2]POR 04-99'!E1424</f>
        <v>16548</v>
      </c>
      <c r="D25" s="551">
        <f>+'[2]POR 04-99'!F1424</f>
        <v>16522</v>
      </c>
      <c r="E25" s="551">
        <f>+'[2]POR 04-99'!G1424</f>
        <v>16555</v>
      </c>
      <c r="F25" s="551">
        <f>+'[2]POR 04-99'!H1424</f>
        <v>16093</v>
      </c>
      <c r="G25" s="551">
        <f>+'[2]POR 04-99'!I1424</f>
        <v>16280</v>
      </c>
      <c r="H25" s="551">
        <f>+'[2]POR 04-99'!J1424</f>
        <v>16350</v>
      </c>
      <c r="I25" s="551">
        <f>+'[2]POR 04-99'!K1424</f>
        <v>16443</v>
      </c>
      <c r="J25" s="551">
        <f>+'[2]POR 04-99'!L1424</f>
        <v>16421</v>
      </c>
      <c r="K25" s="551">
        <f>+'[2]POR 04-99'!M1424</f>
        <v>16399</v>
      </c>
      <c r="L25" s="551">
        <f>+'[2]POR 04-99'!N1424</f>
        <v>16519</v>
      </c>
      <c r="M25" s="551">
        <f>+'[2]POR 04-99'!O1424</f>
        <v>16607</v>
      </c>
      <c r="N25" s="551">
        <f>+'[2]POR 04-99'!P1424</f>
        <v>17803</v>
      </c>
      <c r="O25" s="279"/>
      <c r="P25" s="217"/>
    </row>
    <row r="26" spans="1:16" ht="12" customHeight="1">
      <c r="A26" s="290" t="s">
        <v>38</v>
      </c>
      <c r="B26" s="550">
        <f t="shared" si="0"/>
        <v>26011</v>
      </c>
      <c r="C26" s="551">
        <f>+'[2]POR 04-99'!E1427</f>
        <v>2528</v>
      </c>
      <c r="D26" s="551">
        <f>+'[2]POR 04-99'!F1427</f>
        <v>2829</v>
      </c>
      <c r="E26" s="551">
        <f>+'[2]POR 04-99'!G1427</f>
        <v>1960</v>
      </c>
      <c r="F26" s="551">
        <f>+'[2]POR 04-99'!H1427</f>
        <v>2010</v>
      </c>
      <c r="G26" s="551">
        <f>+'[2]POR 04-99'!I1427</f>
        <v>2136</v>
      </c>
      <c r="H26" s="551">
        <f>+'[2]POR 04-99'!J1427</f>
        <v>1976</v>
      </c>
      <c r="I26" s="551">
        <f>+'[2]POR 04-99'!K1427</f>
        <v>2186</v>
      </c>
      <c r="J26" s="551">
        <f>+'[2]POR 04-99'!L1427</f>
        <v>2044</v>
      </c>
      <c r="K26" s="551">
        <f>+'[2]POR 04-99'!M1427</f>
        <v>1924</v>
      </c>
      <c r="L26" s="551">
        <f>+'[2]POR 04-99'!N1427</f>
        <v>2052</v>
      </c>
      <c r="M26" s="551">
        <f>+'[2]POR 04-99'!O1427</f>
        <v>1802</v>
      </c>
      <c r="N26" s="551">
        <f>+'[2]POR 04-99'!P1427</f>
        <v>2564</v>
      </c>
      <c r="O26" s="279"/>
      <c r="P26" s="217"/>
    </row>
    <row r="27" spans="1:16" ht="12" customHeight="1">
      <c r="A27" s="290" t="s">
        <v>39</v>
      </c>
      <c r="B27" s="550">
        <f t="shared" si="0"/>
        <v>68881</v>
      </c>
      <c r="C27" s="551">
        <f>+'[2]POR 04-99'!E1430</f>
        <v>5506</v>
      </c>
      <c r="D27" s="551">
        <f>+'[2]POR 04-99'!F1430</f>
        <v>5687</v>
      </c>
      <c r="E27" s="551">
        <f>+'[2]POR 04-99'!G1430</f>
        <v>5778</v>
      </c>
      <c r="F27" s="551">
        <f>+'[2]POR 04-99'!H1430</f>
        <v>5651</v>
      </c>
      <c r="G27" s="551">
        <f>+'[2]POR 04-99'!I1430</f>
        <v>5708</v>
      </c>
      <c r="H27" s="551">
        <f>+'[2]POR 04-99'!J1430</f>
        <v>5739</v>
      </c>
      <c r="I27" s="551">
        <f>+'[2]POR 04-99'!K1430</f>
        <v>5706</v>
      </c>
      <c r="J27" s="551">
        <f>+'[2]POR 04-99'!L1430</f>
        <v>5795</v>
      </c>
      <c r="K27" s="551">
        <f>+'[2]POR 04-99'!M1430</f>
        <v>5766</v>
      </c>
      <c r="L27" s="551">
        <f>+'[2]POR 04-99'!N1430</f>
        <v>5779</v>
      </c>
      <c r="M27" s="551">
        <f>+'[2]POR 04-99'!O1430</f>
        <v>5803</v>
      </c>
      <c r="N27" s="551">
        <f>+'[2]POR 04-99'!P1430</f>
        <v>5963</v>
      </c>
      <c r="O27" s="279"/>
      <c r="P27" s="217"/>
    </row>
    <row r="28" spans="1:16" ht="12" customHeight="1">
      <c r="A28" s="290" t="s">
        <v>40</v>
      </c>
      <c r="B28" s="550">
        <f t="shared" si="0"/>
        <v>62319</v>
      </c>
      <c r="C28" s="551">
        <f>+'[2]POR 04-99'!E1433</f>
        <v>4024</v>
      </c>
      <c r="D28" s="551">
        <f>+'[2]POR 04-99'!F1433</f>
        <v>4704</v>
      </c>
      <c r="E28" s="551">
        <f>+'[2]POR 04-99'!G1433</f>
        <v>5755</v>
      </c>
      <c r="F28" s="551">
        <f>+'[2]POR 04-99'!H1433</f>
        <v>6163</v>
      </c>
      <c r="G28" s="551">
        <f>+'[2]POR 04-99'!I1433</f>
        <v>5670</v>
      </c>
      <c r="H28" s="551">
        <f>+'[2]POR 04-99'!J1433</f>
        <v>5272</v>
      </c>
      <c r="I28" s="551">
        <f>+'[2]POR 04-99'!K1433</f>
        <v>5899</v>
      </c>
      <c r="J28" s="551">
        <f>+'[2]POR 04-99'!L1433</f>
        <v>5630</v>
      </c>
      <c r="K28" s="551">
        <f>+'[2]POR 04-99'!M1433</f>
        <v>4335</v>
      </c>
      <c r="L28" s="551">
        <f>+'[2]POR 04-99'!N1433</f>
        <v>4280</v>
      </c>
      <c r="M28" s="551">
        <f>+'[2]POR 04-99'!O1433</f>
        <v>4857</v>
      </c>
      <c r="N28" s="551">
        <f>+'[2]POR 04-99'!P1433</f>
        <v>5730</v>
      </c>
      <c r="O28" s="279"/>
      <c r="P28" s="217"/>
    </row>
    <row r="29" spans="1:16" ht="12" customHeight="1">
      <c r="A29" s="217" t="s">
        <v>41</v>
      </c>
      <c r="B29" s="550">
        <f t="shared" si="0"/>
        <v>71343</v>
      </c>
      <c r="C29" s="551">
        <f>+'[2]POR 04-99'!E1436</f>
        <v>5950</v>
      </c>
      <c r="D29" s="551">
        <f>+'[2]POR 04-99'!F1436</f>
        <v>5650</v>
      </c>
      <c r="E29" s="551">
        <f>+'[2]POR 04-99'!G1436</f>
        <v>5965</v>
      </c>
      <c r="F29" s="551">
        <f>+'[2]POR 04-99'!H1436</f>
        <v>6093</v>
      </c>
      <c r="G29" s="551">
        <f>+'[2]POR 04-99'!I1436</f>
        <v>6140</v>
      </c>
      <c r="H29" s="551">
        <f>+'[2]POR 04-99'!J1436</f>
        <v>6172</v>
      </c>
      <c r="I29" s="551">
        <f>+'[2]POR 04-99'!K1436</f>
        <v>6130</v>
      </c>
      <c r="J29" s="551">
        <f>+'[2]POR 04-99'!L1436</f>
        <v>5825</v>
      </c>
      <c r="K29" s="551">
        <f>+'[2]POR 04-99'!M1436</f>
        <v>5940</v>
      </c>
      <c r="L29" s="551">
        <f>+'[2]POR 04-99'!N1436</f>
        <v>5601</v>
      </c>
      <c r="M29" s="551">
        <f>+'[2]POR 04-99'!O1436</f>
        <v>5724</v>
      </c>
      <c r="N29" s="551">
        <f>+'[2]POR 04-99'!P1436</f>
        <v>6153</v>
      </c>
      <c r="O29" s="279"/>
      <c r="P29" s="217"/>
    </row>
    <row r="30" spans="1:16" ht="12" customHeight="1">
      <c r="A30" s="226" t="s">
        <v>111</v>
      </c>
      <c r="B30" s="550">
        <f t="shared" si="0"/>
        <v>25903</v>
      </c>
      <c r="C30" s="551">
        <f>+'[2]POR 04-99'!E1439</f>
        <v>2130</v>
      </c>
      <c r="D30" s="551">
        <f>+'[2]POR 04-99'!F1439</f>
        <v>2030</v>
      </c>
      <c r="E30" s="551">
        <f>+'[2]POR 04-99'!G1439</f>
        <v>2105</v>
      </c>
      <c r="F30" s="551">
        <f>+'[2]POR 04-99'!H1439</f>
        <v>2204</v>
      </c>
      <c r="G30" s="551">
        <f>+'[2]POR 04-99'!I1439</f>
        <v>2245</v>
      </c>
      <c r="H30" s="551">
        <f>+'[2]POR 04-99'!J1439</f>
        <v>2262</v>
      </c>
      <c r="I30" s="551">
        <f>+'[2]POR 04-99'!K1439</f>
        <v>2210</v>
      </c>
      <c r="J30" s="551">
        <f>+'[2]POR 04-99'!L1439</f>
        <v>2105</v>
      </c>
      <c r="K30" s="551">
        <f>+'[2]POR 04-99'!M1439</f>
        <v>2150</v>
      </c>
      <c r="L30" s="551">
        <f>+'[2]POR 04-99'!N1439</f>
        <v>2002</v>
      </c>
      <c r="M30" s="551">
        <f>+'[2]POR 04-99'!O1439</f>
        <v>2120</v>
      </c>
      <c r="N30" s="551">
        <f>+'[2]POR 04-99'!P1439</f>
        <v>2340</v>
      </c>
      <c r="O30" s="279"/>
      <c r="P30" s="217"/>
    </row>
    <row r="31" spans="1:16" ht="12" customHeight="1">
      <c r="A31" s="226" t="s">
        <v>112</v>
      </c>
      <c r="B31" s="550">
        <f t="shared" si="0"/>
        <v>45440</v>
      </c>
      <c r="C31" s="551">
        <f>+'[2]POR 04-99'!E1442</f>
        <v>3820</v>
      </c>
      <c r="D31" s="551">
        <f>+'[2]POR 04-99'!F1442</f>
        <v>3620</v>
      </c>
      <c r="E31" s="551">
        <f>+'[2]POR 04-99'!G1442</f>
        <v>3860</v>
      </c>
      <c r="F31" s="551">
        <f>+'[2]POR 04-99'!H1442</f>
        <v>3889</v>
      </c>
      <c r="G31" s="551">
        <f>+'[2]POR 04-99'!I1442</f>
        <v>3895</v>
      </c>
      <c r="H31" s="551">
        <f>+'[2]POR 04-99'!J1442</f>
        <v>3910</v>
      </c>
      <c r="I31" s="551">
        <f>+'[2]POR 04-99'!K1442</f>
        <v>3920</v>
      </c>
      <c r="J31" s="551">
        <f>+'[2]POR 04-99'!L1442</f>
        <v>3720</v>
      </c>
      <c r="K31" s="551">
        <f>+'[2]POR 04-99'!M1442</f>
        <v>3790</v>
      </c>
      <c r="L31" s="551">
        <f>+'[2]POR 04-99'!N1442</f>
        <v>3599</v>
      </c>
      <c r="M31" s="551">
        <f>+'[2]POR 04-99'!O1442</f>
        <v>3604</v>
      </c>
      <c r="N31" s="551">
        <f>+'[2]POR 04-99'!P1442</f>
        <v>3813</v>
      </c>
      <c r="O31" s="279"/>
      <c r="P31" s="217"/>
    </row>
    <row r="32" spans="1:16" ht="12" customHeight="1">
      <c r="A32" s="290" t="s">
        <v>44</v>
      </c>
      <c r="B32" s="550">
        <f t="shared" si="0"/>
        <v>120446</v>
      </c>
      <c r="C32" s="551">
        <f>+'[2]POR 04-99'!E1445</f>
        <v>10008</v>
      </c>
      <c r="D32" s="551">
        <f>+'[2]POR 04-99'!F1445</f>
        <v>10057</v>
      </c>
      <c r="E32" s="551">
        <f>+'[2]POR 04-99'!G1445</f>
        <v>10198</v>
      </c>
      <c r="F32" s="551">
        <f>+'[2]POR 04-99'!H1445</f>
        <v>10234</v>
      </c>
      <c r="G32" s="551">
        <f>+'[2]POR 04-99'!I1445</f>
        <v>9915</v>
      </c>
      <c r="H32" s="551">
        <f>+'[2]POR 04-99'!J1445</f>
        <v>9820</v>
      </c>
      <c r="I32" s="551">
        <f>+'[2]POR 04-99'!K1445</f>
        <v>9822</v>
      </c>
      <c r="J32" s="551">
        <f>+'[2]POR 04-99'!L1445</f>
        <v>10124</v>
      </c>
      <c r="K32" s="551">
        <f>+'[2]POR 04-99'!M1445</f>
        <v>9768</v>
      </c>
      <c r="L32" s="551">
        <f>+'[2]POR 04-99'!N1445</f>
        <v>10697</v>
      </c>
      <c r="M32" s="551">
        <f>+'[2]POR 04-99'!O1445</f>
        <v>9762</v>
      </c>
      <c r="N32" s="551">
        <f>+'[2]POR 04-99'!P1445</f>
        <v>10041</v>
      </c>
      <c r="O32" s="279"/>
      <c r="P32" s="217"/>
    </row>
    <row r="33" spans="1:16" ht="12" customHeight="1">
      <c r="A33" s="290" t="s">
        <v>45</v>
      </c>
      <c r="B33" s="550">
        <f t="shared" si="0"/>
        <v>77140</v>
      </c>
      <c r="C33" s="551">
        <f>+'[2]POR 04-99'!E1448</f>
        <v>4650</v>
      </c>
      <c r="D33" s="551">
        <f>+'[2]POR 04-99'!F1448</f>
        <v>5750</v>
      </c>
      <c r="E33" s="551">
        <f>+'[2]POR 04-99'!G1448</f>
        <v>5865</v>
      </c>
      <c r="F33" s="551">
        <f>+'[2]POR 04-99'!H1448</f>
        <v>7920</v>
      </c>
      <c r="G33" s="551">
        <f>+'[2]POR 04-99'!I1448</f>
        <v>7860</v>
      </c>
      <c r="H33" s="551">
        <f>+'[2]POR 04-99'!J1448</f>
        <v>7810</v>
      </c>
      <c r="I33" s="551">
        <f>+'[2]POR 04-99'!K1448</f>
        <v>8150</v>
      </c>
      <c r="J33" s="551">
        <f>+'[2]POR 04-99'!L1448</f>
        <v>7105</v>
      </c>
      <c r="K33" s="551">
        <f>+'[2]POR 04-99'!M1448</f>
        <v>6175</v>
      </c>
      <c r="L33" s="551">
        <f>+'[2]POR 04-99'!N1448</f>
        <v>5370</v>
      </c>
      <c r="M33" s="551">
        <f>+'[2]POR 04-99'!O1448</f>
        <v>5485</v>
      </c>
      <c r="N33" s="551">
        <f>+'[2]POR 04-99'!P1448</f>
        <v>5000</v>
      </c>
      <c r="O33" s="279"/>
      <c r="P33" s="217"/>
    </row>
    <row r="34" spans="1:16" ht="12" customHeight="1">
      <c r="A34" s="213" t="s">
        <v>46</v>
      </c>
      <c r="B34" s="550">
        <f t="shared" si="0"/>
        <v>70713</v>
      </c>
      <c r="C34" s="551">
        <f>+'[2]POR 04-99'!E1451</f>
        <v>5891</v>
      </c>
      <c r="D34" s="551">
        <f>+'[2]POR 04-99'!F1451</f>
        <v>5495</v>
      </c>
      <c r="E34" s="551">
        <f>+'[2]POR 04-99'!G1451</f>
        <v>5356</v>
      </c>
      <c r="F34" s="551">
        <f>+'[2]POR 04-99'!H1451</f>
        <v>5521</v>
      </c>
      <c r="G34" s="551">
        <f>+'[2]POR 04-99'!I1451</f>
        <v>5314</v>
      </c>
      <c r="H34" s="551">
        <f>+'[2]POR 04-99'!J1451</f>
        <v>6131</v>
      </c>
      <c r="I34" s="551">
        <f>+'[2]POR 04-99'!K1451</f>
        <v>5973</v>
      </c>
      <c r="J34" s="551">
        <f>+'[2]POR 04-99'!L1451</f>
        <v>5557</v>
      </c>
      <c r="K34" s="551">
        <f>+'[2]POR 04-99'!M1451</f>
        <v>5668</v>
      </c>
      <c r="L34" s="551">
        <f>+'[2]POR 04-99'!N1451</f>
        <v>5899</v>
      </c>
      <c r="M34" s="551">
        <f>+'[2]POR 04-99'!O1451</f>
        <v>5614</v>
      </c>
      <c r="N34" s="551">
        <f>+'[2]POR 04-99'!P1451</f>
        <v>8294</v>
      </c>
      <c r="O34" s="279"/>
      <c r="P34" s="217"/>
    </row>
    <row r="35" spans="1:16" ht="12" customHeight="1">
      <c r="A35" s="213" t="s">
        <v>47</v>
      </c>
      <c r="B35" s="550">
        <f t="shared" si="0"/>
        <v>60322</v>
      </c>
      <c r="C35" s="551">
        <f>+'[2]POR 04-99'!E1454</f>
        <v>6116.9999999999991</v>
      </c>
      <c r="D35" s="551">
        <f>+'[2]POR 04-99'!F1454</f>
        <v>5260</v>
      </c>
      <c r="E35" s="551">
        <f>+'[2]POR 04-99'!G1454</f>
        <v>5160</v>
      </c>
      <c r="F35" s="551">
        <f>+'[2]POR 04-99'!H1454</f>
        <v>5117</v>
      </c>
      <c r="G35" s="551">
        <f>+'[2]POR 04-99'!I1454</f>
        <v>4622</v>
      </c>
      <c r="H35" s="551">
        <f>+'[2]POR 04-99'!J1454</f>
        <v>5439</v>
      </c>
      <c r="I35" s="551">
        <f>+'[2]POR 04-99'!K1454</f>
        <v>5648</v>
      </c>
      <c r="J35" s="551">
        <f>+'[2]POR 04-99'!L1454</f>
        <v>4322</v>
      </c>
      <c r="K35" s="551">
        <f>+'[2]POR 04-99'!M1454</f>
        <v>4354.9999999999991</v>
      </c>
      <c r="L35" s="551">
        <f>+'[2]POR 04-99'!N1454</f>
        <v>4213</v>
      </c>
      <c r="M35" s="551">
        <f>+'[2]POR 04-99'!O1454</f>
        <v>4282.9999999999991</v>
      </c>
      <c r="N35" s="551">
        <f>+'[2]POR 04-99'!P1454</f>
        <v>5786</v>
      </c>
      <c r="O35" s="279"/>
      <c r="P35" s="217"/>
    </row>
    <row r="36" spans="1:16" ht="12" customHeight="1">
      <c r="A36" s="213" t="s">
        <v>48</v>
      </c>
      <c r="B36" s="550">
        <f t="shared" si="0"/>
        <v>21738.5808219178</v>
      </c>
      <c r="C36" s="551">
        <f>+'[2]POR 04-99'!E1457</f>
        <v>1725</v>
      </c>
      <c r="D36" s="551">
        <f>+'[2]POR 04-99'!F1457</f>
        <v>1631</v>
      </c>
      <c r="E36" s="551">
        <f>+'[2]POR 04-99'!G1457</f>
        <v>1756</v>
      </c>
      <c r="F36" s="551">
        <f>+'[2]POR 04-99'!H1457</f>
        <v>1703</v>
      </c>
      <c r="G36" s="551">
        <f>+'[2]POR 04-99'!I1457</f>
        <v>1773</v>
      </c>
      <c r="H36" s="551">
        <f>+'[2]POR 04-99'!J1457</f>
        <v>1922.5808219178</v>
      </c>
      <c r="I36" s="551">
        <f>+'[2]POR 04-99'!K1457</f>
        <v>1873</v>
      </c>
      <c r="J36" s="551">
        <f>+'[2]POR 04-99'!L1457</f>
        <v>1613</v>
      </c>
      <c r="K36" s="551">
        <f>+'[2]POR 04-99'!M1457</f>
        <v>1670</v>
      </c>
      <c r="L36" s="551">
        <f>+'[2]POR 04-99'!N1457</f>
        <v>1650</v>
      </c>
      <c r="M36" s="551">
        <f>+'[2]POR 04-99'!O1457</f>
        <v>1672</v>
      </c>
      <c r="N36" s="551">
        <f>+'[2]POR 04-99'!P1457</f>
        <v>2750</v>
      </c>
      <c r="O36" s="279"/>
      <c r="P36" s="217"/>
    </row>
    <row r="37" spans="1:16" ht="12" customHeight="1" thickBot="1">
      <c r="A37" s="272" t="s">
        <v>49</v>
      </c>
      <c r="B37" s="552">
        <f t="shared" si="0"/>
        <v>17517</v>
      </c>
      <c r="C37" s="553">
        <f>+'[2]POR 04-99'!E1460</f>
        <v>1597</v>
      </c>
      <c r="D37" s="553">
        <f>+'[2]POR 04-99'!F1460</f>
        <v>1223</v>
      </c>
      <c r="E37" s="553">
        <f>+'[2]POR 04-99'!G1460</f>
        <v>1353</v>
      </c>
      <c r="F37" s="553">
        <f>+'[2]POR 04-99'!H1460</f>
        <v>1389</v>
      </c>
      <c r="G37" s="553">
        <f>+'[2]POR 04-99'!I1460</f>
        <v>1480</v>
      </c>
      <c r="H37" s="553">
        <f>+'[2]POR 04-99'!J1460</f>
        <v>1293.9999999999998</v>
      </c>
      <c r="I37" s="553">
        <f>+'[2]POR 04-99'!K1460</f>
        <v>1516</v>
      </c>
      <c r="J37" s="553">
        <f>+'[2]POR 04-99'!L1460</f>
        <v>1421</v>
      </c>
      <c r="K37" s="553">
        <f>+'[2]POR 04-99'!M1460</f>
        <v>1500</v>
      </c>
      <c r="L37" s="553">
        <f>+'[2]POR 04-99'!N1460</f>
        <v>1559</v>
      </c>
      <c r="M37" s="553">
        <f>+'[2]POR 04-99'!O1460</f>
        <v>1514</v>
      </c>
      <c r="N37" s="553">
        <f>+'[2]POR 04-99'!P1460</f>
        <v>1671</v>
      </c>
      <c r="O37" s="279"/>
      <c r="P37" s="217"/>
    </row>
    <row r="38" spans="1:16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16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16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16" ht="13" customHeight="1">
      <c r="A41" s="12"/>
    </row>
    <row r="42" spans="1:16" ht="13" customHeight="1">
      <c r="A42" s="141"/>
    </row>
    <row r="43" spans="1:16" ht="13" customHeight="1">
      <c r="A43" s="191"/>
    </row>
    <row r="44" spans="1:16" ht="13" customHeight="1">
      <c r="A44" s="31"/>
    </row>
    <row r="45" spans="1:16" ht="13" customHeight="1">
      <c r="A45" s="58"/>
    </row>
    <row r="46" spans="1:16" ht="13" customHeight="1">
      <c r="A46" s="31"/>
    </row>
    <row r="47" spans="1:16" ht="13" customHeight="1">
      <c r="A47" s="141"/>
    </row>
    <row r="48" spans="1:16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Hoja58">
    <tabColor theme="9" tint="0.59999389629810485"/>
  </sheetPr>
  <dimension ref="A2:R54"/>
  <sheetViews>
    <sheetView showGridLines="0" zoomScaleNormal="10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9.796875" style="223" customWidth="1"/>
    <col min="3" max="14" width="8.59765625" style="223" customWidth="1"/>
    <col min="15" max="16384" width="7" style="213"/>
  </cols>
  <sheetData>
    <row r="2" spans="1:18" ht="13" customHeight="1"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</row>
    <row r="4" spans="1:18" ht="13" customHeight="1">
      <c r="A4" s="511" t="s">
        <v>393</v>
      </c>
      <c r="B4" s="507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Q4" s="289"/>
    </row>
    <row r="5" spans="1:18" ht="13" customHeight="1">
      <c r="A5" s="514" t="s">
        <v>319</v>
      </c>
      <c r="B5" s="507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Q5" s="289"/>
    </row>
    <row r="6" spans="1:18" ht="5" customHeight="1" thickBot="1"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P6" s="217"/>
      <c r="Q6" s="216"/>
    </row>
    <row r="7" spans="1:18" ht="15" customHeight="1">
      <c r="A7" s="519" t="s">
        <v>18</v>
      </c>
      <c r="B7" s="522" t="s">
        <v>118</v>
      </c>
      <c r="C7" s="546" t="s">
        <v>57</v>
      </c>
      <c r="D7" s="546" t="s">
        <v>58</v>
      </c>
      <c r="E7" s="546" t="s">
        <v>59</v>
      </c>
      <c r="F7" s="546" t="s">
        <v>60</v>
      </c>
      <c r="G7" s="546" t="s">
        <v>61</v>
      </c>
      <c r="H7" s="546" t="s">
        <v>62</v>
      </c>
      <c r="I7" s="546" t="s">
        <v>63</v>
      </c>
      <c r="J7" s="546" t="s">
        <v>64</v>
      </c>
      <c r="K7" s="546" t="s">
        <v>65</v>
      </c>
      <c r="L7" s="546" t="s">
        <v>66</v>
      </c>
      <c r="M7" s="546" t="s">
        <v>67</v>
      </c>
      <c r="N7" s="546" t="s">
        <v>68</v>
      </c>
      <c r="O7" s="276"/>
      <c r="P7" s="217"/>
      <c r="Q7" s="276"/>
      <c r="R7" s="217"/>
    </row>
    <row r="8" spans="1:18" ht="15" customHeight="1">
      <c r="A8" s="530" t="s">
        <v>106</v>
      </c>
      <c r="B8" s="560">
        <f t="shared" ref="B8:B37" si="0">SUM(C8:N8)</f>
        <v>173258.66324709987</v>
      </c>
      <c r="C8" s="560">
        <f t="shared" ref="C8:N8" si="1">(C9+C10+C11+C12+C13+C17+C18+C19+C20+C21+C22+C23+C24+C25+C26+C27+C28+C29+C32+C33+C34+C35+C36+C37)</f>
        <v>13622.254558037401</v>
      </c>
      <c r="D8" s="560">
        <f t="shared" si="1"/>
        <v>13369.892434205598</v>
      </c>
      <c r="E8" s="560">
        <f t="shared" si="1"/>
        <v>13687.493949961601</v>
      </c>
      <c r="F8" s="560">
        <f t="shared" si="1"/>
        <v>13793.718419247582</v>
      </c>
      <c r="G8" s="560">
        <f t="shared" si="1"/>
        <v>14007.513294593185</v>
      </c>
      <c r="H8" s="560">
        <f t="shared" si="1"/>
        <v>14958.715742879651</v>
      </c>
      <c r="I8" s="560">
        <f t="shared" si="1"/>
        <v>16019.233227076529</v>
      </c>
      <c r="J8" s="560">
        <f t="shared" si="1"/>
        <v>14759.274121788083</v>
      </c>
      <c r="K8" s="560">
        <f t="shared" si="1"/>
        <v>14336.579519547886</v>
      </c>
      <c r="L8" s="560">
        <f t="shared" si="1"/>
        <v>14208.263153483318</v>
      </c>
      <c r="M8" s="560">
        <f t="shared" si="1"/>
        <v>14073.119416932639</v>
      </c>
      <c r="N8" s="560">
        <f t="shared" si="1"/>
        <v>16422.605409346394</v>
      </c>
      <c r="O8" s="279"/>
      <c r="P8" s="217"/>
      <c r="Q8" s="275"/>
      <c r="R8" s="217"/>
    </row>
    <row r="9" spans="1:18" ht="12" customHeight="1">
      <c r="A9" s="290" t="s">
        <v>21</v>
      </c>
      <c r="B9" s="561">
        <f t="shared" si="0"/>
        <v>344.50000000000006</v>
      </c>
      <c r="C9" s="562">
        <f>+'[2]POR 04-99'!E1377</f>
        <v>23.36</v>
      </c>
      <c r="D9" s="562">
        <f>+'[2]POR 04-99'!F1377</f>
        <v>32.260000000000005</v>
      </c>
      <c r="E9" s="562">
        <f>+'[2]POR 04-99'!G1377</f>
        <v>31.46</v>
      </c>
      <c r="F9" s="562">
        <f>+'[2]POR 04-99'!H1377</f>
        <v>33.020000000000003</v>
      </c>
      <c r="G9" s="562">
        <f>+'[2]POR 04-99'!I1377</f>
        <v>31.199999999999996</v>
      </c>
      <c r="H9" s="562">
        <f>+'[2]POR 04-99'!J1377</f>
        <v>27.479999999999997</v>
      </c>
      <c r="I9" s="562">
        <f>+'[2]POR 04-99'!K1377</f>
        <v>26.740000000000002</v>
      </c>
      <c r="J9" s="562">
        <f>+'[2]POR 04-99'!L1377</f>
        <v>31.98</v>
      </c>
      <c r="K9" s="562">
        <f>+'[2]POR 04-99'!M1377</f>
        <v>26.36</v>
      </c>
      <c r="L9" s="562">
        <f>+'[2]POR 04-99'!N1377</f>
        <v>27.3</v>
      </c>
      <c r="M9" s="562">
        <f>+'[2]POR 04-99'!O1377</f>
        <v>25.919999999999998</v>
      </c>
      <c r="N9" s="562">
        <f>+'[2]POR 04-99'!P1377</f>
        <v>27.42</v>
      </c>
      <c r="O9" s="279"/>
      <c r="P9" s="217"/>
      <c r="Q9" s="275"/>
    </row>
    <row r="10" spans="1:18" ht="12" customHeight="1">
      <c r="A10" s="290" t="s">
        <v>22</v>
      </c>
      <c r="B10" s="561">
        <f t="shared" si="0"/>
        <v>5825.0421656316948</v>
      </c>
      <c r="C10" s="562">
        <f>+'[2]POR 04-99'!E1380</f>
        <v>500.8809602874</v>
      </c>
      <c r="D10" s="562">
        <f>+'[2]POR 04-99'!F1380</f>
        <v>409.81169478060002</v>
      </c>
      <c r="E10" s="562">
        <f>+'[2]POR 04-99'!G1380</f>
        <v>442.33643246159994</v>
      </c>
      <c r="F10" s="562">
        <f>+'[2]POR 04-99'!H1380</f>
        <v>493.72551799757997</v>
      </c>
      <c r="G10" s="562">
        <f>+'[2]POR 04-99'!I1380</f>
        <v>530.80371895392011</v>
      </c>
      <c r="H10" s="562">
        <f>+'[2]POR 04-99'!J1380</f>
        <v>583.49379399713985</v>
      </c>
      <c r="I10" s="562">
        <f>+'[2]POR 04-99'!K1380</f>
        <v>575.29756010152801</v>
      </c>
      <c r="J10" s="562">
        <f>+'[2]POR 04-99'!L1380</f>
        <v>509.98788683807987</v>
      </c>
      <c r="K10" s="562">
        <f>+'[2]POR 04-99'!M1380</f>
        <v>430.88772479788798</v>
      </c>
      <c r="L10" s="562">
        <f>+'[2]POR 04-99'!N1380</f>
        <v>375.23940098332002</v>
      </c>
      <c r="M10" s="562">
        <f>+'[2]POR 04-99'!O1380</f>
        <v>437.13247443263992</v>
      </c>
      <c r="N10" s="562">
        <f>+'[2]POR 04-99'!P1380</f>
        <v>535.44500000000005</v>
      </c>
      <c r="O10" s="279"/>
      <c r="P10" s="217"/>
      <c r="Q10" s="275"/>
    </row>
    <row r="11" spans="1:18" ht="12" customHeight="1">
      <c r="A11" s="290" t="s">
        <v>23</v>
      </c>
      <c r="B11" s="561">
        <f t="shared" si="0"/>
        <v>1720.915</v>
      </c>
      <c r="C11" s="562">
        <f>+'[2]POR 04-99'!E1383</f>
        <v>125</v>
      </c>
      <c r="D11" s="562">
        <f>+'[2]POR 04-99'!F1383</f>
        <v>119.82</v>
      </c>
      <c r="E11" s="562">
        <f>+'[2]POR 04-99'!G1383</f>
        <v>128.91</v>
      </c>
      <c r="F11" s="562">
        <f>+'[2]POR 04-99'!H1383</f>
        <v>130.66</v>
      </c>
      <c r="G11" s="562">
        <f>+'[2]POR 04-99'!I1383</f>
        <v>153.72999999999999</v>
      </c>
      <c r="H11" s="562">
        <f>+'[2]POR 04-99'!J1383</f>
        <v>158.315</v>
      </c>
      <c r="I11" s="562">
        <f>+'[2]POR 04-99'!K1383</f>
        <v>169.73000000000002</v>
      </c>
      <c r="J11" s="562">
        <f>+'[2]POR 04-99'!L1383</f>
        <v>138.41000000000003</v>
      </c>
      <c r="K11" s="562">
        <f>+'[2]POR 04-99'!M1383</f>
        <v>138.93</v>
      </c>
      <c r="L11" s="562">
        <f>+'[2]POR 04-99'!N1383</f>
        <v>135.79</v>
      </c>
      <c r="M11" s="562">
        <f>+'[2]POR 04-99'!O1383</f>
        <v>138.37</v>
      </c>
      <c r="N11" s="562">
        <f>+'[2]POR 04-99'!P1383</f>
        <v>183.25</v>
      </c>
      <c r="O11" s="279"/>
      <c r="P11" s="217"/>
      <c r="Q11" s="275"/>
    </row>
    <row r="12" spans="1:18" ht="12" customHeight="1">
      <c r="A12" s="213" t="s">
        <v>24</v>
      </c>
      <c r="B12" s="561">
        <f t="shared" si="0"/>
        <v>17653.973040000001</v>
      </c>
      <c r="C12" s="562">
        <f>+'[2]POR 04-99'!E1386</f>
        <v>1519.2142425000002</v>
      </c>
      <c r="D12" s="562">
        <f>+'[2]POR 04-99'!F1386</f>
        <v>1432.6857074999998</v>
      </c>
      <c r="E12" s="562">
        <f>+'[2]POR 04-99'!G1386</f>
        <v>1421.48577</v>
      </c>
      <c r="F12" s="562">
        <f>+'[2]POR 04-99'!H1386</f>
        <v>1391.5570049999999</v>
      </c>
      <c r="G12" s="562">
        <f>+'[2]POR 04-99'!I1386</f>
        <v>1442.6926049999997</v>
      </c>
      <c r="H12" s="562">
        <f>+'[2]POR 04-99'!J1386</f>
        <v>1478.1642374999999</v>
      </c>
      <c r="I12" s="562">
        <f>+'[2]POR 04-99'!K1386</f>
        <v>1624.0392375000001</v>
      </c>
      <c r="J12" s="562">
        <f>+'[2]POR 04-99'!L1386</f>
        <v>1615.5095474999998</v>
      </c>
      <c r="K12" s="562">
        <f>+'[2]POR 04-99'!M1386</f>
        <v>1445.5496700000001</v>
      </c>
      <c r="L12" s="562">
        <f>+'[2]POR 04-99'!N1386</f>
        <v>1438.2070275000001</v>
      </c>
      <c r="M12" s="562">
        <f>+'[2]POR 04-99'!O1386</f>
        <v>1340.5994975000001</v>
      </c>
      <c r="N12" s="562">
        <f>+'[2]POR 04-99'!P1386</f>
        <v>1504.2684925000001</v>
      </c>
      <c r="O12" s="279"/>
      <c r="P12" s="217"/>
      <c r="Q12" s="275"/>
    </row>
    <row r="13" spans="1:18" ht="12" customHeight="1">
      <c r="A13" s="217" t="s">
        <v>25</v>
      </c>
      <c r="B13" s="561">
        <f t="shared" si="0"/>
        <v>6484.0527763000009</v>
      </c>
      <c r="C13" s="562">
        <f>+'[2]POR 04-99'!E1389</f>
        <v>469.48852425000007</v>
      </c>
      <c r="D13" s="562">
        <f>+'[2]POR 04-99'!F1389</f>
        <v>506.96322442499991</v>
      </c>
      <c r="E13" s="562">
        <f>+'[2]POR 04-99'!G1389</f>
        <v>524.08817399999998</v>
      </c>
      <c r="F13" s="562">
        <f>+'[2]POR 04-99'!H1389</f>
        <v>528.74220000000003</v>
      </c>
      <c r="G13" s="562">
        <f>+'[2]POR 04-99'!I1389</f>
        <v>568.53254850000008</v>
      </c>
      <c r="H13" s="562">
        <f>+'[2]POR 04-99'!J1389</f>
        <v>575.17404944999998</v>
      </c>
      <c r="I13" s="562">
        <f>+'[2]POR 04-99'!K1389</f>
        <v>575.794884475</v>
      </c>
      <c r="J13" s="562">
        <f>+'[2]POR 04-99'!L1389</f>
        <v>549.06284994999999</v>
      </c>
      <c r="K13" s="562">
        <f>+'[2]POR 04-99'!M1389</f>
        <v>556.91069975000005</v>
      </c>
      <c r="L13" s="562">
        <f>+'[2]POR 04-99'!N1389</f>
        <v>524.22540449999997</v>
      </c>
      <c r="M13" s="562">
        <f>+'[2]POR 04-99'!O1389</f>
        <v>540.6175874999999</v>
      </c>
      <c r="N13" s="562">
        <f>+'[2]POR 04-99'!P1389</f>
        <v>564.45262950000006</v>
      </c>
      <c r="O13" s="279"/>
      <c r="P13" s="217"/>
      <c r="Q13" s="275"/>
    </row>
    <row r="14" spans="1:18" ht="12" customHeight="1">
      <c r="A14" s="226" t="s">
        <v>107</v>
      </c>
      <c r="B14" s="561">
        <f t="shared" si="0"/>
        <v>2349.0959188000002</v>
      </c>
      <c r="C14" s="562">
        <f>+'[2]POR 04-99'!E1392</f>
        <v>180.17002425000004</v>
      </c>
      <c r="D14" s="562">
        <f>+'[2]POR 04-99'!F1392</f>
        <v>187.19659942499999</v>
      </c>
      <c r="E14" s="562">
        <f>+'[2]POR 04-99'!G1392</f>
        <v>202.94229900000002</v>
      </c>
      <c r="F14" s="562">
        <f>+'[2]POR 04-99'!H1392</f>
        <v>184.46355</v>
      </c>
      <c r="G14" s="562">
        <f>+'[2]POR 04-99'!I1392</f>
        <v>185.53949850000001</v>
      </c>
      <c r="H14" s="562">
        <f>+'[2]POR 04-99'!J1392</f>
        <v>188.67797445000002</v>
      </c>
      <c r="I14" s="562">
        <f>+'[2]POR 04-99'!K1392</f>
        <v>205.499699475</v>
      </c>
      <c r="J14" s="562">
        <f>+'[2]POR 04-99'!L1392</f>
        <v>191.17002494999997</v>
      </c>
      <c r="K14" s="562">
        <f>+'[2]POR 04-99'!M1392</f>
        <v>206.71194974999997</v>
      </c>
      <c r="L14" s="562">
        <f>+'[2]POR 04-99'!N1392</f>
        <v>197.1717495</v>
      </c>
      <c r="M14" s="562">
        <f>+'[2]POR 04-99'!O1392</f>
        <v>205.21</v>
      </c>
      <c r="N14" s="562">
        <f>+'[2]POR 04-99'!P1392</f>
        <v>214.34254950000002</v>
      </c>
      <c r="O14" s="279"/>
      <c r="P14" s="217"/>
      <c r="Q14" s="275"/>
    </row>
    <row r="15" spans="1:18" ht="12" customHeight="1">
      <c r="A15" s="226" t="s">
        <v>108</v>
      </c>
      <c r="B15" s="561">
        <f t="shared" si="0"/>
        <v>2319.7905000000001</v>
      </c>
      <c r="C15" s="562">
        <f>+'[2]POR 04-99'!E1395</f>
        <v>146.48100000000002</v>
      </c>
      <c r="D15" s="562">
        <f>+'[2]POR 04-99'!F1395</f>
        <v>181.53974999999997</v>
      </c>
      <c r="E15" s="562">
        <f>+'[2]POR 04-99'!G1395</f>
        <v>160.22024999999999</v>
      </c>
      <c r="F15" s="562">
        <f>+'[2]POR 04-99'!H1395</f>
        <v>180.07875000000001</v>
      </c>
      <c r="G15" s="562">
        <f>+'[2]POR 04-99'!I1395</f>
        <v>204.72975000000005</v>
      </c>
      <c r="H15" s="562">
        <f>+'[2]POR 04-99'!J1395</f>
        <v>209.34300000000002</v>
      </c>
      <c r="I15" s="562">
        <f>+'[2]POR 04-99'!K1395</f>
        <v>210.25</v>
      </c>
      <c r="J15" s="562">
        <f>+'[2]POR 04-99'!L1395</f>
        <v>208.45599999999999</v>
      </c>
      <c r="K15" s="562">
        <f>+'[2]POR 04-99'!M1395</f>
        <v>207.56</v>
      </c>
      <c r="L15" s="562">
        <f>+'[2]POR 04-99'!N1395</f>
        <v>205.32</v>
      </c>
      <c r="M15" s="562">
        <f>+'[2]POR 04-99'!O1395</f>
        <v>202.334</v>
      </c>
      <c r="N15" s="562">
        <f>+'[2]POR 04-99'!P1395</f>
        <v>203.47800000000001</v>
      </c>
      <c r="O15" s="279"/>
      <c r="P15" s="217"/>
      <c r="Q15" s="275"/>
    </row>
    <row r="16" spans="1:18" ht="12" customHeight="1">
      <c r="A16" s="226" t="s">
        <v>109</v>
      </c>
      <c r="B16" s="561">
        <f t="shared" si="0"/>
        <v>1815.1663574999998</v>
      </c>
      <c r="C16" s="562">
        <f>+'[2]POR 04-99'!E1398</f>
        <v>142.83750000000001</v>
      </c>
      <c r="D16" s="562">
        <f>+'[2]POR 04-99'!F1398</f>
        <v>138.22687499999995</v>
      </c>
      <c r="E16" s="562">
        <f>+'[2]POR 04-99'!G1398</f>
        <v>160.92562500000003</v>
      </c>
      <c r="F16" s="562">
        <f>+'[2]POR 04-99'!H1398</f>
        <v>164.19990000000001</v>
      </c>
      <c r="G16" s="562">
        <f>+'[2]POR 04-99'!I1398</f>
        <v>178.26330000000002</v>
      </c>
      <c r="H16" s="562">
        <f>+'[2]POR 04-99'!J1398</f>
        <v>177.153075</v>
      </c>
      <c r="I16" s="562">
        <f>+'[2]POR 04-99'!K1398</f>
        <v>160.045185</v>
      </c>
      <c r="J16" s="562">
        <f>+'[2]POR 04-99'!L1398</f>
        <v>149.436825</v>
      </c>
      <c r="K16" s="562">
        <f>+'[2]POR 04-99'!M1398</f>
        <v>142.63875000000002</v>
      </c>
      <c r="L16" s="562">
        <f>+'[2]POR 04-99'!N1398</f>
        <v>121.733655</v>
      </c>
      <c r="M16" s="562">
        <f>+'[2]POR 04-99'!O1398</f>
        <v>133.07358749999997</v>
      </c>
      <c r="N16" s="562">
        <f>+'[2]POR 04-99'!P1398</f>
        <v>146.63207999999997</v>
      </c>
      <c r="O16" s="279"/>
      <c r="P16" s="217"/>
      <c r="Q16" s="275"/>
    </row>
    <row r="17" spans="1:17" ht="12" customHeight="1">
      <c r="A17" s="290" t="s">
        <v>29</v>
      </c>
      <c r="B17" s="561">
        <f t="shared" si="0"/>
        <v>1806.4132499999998</v>
      </c>
      <c r="C17" s="562">
        <f>+'[2]POR 04-99'!E1401</f>
        <v>145.80525</v>
      </c>
      <c r="D17" s="562">
        <f>+'[2]POR 04-99'!F1401</f>
        <v>152.24250000000001</v>
      </c>
      <c r="E17" s="562">
        <f>+'[2]POR 04-99'!G1401</f>
        <v>145.88175000000001</v>
      </c>
      <c r="F17" s="562">
        <f>+'[2]POR 04-99'!H1401</f>
        <v>138.64574999999999</v>
      </c>
      <c r="G17" s="562">
        <f>+'[2]POR 04-99'!I1401</f>
        <v>144.93900000000002</v>
      </c>
      <c r="H17" s="562">
        <f>+'[2]POR 04-99'!J1401</f>
        <v>147.41024999999999</v>
      </c>
      <c r="I17" s="562">
        <f>+'[2]POR 04-99'!K1401</f>
        <v>148.86525</v>
      </c>
      <c r="J17" s="562">
        <f>+'[2]POR 04-99'!L1401</f>
        <v>150.94725</v>
      </c>
      <c r="K17" s="562">
        <f>+'[2]POR 04-99'!M1401</f>
        <v>151.65674999999999</v>
      </c>
      <c r="L17" s="562">
        <f>+'[2]POR 04-99'!N1401</f>
        <v>150.61875000000003</v>
      </c>
      <c r="M17" s="562">
        <f>+'[2]POR 04-99'!O1401</f>
        <v>153.24</v>
      </c>
      <c r="N17" s="562">
        <f>+'[2]POR 04-99'!P1401</f>
        <v>176.16075000000001</v>
      </c>
      <c r="O17" s="279"/>
      <c r="P17" s="217"/>
      <c r="Q17" s="275"/>
    </row>
    <row r="18" spans="1:17" ht="12" customHeight="1">
      <c r="A18" s="213" t="s">
        <v>30</v>
      </c>
      <c r="B18" s="561">
        <f t="shared" si="0"/>
        <v>1593.1629041466049</v>
      </c>
      <c r="C18" s="562">
        <f>+'[2]POR 04-99'!E1404</f>
        <v>148.87126599999999</v>
      </c>
      <c r="D18" s="562">
        <f>+'[2]POR 04-99'!F1404</f>
        <v>144.19999999999999</v>
      </c>
      <c r="E18" s="562">
        <f>+'[2]POR 04-99'!G1404</f>
        <v>152.771266</v>
      </c>
      <c r="F18" s="562">
        <f>+'[2]POR 04-99'!H1404</f>
        <v>148.78</v>
      </c>
      <c r="G18" s="562">
        <f>+'[2]POR 04-99'!I1404</f>
        <v>144.67332014660499</v>
      </c>
      <c r="H18" s="562">
        <f>+'[2]POR 04-99'!J1404</f>
        <v>148.28</v>
      </c>
      <c r="I18" s="562">
        <f>+'[2]POR 04-99'!K1404</f>
        <v>120.04600000000001</v>
      </c>
      <c r="J18" s="562">
        <f>+'[2]POR 04-99'!L1404</f>
        <v>112.874</v>
      </c>
      <c r="K18" s="562">
        <f>+'[2]POR 04-99'!M1404</f>
        <v>113.8974</v>
      </c>
      <c r="L18" s="562">
        <f>+'[2]POR 04-99'!N1404</f>
        <v>119.18015200000001</v>
      </c>
      <c r="M18" s="562">
        <f>+'[2]POR 04-99'!O1404</f>
        <v>114.12949999999999</v>
      </c>
      <c r="N18" s="562">
        <f>+'[2]POR 04-99'!P1404</f>
        <v>125.46</v>
      </c>
      <c r="O18" s="279"/>
      <c r="P18" s="217"/>
      <c r="Q18" s="275"/>
    </row>
    <row r="19" spans="1:17" ht="12" customHeight="1">
      <c r="A19" s="213" t="s">
        <v>31</v>
      </c>
      <c r="B19" s="561">
        <f t="shared" si="0"/>
        <v>74812.55935000001</v>
      </c>
      <c r="C19" s="562">
        <f>+'[2]POR 04-99'!E1407</f>
        <v>5900.0145000000002</v>
      </c>
      <c r="D19" s="562">
        <f>+'[2]POR 04-99'!F1407</f>
        <v>5828.8404499999997</v>
      </c>
      <c r="E19" s="562">
        <f>+'[2]POR 04-99'!G1407</f>
        <v>5803.5079875000001</v>
      </c>
      <c r="F19" s="562">
        <f>+'[2]POR 04-99'!H1407</f>
        <v>5897.7857999999997</v>
      </c>
      <c r="G19" s="562">
        <f>+'[2]POR 04-99'!I1407</f>
        <v>5871.9690499999997</v>
      </c>
      <c r="H19" s="562">
        <f>+'[2]POR 04-99'!J1407</f>
        <v>6027.3135000000002</v>
      </c>
      <c r="I19" s="562">
        <f>+'[2]POR 04-99'!K1407</f>
        <v>6816.3063999999995</v>
      </c>
      <c r="J19" s="562">
        <f>+'[2]POR 04-99'!L1407</f>
        <v>6013.4536000000007</v>
      </c>
      <c r="K19" s="562">
        <f>+'[2]POR 04-99'!M1407</f>
        <v>6230.6348250000001</v>
      </c>
      <c r="L19" s="562">
        <f>+'[2]POR 04-99'!N1407</f>
        <v>6250.1158624999998</v>
      </c>
      <c r="M19" s="562">
        <f>+'[2]POR 04-99'!O1407</f>
        <v>6333.2513250000011</v>
      </c>
      <c r="N19" s="562">
        <f>+'[2]POR 04-99'!P1407</f>
        <v>7839.3660499999996</v>
      </c>
      <c r="O19" s="279"/>
      <c r="P19" s="217"/>
      <c r="Q19" s="275"/>
    </row>
    <row r="20" spans="1:17" ht="12" customHeight="1">
      <c r="A20" s="290" t="s">
        <v>32</v>
      </c>
      <c r="B20" s="561">
        <f t="shared" si="0"/>
        <v>11483.84827</v>
      </c>
      <c r="C20" s="562">
        <f>+'[2]POR 04-99'!E1410</f>
        <v>862.45858500000008</v>
      </c>
      <c r="D20" s="562">
        <f>+'[2]POR 04-99'!F1410</f>
        <v>838.47712499999989</v>
      </c>
      <c r="E20" s="562">
        <f>+'[2]POR 04-99'!G1410</f>
        <v>889.78012500000011</v>
      </c>
      <c r="F20" s="562">
        <f>+'[2]POR 04-99'!H1410</f>
        <v>741.86227499999995</v>
      </c>
      <c r="G20" s="562">
        <f>+'[2]POR 04-99'!I1410</f>
        <v>766.67404499999998</v>
      </c>
      <c r="H20" s="562">
        <f>+'[2]POR 04-99'!J1410</f>
        <v>1102.0670999999998</v>
      </c>
      <c r="I20" s="562">
        <f>+'[2]POR 04-99'!K1410</f>
        <v>1298.24172</v>
      </c>
      <c r="J20" s="562">
        <f>+'[2]POR 04-99'!L1410</f>
        <v>1201.3078499999997</v>
      </c>
      <c r="K20" s="562">
        <f>+'[2]POR 04-99'!M1410</f>
        <v>984.32134500000006</v>
      </c>
      <c r="L20" s="562">
        <f>+'[2]POR 04-99'!N1410</f>
        <v>918.55137500000001</v>
      </c>
      <c r="M20" s="562">
        <f>+'[2]POR 04-99'!O1410</f>
        <v>971.75807499999996</v>
      </c>
      <c r="N20" s="562">
        <f>+'[2]POR 04-99'!P1410</f>
        <v>908.34865000000002</v>
      </c>
      <c r="O20" s="279"/>
      <c r="P20" s="217"/>
      <c r="Q20" s="275"/>
    </row>
    <row r="21" spans="1:17" ht="12" customHeight="1">
      <c r="A21" s="290" t="s">
        <v>33</v>
      </c>
      <c r="B21" s="561">
        <f t="shared" si="0"/>
        <v>8078.8584037499986</v>
      </c>
      <c r="C21" s="562">
        <f>+'[2]POR 04-99'!E1413</f>
        <v>435.48974999999967</v>
      </c>
      <c r="D21" s="562">
        <f>+'[2]POR 04-99'!F1413</f>
        <v>391.40174999999999</v>
      </c>
      <c r="E21" s="562">
        <f>+'[2]POR 04-99'!G1413</f>
        <v>565.6875</v>
      </c>
      <c r="F21" s="562">
        <f>+'[2]POR 04-99'!H1413</f>
        <v>601.48869375000004</v>
      </c>
      <c r="G21" s="562">
        <f>+'[2]POR 04-99'!I1413</f>
        <v>653.77499999999975</v>
      </c>
      <c r="H21" s="562">
        <f>+'[2]POR 04-99'!J1413</f>
        <v>951.91274999999973</v>
      </c>
      <c r="I21" s="562">
        <f>+'[2]POR 04-99'!K1413</f>
        <v>836.4067500000001</v>
      </c>
      <c r="J21" s="562">
        <f>+'[2]POR 04-99'!L1413</f>
        <v>837.90112499999987</v>
      </c>
      <c r="K21" s="562">
        <f>+'[2]POR 04-99'!M1413</f>
        <v>781.64925000000017</v>
      </c>
      <c r="L21" s="562">
        <f>+'[2]POR 04-99'!N1413</f>
        <v>792.73998749999964</v>
      </c>
      <c r="M21" s="562">
        <f>+'[2]POR 04-99'!O1413</f>
        <v>558.81225000000018</v>
      </c>
      <c r="N21" s="562">
        <f>+'[2]POR 04-99'!P1413</f>
        <v>671.59359749999999</v>
      </c>
      <c r="O21" s="279"/>
      <c r="P21" s="217"/>
      <c r="Q21" s="275"/>
    </row>
    <row r="22" spans="1:17" ht="12" customHeight="1">
      <c r="A22" s="290" t="s">
        <v>34</v>
      </c>
      <c r="B22" s="561">
        <f t="shared" si="0"/>
        <v>1327.9673250000001</v>
      </c>
      <c r="C22" s="562">
        <f>+'[2]POR 04-99'!E1416</f>
        <v>61.408177500000008</v>
      </c>
      <c r="D22" s="562">
        <f>+'[2]POR 04-99'!F1416</f>
        <v>78.325387500000005</v>
      </c>
      <c r="E22" s="562">
        <f>+'[2]POR 04-99'!G1416</f>
        <v>98.613989999999973</v>
      </c>
      <c r="F22" s="562">
        <f>+'[2]POR 04-99'!H1416</f>
        <v>117.19967249999999</v>
      </c>
      <c r="G22" s="562">
        <f>+'[2]POR 04-99'!I1416</f>
        <v>134.86891500000002</v>
      </c>
      <c r="H22" s="562">
        <f>+'[2]POR 04-99'!J1416</f>
        <v>161.07583499999998</v>
      </c>
      <c r="I22" s="562">
        <f>+'[2]POR 04-99'!K1416</f>
        <v>163.18451250000001</v>
      </c>
      <c r="J22" s="562">
        <f>+'[2]POR 04-99'!L1416</f>
        <v>135.56894999999997</v>
      </c>
      <c r="K22" s="562">
        <f>+'[2]POR 04-99'!M1416</f>
        <v>111.75279749999997</v>
      </c>
      <c r="L22" s="562">
        <f>+'[2]POR 04-99'!N1416</f>
        <v>88.64009249999998</v>
      </c>
      <c r="M22" s="562">
        <f>+'[2]POR 04-99'!O1416</f>
        <v>77.616502499999996</v>
      </c>
      <c r="N22" s="562">
        <f>+'[2]POR 04-99'!P1416</f>
        <v>99.71249250000001</v>
      </c>
      <c r="O22" s="279"/>
      <c r="P22" s="217"/>
      <c r="Q22" s="275"/>
    </row>
    <row r="23" spans="1:17" ht="12" customHeight="1">
      <c r="A23" s="290" t="s">
        <v>35</v>
      </c>
      <c r="B23" s="561">
        <f t="shared" si="0"/>
        <v>4855.243594339051</v>
      </c>
      <c r="C23" s="562">
        <f>+'[2]POR 04-99'!E1419</f>
        <v>394.70700000000005</v>
      </c>
      <c r="D23" s="562">
        <f>+'[2]POR 04-99'!F1419</f>
        <v>402.4905</v>
      </c>
      <c r="E23" s="562">
        <f>+'[2]POR 04-99'!G1419</f>
        <v>408.16500000000002</v>
      </c>
      <c r="F23" s="562">
        <f>+'[2]POR 04-99'!H1419</f>
        <v>392.50799999999992</v>
      </c>
      <c r="G23" s="562">
        <f>+'[2]POR 04-99'!I1419</f>
        <v>414.18073949266045</v>
      </c>
      <c r="H23" s="562">
        <f>+'[2]POR 04-99'!J1419</f>
        <v>417.78224999999998</v>
      </c>
      <c r="I23" s="562">
        <f>+'[2]POR 04-99'!K1419</f>
        <v>412.70325000000003</v>
      </c>
      <c r="J23" s="562">
        <f>+'[2]POR 04-99'!L1419</f>
        <v>393.61725000000001</v>
      </c>
      <c r="K23" s="562">
        <f>+'[2]POR 04-99'!M1419</f>
        <v>393.63975000000005</v>
      </c>
      <c r="L23" s="562">
        <f>+'[2]POR 04-99'!N1419</f>
        <v>395.35500000000008</v>
      </c>
      <c r="M23" s="562">
        <f>+'[2]POR 04-99'!O1419</f>
        <v>388.88849999999991</v>
      </c>
      <c r="N23" s="562">
        <f>+'[2]POR 04-99'!P1419</f>
        <v>441.20635484639104</v>
      </c>
      <c r="O23" s="279"/>
      <c r="P23" s="217"/>
      <c r="Q23" s="275"/>
    </row>
    <row r="24" spans="1:17" ht="12" customHeight="1">
      <c r="A24" s="290" t="s">
        <v>36</v>
      </c>
      <c r="B24" s="561">
        <f t="shared" si="0"/>
        <v>1632.705938325</v>
      </c>
      <c r="C24" s="562">
        <f>+'[2]POR 04-99'!E1422</f>
        <v>121.98779250000005</v>
      </c>
      <c r="D24" s="562">
        <f>+'[2]POR 04-99'!F1422</f>
        <v>121.17335250000006</v>
      </c>
      <c r="E24" s="562">
        <f>+'[2]POR 04-99'!G1422</f>
        <v>123.89944499999994</v>
      </c>
      <c r="F24" s="562">
        <f>+'[2]POR 04-99'!H1422</f>
        <v>136.61054999999999</v>
      </c>
      <c r="G24" s="562">
        <f>+'[2]POR 04-99'!I1422</f>
        <v>140.55660749999998</v>
      </c>
      <c r="H24" s="562">
        <f>+'[2]POR 04-99'!J1422</f>
        <v>139.28341732499999</v>
      </c>
      <c r="I24" s="562">
        <f>+'[2]POR 04-99'!K1422</f>
        <v>132.87647999999996</v>
      </c>
      <c r="J24" s="562">
        <f>+'[2]POR 04-99'!L1422</f>
        <v>133.44403499999999</v>
      </c>
      <c r="K24" s="562">
        <f>+'[2]POR 04-99'!M1422</f>
        <v>139.6877025</v>
      </c>
      <c r="L24" s="562">
        <f>+'[2]POR 04-99'!N1422</f>
        <v>142.111986</v>
      </c>
      <c r="M24" s="562">
        <f>+'[2]POR 04-99'!O1422</f>
        <v>139.11318000000003</v>
      </c>
      <c r="N24" s="562">
        <f>+'[2]POR 04-99'!P1422</f>
        <v>161.96139000000002</v>
      </c>
      <c r="O24" s="279"/>
      <c r="P24" s="217"/>
      <c r="Q24" s="275"/>
    </row>
    <row r="25" spans="1:17" ht="12" customHeight="1">
      <c r="A25" s="213" t="s">
        <v>37</v>
      </c>
      <c r="B25" s="561">
        <f t="shared" si="0"/>
        <v>11061.487000000003</v>
      </c>
      <c r="C25" s="562">
        <f>+'[2]POR 04-99'!E1425</f>
        <v>926.08400000000029</v>
      </c>
      <c r="D25" s="562">
        <f>+'[2]POR 04-99'!F1425</f>
        <v>925.44099999999992</v>
      </c>
      <c r="E25" s="562">
        <f>+'[2]POR 04-99'!G1425</f>
        <v>927.39599999999996</v>
      </c>
      <c r="F25" s="562">
        <f>+'[2]POR 04-99'!H1425</f>
        <v>901.90200000000016</v>
      </c>
      <c r="G25" s="562">
        <f>+'[2]POR 04-99'!I1425</f>
        <v>912.02199999999993</v>
      </c>
      <c r="H25" s="562">
        <f>+'[2]POR 04-99'!J1425</f>
        <v>915.62300000000016</v>
      </c>
      <c r="I25" s="562">
        <f>+'[2]POR 04-99'!K1425</f>
        <v>920.72100000000012</v>
      </c>
      <c r="J25" s="562">
        <f>+'[2]POR 04-99'!L1425</f>
        <v>919.11099999999976</v>
      </c>
      <c r="K25" s="562">
        <f>+'[2]POR 04-99'!M1425</f>
        <v>917.91099999999994</v>
      </c>
      <c r="L25" s="562">
        <f>+'[2]POR 04-99'!N1425</f>
        <v>924.67400000000009</v>
      </c>
      <c r="M25" s="562">
        <f>+'[2]POR 04-99'!O1425</f>
        <v>929.69899999999996</v>
      </c>
      <c r="N25" s="562">
        <f>+'[2]POR 04-99'!P1425</f>
        <v>940.90300000000013</v>
      </c>
      <c r="O25" s="279"/>
      <c r="P25" s="217"/>
      <c r="Q25" s="275"/>
    </row>
    <row r="26" spans="1:17" ht="12" customHeight="1">
      <c r="A26" s="290" t="s">
        <v>38</v>
      </c>
      <c r="B26" s="561">
        <f t="shared" si="0"/>
        <v>1163.1133</v>
      </c>
      <c r="C26" s="562">
        <f>+'[2]POR 04-99'!E1428</f>
        <v>112.7</v>
      </c>
      <c r="D26" s="562">
        <f>+'[2]POR 04-99'!F1428</f>
        <v>110.33499999999999</v>
      </c>
      <c r="E26" s="562">
        <f>+'[2]POR 04-99'!G1428</f>
        <v>79.572999999999993</v>
      </c>
      <c r="F26" s="562">
        <f>+'[2]POR 04-99'!H1428</f>
        <v>95.68</v>
      </c>
      <c r="G26" s="562">
        <f>+'[2]POR 04-99'!I1428</f>
        <v>98.483249999999998</v>
      </c>
      <c r="H26" s="562">
        <f>+'[2]POR 04-99'!J1428</f>
        <v>90.795000000000002</v>
      </c>
      <c r="I26" s="562">
        <f>+'[2]POR 04-99'!K1428</f>
        <v>99.932699999999983</v>
      </c>
      <c r="J26" s="562">
        <f>+'[2]POR 04-99'!L1428</f>
        <v>97.812399999999997</v>
      </c>
      <c r="K26" s="562">
        <f>+'[2]POR 04-99'!M1428</f>
        <v>93.0916</v>
      </c>
      <c r="L26" s="562">
        <f>+'[2]POR 04-99'!N1428</f>
        <v>93.129099999999994</v>
      </c>
      <c r="M26" s="562">
        <f>+'[2]POR 04-99'!O1428</f>
        <v>81.123750000000001</v>
      </c>
      <c r="N26" s="562">
        <f>+'[2]POR 04-99'!P1428</f>
        <v>110.4575</v>
      </c>
      <c r="O26" s="279"/>
      <c r="P26" s="217"/>
      <c r="Q26" s="275"/>
    </row>
    <row r="27" spans="1:17" ht="12" customHeight="1">
      <c r="A27" s="290" t="s">
        <v>39</v>
      </c>
      <c r="B27" s="561">
        <f t="shared" si="0"/>
        <v>2707.4242499999996</v>
      </c>
      <c r="C27" s="562">
        <f>+'[2]POR 04-99'!E1431</f>
        <v>204.56849999999997</v>
      </c>
      <c r="D27" s="562">
        <f>+'[2]POR 04-99'!F1431</f>
        <v>226.19250000000002</v>
      </c>
      <c r="E27" s="562">
        <f>+'[2]POR 04-99'!G1431</f>
        <v>224.65125</v>
      </c>
      <c r="F27" s="562">
        <f>+'[2]POR 04-99'!H1431</f>
        <v>218.19</v>
      </c>
      <c r="G27" s="562">
        <f>+'[2]POR 04-99'!I1431</f>
        <v>223.63500000000005</v>
      </c>
      <c r="H27" s="562">
        <f>+'[2]POR 04-99'!J1431</f>
        <v>225.13574999999997</v>
      </c>
      <c r="I27" s="562">
        <f>+'[2]POR 04-99'!K1431</f>
        <v>226.80749999999998</v>
      </c>
      <c r="J27" s="562">
        <f>+'[2]POR 04-99'!L1431</f>
        <v>223.75875000000002</v>
      </c>
      <c r="K27" s="562">
        <f>+'[2]POR 04-99'!M1431</f>
        <v>215.8125</v>
      </c>
      <c r="L27" s="562">
        <f>+'[2]POR 04-99'!N1431</f>
        <v>228.99</v>
      </c>
      <c r="M27" s="562">
        <f>+'[2]POR 04-99'!O1431</f>
        <v>238.04249999999999</v>
      </c>
      <c r="N27" s="562">
        <f>+'[2]POR 04-99'!P1431</f>
        <v>251.64</v>
      </c>
      <c r="O27" s="279"/>
      <c r="P27" s="217"/>
      <c r="Q27" s="275"/>
    </row>
    <row r="28" spans="1:17" ht="12" customHeight="1">
      <c r="A28" s="290" t="s">
        <v>40</v>
      </c>
      <c r="B28" s="561">
        <f t="shared" si="0"/>
        <v>2757.4312499999996</v>
      </c>
      <c r="C28" s="562">
        <f>+'[2]POR 04-99'!E1434</f>
        <v>171.62925000000001</v>
      </c>
      <c r="D28" s="562">
        <f>+'[2]POR 04-99'!F1434</f>
        <v>201.79349999999999</v>
      </c>
      <c r="E28" s="562">
        <f>+'[2]POR 04-99'!G1434</f>
        <v>254.91300000000001</v>
      </c>
      <c r="F28" s="562">
        <f>+'[2]POR 04-99'!H1434</f>
        <v>271.36500000000001</v>
      </c>
      <c r="G28" s="562">
        <f>+'[2]POR 04-99'!I1434</f>
        <v>256.59749999999997</v>
      </c>
      <c r="H28" s="562">
        <f>+'[2]POR 04-99'!J1434</f>
        <v>241.09424999999999</v>
      </c>
      <c r="I28" s="562">
        <f>+'[2]POR 04-99'!K1434</f>
        <v>265.6995</v>
      </c>
      <c r="J28" s="562">
        <f>+'[2]POR 04-99'!L1434</f>
        <v>252.38925</v>
      </c>
      <c r="K28" s="562">
        <f>+'[2]POR 04-99'!M1434</f>
        <v>192.82575</v>
      </c>
      <c r="L28" s="562">
        <f>+'[2]POR 04-99'!N1434</f>
        <v>187.45574999999999</v>
      </c>
      <c r="M28" s="562">
        <f>+'[2]POR 04-99'!O1434</f>
        <v>210.99224999999998</v>
      </c>
      <c r="N28" s="562">
        <f>+'[2]POR 04-99'!P1434</f>
        <v>250.67625000000001</v>
      </c>
      <c r="O28" s="279"/>
      <c r="P28" s="217"/>
      <c r="Q28" s="275"/>
    </row>
    <row r="29" spans="1:17" ht="12" customHeight="1">
      <c r="A29" s="217" t="s">
        <v>41</v>
      </c>
      <c r="B29" s="561">
        <f t="shared" si="0"/>
        <v>2774.9179999999997</v>
      </c>
      <c r="C29" s="562">
        <f>+'[2]POR 04-99'!E1437</f>
        <v>229.4</v>
      </c>
      <c r="D29" s="562">
        <f>+'[2]POR 04-99'!F1437</f>
        <v>223.23000000000002</v>
      </c>
      <c r="E29" s="562">
        <f>+'[2]POR 04-99'!G1437</f>
        <v>229.99</v>
      </c>
      <c r="F29" s="562">
        <f>+'[2]POR 04-99'!H1437</f>
        <v>230.89</v>
      </c>
      <c r="G29" s="562">
        <f>+'[2]POR 04-99'!I1437</f>
        <v>231.26</v>
      </c>
      <c r="H29" s="562">
        <f>+'[2]POR 04-99'!J1437</f>
        <v>231.68099999999998</v>
      </c>
      <c r="I29" s="562">
        <f>+'[2]POR 04-99'!K1437</f>
        <v>235.35000000000002</v>
      </c>
      <c r="J29" s="562">
        <f>+'[2]POR 04-99'!L1437</f>
        <v>231.72</v>
      </c>
      <c r="K29" s="562">
        <f>+'[2]POR 04-99'!M1437</f>
        <v>232.26</v>
      </c>
      <c r="L29" s="562">
        <f>+'[2]POR 04-99'!N1437</f>
        <v>230.99700000000001</v>
      </c>
      <c r="M29" s="562">
        <f>+'[2]POR 04-99'!O1437</f>
        <v>233.13</v>
      </c>
      <c r="N29" s="562">
        <f>+'[2]POR 04-99'!P1437</f>
        <v>235.01</v>
      </c>
      <c r="O29" s="279"/>
      <c r="P29" s="217"/>
      <c r="Q29" s="275"/>
    </row>
    <row r="30" spans="1:17" ht="12" customHeight="1">
      <c r="A30" s="226" t="s">
        <v>111</v>
      </c>
      <c r="B30" s="561">
        <f t="shared" si="0"/>
        <v>947.63400000000013</v>
      </c>
      <c r="C30" s="562">
        <f>+'[2]POR 04-99'!E1440</f>
        <v>80.25</v>
      </c>
      <c r="D30" s="562">
        <f>+'[2]POR 04-99'!F1440</f>
        <v>77.680000000000007</v>
      </c>
      <c r="E30" s="562">
        <f>+'[2]POR 04-99'!G1440</f>
        <v>77.52</v>
      </c>
      <c r="F30" s="562">
        <f>+'[2]POR 04-99'!H1440</f>
        <v>77.849999999999994</v>
      </c>
      <c r="G30" s="562">
        <f>+'[2]POR 04-99'!I1440</f>
        <v>78.040000000000006</v>
      </c>
      <c r="H30" s="562">
        <f>+'[2]POR 04-99'!J1440</f>
        <v>78.224000000000004</v>
      </c>
      <c r="I30" s="562">
        <f>+'[2]POR 04-99'!K1440</f>
        <v>79.95</v>
      </c>
      <c r="J30" s="562">
        <f>+'[2]POR 04-99'!L1440</f>
        <v>79.25</v>
      </c>
      <c r="K30" s="562">
        <f>+'[2]POR 04-99'!M1440</f>
        <v>79.58</v>
      </c>
      <c r="L30" s="562">
        <f>+'[2]POR 04-99'!N1440</f>
        <v>78.95</v>
      </c>
      <c r="M30" s="562">
        <f>+'[2]POR 04-99'!O1440</f>
        <v>79.89</v>
      </c>
      <c r="N30" s="562">
        <f>+'[2]POR 04-99'!P1440</f>
        <v>80.45</v>
      </c>
      <c r="O30" s="279"/>
      <c r="P30" s="217"/>
      <c r="Q30" s="275"/>
    </row>
    <row r="31" spans="1:17" ht="12" customHeight="1">
      <c r="A31" s="226" t="s">
        <v>112</v>
      </c>
      <c r="B31" s="561">
        <f t="shared" si="0"/>
        <v>1827.2840000000001</v>
      </c>
      <c r="C31" s="562">
        <f>+'[2]POR 04-99'!E1443</f>
        <v>149.15</v>
      </c>
      <c r="D31" s="562">
        <f>+'[2]POR 04-99'!F1443</f>
        <v>145.55000000000001</v>
      </c>
      <c r="E31" s="562">
        <f>+'[2]POR 04-99'!G1443</f>
        <v>152.47</v>
      </c>
      <c r="F31" s="562">
        <f>+'[2]POR 04-99'!H1443</f>
        <v>153.04</v>
      </c>
      <c r="G31" s="562">
        <f>+'[2]POR 04-99'!I1443</f>
        <v>153.22</v>
      </c>
      <c r="H31" s="562">
        <f>+'[2]POR 04-99'!J1443</f>
        <v>153.45699999999999</v>
      </c>
      <c r="I31" s="562">
        <f>+'[2]POR 04-99'!K1443</f>
        <v>155.4</v>
      </c>
      <c r="J31" s="562">
        <f>+'[2]POR 04-99'!L1443</f>
        <v>152.47</v>
      </c>
      <c r="K31" s="562">
        <f>+'[2]POR 04-99'!M1443</f>
        <v>152.68</v>
      </c>
      <c r="L31" s="562">
        <f>+'[2]POR 04-99'!N1443</f>
        <v>152.047</v>
      </c>
      <c r="M31" s="562">
        <f>+'[2]POR 04-99'!O1443</f>
        <v>153.24</v>
      </c>
      <c r="N31" s="562">
        <f>+'[2]POR 04-99'!P1443</f>
        <v>154.56</v>
      </c>
      <c r="O31" s="279"/>
      <c r="P31" s="217"/>
      <c r="Q31" s="275"/>
    </row>
    <row r="32" spans="1:17" ht="12" customHeight="1">
      <c r="A32" s="290" t="s">
        <v>44</v>
      </c>
      <c r="B32" s="561">
        <f t="shared" si="0"/>
        <v>4946.2942500000017</v>
      </c>
      <c r="C32" s="562">
        <f>+'[2]POR 04-99'!E1446</f>
        <v>409.80150000000015</v>
      </c>
      <c r="D32" s="562">
        <f>+'[2]POR 04-99'!F1446</f>
        <v>410.99400000000014</v>
      </c>
      <c r="E32" s="562">
        <f>+'[2]POR 04-99'!G1446</f>
        <v>417.21150000000011</v>
      </c>
      <c r="F32" s="562">
        <f>+'[2]POR 04-99'!H1446</f>
        <v>416.92800000000022</v>
      </c>
      <c r="G32" s="562">
        <f>+'[2]POR 04-99'!I1446</f>
        <v>407.60850000000016</v>
      </c>
      <c r="H32" s="562">
        <f>+'[2]POR 04-99'!J1446</f>
        <v>403.78425000000016</v>
      </c>
      <c r="I32" s="562">
        <f>+'[2]POR 04-99'!K1446</f>
        <v>404.48100000000017</v>
      </c>
      <c r="J32" s="562">
        <f>+'[2]POR 04-99'!L1446</f>
        <v>413.65050000000019</v>
      </c>
      <c r="K32" s="562">
        <f>+'[2]POR 04-99'!M1446</f>
        <v>402.30675000000019</v>
      </c>
      <c r="L32" s="562">
        <f>+'[2]POR 04-99'!N1446</f>
        <v>431.31449999999995</v>
      </c>
      <c r="M32" s="562">
        <f>+'[2]POR 04-99'!O1446</f>
        <v>395.00549999999998</v>
      </c>
      <c r="N32" s="562">
        <f>+'[2]POR 04-99'!P1446</f>
        <v>433.20825000000008</v>
      </c>
      <c r="O32" s="279"/>
      <c r="P32" s="217"/>
      <c r="Q32" s="275"/>
    </row>
    <row r="33" spans="1:17" ht="12" customHeight="1">
      <c r="A33" s="290" t="s">
        <v>45</v>
      </c>
      <c r="B33" s="561">
        <f t="shared" si="0"/>
        <v>2578.83</v>
      </c>
      <c r="C33" s="562">
        <f>+'[2]POR 04-99'!E1449</f>
        <v>152.04499999999999</v>
      </c>
      <c r="D33" s="562">
        <f>+'[2]POR 04-99'!F1449</f>
        <v>192.27</v>
      </c>
      <c r="E33" s="562">
        <f>+'[2]POR 04-99'!G1449</f>
        <v>195.05500000000001</v>
      </c>
      <c r="F33" s="562">
        <f>+'[2]POR 04-99'!H1449</f>
        <v>272.23499999999996</v>
      </c>
      <c r="G33" s="562">
        <f>+'[2]POR 04-99'!I1449</f>
        <v>269.61500000000007</v>
      </c>
      <c r="H33" s="562">
        <f>+'[2]POR 04-99'!J1449</f>
        <v>267.39499999999998</v>
      </c>
      <c r="I33" s="562">
        <f>+'[2]POR 04-99'!K1449</f>
        <v>278.37000000000006</v>
      </c>
      <c r="J33" s="562">
        <f>+'[2]POR 04-99'!L1449</f>
        <v>234.79000000000005</v>
      </c>
      <c r="K33" s="562">
        <f>+'[2]POR 04-99'!M1449</f>
        <v>201.71</v>
      </c>
      <c r="L33" s="562">
        <f>+'[2]POR 04-99'!N1449</f>
        <v>174.43</v>
      </c>
      <c r="M33" s="562">
        <f>+'[2]POR 04-99'!O1449</f>
        <v>178.5</v>
      </c>
      <c r="N33" s="562">
        <f>+'[2]POR 04-99'!P1449</f>
        <v>162.41499999999996</v>
      </c>
      <c r="O33" s="279"/>
      <c r="P33" s="217"/>
      <c r="Q33" s="275"/>
    </row>
    <row r="34" spans="1:17" ht="12" customHeight="1">
      <c r="A34" s="213" t="s">
        <v>46</v>
      </c>
      <c r="B34" s="561">
        <f t="shared" si="0"/>
        <v>3034.0754999999999</v>
      </c>
      <c r="C34" s="562">
        <f>+'[2]POR 04-99'!E1452</f>
        <v>250.42724999999996</v>
      </c>
      <c r="D34" s="562">
        <f>+'[2]POR 04-99'!F1452</f>
        <v>236.56125000000006</v>
      </c>
      <c r="E34" s="562">
        <f>+'[2]POR 04-99'!G1452</f>
        <v>231.68775000000002</v>
      </c>
      <c r="F34" s="562">
        <f>+'[2]POR 04-99'!H1452</f>
        <v>245.76300000000003</v>
      </c>
      <c r="G34" s="562">
        <f>+'[2]POR 04-99'!I1452</f>
        <v>234.56249999999991</v>
      </c>
      <c r="H34" s="562">
        <f>+'[2]POR 04-99'!J1452</f>
        <v>268.61624999999998</v>
      </c>
      <c r="I34" s="562">
        <f>+'[2]POR 04-99'!K1452</f>
        <v>261.22949999999992</v>
      </c>
      <c r="J34" s="562">
        <f>+'[2]POR 04-99'!L1452</f>
        <v>234.41774999999993</v>
      </c>
      <c r="K34" s="562">
        <f>+'[2]POR 04-99'!M1452</f>
        <v>236.36700000000008</v>
      </c>
      <c r="L34" s="562">
        <f>+'[2]POR 04-99'!N1452</f>
        <v>252.66749999999999</v>
      </c>
      <c r="M34" s="562">
        <f>+'[2]POR 04-99'!O1452</f>
        <v>240.19425000000001</v>
      </c>
      <c r="N34" s="562">
        <f>+'[2]POR 04-99'!P1452</f>
        <v>341.58149999999995</v>
      </c>
      <c r="O34" s="279"/>
      <c r="P34" s="217"/>
      <c r="Q34" s="275"/>
    </row>
    <row r="35" spans="1:17" ht="12" customHeight="1">
      <c r="A35" s="213" t="s">
        <v>47</v>
      </c>
      <c r="B35" s="561">
        <f t="shared" si="0"/>
        <v>2717.8155000000002</v>
      </c>
      <c r="C35" s="562">
        <f>+'[2]POR 04-99'!E1455</f>
        <v>288.10800000000006</v>
      </c>
      <c r="D35" s="562">
        <f>+'[2]POR 04-99'!F1455</f>
        <v>240.16725000000005</v>
      </c>
      <c r="E35" s="562">
        <f>+'[2]POR 04-99'!G1455</f>
        <v>237.19200000000006</v>
      </c>
      <c r="F35" s="562">
        <f>+'[2]POR 04-99'!H1455</f>
        <v>234.84375</v>
      </c>
      <c r="G35" s="562">
        <f>+'[2]POR 04-99'!I1455</f>
        <v>216.59774999999993</v>
      </c>
      <c r="H35" s="562">
        <f>+'[2]POR 04-99'!J1455</f>
        <v>242.85599999999999</v>
      </c>
      <c r="I35" s="562">
        <f>+'[2]POR 04-99'!K1455</f>
        <v>258.04124999999999</v>
      </c>
      <c r="J35" s="562">
        <f>+'[2]POR 04-99'!L1455</f>
        <v>182.77799999999999</v>
      </c>
      <c r="K35" s="562">
        <f>+'[2]POR 04-99'!M1455</f>
        <v>187.34699999999998</v>
      </c>
      <c r="L35" s="562">
        <f>+'[2]POR 04-99'!N1455</f>
        <v>183.45824999999996</v>
      </c>
      <c r="M35" s="562">
        <f>+'[2]POR 04-99'!O1455</f>
        <v>188.37899999999999</v>
      </c>
      <c r="N35" s="562">
        <f>+'[2]POR 04-99'!P1455</f>
        <v>258.04725000000002</v>
      </c>
      <c r="O35" s="279"/>
      <c r="P35" s="217"/>
      <c r="Q35" s="275"/>
    </row>
    <row r="36" spans="1:17" ht="12" customHeight="1">
      <c r="A36" s="213" t="s">
        <v>48</v>
      </c>
      <c r="B36" s="561">
        <f t="shared" si="0"/>
        <v>848.07944210751236</v>
      </c>
      <c r="C36" s="562">
        <f>+'[2]POR 04-99'!E1458</f>
        <v>75.064999999999998</v>
      </c>
      <c r="D36" s="562">
        <f>+'[2]POR 04-99'!F1458</f>
        <v>72.90625</v>
      </c>
      <c r="E36" s="562">
        <f>+'[2]POR 04-99'!G1458</f>
        <v>72.667000000000002</v>
      </c>
      <c r="F36" s="562">
        <f>+'[2]POR 04-99'!H1458</f>
        <v>70.136200000000002</v>
      </c>
      <c r="G36" s="562">
        <f>+'[2]POR 04-99'!I1458</f>
        <v>69.566249999999997</v>
      </c>
      <c r="H36" s="562">
        <f>+'[2]POR 04-99'!J1458</f>
        <v>73.733059607512402</v>
      </c>
      <c r="I36" s="562">
        <f>+'[2]POR 04-99'!K1458</f>
        <v>68.7224875</v>
      </c>
      <c r="J36" s="562">
        <f>+'[2]POR 04-99'!L1458</f>
        <v>56.515887499999998</v>
      </c>
      <c r="K36" s="562">
        <f>+'[2]POR 04-99'!M1458</f>
        <v>57.55</v>
      </c>
      <c r="L36" s="562">
        <f>+'[2]POR 04-99'!N1458</f>
        <v>55.813017500000001</v>
      </c>
      <c r="M36" s="562">
        <f>+'[2]POR 04-99'!O1458</f>
        <v>68.95429</v>
      </c>
      <c r="N36" s="562">
        <f>+'[2]POR 04-99'!P1458</f>
        <v>106.45</v>
      </c>
      <c r="O36" s="279"/>
      <c r="P36" s="217"/>
      <c r="Q36" s="275"/>
    </row>
    <row r="37" spans="1:17" ht="12" customHeight="1" thickBot="1">
      <c r="A37" s="272" t="s">
        <v>49</v>
      </c>
      <c r="B37" s="563">
        <f t="shared" si="0"/>
        <v>1049.9527375</v>
      </c>
      <c r="C37" s="564">
        <f>+'[2]POR 04-99'!E1461</f>
        <v>93.740009999999998</v>
      </c>
      <c r="D37" s="564">
        <f>+'[2]POR 04-99'!F1461</f>
        <v>71.309992500000007</v>
      </c>
      <c r="E37" s="564">
        <f>+'[2]POR 04-99'!G1461</f>
        <v>80.570009999999996</v>
      </c>
      <c r="F37" s="564">
        <f>+'[2]POR 04-99'!H1461</f>
        <v>83.20000499999999</v>
      </c>
      <c r="G37" s="564">
        <f>+'[2]POR 04-99'!I1461</f>
        <v>88.969995000000011</v>
      </c>
      <c r="H37" s="564">
        <f>+'[2]POR 04-99'!J1461</f>
        <v>80.249999999999986</v>
      </c>
      <c r="I37" s="564">
        <f>+'[2]POR 04-99'!K1461</f>
        <v>99.646244999999993</v>
      </c>
      <c r="J37" s="564">
        <f>+'[2]POR 04-99'!L1461</f>
        <v>88.26624000000001</v>
      </c>
      <c r="K37" s="564">
        <f>+'[2]POR 04-99'!M1461</f>
        <v>93.520004999999998</v>
      </c>
      <c r="L37" s="564">
        <f>+'[2]POR 04-99'!N1461</f>
        <v>87.258997500000007</v>
      </c>
      <c r="M37" s="564">
        <f>+'[2]POR 04-99'!O1461</f>
        <v>89.649985000000001</v>
      </c>
      <c r="N37" s="564">
        <f>+'[2]POR 04-99'!P1461</f>
        <v>93.5712525</v>
      </c>
      <c r="O37" s="279"/>
      <c r="P37" s="217"/>
      <c r="Q37" s="275"/>
    </row>
    <row r="38" spans="1:17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17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17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17" ht="13" customHeight="1">
      <c r="A41" s="12"/>
    </row>
    <row r="42" spans="1:17" ht="13" customHeight="1">
      <c r="A42" s="141"/>
    </row>
    <row r="43" spans="1:17" ht="13" customHeight="1">
      <c r="A43" s="191"/>
    </row>
    <row r="44" spans="1:17" ht="13" customHeight="1">
      <c r="A44" s="31"/>
    </row>
    <row r="45" spans="1:17" ht="13" customHeight="1">
      <c r="A45" s="58"/>
    </row>
    <row r="46" spans="1:17" ht="13" customHeight="1">
      <c r="A46" s="31"/>
    </row>
    <row r="47" spans="1:17" ht="13" customHeight="1">
      <c r="A47" s="141"/>
    </row>
    <row r="48" spans="1:17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Hoja59">
    <tabColor theme="9" tint="0.59999389629810485"/>
  </sheetPr>
  <dimension ref="A4:R5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23" customWidth="1"/>
    <col min="3" max="14" width="8.59765625" style="223" customWidth="1"/>
    <col min="15" max="16384" width="7" style="213"/>
  </cols>
  <sheetData>
    <row r="4" spans="1:18" ht="13" customHeight="1">
      <c r="A4" s="511" t="s">
        <v>394</v>
      </c>
      <c r="B4" s="507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Q4" s="289"/>
    </row>
    <row r="5" spans="1:18" ht="13" customHeight="1">
      <c r="A5" s="514" t="s">
        <v>595</v>
      </c>
      <c r="B5" s="507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Q5" s="289"/>
    </row>
    <row r="6" spans="1:18" ht="5" customHeight="1" thickBot="1"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P6" s="217"/>
      <c r="Q6" s="216"/>
    </row>
    <row r="7" spans="1:18" ht="15" customHeight="1">
      <c r="A7" s="519" t="s">
        <v>18</v>
      </c>
      <c r="B7" s="522" t="s">
        <v>118</v>
      </c>
      <c r="C7" s="546" t="s">
        <v>57</v>
      </c>
      <c r="D7" s="546" t="s">
        <v>58</v>
      </c>
      <c r="E7" s="546" t="s">
        <v>59</v>
      </c>
      <c r="F7" s="546" t="s">
        <v>60</v>
      </c>
      <c r="G7" s="546" t="s">
        <v>61</v>
      </c>
      <c r="H7" s="546" t="s">
        <v>62</v>
      </c>
      <c r="I7" s="546" t="s">
        <v>63</v>
      </c>
      <c r="J7" s="546" t="s">
        <v>64</v>
      </c>
      <c r="K7" s="546" t="s">
        <v>65</v>
      </c>
      <c r="L7" s="546" t="s">
        <v>66</v>
      </c>
      <c r="M7" s="546" t="s">
        <v>67</v>
      </c>
      <c r="N7" s="546" t="s">
        <v>68</v>
      </c>
      <c r="O7" s="276"/>
      <c r="P7" s="217"/>
      <c r="Q7" s="276"/>
      <c r="R7" s="217"/>
    </row>
    <row r="8" spans="1:18" ht="15" customHeight="1">
      <c r="A8" s="530" t="s">
        <v>106</v>
      </c>
      <c r="B8" s="565">
        <f>('C-57'!B8/'C-56'!B8)*1000</f>
        <v>52.748682854629166</v>
      </c>
      <c r="C8" s="565">
        <f>('C-57'!C8/'C-56'!C8)*1000</f>
        <v>53.250499015557793</v>
      </c>
      <c r="D8" s="565">
        <f>('C-57'!D8/'C-56'!D8)*1000</f>
        <v>52.882225435435707</v>
      </c>
      <c r="E8" s="565">
        <f>('C-57'!E8/'C-56'!E8)*1000</f>
        <v>52.088807904677935</v>
      </c>
      <c r="F8" s="565">
        <f>('C-57'!F8/'C-56'!F8)*1000</f>
        <v>51.839404132238258</v>
      </c>
      <c r="G8" s="565">
        <f>('C-57'!G8/'C-56'!G8)*1000</f>
        <v>51.286681348987422</v>
      </c>
      <c r="H8" s="565">
        <f>('C-57'!H8/'C-56'!H8)*1000</f>
        <v>53.192441287202939</v>
      </c>
      <c r="I8" s="565">
        <f>('C-57'!I8/'C-56'!I8)*1000</f>
        <v>54.197818016258303</v>
      </c>
      <c r="J8" s="565">
        <f>('C-57'!J8/'C-56'!J8)*1000</f>
        <v>53.644327711885232</v>
      </c>
      <c r="K8" s="565">
        <f>('C-57'!K8/'C-56'!K8)*1000</f>
        <v>52.858347850314125</v>
      </c>
      <c r="L8" s="565">
        <f>('C-57'!L8/'C-56'!L8)*1000</f>
        <v>52.660058905987221</v>
      </c>
      <c r="M8" s="565">
        <f>('C-57'!M8/'C-56'!M8)*1000</f>
        <v>52.011065549211281</v>
      </c>
      <c r="N8" s="565">
        <f>('C-57'!N8/'C-56'!N8)*1000</f>
        <v>52.899206119196926</v>
      </c>
      <c r="O8" s="279"/>
      <c r="P8" s="217"/>
      <c r="Q8" s="275"/>
      <c r="R8" s="217"/>
    </row>
    <row r="9" spans="1:18" ht="12" customHeight="1">
      <c r="A9" s="290" t="s">
        <v>21</v>
      </c>
      <c r="B9" s="566">
        <f>('C-57'!B9/'C-56'!B9)*1000</f>
        <v>54.346111374033768</v>
      </c>
      <c r="C9" s="567">
        <f>('C-57'!C9/'C-56'!C9)*1000</f>
        <v>54.964705882352945</v>
      </c>
      <c r="D9" s="567">
        <f>('C-57'!D9/'C-56'!D9)*1000</f>
        <v>55.145299145299155</v>
      </c>
      <c r="E9" s="567">
        <f>('C-57'!E9/'C-56'!E9)*1000</f>
        <v>55.096322241681264</v>
      </c>
      <c r="F9" s="567">
        <f>('C-57'!F9/'C-56'!F9)*1000</f>
        <v>55.217391304347828</v>
      </c>
      <c r="G9" s="567">
        <f>('C-57'!G9/'C-56'!G9)*1000</f>
        <v>54.73684210526315</v>
      </c>
      <c r="H9" s="567">
        <f>('C-57'!H9/'C-56'!H9)*1000</f>
        <v>54.632206759443335</v>
      </c>
      <c r="I9" s="567">
        <f>('C-57'!I9/'C-56'!I9)*1000</f>
        <v>53.373253493013976</v>
      </c>
      <c r="J9" s="567">
        <f>('C-57'!J9/'C-56'!J9)*1000</f>
        <v>55.617391304347827</v>
      </c>
      <c r="K9" s="567">
        <f>('C-57'!K9/'C-56'!K9)*1000</f>
        <v>54.462809917355372</v>
      </c>
      <c r="L9" s="567">
        <f>('C-57'!L9/'C-56'!L9)*1000</f>
        <v>54.819277108433731</v>
      </c>
      <c r="M9" s="567">
        <f>('C-57'!M9/'C-56'!M9)*1000</f>
        <v>54.79915433403805</v>
      </c>
      <c r="N9" s="567">
        <f>('C-57'!N9/'C-56'!N9)*1000</f>
        <v>49.31654676258993</v>
      </c>
      <c r="O9" s="279"/>
      <c r="P9" s="217"/>
      <c r="Q9" s="275"/>
    </row>
    <row r="10" spans="1:18" ht="12" customHeight="1">
      <c r="A10" s="290" t="s">
        <v>22</v>
      </c>
      <c r="B10" s="566">
        <f>('C-57'!B10/'C-56'!B10)*1000</f>
        <v>51.267737312783474</v>
      </c>
      <c r="C10" s="567">
        <f>('C-57'!C10/'C-56'!C10)*1000</f>
        <v>52.5</v>
      </c>
      <c r="D10" s="567">
        <f>('C-57'!D10/'C-56'!D10)*1000</f>
        <v>52.5</v>
      </c>
      <c r="E10" s="567">
        <f>('C-57'!E10/'C-56'!E10)*1000</f>
        <v>51</v>
      </c>
      <c r="F10" s="567">
        <f>('C-57'!F10/'C-56'!F10)*1000</f>
        <v>51.749999999999993</v>
      </c>
      <c r="G10" s="567">
        <f>('C-57'!G10/'C-56'!G10)*1000</f>
        <v>51.000000000000007</v>
      </c>
      <c r="H10" s="567">
        <f>('C-57'!H10/'C-56'!H10)*1000</f>
        <v>51.749999999999986</v>
      </c>
      <c r="I10" s="567">
        <f>('C-57'!I10/'C-56'!I10)*1000</f>
        <v>50.25</v>
      </c>
      <c r="J10" s="567">
        <f>('C-57'!J10/'C-56'!J10)*1000</f>
        <v>52.499999999999993</v>
      </c>
      <c r="K10" s="567">
        <f>('C-57'!K10/'C-56'!K10)*1000</f>
        <v>53.999999999999993</v>
      </c>
      <c r="L10" s="567">
        <f>('C-57'!L10/'C-56'!L10)*1000</f>
        <v>44.145811880390596</v>
      </c>
      <c r="M10" s="567">
        <f>('C-57'!M10/'C-56'!M10)*1000</f>
        <v>52.499999999999993</v>
      </c>
      <c r="N10" s="567">
        <f>('C-57'!N10/'C-56'!N10)*1000</f>
        <v>51.445522674865494</v>
      </c>
      <c r="O10" s="279"/>
      <c r="P10" s="217"/>
      <c r="Q10" s="275"/>
    </row>
    <row r="11" spans="1:18" ht="12" customHeight="1">
      <c r="A11" s="290" t="s">
        <v>23</v>
      </c>
      <c r="B11" s="566">
        <f>('C-57'!B11/'C-56'!B11)*1000</f>
        <v>54.366430782839451</v>
      </c>
      <c r="C11" s="567">
        <f>('C-57'!C11/'C-56'!C11)*1000</f>
        <v>51.867219917012449</v>
      </c>
      <c r="D11" s="567">
        <f>('C-57'!D11/'C-56'!D11)*1000</f>
        <v>51.074168797953966</v>
      </c>
      <c r="E11" s="567">
        <f>('C-57'!E11/'C-56'!E11)*1000</f>
        <v>53.489626556016596</v>
      </c>
      <c r="F11" s="567">
        <f>('C-57'!F11/'C-56'!F11)*1000</f>
        <v>56.562770562770567</v>
      </c>
      <c r="G11" s="567">
        <f>('C-57'!G11/'C-56'!G11)*1000</f>
        <v>59.355212355212352</v>
      </c>
      <c r="H11" s="567">
        <f>('C-57'!H11/'C-56'!H11)*1000</f>
        <v>59.516917293233078</v>
      </c>
      <c r="I11" s="567">
        <f>('C-57'!I11/'C-56'!I11)*1000</f>
        <v>57.948105155343129</v>
      </c>
      <c r="J11" s="567">
        <f>('C-57'!J11/'C-56'!J11)*1000</f>
        <v>53.193697156033828</v>
      </c>
      <c r="K11" s="567">
        <f>('C-57'!K11/'C-56'!K11)*1000</f>
        <v>53.703131039814458</v>
      </c>
      <c r="L11" s="567">
        <f>('C-57'!L11/'C-56'!L11)*1000</f>
        <v>53.042968749999993</v>
      </c>
      <c r="M11" s="567">
        <f>('C-57'!M11/'C-56'!M11)*1000</f>
        <v>53.015325670498086</v>
      </c>
      <c r="N11" s="567">
        <f>('C-57'!N11/'C-56'!N11)*1000</f>
        <v>50.343406593406598</v>
      </c>
      <c r="O11" s="279"/>
      <c r="P11" s="217"/>
      <c r="Q11" s="275"/>
    </row>
    <row r="12" spans="1:18" ht="12" customHeight="1">
      <c r="A12" s="213" t="s">
        <v>24</v>
      </c>
      <c r="B12" s="566">
        <f>('C-57'!B12/'C-56'!B12)*1000</f>
        <v>57.025928974281115</v>
      </c>
      <c r="C12" s="567">
        <f>('C-57'!C12/'C-56'!C12)*1000</f>
        <v>59.293351124034039</v>
      </c>
      <c r="D12" s="567">
        <f>('C-57'!D12/'C-56'!D12)*1000</f>
        <v>58.085777721467664</v>
      </c>
      <c r="E12" s="567">
        <f>('C-57'!E12/'C-56'!E12)*1000</f>
        <v>57.368866333037374</v>
      </c>
      <c r="F12" s="567">
        <f>('C-57'!F12/'C-56'!F12)*1000</f>
        <v>54.796495569994086</v>
      </c>
      <c r="G12" s="567">
        <f>('C-57'!G12/'C-56'!G12)*1000</f>
        <v>55.31372613296525</v>
      </c>
      <c r="H12" s="567">
        <f>('C-57'!H12/'C-56'!H12)*1000</f>
        <v>56.641155592596846</v>
      </c>
      <c r="I12" s="567">
        <f>('C-57'!I12/'C-56'!I12)*1000</f>
        <v>59.549693366823121</v>
      </c>
      <c r="J12" s="567">
        <f>('C-57'!J12/'C-56'!J12)*1000</f>
        <v>59.813749028101732</v>
      </c>
      <c r="K12" s="567">
        <f>('C-57'!K12/'C-56'!K12)*1000</f>
        <v>55.074853126071559</v>
      </c>
      <c r="L12" s="567">
        <f>('C-57'!L12/'C-56'!L12)*1000</f>
        <v>55.194651245346741</v>
      </c>
      <c r="M12" s="567">
        <f>('C-57'!M12/'C-56'!M12)*1000</f>
        <v>55.057681937656582</v>
      </c>
      <c r="N12" s="567">
        <f>('C-57'!N12/'C-56'!N12)*1000</f>
        <v>57.845356373774273</v>
      </c>
      <c r="O12" s="279"/>
      <c r="P12" s="217"/>
      <c r="Q12" s="275"/>
    </row>
    <row r="13" spans="1:18" ht="12" customHeight="1">
      <c r="A13" s="217" t="s">
        <v>25</v>
      </c>
      <c r="B13" s="566">
        <f>('C-57'!B13/'C-56'!B13)*1000</f>
        <v>42.978887067331279</v>
      </c>
      <c r="C13" s="567">
        <f>('C-57'!C13/'C-56'!C13)*1000</f>
        <v>41.858819922432247</v>
      </c>
      <c r="D13" s="567">
        <f>('C-57'!D13/'C-56'!D13)*1000</f>
        <v>42.310400970205301</v>
      </c>
      <c r="E13" s="567">
        <f>('C-57'!E13/'C-56'!E13)*1000</f>
        <v>42.943967059980331</v>
      </c>
      <c r="F13" s="567">
        <f>('C-57'!F13/'C-56'!F13)*1000</f>
        <v>43.201421684778168</v>
      </c>
      <c r="G13" s="567">
        <f>('C-57'!G13/'C-56'!G13)*1000</f>
        <v>43.579070098114371</v>
      </c>
      <c r="H13" s="567">
        <f>('C-57'!H13/'C-56'!H13)*1000</f>
        <v>43.809433273668979</v>
      </c>
      <c r="I13" s="567">
        <f>('C-57'!I13/'C-56'!I13)*1000</f>
        <v>43.58450416130497</v>
      </c>
      <c r="J13" s="567">
        <f>('C-57'!J13/'C-56'!J13)*1000</f>
        <v>43.586794470905772</v>
      </c>
      <c r="K13" s="567">
        <f>('C-57'!K13/'C-56'!K13)*1000</f>
        <v>43.292187480565921</v>
      </c>
      <c r="L13" s="567">
        <f>('C-57'!L13/'C-56'!L13)*1000</f>
        <v>42.986913038130375</v>
      </c>
      <c r="M13" s="567">
        <f>('C-57'!M13/'C-56'!M13)*1000</f>
        <v>42.206072878444836</v>
      </c>
      <c r="N13" s="567">
        <f>('C-57'!N13/'C-56'!N13)*1000</f>
        <v>42.205221287572904</v>
      </c>
      <c r="O13" s="279"/>
      <c r="P13" s="217"/>
      <c r="Q13" s="275"/>
    </row>
    <row r="14" spans="1:18" ht="12" customHeight="1">
      <c r="A14" s="226" t="s">
        <v>107</v>
      </c>
      <c r="B14" s="566">
        <f>('C-57'!B14/'C-56'!B14)*1000</f>
        <v>36.165531280598579</v>
      </c>
      <c r="C14" s="567">
        <f>('C-57'!C14/'C-56'!C14)*1000</f>
        <v>35.045715668157953</v>
      </c>
      <c r="D14" s="567">
        <f>('C-57'!D14/'C-56'!D14)*1000</f>
        <v>35.36014345013222</v>
      </c>
      <c r="E14" s="567">
        <f>('C-57'!E14/'C-56'!E14)*1000</f>
        <v>36.304525760286225</v>
      </c>
      <c r="F14" s="567">
        <f>('C-57'!F14/'C-56'!F14)*1000</f>
        <v>35.81816504854369</v>
      </c>
      <c r="G14" s="567">
        <f>('C-57'!G14/'C-56'!G14)*1000</f>
        <v>36.195766387046433</v>
      </c>
      <c r="H14" s="567">
        <f>('C-57'!H14/'C-56'!H14)*1000</f>
        <v>36.508895984907127</v>
      </c>
      <c r="I14" s="567">
        <f>('C-57'!I14/'C-56'!I14)*1000</f>
        <v>37.100505411626649</v>
      </c>
      <c r="J14" s="567">
        <f>('C-57'!J14/'C-56'!J14)*1000</f>
        <v>36.813022328134018</v>
      </c>
      <c r="K14" s="567">
        <f>('C-57'!K14/'C-56'!K14)*1000</f>
        <v>36.527999602403241</v>
      </c>
      <c r="L14" s="567">
        <f>('C-57'!L14/'C-56'!L14)*1000</f>
        <v>36.412142105263158</v>
      </c>
      <c r="M14" s="567">
        <f>('C-57'!M14/'C-56'!M14)*1000</f>
        <v>35.259450171821307</v>
      </c>
      <c r="N14" s="567">
        <f>('C-57'!N14/'C-56'!N14)*1000</f>
        <v>36.583469790066566</v>
      </c>
      <c r="O14" s="279"/>
      <c r="P14" s="217"/>
      <c r="Q14" s="275"/>
    </row>
    <row r="15" spans="1:18" ht="12" customHeight="1">
      <c r="A15" s="226" t="s">
        <v>108</v>
      </c>
      <c r="B15" s="566">
        <f>('C-57'!B15/'C-56'!B15)*1000</f>
        <v>47.649956864678337</v>
      </c>
      <c r="C15" s="567">
        <f>('C-57'!C15/'C-56'!C15)*1000</f>
        <v>46.575834658187603</v>
      </c>
      <c r="D15" s="567">
        <f>('C-57'!D15/'C-56'!D15)*1000</f>
        <v>47.473783995815893</v>
      </c>
      <c r="E15" s="567">
        <f>('C-57'!E15/'C-56'!E15)*1000</f>
        <v>48.80300030459945</v>
      </c>
      <c r="F15" s="567">
        <f>('C-57'!F15/'C-56'!F15)*1000</f>
        <v>47.982613908872906</v>
      </c>
      <c r="G15" s="567">
        <f>('C-57'!G15/'C-56'!G15)*1000</f>
        <v>48.103794642857153</v>
      </c>
      <c r="H15" s="567">
        <f>('C-57'!H15/'C-56'!H15)*1000</f>
        <v>48.213496084753572</v>
      </c>
      <c r="I15" s="567">
        <f>('C-57'!I15/'C-56'!I15)*1000</f>
        <v>47.664928587621858</v>
      </c>
      <c r="J15" s="567">
        <f>('C-57'!J15/'C-56'!J15)*1000</f>
        <v>47.592694063926935</v>
      </c>
      <c r="K15" s="567">
        <f>('C-57'!K15/'C-56'!K15)*1000</f>
        <v>48.292228943694738</v>
      </c>
      <c r="L15" s="567">
        <f>('C-57'!L15/'C-56'!L15)*1000</f>
        <v>48.87407760057129</v>
      </c>
      <c r="M15" s="567">
        <f>('C-57'!M15/'C-56'!M15)*1000</f>
        <v>47.485097394977707</v>
      </c>
      <c r="N15" s="567">
        <f>('C-57'!N15/'C-56'!N15)*1000</f>
        <v>44.917880794701993</v>
      </c>
      <c r="O15" s="279"/>
      <c r="P15" s="217"/>
      <c r="Q15" s="275"/>
    </row>
    <row r="16" spans="1:18" ht="12" customHeight="1">
      <c r="A16" s="226" t="s">
        <v>109</v>
      </c>
      <c r="B16" s="566">
        <f>('C-57'!B16/'C-56'!B16)*1000</f>
        <v>48.758094915117653</v>
      </c>
      <c r="C16" s="567">
        <f>('C-57'!C16/'C-56'!C16)*1000</f>
        <v>48.75</v>
      </c>
      <c r="D16" s="567">
        <f>('C-57'!D16/'C-56'!D16)*1000</f>
        <v>48.263573673184339</v>
      </c>
      <c r="E16" s="567">
        <f>('C-57'!E16/'C-56'!E16)*1000</f>
        <v>48.311505553887734</v>
      </c>
      <c r="F16" s="567">
        <f>('C-57'!F16/'C-56'!F16)*1000</f>
        <v>49.220593525179858</v>
      </c>
      <c r="G16" s="567">
        <f>('C-57'!G16/'C-56'!G16)*1000</f>
        <v>48.652647379912672</v>
      </c>
      <c r="H16" s="567">
        <f>('C-57'!H16/'C-56'!H16)*1000</f>
        <v>48.9508358662614</v>
      </c>
      <c r="I16" s="567">
        <f>('C-57'!I16/'C-56'!I16)*1000</f>
        <v>49.0785602575897</v>
      </c>
      <c r="J16" s="567">
        <f>('C-57'!J16/'C-56'!J16)*1000</f>
        <v>49.416939484126985</v>
      </c>
      <c r="K16" s="567">
        <f>('C-57'!K16/'C-56'!K16)*1000</f>
        <v>49.067337461300312</v>
      </c>
      <c r="L16" s="567">
        <f>('C-57'!L16/'C-56'!L16)*1000</f>
        <v>47.201882512601784</v>
      </c>
      <c r="M16" s="567">
        <f>('C-57'!M16/'C-56'!M16)*1000</f>
        <v>48.780640579178879</v>
      </c>
      <c r="N16" s="567">
        <f>('C-57'!N16/'C-56'!N16)*1000</f>
        <v>49.122974874371856</v>
      </c>
      <c r="O16" s="279"/>
      <c r="P16" s="217"/>
      <c r="Q16" s="275"/>
    </row>
    <row r="17" spans="1:17" ht="12" customHeight="1">
      <c r="A17" s="290" t="s">
        <v>29</v>
      </c>
      <c r="B17" s="566">
        <f>('C-57'!B17/'C-56'!B17)*1000</f>
        <v>53.064251512837075</v>
      </c>
      <c r="C17" s="567">
        <f>('C-57'!C17/'C-56'!C17)*1000</f>
        <v>54.486266816143505</v>
      </c>
      <c r="D17" s="567">
        <f>('C-57'!D17/'C-56'!D17)*1000</f>
        <v>54.625941872981706</v>
      </c>
      <c r="E17" s="567">
        <f>('C-57'!E17/'C-56'!E17)*1000</f>
        <v>52.913220892274218</v>
      </c>
      <c r="F17" s="567">
        <f>('C-57'!F17/'C-56'!F17)*1000</f>
        <v>52.437878214826021</v>
      </c>
      <c r="G17" s="567">
        <f>('C-57'!G17/'C-56'!G17)*1000</f>
        <v>52.590348330914374</v>
      </c>
      <c r="H17" s="567">
        <f>('C-57'!H17/'C-56'!H17)*1000</f>
        <v>52.930071813285458</v>
      </c>
      <c r="I17" s="567">
        <f>('C-57'!I17/'C-56'!I17)*1000</f>
        <v>52.565413135593225</v>
      </c>
      <c r="J17" s="567">
        <f>('C-57'!J17/'C-56'!J17)*1000</f>
        <v>52.982537732537729</v>
      </c>
      <c r="K17" s="567">
        <f>('C-57'!K17/'C-56'!K17)*1000</f>
        <v>53.817157558552154</v>
      </c>
      <c r="L17" s="567">
        <f>('C-57'!L17/'C-56'!L17)*1000</f>
        <v>52.81162342215989</v>
      </c>
      <c r="M17" s="567">
        <f>('C-57'!M17/'C-56'!M17)*1000</f>
        <v>52.425590147109141</v>
      </c>
      <c r="N17" s="567">
        <f>('C-57'!N17/'C-56'!N17)*1000</f>
        <v>52.382024977698492</v>
      </c>
      <c r="O17" s="279"/>
      <c r="P17" s="217"/>
      <c r="Q17" s="275"/>
    </row>
    <row r="18" spans="1:17" ht="12" customHeight="1">
      <c r="A18" s="213" t="s">
        <v>30</v>
      </c>
      <c r="B18" s="566">
        <f>('C-57'!B18/'C-56'!B18)*1000</f>
        <v>32.149387632864595</v>
      </c>
      <c r="C18" s="567">
        <f>('C-57'!C18/'C-56'!C18)*1000</f>
        <v>31.37434478398314</v>
      </c>
      <c r="D18" s="567">
        <f>('C-57'!D18/'C-56'!D18)*1000</f>
        <v>31.416122004357298</v>
      </c>
      <c r="E18" s="567">
        <f>('C-57'!E18/'C-56'!E18)*1000</f>
        <v>32.014095976529759</v>
      </c>
      <c r="F18" s="567">
        <f>('C-57'!F18/'C-56'!F18)*1000</f>
        <v>31.527866073320624</v>
      </c>
      <c r="G18" s="567">
        <f>('C-57'!G18/'C-56'!G18)*1000</f>
        <v>32.51085845991124</v>
      </c>
      <c r="H18" s="567">
        <f>('C-57'!H18/'C-56'!H18)*1000</f>
        <v>32.164859002169202</v>
      </c>
      <c r="I18" s="567">
        <f>('C-57'!I18/'C-56'!I18)*1000</f>
        <v>33.11613793103448</v>
      </c>
      <c r="J18" s="567">
        <f>('C-57'!J18/'C-56'!J18)*1000</f>
        <v>32.342120343839539</v>
      </c>
      <c r="K18" s="567">
        <f>('C-57'!K18/'C-56'!K18)*1000</f>
        <v>32.597996565540932</v>
      </c>
      <c r="L18" s="567">
        <f>('C-57'!L18/'C-56'!L18)*1000</f>
        <v>32.25443897158322</v>
      </c>
      <c r="M18" s="567">
        <f>('C-57'!M18/'C-56'!M18)*1000</f>
        <v>31.225581395348836</v>
      </c>
      <c r="N18" s="567">
        <f>('C-57'!N18/'C-56'!N18)*1000</f>
        <v>33.816711590296492</v>
      </c>
      <c r="O18" s="279"/>
      <c r="P18" s="217"/>
      <c r="Q18" s="275"/>
    </row>
    <row r="19" spans="1:17" ht="12" customHeight="1">
      <c r="A19" s="213" t="s">
        <v>31</v>
      </c>
      <c r="B19" s="566">
        <f>('C-57'!B19/'C-56'!B19)*1000</f>
        <v>63.484456429225453</v>
      </c>
      <c r="C19" s="567">
        <f>('C-57'!C19/'C-56'!C19)*1000</f>
        <v>63.828102687264703</v>
      </c>
      <c r="D19" s="567">
        <f>('C-57'!D19/'C-56'!D19)*1000</f>
        <v>63.483929271586653</v>
      </c>
      <c r="E19" s="567">
        <f>('C-57'!E19/'C-56'!E19)*1000</f>
        <v>63.380599649433201</v>
      </c>
      <c r="F19" s="567">
        <f>('C-57'!F19/'C-56'!F19)*1000</f>
        <v>63.412278645693334</v>
      </c>
      <c r="G19" s="567">
        <f>('C-57'!G19/'C-56'!G19)*1000</f>
        <v>63.307591668194021</v>
      </c>
      <c r="H19" s="567">
        <f>('C-57'!H19/'C-56'!H19)*1000</f>
        <v>63.53301394554596</v>
      </c>
      <c r="I19" s="567">
        <f>('C-57'!I19/'C-56'!I19)*1000</f>
        <v>63.602747037417181</v>
      </c>
      <c r="J19" s="567">
        <f>('C-57'!J19/'C-56'!J19)*1000</f>
        <v>63.59607009528645</v>
      </c>
      <c r="K19" s="567">
        <f>('C-57'!K19/'C-56'!K19)*1000</f>
        <v>63.105900003038492</v>
      </c>
      <c r="L19" s="567">
        <f>('C-57'!L19/'C-56'!L19)*1000</f>
        <v>63.035065630893669</v>
      </c>
      <c r="M19" s="567">
        <f>('C-57'!M19/'C-56'!M19)*1000</f>
        <v>63.477241360301498</v>
      </c>
      <c r="N19" s="567">
        <f>('C-57'!N19/'C-56'!N19)*1000</f>
        <v>63.93897615959937</v>
      </c>
      <c r="O19" s="279"/>
      <c r="P19" s="217"/>
      <c r="Q19" s="275"/>
    </row>
    <row r="20" spans="1:17" ht="12" customHeight="1">
      <c r="A20" s="290" t="s">
        <v>32</v>
      </c>
      <c r="B20" s="566">
        <f>('C-57'!B20/'C-56'!B20)*1000</f>
        <v>54.148662155790269</v>
      </c>
      <c r="C20" s="567">
        <f>('C-57'!C20/'C-56'!C20)*1000</f>
        <v>54.658633943849431</v>
      </c>
      <c r="D20" s="567">
        <f>('C-57'!D20/'C-56'!D20)*1000</f>
        <v>54.713026101141921</v>
      </c>
      <c r="E20" s="567">
        <f>('C-57'!E20/'C-56'!E20)*1000</f>
        <v>53.763149546827805</v>
      </c>
      <c r="F20" s="567">
        <f>('C-57'!F20/'C-56'!F20)*1000</f>
        <v>53.344522542604437</v>
      </c>
      <c r="G20" s="567">
        <f>('C-57'!G20/'C-56'!G20)*1000</f>
        <v>43.398281727612364</v>
      </c>
      <c r="H20" s="567">
        <f>('C-57'!H20/'C-56'!H20)*1000</f>
        <v>61.516444320401881</v>
      </c>
      <c r="I20" s="567">
        <f>('C-57'!I20/'C-56'!I20)*1000</f>
        <v>62.686707870593914</v>
      </c>
      <c r="J20" s="567">
        <f>('C-57'!J20/'C-56'!J20)*1000</f>
        <v>60.742673307377238</v>
      </c>
      <c r="K20" s="567">
        <f>('C-57'!K20/'C-56'!K20)*1000</f>
        <v>55.174963284753368</v>
      </c>
      <c r="L20" s="567">
        <f>('C-57'!L20/'C-56'!L20)*1000</f>
        <v>52.569757626051619</v>
      </c>
      <c r="M20" s="567">
        <f>('C-57'!M20/'C-56'!M20)*1000</f>
        <v>46.500051440329216</v>
      </c>
      <c r="N20" s="567">
        <f>('C-57'!N20/'C-56'!N20)*1000</f>
        <v>49.799816337719299</v>
      </c>
      <c r="O20" s="279"/>
      <c r="P20" s="217"/>
      <c r="Q20" s="275"/>
    </row>
    <row r="21" spans="1:17" ht="12" customHeight="1">
      <c r="A21" s="290" t="s">
        <v>33</v>
      </c>
      <c r="B21" s="566">
        <f>('C-57'!B21/'C-56'!B21)*1000</f>
        <v>38.761651267368435</v>
      </c>
      <c r="C21" s="567">
        <f>('C-57'!C21/'C-56'!C21)*1000</f>
        <v>36.251539998335112</v>
      </c>
      <c r="D21" s="567">
        <f>('C-57'!D21/'C-56'!D21)*1000</f>
        <v>35.115893594114482</v>
      </c>
      <c r="E21" s="567">
        <f>('C-57'!E21/'C-56'!E21)*1000</f>
        <v>32.971236230110158</v>
      </c>
      <c r="F21" s="567">
        <f>('C-57'!F21/'C-56'!F21)*1000</f>
        <v>33.95363780694327</v>
      </c>
      <c r="G21" s="567">
        <f>('C-57'!G21/'C-56'!G21)*1000</f>
        <v>34.730928601784946</v>
      </c>
      <c r="H21" s="567">
        <f>('C-57'!H21/'C-56'!H21)*1000</f>
        <v>46.355624543462369</v>
      </c>
      <c r="I21" s="567">
        <f>('C-57'!I21/'C-56'!I21)*1000</f>
        <v>44.653608990443658</v>
      </c>
      <c r="J21" s="567">
        <f>('C-57'!J21/'C-56'!J21)*1000</f>
        <v>42.833101165524987</v>
      </c>
      <c r="K21" s="567">
        <f>('C-57'!K21/'C-56'!K21)*1000</f>
        <v>41.965491785675951</v>
      </c>
      <c r="L21" s="567">
        <f>('C-57'!L21/'C-56'!L21)*1000</f>
        <v>44.668957429424673</v>
      </c>
      <c r="M21" s="567">
        <f>('C-57'!M21/'C-56'!M21)*1000</f>
        <v>33.405801649928279</v>
      </c>
      <c r="N21" s="567">
        <f>('C-57'!N21/'C-56'!N21)*1000</f>
        <v>34.195193355397151</v>
      </c>
      <c r="O21" s="279"/>
      <c r="P21" s="217"/>
      <c r="Q21" s="275"/>
    </row>
    <row r="22" spans="1:17" ht="12" customHeight="1">
      <c r="A22" s="290" t="s">
        <v>34</v>
      </c>
      <c r="B22" s="566">
        <f>('C-57'!B22/'C-56'!B22)*1000</f>
        <v>36.655827674726737</v>
      </c>
      <c r="C22" s="567">
        <f>('C-57'!C22/'C-56'!C22)*1000</f>
        <v>36.530742117787035</v>
      </c>
      <c r="D22" s="567">
        <f>('C-57'!D22/'C-56'!D22)*1000</f>
        <v>36.078022800552745</v>
      </c>
      <c r="E22" s="567">
        <f>('C-57'!E22/'C-56'!E22)*1000</f>
        <v>36.686752232142851</v>
      </c>
      <c r="F22" s="567">
        <f>('C-57'!F22/'C-56'!F22)*1000</f>
        <v>35.950819785276067</v>
      </c>
      <c r="G22" s="567">
        <f>('C-57'!G22/'C-56'!G22)*1000</f>
        <v>36.480637002975385</v>
      </c>
      <c r="H22" s="567">
        <f>('C-57'!H22/'C-56'!H22)*1000</f>
        <v>36.50857547597461</v>
      </c>
      <c r="I22" s="567">
        <f>('C-57'!I22/'C-56'!I22)*1000</f>
        <v>36.335896793587175</v>
      </c>
      <c r="J22" s="567">
        <f>('C-57'!J22/'C-56'!J22)*1000</f>
        <v>36.384581320450877</v>
      </c>
      <c r="K22" s="567">
        <f>('C-57'!K22/'C-56'!K22)*1000</f>
        <v>37.10252241035856</v>
      </c>
      <c r="L22" s="567">
        <f>('C-57'!L22/'C-56'!L22)*1000</f>
        <v>36.902619691923391</v>
      </c>
      <c r="M22" s="567">
        <f>('C-57'!M22/'C-56'!M22)*1000</f>
        <v>36.525412941176469</v>
      </c>
      <c r="N22" s="567">
        <f>('C-57'!N22/'C-56'!N22)*1000</f>
        <v>38.904601053452986</v>
      </c>
      <c r="O22" s="279"/>
      <c r="P22" s="217"/>
      <c r="Q22" s="275"/>
    </row>
    <row r="23" spans="1:17" ht="12" customHeight="1">
      <c r="A23" s="290" t="s">
        <v>35</v>
      </c>
      <c r="B23" s="566">
        <f>('C-57'!B23/'C-56'!B23)*1000</f>
        <v>42.45176866411569</v>
      </c>
      <c r="C23" s="567">
        <f>('C-57'!C23/'C-56'!C23)*1000</f>
        <v>42.629549627389572</v>
      </c>
      <c r="D23" s="567">
        <f>('C-57'!D23/'C-56'!D23)*1000</f>
        <v>43.139389067524121</v>
      </c>
      <c r="E23" s="567">
        <f>('C-57'!E23/'C-56'!E23)*1000</f>
        <v>43.192063492063482</v>
      </c>
      <c r="F23" s="567">
        <f>('C-57'!F23/'C-56'!F23)*1000</f>
        <v>43.085400658616891</v>
      </c>
      <c r="G23" s="567">
        <f>('C-57'!G23/'C-56'!G23)*1000</f>
        <v>43.370010562931185</v>
      </c>
      <c r="H23" s="567">
        <f>('C-57'!H23/'C-56'!H23)*1000</f>
        <v>39.066976809425839</v>
      </c>
      <c r="I23" s="567">
        <f>('C-57'!I23/'C-56'!I23)*1000</f>
        <v>42.358950015395671</v>
      </c>
      <c r="J23" s="567">
        <f>('C-57'!J23/'C-56'!J23)*1000</f>
        <v>42.613104904189676</v>
      </c>
      <c r="K23" s="567">
        <f>('C-57'!K23/'C-56'!K23)*1000</f>
        <v>42.29501987751155</v>
      </c>
      <c r="L23" s="567">
        <f>('C-57'!L23/'C-56'!L23)*1000</f>
        <v>42.566214470284244</v>
      </c>
      <c r="M23" s="567">
        <f>('C-57'!M23/'C-56'!M23)*1000</f>
        <v>42.399531181857824</v>
      </c>
      <c r="N23" s="567">
        <f>('C-57'!N23/'C-56'!N23)*1000</f>
        <v>43.124940897194001</v>
      </c>
      <c r="O23" s="279"/>
      <c r="P23" s="217"/>
      <c r="Q23" s="275"/>
    </row>
    <row r="24" spans="1:17" ht="12" customHeight="1">
      <c r="A24" s="290" t="s">
        <v>36</v>
      </c>
      <c r="B24" s="566">
        <f>('C-57'!B24/'C-56'!B24)*1000</f>
        <v>36.739557568069309</v>
      </c>
      <c r="C24" s="567">
        <f>('C-57'!C24/'C-56'!C24)*1000</f>
        <v>35.175257352941195</v>
      </c>
      <c r="D24" s="567">
        <f>('C-57'!D24/'C-56'!D24)*1000</f>
        <v>34.950491058552082</v>
      </c>
      <c r="E24" s="567">
        <f>('C-57'!E24/'C-56'!E24)*1000</f>
        <v>35.450484978540757</v>
      </c>
      <c r="F24" s="567">
        <f>('C-57'!F24/'C-56'!F24)*1000</f>
        <v>36.458646917534026</v>
      </c>
      <c r="G24" s="567">
        <f>('C-57'!G24/'C-56'!G24)*1000</f>
        <v>36.679699243215026</v>
      </c>
      <c r="H24" s="567">
        <f>('C-57'!H24/'C-56'!H24)*1000</f>
        <v>36.566924999999998</v>
      </c>
      <c r="I24" s="567">
        <f>('C-57'!I24/'C-56'!I24)*1000</f>
        <v>37.324853932584261</v>
      </c>
      <c r="J24" s="567">
        <f>('C-57'!J24/'C-56'!J24)*1000</f>
        <v>37.274870111731843</v>
      </c>
      <c r="K24" s="567">
        <f>('C-57'!K24/'C-56'!K24)*1000</f>
        <v>37.399652610441763</v>
      </c>
      <c r="L24" s="567">
        <f>('C-57'!L24/'C-56'!L24)*1000</f>
        <v>37.6755</v>
      </c>
      <c r="M24" s="567">
        <f>('C-57'!M24/'C-56'!M24)*1000</f>
        <v>38.471565265486738</v>
      </c>
      <c r="N24" s="567">
        <f>('C-57'!N24/'C-56'!N24)*1000</f>
        <v>37.155629731589819</v>
      </c>
      <c r="O24" s="279"/>
      <c r="P24" s="217"/>
      <c r="Q24" s="275"/>
    </row>
    <row r="25" spans="1:17" ht="12" customHeight="1">
      <c r="A25" s="213" t="s">
        <v>37</v>
      </c>
      <c r="B25" s="566">
        <f>('C-57'!B25/'C-56'!B25)*1000</f>
        <v>55.714148282461991</v>
      </c>
      <c r="C25" s="567">
        <f>('C-57'!C25/'C-56'!C25)*1000</f>
        <v>55.963500120860544</v>
      </c>
      <c r="D25" s="567">
        <f>('C-57'!D25/'C-56'!D25)*1000</f>
        <v>56.01264980026631</v>
      </c>
      <c r="E25" s="567">
        <f>('C-57'!E25/'C-56'!E25)*1000</f>
        <v>56.019087888855324</v>
      </c>
      <c r="F25" s="567">
        <f>('C-57'!F25/'C-56'!F25)*1000</f>
        <v>56.043124339775069</v>
      </c>
      <c r="G25" s="567">
        <f>('C-57'!G25/'C-56'!G25)*1000</f>
        <v>56.021007371007371</v>
      </c>
      <c r="H25" s="567">
        <f>('C-57'!H25/'C-56'!H25)*1000</f>
        <v>56.001406727828758</v>
      </c>
      <c r="I25" s="567">
        <f>('C-57'!I25/'C-56'!I25)*1000</f>
        <v>55.994708994709001</v>
      </c>
      <c r="J25" s="567">
        <f>('C-57'!J25/'C-56'!J25)*1000</f>
        <v>55.971682601546789</v>
      </c>
      <c r="K25" s="567">
        <f>('C-57'!K25/'C-56'!K25)*1000</f>
        <v>55.973595950972616</v>
      </c>
      <c r="L25" s="567">
        <f>('C-57'!L25/'C-56'!L25)*1000</f>
        <v>55.976390822689027</v>
      </c>
      <c r="M25" s="567">
        <f>('C-57'!M25/'C-56'!M25)*1000</f>
        <v>55.982356837478164</v>
      </c>
      <c r="N25" s="567">
        <f>('C-57'!N25/'C-56'!N25)*1000</f>
        <v>52.850811660956026</v>
      </c>
      <c r="O25" s="279"/>
      <c r="P25" s="217"/>
      <c r="Q25" s="275"/>
    </row>
    <row r="26" spans="1:17" ht="12" customHeight="1">
      <c r="A26" s="290" t="s">
        <v>38</v>
      </c>
      <c r="B26" s="566">
        <f>('C-57'!B26/'C-56'!B26)*1000</f>
        <v>44.716208527161584</v>
      </c>
      <c r="C26" s="567">
        <f>('C-57'!C26/'C-56'!C26)*1000</f>
        <v>44.580696202531648</v>
      </c>
      <c r="D26" s="567">
        <f>('C-57'!D26/'C-56'!D26)*1000</f>
        <v>39.001413927182746</v>
      </c>
      <c r="E26" s="567">
        <f>('C-57'!E26/'C-56'!E26)*1000</f>
        <v>40.598469387755095</v>
      </c>
      <c r="F26" s="567">
        <f>('C-57'!F26/'C-56'!F26)*1000</f>
        <v>47.601990049751251</v>
      </c>
      <c r="G26" s="567">
        <f>('C-57'!G26/'C-56'!G26)*1000</f>
        <v>46.106390449438202</v>
      </c>
      <c r="H26" s="567">
        <f>('C-57'!H26/'C-56'!H26)*1000</f>
        <v>45.948886639676111</v>
      </c>
      <c r="I26" s="567">
        <f>('C-57'!I26/'C-56'!I26)*1000</f>
        <v>45.714867337602918</v>
      </c>
      <c r="J26" s="567">
        <f>('C-57'!J26/'C-56'!J26)*1000</f>
        <v>47.853424657534248</v>
      </c>
      <c r="K26" s="567">
        <f>('C-57'!K26/'C-56'!K26)*1000</f>
        <v>48.384407484407483</v>
      </c>
      <c r="L26" s="567">
        <f>('C-57'!L26/'C-56'!L26)*1000</f>
        <v>45.384551656920074</v>
      </c>
      <c r="M26" s="567">
        <f>('C-57'!M26/'C-56'!M26)*1000</f>
        <v>45.01872918978912</v>
      </c>
      <c r="N26" s="567">
        <f>('C-57'!N26/'C-56'!N26)*1000</f>
        <v>43.080148205928239</v>
      </c>
      <c r="O26" s="279"/>
      <c r="P26" s="217"/>
      <c r="Q26" s="275"/>
    </row>
    <row r="27" spans="1:17" ht="12" customHeight="1">
      <c r="A27" s="290" t="s">
        <v>39</v>
      </c>
      <c r="B27" s="566">
        <f>('C-57'!B27/'C-56'!B27)*1000</f>
        <v>39.305820908523387</v>
      </c>
      <c r="C27" s="567">
        <f>('C-57'!C27/'C-56'!C27)*1000</f>
        <v>37.153741373047573</v>
      </c>
      <c r="D27" s="567">
        <f>('C-57'!D27/'C-56'!D27)*1000</f>
        <v>39.773606470898542</v>
      </c>
      <c r="E27" s="567">
        <f>('C-57'!E27/'C-56'!E27)*1000</f>
        <v>38.880451713395637</v>
      </c>
      <c r="F27" s="567">
        <f>('C-57'!F27/'C-56'!F27)*1000</f>
        <v>38.610865333569279</v>
      </c>
      <c r="G27" s="567">
        <f>('C-57'!G27/'C-56'!G27)*1000</f>
        <v>39.179222144358803</v>
      </c>
      <c r="H27" s="567">
        <f>('C-57'!H27/'C-56'!H27)*1000</f>
        <v>39.229090433873495</v>
      </c>
      <c r="I27" s="567">
        <f>('C-57'!I27/'C-56'!I27)*1000</f>
        <v>39.748948475289168</v>
      </c>
      <c r="J27" s="567">
        <f>('C-57'!J27/'C-56'!J27)*1000</f>
        <v>38.612381363244182</v>
      </c>
      <c r="K27" s="567">
        <f>('C-57'!K27/'C-56'!K27)*1000</f>
        <v>37.428459937565037</v>
      </c>
      <c r="L27" s="567">
        <f>('C-57'!L27/'C-56'!L27)*1000</f>
        <v>39.624502509084621</v>
      </c>
      <c r="M27" s="567">
        <f>('C-57'!M27/'C-56'!M27)*1000</f>
        <v>41.02059279682922</v>
      </c>
      <c r="N27" s="567">
        <f>('C-57'!N27/'C-56'!N27)*1000</f>
        <v>42.200234781150428</v>
      </c>
      <c r="O27" s="279"/>
      <c r="P27" s="217"/>
      <c r="Q27" s="275"/>
    </row>
    <row r="28" spans="1:17" ht="12" customHeight="1">
      <c r="A28" s="290" t="s">
        <v>40</v>
      </c>
      <c r="B28" s="566">
        <f>('C-57'!B28/'C-56'!B28)*1000</f>
        <v>44.247039426178205</v>
      </c>
      <c r="C28" s="567">
        <f>('C-57'!C28/'C-56'!C28)*1000</f>
        <v>42.651404075546722</v>
      </c>
      <c r="D28" s="567">
        <f>('C-57'!D28/'C-56'!D28)*1000</f>
        <v>42.898278061224488</v>
      </c>
      <c r="E28" s="567">
        <f>('C-57'!E28/'C-56'!E28)*1000</f>
        <v>44.294178974804517</v>
      </c>
      <c r="F28" s="567">
        <f>('C-57'!F28/'C-56'!F28)*1000</f>
        <v>44.031315917572613</v>
      </c>
      <c r="G28" s="567">
        <f>('C-57'!G28/'C-56'!G28)*1000</f>
        <v>45.255291005290999</v>
      </c>
      <c r="H28" s="567">
        <f>('C-57'!H28/'C-56'!H28)*1000</f>
        <v>45.731079286798177</v>
      </c>
      <c r="I28" s="567">
        <f>('C-57'!I28/'C-56'!I28)*1000</f>
        <v>45.041447703000507</v>
      </c>
      <c r="J28" s="567">
        <f>('C-57'!J28/'C-56'!J28)*1000</f>
        <v>44.829351687388993</v>
      </c>
      <c r="K28" s="567">
        <f>('C-57'!K28/'C-56'!K28)*1000</f>
        <v>44.481141868512111</v>
      </c>
      <c r="L28" s="567">
        <f>('C-57'!L28/'C-56'!L28)*1000</f>
        <v>43.79807242990654</v>
      </c>
      <c r="M28" s="567">
        <f>('C-57'!M28/'C-56'!M28)*1000</f>
        <v>43.440858554663372</v>
      </c>
      <c r="N28" s="567">
        <f>('C-57'!N28/'C-56'!N28)*1000</f>
        <v>43.748036649214662</v>
      </c>
      <c r="O28" s="279"/>
      <c r="P28" s="217"/>
      <c r="Q28" s="275"/>
    </row>
    <row r="29" spans="1:17" ht="12" customHeight="1">
      <c r="A29" s="217" t="s">
        <v>41</v>
      </c>
      <c r="B29" s="566">
        <f>('C-57'!B29/'C-56'!B29)*1000</f>
        <v>38.895448747599623</v>
      </c>
      <c r="C29" s="567">
        <f>('C-57'!C29/'C-56'!C29)*1000</f>
        <v>38.554621848739501</v>
      </c>
      <c r="D29" s="567">
        <f>('C-57'!D29/'C-56'!D29)*1000</f>
        <v>39.509734513274338</v>
      </c>
      <c r="E29" s="567">
        <f>('C-57'!E29/'C-56'!E29)*1000</f>
        <v>38.556580050293384</v>
      </c>
      <c r="F29" s="567">
        <f>('C-57'!F29/'C-56'!F29)*1000</f>
        <v>37.894304940095189</v>
      </c>
      <c r="G29" s="567">
        <f>('C-57'!G29/'C-56'!G29)*1000</f>
        <v>37.664495114006513</v>
      </c>
      <c r="H29" s="567">
        <f>('C-57'!H29/'C-56'!H29)*1000</f>
        <v>37.53742709008425</v>
      </c>
      <c r="I29" s="567">
        <f>('C-57'!I29/'C-56'!I29)*1000</f>
        <v>38.393148450244702</v>
      </c>
      <c r="J29" s="567">
        <f>('C-57'!J29/'C-56'!J29)*1000</f>
        <v>39.780257510729612</v>
      </c>
      <c r="K29" s="567">
        <f>('C-57'!K29/'C-56'!K29)*1000</f>
        <v>39.101010101010104</v>
      </c>
      <c r="L29" s="567">
        <f>('C-57'!L29/'C-56'!L29)*1000</f>
        <v>41.242099625066956</v>
      </c>
      <c r="M29" s="567">
        <f>('C-57'!M29/'C-56'!M29)*1000</f>
        <v>40.728511530398322</v>
      </c>
      <c r="N29" s="567">
        <f>('C-57'!N29/'C-56'!N29)*1000</f>
        <v>38.194376726799938</v>
      </c>
      <c r="O29" s="279"/>
      <c r="P29" s="217"/>
      <c r="Q29" s="275"/>
    </row>
    <row r="30" spans="1:17" ht="12" customHeight="1">
      <c r="A30" s="226" t="s">
        <v>111</v>
      </c>
      <c r="B30" s="566">
        <f>('C-57'!B30/'C-56'!B30)*1000</f>
        <v>36.583947805273525</v>
      </c>
      <c r="C30" s="567">
        <f>('C-57'!C30/'C-56'!C30)*1000</f>
        <v>37.676056338028168</v>
      </c>
      <c r="D30" s="567">
        <f>('C-57'!D30/'C-56'!D30)*1000</f>
        <v>38.266009852216754</v>
      </c>
      <c r="E30" s="567">
        <f>('C-57'!E30/'C-56'!E30)*1000</f>
        <v>36.826603325415675</v>
      </c>
      <c r="F30" s="567">
        <f>('C-57'!F30/'C-56'!F30)*1000</f>
        <v>35.322141560798549</v>
      </c>
      <c r="G30" s="567">
        <f>('C-57'!G30/'C-56'!G30)*1000</f>
        <v>34.761692650334076</v>
      </c>
      <c r="H30" s="567">
        <f>('C-57'!H30/'C-56'!H30)*1000</f>
        <v>34.581786030061892</v>
      </c>
      <c r="I30" s="567">
        <f>('C-57'!I30/'C-56'!I30)*1000</f>
        <v>36.176470588235297</v>
      </c>
      <c r="J30" s="567">
        <f>('C-57'!J30/'C-56'!J30)*1000</f>
        <v>37.648456057007124</v>
      </c>
      <c r="K30" s="567">
        <f>('C-57'!K30/'C-56'!K30)*1000</f>
        <v>37.013953488372096</v>
      </c>
      <c r="L30" s="567">
        <f>('C-57'!L30/'C-56'!L30)*1000</f>
        <v>39.435564435564437</v>
      </c>
      <c r="M30" s="567">
        <f>('C-57'!M30/'C-56'!M30)*1000</f>
        <v>37.683962264150942</v>
      </c>
      <c r="N30" s="567">
        <f>('C-57'!N30/'C-56'!N30)*1000</f>
        <v>34.380341880341888</v>
      </c>
      <c r="O30" s="279"/>
      <c r="P30" s="217"/>
      <c r="Q30" s="275"/>
    </row>
    <row r="31" spans="1:17" ht="12" customHeight="1">
      <c r="A31" s="226" t="s">
        <v>112</v>
      </c>
      <c r="B31" s="566">
        <f>('C-57'!B31/'C-56'!B31)*1000</f>
        <v>40.213116197183105</v>
      </c>
      <c r="C31" s="567">
        <f>('C-57'!C31/'C-56'!C31)*1000</f>
        <v>39.044502617801051</v>
      </c>
      <c r="D31" s="567">
        <f>('C-57'!D31/'C-56'!D31)*1000</f>
        <v>40.207182320441994</v>
      </c>
      <c r="E31" s="567">
        <f>('C-57'!E31/'C-56'!E31)*1000</f>
        <v>39.5</v>
      </c>
      <c r="F31" s="567">
        <f>('C-57'!F31/'C-56'!F31)*1000</f>
        <v>39.352018513756747</v>
      </c>
      <c r="G31" s="567">
        <f>('C-57'!G31/'C-56'!G31)*1000</f>
        <v>39.337612323491655</v>
      </c>
      <c r="H31" s="567">
        <f>('C-57'!H31/'C-56'!H31)*1000</f>
        <v>39.247314578005117</v>
      </c>
      <c r="I31" s="567">
        <f>('C-57'!I31/'C-56'!I31)*1000</f>
        <v>39.642857142857146</v>
      </c>
      <c r="J31" s="567">
        <f>('C-57'!J31/'C-56'!J31)*1000</f>
        <v>40.986559139784944</v>
      </c>
      <c r="K31" s="567">
        <f>('C-57'!K31/'C-56'!K31)*1000</f>
        <v>40.284960422163593</v>
      </c>
      <c r="L31" s="567">
        <f>('C-57'!L31/'C-56'!L31)*1000</f>
        <v>42.247013059183104</v>
      </c>
      <c r="M31" s="567">
        <f>('C-57'!M31/'C-56'!M31)*1000</f>
        <v>42.519422863485019</v>
      </c>
      <c r="N31" s="567">
        <f>('C-57'!N31/'C-56'!N31)*1000</f>
        <v>40.535011801730917</v>
      </c>
      <c r="O31" s="279"/>
      <c r="P31" s="217"/>
      <c r="Q31" s="275"/>
    </row>
    <row r="32" spans="1:17" ht="12" customHeight="1">
      <c r="A32" s="290" t="s">
        <v>44</v>
      </c>
      <c r="B32" s="566">
        <f>('C-57'!B32/'C-56'!B32)*1000</f>
        <v>41.066488301811617</v>
      </c>
      <c r="C32" s="567">
        <f>('C-57'!C32/'C-56'!C32)*1000</f>
        <v>40.94739208633095</v>
      </c>
      <c r="D32" s="567">
        <f>('C-57'!D32/'C-56'!D32)*1000</f>
        <v>40.866461171323472</v>
      </c>
      <c r="E32" s="567">
        <f>('C-57'!E32/'C-56'!E32)*1000</f>
        <v>40.911110021572867</v>
      </c>
      <c r="F32" s="567">
        <f>('C-57'!F32/'C-56'!F32)*1000</f>
        <v>40.739495798319346</v>
      </c>
      <c r="G32" s="567">
        <f>('C-57'!G32/'C-56'!G32)*1000</f>
        <v>41.110287443267794</v>
      </c>
      <c r="H32" s="567">
        <f>('C-57'!H32/'C-56'!H32)*1000</f>
        <v>41.118559063136473</v>
      </c>
      <c r="I32" s="567">
        <f>('C-57'!I32/'C-56'!I32)*1000</f>
        <v>41.181124007330496</v>
      </c>
      <c r="J32" s="567">
        <f>('C-57'!J32/'C-56'!J32)*1000</f>
        <v>40.85840576847098</v>
      </c>
      <c r="K32" s="567">
        <f>('C-57'!K32/'C-56'!K32)*1000</f>
        <v>41.186194717444735</v>
      </c>
      <c r="L32" s="567">
        <f>('C-57'!L32/'C-56'!L32)*1000</f>
        <v>40.321071328409829</v>
      </c>
      <c r="M32" s="567">
        <f>('C-57'!M32/'C-56'!M32)*1000</f>
        <v>40.463583282114321</v>
      </c>
      <c r="N32" s="567">
        <f>('C-57'!N32/'C-56'!N32)*1000</f>
        <v>43.143934867045125</v>
      </c>
      <c r="O32" s="279"/>
      <c r="P32" s="217"/>
      <c r="Q32" s="275"/>
    </row>
    <row r="33" spans="1:17" ht="12" customHeight="1">
      <c r="A33" s="290" t="s">
        <v>45</v>
      </c>
      <c r="B33" s="566">
        <f>('C-57'!B33/'C-56'!B33)*1000</f>
        <v>33.430515945035005</v>
      </c>
      <c r="C33" s="567">
        <f>('C-57'!C33/'C-56'!C33)*1000</f>
        <v>32.697849462365589</v>
      </c>
      <c r="D33" s="567">
        <f>('C-57'!D33/'C-56'!D33)*1000</f>
        <v>33.438260869565212</v>
      </c>
      <c r="E33" s="567">
        <f>('C-57'!E33/'C-56'!E33)*1000</f>
        <v>33.257459505541348</v>
      </c>
      <c r="F33" s="567">
        <f>('C-57'!F33/'C-56'!F33)*1000</f>
        <v>34.373106060606055</v>
      </c>
      <c r="G33" s="567">
        <f>('C-57'!G33/'C-56'!G33)*1000</f>
        <v>34.302162849872779</v>
      </c>
      <c r="H33" s="567">
        <f>('C-57'!H33/'C-56'!H33)*1000</f>
        <v>34.237516005121634</v>
      </c>
      <c r="I33" s="567">
        <f>('C-57'!I33/'C-56'!I33)*1000</f>
        <v>34.155828220858901</v>
      </c>
      <c r="J33" s="567">
        <f>('C-57'!J33/'C-56'!J33)*1000</f>
        <v>33.045742434905002</v>
      </c>
      <c r="K33" s="567">
        <f>('C-57'!K33/'C-56'!K33)*1000</f>
        <v>32.665587044534412</v>
      </c>
      <c r="L33" s="567">
        <f>('C-57'!L33/'C-56'!L33)*1000</f>
        <v>32.482309124767227</v>
      </c>
      <c r="M33" s="567">
        <f>('C-57'!M33/'C-56'!M33)*1000</f>
        <v>32.5432999088423</v>
      </c>
      <c r="N33" s="567">
        <f>('C-57'!N33/'C-56'!N33)*1000</f>
        <v>32.48299999999999</v>
      </c>
      <c r="O33" s="279"/>
      <c r="P33" s="217"/>
      <c r="Q33" s="275"/>
    </row>
    <row r="34" spans="1:17" ht="12" customHeight="1">
      <c r="A34" s="213" t="s">
        <v>46</v>
      </c>
      <c r="B34" s="566">
        <f>('C-57'!B34/'C-56'!B34)*1000</f>
        <v>42.906898307241946</v>
      </c>
      <c r="C34" s="567">
        <f>('C-57'!C34/'C-56'!C34)*1000</f>
        <v>42.510142590392121</v>
      </c>
      <c r="D34" s="567">
        <f>('C-57'!D34/'C-56'!D34)*1000</f>
        <v>43.050272975432222</v>
      </c>
      <c r="E34" s="567">
        <f>('C-57'!E34/'C-56'!E34)*1000</f>
        <v>43.257608289768491</v>
      </c>
      <c r="F34" s="567">
        <f>('C-57'!F34/'C-56'!F34)*1000</f>
        <v>44.514218438688651</v>
      </c>
      <c r="G34" s="567">
        <f>('C-57'!G34/'C-56'!G34)*1000</f>
        <v>44.14047798268723</v>
      </c>
      <c r="H34" s="567">
        <f>('C-57'!H34/'C-56'!H34)*1000</f>
        <v>43.812795628771816</v>
      </c>
      <c r="I34" s="567">
        <f>('C-57'!I34/'C-56'!I34)*1000</f>
        <v>43.73505775991962</v>
      </c>
      <c r="J34" s="567">
        <f>('C-57'!J34/'C-56'!J34)*1000</f>
        <v>42.184227100953734</v>
      </c>
      <c r="K34" s="567">
        <f>('C-57'!K34/'C-56'!K34)*1000</f>
        <v>41.702011291460849</v>
      </c>
      <c r="L34" s="567">
        <f>('C-57'!L34/'C-56'!L34)*1000</f>
        <v>42.832259705034751</v>
      </c>
      <c r="M34" s="567">
        <f>('C-57'!M34/'C-56'!M34)*1000</f>
        <v>42.784868186676171</v>
      </c>
      <c r="N34" s="567">
        <f>('C-57'!N34/'C-56'!N34)*1000</f>
        <v>41.184169278996862</v>
      </c>
      <c r="O34" s="279"/>
      <c r="P34" s="217"/>
      <c r="Q34" s="275"/>
    </row>
    <row r="35" spans="1:17" ht="12" customHeight="1">
      <c r="A35" s="213" t="s">
        <v>47</v>
      </c>
      <c r="B35" s="566">
        <f>('C-57'!B35/'C-56'!B35)*1000</f>
        <v>45.055129140280492</v>
      </c>
      <c r="C35" s="567">
        <f>('C-57'!C35/'C-56'!C35)*1000</f>
        <v>47.09955860716039</v>
      </c>
      <c r="D35" s="567">
        <f>('C-57'!D35/'C-56'!D35)*1000</f>
        <v>45.659173003802287</v>
      </c>
      <c r="E35" s="567">
        <f>('C-57'!E35/'C-56'!E35)*1000</f>
        <v>45.967441860465129</v>
      </c>
      <c r="F35" s="567">
        <f>('C-57'!F35/'C-56'!F35)*1000</f>
        <v>45.894811412937266</v>
      </c>
      <c r="G35" s="567">
        <f>('C-57'!G35/'C-56'!G35)*1000</f>
        <v>46.862343141497178</v>
      </c>
      <c r="H35" s="567">
        <f>('C-57'!H35/'C-56'!H35)*1000</f>
        <v>44.650854936569225</v>
      </c>
      <c r="I35" s="567">
        <f>('C-57'!I35/'C-56'!I35)*1000</f>
        <v>45.687190155807365</v>
      </c>
      <c r="J35" s="567">
        <f>('C-57'!J35/'C-56'!J35)*1000</f>
        <v>42.290143452105511</v>
      </c>
      <c r="K35" s="567">
        <f>('C-57'!K35/'C-56'!K35)*1000</f>
        <v>43.018828932261769</v>
      </c>
      <c r="L35" s="567">
        <f>('C-57'!L35/'C-56'!L35)*1000</f>
        <v>43.545751246142885</v>
      </c>
      <c r="M35" s="567">
        <f>('C-57'!M35/'C-56'!M35)*1000</f>
        <v>43.982955872052308</v>
      </c>
      <c r="N35" s="567">
        <f>('C-57'!N35/'C-56'!N35)*1000</f>
        <v>44.598556861389561</v>
      </c>
      <c r="O35" s="279"/>
      <c r="P35" s="217"/>
      <c r="Q35" s="275"/>
    </row>
    <row r="36" spans="1:17" ht="12" customHeight="1">
      <c r="A36" s="213" t="s">
        <v>48</v>
      </c>
      <c r="B36" s="566">
        <f>('C-57'!B36/'C-56'!B36)*1000</f>
        <v>39.012640662008678</v>
      </c>
      <c r="C36" s="567">
        <f>('C-57'!C36/'C-56'!C36)*1000</f>
        <v>43.515942028985506</v>
      </c>
      <c r="D36" s="567">
        <f>('C-57'!D36/'C-56'!D36)*1000</f>
        <v>44.700337216431635</v>
      </c>
      <c r="E36" s="567">
        <f>('C-57'!E36/'C-56'!E36)*1000</f>
        <v>41.382118451025057</v>
      </c>
      <c r="F36" s="567">
        <f>('C-57'!F36/'C-56'!F36)*1000</f>
        <v>41.183910745742807</v>
      </c>
      <c r="G36" s="567">
        <f>('C-57'!G36/'C-56'!G36)*1000</f>
        <v>39.236463620981382</v>
      </c>
      <c r="H36" s="567">
        <f>('C-57'!H36/'C-56'!H36)*1000</f>
        <v>38.351084524999422</v>
      </c>
      <c r="I36" s="567">
        <f>('C-57'!I36/'C-56'!I36)*1000</f>
        <v>36.691130539241854</v>
      </c>
      <c r="J36" s="567">
        <f>('C-57'!J36/'C-56'!J36)*1000</f>
        <v>35.037747985120888</v>
      </c>
      <c r="K36" s="567">
        <f>('C-57'!K36/'C-56'!K36)*1000</f>
        <v>34.461077844311376</v>
      </c>
      <c r="L36" s="567">
        <f>('C-57'!L36/'C-56'!L36)*1000</f>
        <v>33.826071212121214</v>
      </c>
      <c r="M36" s="567">
        <f>('C-57'!M36/'C-56'!M36)*1000</f>
        <v>41.240604066985647</v>
      </c>
      <c r="N36" s="567">
        <f>('C-57'!N36/'C-56'!N36)*1000</f>
        <v>38.709090909090911</v>
      </c>
      <c r="O36" s="279"/>
      <c r="P36" s="217"/>
      <c r="Q36" s="275"/>
    </row>
    <row r="37" spans="1:17" ht="12" customHeight="1" thickBot="1">
      <c r="A37" s="272" t="s">
        <v>49</v>
      </c>
      <c r="B37" s="568">
        <f>('C-57'!B37/'C-56'!B37)*1000</f>
        <v>59.939072757892333</v>
      </c>
      <c r="C37" s="569">
        <f>('C-57'!C37/'C-56'!C37)*1000</f>
        <v>58.697564182842832</v>
      </c>
      <c r="D37" s="569">
        <f>('C-57'!D37/'C-56'!D37)*1000</f>
        <v>58.307434587080948</v>
      </c>
      <c r="E37" s="569">
        <f>('C-57'!E37/'C-56'!E37)*1000</f>
        <v>59.549157427937914</v>
      </c>
      <c r="F37" s="569">
        <f>('C-57'!F37/'C-56'!F37)*1000</f>
        <v>59.89921166306695</v>
      </c>
      <c r="G37" s="569">
        <f>('C-57'!G37/'C-56'!G37)*1000</f>
        <v>60.114861486486497</v>
      </c>
      <c r="H37" s="569">
        <f>('C-57'!H37/'C-56'!H37)*1000</f>
        <v>62.017001545595058</v>
      </c>
      <c r="I37" s="569">
        <f>('C-57'!I37/'C-56'!I37)*1000</f>
        <v>65.729713060686009</v>
      </c>
      <c r="J37" s="569">
        <f>('C-57'!J37/'C-56'!J37)*1000</f>
        <v>62.115580577058417</v>
      </c>
      <c r="K37" s="569">
        <f>('C-57'!K37/'C-56'!K37)*1000</f>
        <v>62.346670000000003</v>
      </c>
      <c r="L37" s="569">
        <f>('C-57'!L37/'C-56'!L37)*1000</f>
        <v>55.971133739576658</v>
      </c>
      <c r="M37" s="569">
        <f>('C-57'!M37/'C-56'!M37)*1000</f>
        <v>59.213992734478211</v>
      </c>
      <c r="N37" s="569">
        <f>('C-57'!N37/'C-56'!N37)*1000</f>
        <v>55.997158886894077</v>
      </c>
      <c r="O37" s="279"/>
      <c r="P37" s="217"/>
      <c r="Q37" s="275"/>
    </row>
    <row r="38" spans="1:17" ht="10" customHeight="1">
      <c r="A38" s="28" t="s">
        <v>238</v>
      </c>
      <c r="B38" s="536"/>
      <c r="C38" s="536"/>
      <c r="D38" s="539"/>
      <c r="E38" s="539"/>
      <c r="F38" s="539"/>
    </row>
    <row r="39" spans="1:17" ht="10" customHeight="1">
      <c r="A39" s="28" t="s">
        <v>192</v>
      </c>
      <c r="B39" s="536"/>
      <c r="C39" s="536"/>
      <c r="D39" s="539"/>
      <c r="E39" s="539"/>
      <c r="F39" s="539"/>
    </row>
    <row r="40" spans="1:17" ht="10" customHeight="1">
      <c r="A40" s="40" t="s">
        <v>261</v>
      </c>
      <c r="B40" s="539"/>
      <c r="C40" s="539"/>
      <c r="D40" s="539"/>
      <c r="E40" s="539"/>
      <c r="F40" s="539"/>
    </row>
    <row r="41" spans="1:17" ht="13" customHeight="1">
      <c r="A41" s="12"/>
    </row>
    <row r="42" spans="1:17" ht="13" customHeight="1">
      <c r="A42" s="141"/>
    </row>
    <row r="43" spans="1:17" ht="13" customHeight="1">
      <c r="A43" s="191"/>
    </row>
    <row r="44" spans="1:17" ht="13" customHeight="1">
      <c r="A44" s="31"/>
    </row>
    <row r="45" spans="1:17" ht="13" customHeight="1">
      <c r="A45" s="58"/>
    </row>
    <row r="46" spans="1:17" ht="13" customHeight="1">
      <c r="A46" s="31"/>
    </row>
    <row r="47" spans="1:17" ht="13" customHeight="1">
      <c r="A47" s="141"/>
    </row>
    <row r="48" spans="1:17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Hoja60">
    <tabColor theme="9" tint="0.59999389629810485"/>
  </sheetPr>
  <dimension ref="A4:O54"/>
  <sheetViews>
    <sheetView showGridLines="0" zoomScaleNormal="10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9" style="213" customWidth="1"/>
    <col min="3" max="14" width="8.59765625" style="213" customWidth="1"/>
    <col min="15" max="16384" width="7" style="213"/>
  </cols>
  <sheetData>
    <row r="4" spans="1:15" ht="13" customHeight="1">
      <c r="A4" s="511" t="s">
        <v>395</v>
      </c>
      <c r="B4" s="507"/>
      <c r="O4" s="217"/>
    </row>
    <row r="5" spans="1:15" ht="13" customHeight="1">
      <c r="A5" s="516" t="s">
        <v>325</v>
      </c>
      <c r="B5" s="509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17"/>
    </row>
    <row r="6" spans="1:15" ht="5" customHeight="1" thickBot="1">
      <c r="A6" s="217"/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</row>
    <row r="7" spans="1:15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  <c r="O7" s="215"/>
    </row>
    <row r="8" spans="1:15" ht="15" customHeight="1">
      <c r="A8" s="530" t="s">
        <v>100</v>
      </c>
      <c r="B8" s="559">
        <f t="shared" ref="B8:B37" si="0">SUM(C8:N8)</f>
        <v>1357066.5486644637</v>
      </c>
      <c r="C8" s="559">
        <f t="shared" ref="C8:N8" si="1">SUM(C9:C13,C17:C29,C32:C37)</f>
        <v>101272</v>
      </c>
      <c r="D8" s="559">
        <f t="shared" si="1"/>
        <v>104739</v>
      </c>
      <c r="E8" s="559">
        <f t="shared" si="1"/>
        <v>109634</v>
      </c>
      <c r="F8" s="559">
        <f t="shared" si="1"/>
        <v>118371</v>
      </c>
      <c r="G8" s="559">
        <f t="shared" si="1"/>
        <v>121905.35872928942</v>
      </c>
      <c r="H8" s="559">
        <f t="shared" si="1"/>
        <v>121838</v>
      </c>
      <c r="I8" s="559">
        <f t="shared" si="1"/>
        <v>120691</v>
      </c>
      <c r="J8" s="559">
        <f t="shared" si="1"/>
        <v>115388</v>
      </c>
      <c r="K8" s="559">
        <f t="shared" si="1"/>
        <v>111677</v>
      </c>
      <c r="L8" s="559">
        <f t="shared" si="1"/>
        <v>109302.5</v>
      </c>
      <c r="M8" s="559">
        <f t="shared" si="1"/>
        <v>108195</v>
      </c>
      <c r="N8" s="559">
        <f t="shared" si="1"/>
        <v>114053.68993517422</v>
      </c>
      <c r="O8" s="215"/>
    </row>
    <row r="9" spans="1:15" ht="12" customHeight="1">
      <c r="A9" s="269" t="s">
        <v>21</v>
      </c>
      <c r="B9" s="550">
        <f t="shared" si="0"/>
        <v>4510</v>
      </c>
      <c r="C9" s="551">
        <f>+'[2]VAC 04-99'!E1376</f>
        <v>347.00000000000006</v>
      </c>
      <c r="D9" s="551">
        <f>+'[2]VAC 04-99'!F1376</f>
        <v>356</v>
      </c>
      <c r="E9" s="551">
        <f>+'[2]VAC 04-99'!G1376</f>
        <v>361.00000000000006</v>
      </c>
      <c r="F9" s="551">
        <f>+'[2]VAC 04-99'!H1376</f>
        <v>367</v>
      </c>
      <c r="G9" s="551">
        <f>+'[2]VAC 04-99'!I1376</f>
        <v>362</v>
      </c>
      <c r="H9" s="551">
        <f>+'[2]VAC 04-99'!J1376</f>
        <v>353.00000000000006</v>
      </c>
      <c r="I9" s="551">
        <f>+'[2]VAC 04-99'!K1376</f>
        <v>356.00000000000006</v>
      </c>
      <c r="J9" s="551">
        <f>+'[2]VAC 04-99'!L1376</f>
        <v>364.00000000000006</v>
      </c>
      <c r="K9" s="551">
        <f>+'[2]VAC 04-99'!M1376</f>
        <v>412</v>
      </c>
      <c r="L9" s="551">
        <f>+'[2]VAC 04-99'!N1376</f>
        <v>420</v>
      </c>
      <c r="M9" s="551">
        <f>+'[2]VAC 04-99'!O1376</f>
        <v>402</v>
      </c>
      <c r="N9" s="551">
        <f>+'[2]VAC 04-99'!P1376</f>
        <v>410</v>
      </c>
      <c r="O9" s="215"/>
    </row>
    <row r="10" spans="1:15" ht="12" customHeight="1">
      <c r="A10" s="269" t="s">
        <v>22</v>
      </c>
      <c r="B10" s="550">
        <f t="shared" si="0"/>
        <v>47804.836438065198</v>
      </c>
      <c r="C10" s="551">
        <f>+'[2]VAC 04-99'!E1379</f>
        <v>3416</v>
      </c>
      <c r="D10" s="551">
        <f>+'[2]VAC 04-99'!F1379</f>
        <v>3520</v>
      </c>
      <c r="E10" s="551">
        <f>+'[2]VAC 04-99'!G1379</f>
        <v>3840</v>
      </c>
      <c r="F10" s="551">
        <f>+'[2]VAC 04-99'!H1379</f>
        <v>3842</v>
      </c>
      <c r="G10" s="551">
        <f>+'[2]VAC 04-99'!I1379</f>
        <v>3964.3364380652001</v>
      </c>
      <c r="H10" s="551">
        <f>+'[2]VAC 04-99'!J1379</f>
        <v>3827</v>
      </c>
      <c r="I10" s="551">
        <f>+'[2]VAC 04-99'!K1379</f>
        <v>3927</v>
      </c>
      <c r="J10" s="551">
        <f>+'[2]VAC 04-99'!L1379</f>
        <v>4257</v>
      </c>
      <c r="K10" s="551">
        <f>+'[2]VAC 04-99'!M1379</f>
        <v>4243</v>
      </c>
      <c r="L10" s="551">
        <f>+'[2]VAC 04-99'!N1379</f>
        <v>4434.5</v>
      </c>
      <c r="M10" s="551">
        <f>+'[2]VAC 04-99'!O1379</f>
        <v>4326</v>
      </c>
      <c r="N10" s="551">
        <f>+'[2]VAC 04-99'!P1379</f>
        <v>4208</v>
      </c>
      <c r="O10" s="215"/>
    </row>
    <row r="11" spans="1:15" ht="12" customHeight="1">
      <c r="A11" s="269" t="s">
        <v>23</v>
      </c>
      <c r="B11" s="550">
        <f t="shared" si="0"/>
        <v>21454</v>
      </c>
      <c r="C11" s="551">
        <f>+'[2]VAC 04-99'!E1382</f>
        <v>1835</v>
      </c>
      <c r="D11" s="551">
        <f>+'[2]VAC 04-99'!F1382</f>
        <v>2104</v>
      </c>
      <c r="E11" s="551">
        <f>+'[2]VAC 04-99'!G1382</f>
        <v>1914</v>
      </c>
      <c r="F11" s="551">
        <f>+'[2]VAC 04-99'!H1382</f>
        <v>1798</v>
      </c>
      <c r="G11" s="551">
        <f>+'[2]VAC 04-99'!I1382</f>
        <v>1804</v>
      </c>
      <c r="H11" s="551">
        <f>+'[2]VAC 04-99'!J1382</f>
        <v>1846</v>
      </c>
      <c r="I11" s="551">
        <f>+'[2]VAC 04-99'!K1382</f>
        <v>1690</v>
      </c>
      <c r="J11" s="551">
        <f>+'[2]VAC 04-99'!L1382</f>
        <v>1650</v>
      </c>
      <c r="K11" s="551">
        <f>+'[2]VAC 04-99'!M1382</f>
        <v>1623</v>
      </c>
      <c r="L11" s="551">
        <f>+'[2]VAC 04-99'!N1382</f>
        <v>1640</v>
      </c>
      <c r="M11" s="551">
        <f>+'[2]VAC 04-99'!O1382</f>
        <v>1680</v>
      </c>
      <c r="N11" s="551">
        <f>+'[2]VAC 04-99'!P1382</f>
        <v>1870</v>
      </c>
      <c r="O11" s="215"/>
    </row>
    <row r="12" spans="1:15" ht="12" customHeight="1">
      <c r="A12" s="217" t="s">
        <v>24</v>
      </c>
      <c r="B12" s="550">
        <f t="shared" si="0"/>
        <v>58195</v>
      </c>
      <c r="C12" s="551">
        <f>+'[2]VAC 04-99'!E1385</f>
        <v>4660</v>
      </c>
      <c r="D12" s="551">
        <f>+'[2]VAC 04-99'!F1385</f>
        <v>4675</v>
      </c>
      <c r="E12" s="551">
        <f>+'[2]VAC 04-99'!G1385</f>
        <v>4675</v>
      </c>
      <c r="F12" s="551">
        <f>+'[2]VAC 04-99'!H1385</f>
        <v>4722</v>
      </c>
      <c r="G12" s="551">
        <f>+'[2]VAC 04-99'!I1385</f>
        <v>4697</v>
      </c>
      <c r="H12" s="551">
        <f>+'[2]VAC 04-99'!J1385</f>
        <v>4779</v>
      </c>
      <c r="I12" s="551">
        <f>+'[2]VAC 04-99'!K1385</f>
        <v>5140</v>
      </c>
      <c r="J12" s="551">
        <f>+'[2]VAC 04-99'!L1385</f>
        <v>5317</v>
      </c>
      <c r="K12" s="551">
        <f>+'[2]VAC 04-99'!M1385</f>
        <v>4971</v>
      </c>
      <c r="L12" s="551">
        <f>+'[2]VAC 04-99'!N1385</f>
        <v>5004</v>
      </c>
      <c r="M12" s="551">
        <f>+'[2]VAC 04-99'!O1385</f>
        <v>4814</v>
      </c>
      <c r="N12" s="551">
        <f>+'[2]VAC 04-99'!P1385</f>
        <v>4741</v>
      </c>
      <c r="O12" s="215"/>
    </row>
    <row r="13" spans="1:15" ht="12" customHeight="1">
      <c r="A13" s="269" t="s">
        <v>25</v>
      </c>
      <c r="B13" s="550">
        <f t="shared" si="0"/>
        <v>196668</v>
      </c>
      <c r="C13" s="551">
        <f>+'[2]VAC 04-99'!E1388</f>
        <v>14724</v>
      </c>
      <c r="D13" s="551">
        <f>+'[2]VAC 04-99'!F1388</f>
        <v>14889</v>
      </c>
      <c r="E13" s="551">
        <f>+'[2]VAC 04-99'!G1388</f>
        <v>15589</v>
      </c>
      <c r="F13" s="551">
        <f>+'[2]VAC 04-99'!H1388</f>
        <v>15779</v>
      </c>
      <c r="G13" s="551">
        <f>+'[2]VAC 04-99'!I1388</f>
        <v>17258</v>
      </c>
      <c r="H13" s="551">
        <f>+'[2]VAC 04-99'!J1388</f>
        <v>17530</v>
      </c>
      <c r="I13" s="551">
        <f>+'[2]VAC 04-99'!K1388</f>
        <v>16981</v>
      </c>
      <c r="J13" s="551">
        <f>+'[2]VAC 04-99'!L1388</f>
        <v>17149</v>
      </c>
      <c r="K13" s="551">
        <f>+'[2]VAC 04-99'!M1388</f>
        <v>17057</v>
      </c>
      <c r="L13" s="551">
        <f>+'[2]VAC 04-99'!N1388</f>
        <v>17162</v>
      </c>
      <c r="M13" s="551">
        <f>+'[2]VAC 04-99'!O1388</f>
        <v>16074</v>
      </c>
      <c r="N13" s="551">
        <f>+'[2]VAC 04-99'!P1388</f>
        <v>16476</v>
      </c>
      <c r="O13" s="215"/>
    </row>
    <row r="14" spans="1:15" ht="12" customHeight="1">
      <c r="A14" s="271" t="s">
        <v>107</v>
      </c>
      <c r="B14" s="550">
        <f t="shared" si="0"/>
        <v>111060</v>
      </c>
      <c r="C14" s="551">
        <f>+'[2]VAC 04-99'!E1391</f>
        <v>8293</v>
      </c>
      <c r="D14" s="551">
        <f>+'[2]VAC 04-99'!F1391</f>
        <v>8661</v>
      </c>
      <c r="E14" s="551">
        <f>+'[2]VAC 04-99'!G1391</f>
        <v>8548</v>
      </c>
      <c r="F14" s="551">
        <f>+'[2]VAC 04-99'!H1391</f>
        <v>8550</v>
      </c>
      <c r="G14" s="551">
        <f>+'[2]VAC 04-99'!I1391</f>
        <v>8699</v>
      </c>
      <c r="H14" s="551">
        <f>+'[2]VAC 04-99'!J1391</f>
        <v>9089</v>
      </c>
      <c r="I14" s="551">
        <f>+'[2]VAC 04-99'!K1391</f>
        <v>9664</v>
      </c>
      <c r="J14" s="551">
        <f>+'[2]VAC 04-99'!L1391</f>
        <v>10074</v>
      </c>
      <c r="K14" s="551">
        <f>+'[2]VAC 04-99'!M1391</f>
        <v>10063</v>
      </c>
      <c r="L14" s="551">
        <f>+'[2]VAC 04-99'!N1391</f>
        <v>10332</v>
      </c>
      <c r="M14" s="551">
        <f>+'[2]VAC 04-99'!O1391</f>
        <v>9199</v>
      </c>
      <c r="N14" s="551">
        <f>+'[2]VAC 04-99'!P1391</f>
        <v>9888</v>
      </c>
      <c r="O14" s="215"/>
    </row>
    <row r="15" spans="1:15" ht="12" customHeight="1">
      <c r="A15" s="271" t="s">
        <v>108</v>
      </c>
      <c r="B15" s="550">
        <f t="shared" si="0"/>
        <v>54560</v>
      </c>
      <c r="C15" s="551">
        <f>+'[2]VAC 04-99'!E1394</f>
        <v>4295</v>
      </c>
      <c r="D15" s="551">
        <f>+'[2]VAC 04-99'!F1394</f>
        <v>4051</v>
      </c>
      <c r="E15" s="551">
        <f>+'[2]VAC 04-99'!G1394</f>
        <v>4225</v>
      </c>
      <c r="F15" s="551">
        <f>+'[2]VAC 04-99'!H1394</f>
        <v>4214</v>
      </c>
      <c r="G15" s="551">
        <f>+'[2]VAC 04-99'!I1394</f>
        <v>5055</v>
      </c>
      <c r="H15" s="551">
        <f>+'[2]VAC 04-99'!J1394</f>
        <v>4958</v>
      </c>
      <c r="I15" s="551">
        <f>+'[2]VAC 04-99'!K1394</f>
        <v>4670</v>
      </c>
      <c r="J15" s="551">
        <f>+'[2]VAC 04-99'!L1394</f>
        <v>4698</v>
      </c>
      <c r="K15" s="551">
        <f>+'[2]VAC 04-99'!M1394</f>
        <v>4687</v>
      </c>
      <c r="L15" s="551">
        <f>+'[2]VAC 04-99'!N1394</f>
        <v>4695</v>
      </c>
      <c r="M15" s="551">
        <f>+'[2]VAC 04-99'!O1394</f>
        <v>4670</v>
      </c>
      <c r="N15" s="551">
        <f>+'[2]VAC 04-99'!P1394</f>
        <v>4342</v>
      </c>
      <c r="O15" s="215"/>
    </row>
    <row r="16" spans="1:15" ht="12" customHeight="1">
      <c r="A16" s="271" t="s">
        <v>109</v>
      </c>
      <c r="B16" s="550">
        <f t="shared" si="0"/>
        <v>31048</v>
      </c>
      <c r="C16" s="551">
        <f>+'[2]VAC 04-99'!E1397</f>
        <v>2136</v>
      </c>
      <c r="D16" s="551">
        <f>+'[2]VAC 04-99'!F1397</f>
        <v>2177</v>
      </c>
      <c r="E16" s="551">
        <f>+'[2]VAC 04-99'!G1397</f>
        <v>2816</v>
      </c>
      <c r="F16" s="551">
        <f>+'[2]VAC 04-99'!H1397</f>
        <v>3015</v>
      </c>
      <c r="G16" s="551">
        <f>+'[2]VAC 04-99'!I1397</f>
        <v>3504</v>
      </c>
      <c r="H16" s="551">
        <f>+'[2]VAC 04-99'!J1397</f>
        <v>3483</v>
      </c>
      <c r="I16" s="551">
        <f>+'[2]VAC 04-99'!K1397</f>
        <v>2647</v>
      </c>
      <c r="J16" s="551">
        <f>+'[2]VAC 04-99'!L1397</f>
        <v>2377</v>
      </c>
      <c r="K16" s="551">
        <f>+'[2]VAC 04-99'!M1397</f>
        <v>2307</v>
      </c>
      <c r="L16" s="551">
        <f>+'[2]VAC 04-99'!N1397</f>
        <v>2135</v>
      </c>
      <c r="M16" s="551">
        <f>+'[2]VAC 04-99'!O1397</f>
        <v>2205</v>
      </c>
      <c r="N16" s="551">
        <f>+'[2]VAC 04-99'!P1397</f>
        <v>2246</v>
      </c>
      <c r="O16" s="215"/>
    </row>
    <row r="17" spans="1:15" ht="12" customHeight="1">
      <c r="A17" s="269" t="s">
        <v>29</v>
      </c>
      <c r="B17" s="550">
        <f t="shared" si="0"/>
        <v>62118</v>
      </c>
      <c r="C17" s="551">
        <f>+'[2]VAC 04-99'!E1400</f>
        <v>5048</v>
      </c>
      <c r="D17" s="551">
        <f>+'[2]VAC 04-99'!F1400</f>
        <v>5179</v>
      </c>
      <c r="E17" s="551">
        <f>+'[2]VAC 04-99'!G1400</f>
        <v>5109.9999999999991</v>
      </c>
      <c r="F17" s="551">
        <f>+'[2]VAC 04-99'!H1400</f>
        <v>4933</v>
      </c>
      <c r="G17" s="551">
        <f>+'[2]VAC 04-99'!I1400</f>
        <v>5148</v>
      </c>
      <c r="H17" s="551">
        <f>+'[2]VAC 04-99'!J1400</f>
        <v>5202</v>
      </c>
      <c r="I17" s="551">
        <f>+'[2]VAC 04-99'!K1400</f>
        <v>5090.9999999999991</v>
      </c>
      <c r="J17" s="551">
        <f>+'[2]VAC 04-99'!L1400</f>
        <v>5192</v>
      </c>
      <c r="K17" s="551">
        <f>+'[2]VAC 04-99'!M1400</f>
        <v>5218.9999999999991</v>
      </c>
      <c r="L17" s="551">
        <f>+'[2]VAC 04-99'!N1400</f>
        <v>5135</v>
      </c>
      <c r="M17" s="551">
        <f>+'[2]VAC 04-99'!O1400</f>
        <v>5129</v>
      </c>
      <c r="N17" s="551">
        <f>+'[2]VAC 04-99'!P1400</f>
        <v>5731.9999999999991</v>
      </c>
      <c r="O17" s="215"/>
    </row>
    <row r="18" spans="1:15" ht="12" customHeight="1">
      <c r="A18" s="217" t="s">
        <v>30</v>
      </c>
      <c r="B18" s="550">
        <f t="shared" si="0"/>
        <v>72763</v>
      </c>
      <c r="C18" s="551">
        <f>+'[2]VAC 04-99'!E1403</f>
        <v>5989</v>
      </c>
      <c r="D18" s="551">
        <f>+'[2]VAC 04-99'!F1403</f>
        <v>6055</v>
      </c>
      <c r="E18" s="551">
        <f>+'[2]VAC 04-99'!G1403</f>
        <v>6048</v>
      </c>
      <c r="F18" s="551">
        <f>+'[2]VAC 04-99'!H1403</f>
        <v>5989</v>
      </c>
      <c r="G18" s="551">
        <f>+'[2]VAC 04-99'!I1403</f>
        <v>6480</v>
      </c>
      <c r="H18" s="551">
        <f>+'[2]VAC 04-99'!J1403</f>
        <v>6397</v>
      </c>
      <c r="I18" s="551">
        <f>+'[2]VAC 04-99'!K1403</f>
        <v>5965</v>
      </c>
      <c r="J18" s="551">
        <f>+'[2]VAC 04-99'!L1403</f>
        <v>6201</v>
      </c>
      <c r="K18" s="551">
        <f>+'[2]VAC 04-99'!M1403</f>
        <v>6090</v>
      </c>
      <c r="L18" s="551">
        <f>+'[2]VAC 04-99'!N1403</f>
        <v>5875</v>
      </c>
      <c r="M18" s="551">
        <f>+'[2]VAC 04-99'!O1403</f>
        <v>5895</v>
      </c>
      <c r="N18" s="551">
        <f>+'[2]VAC 04-99'!P1403</f>
        <v>5779</v>
      </c>
      <c r="O18" s="215"/>
    </row>
    <row r="19" spans="1:15" ht="12" customHeight="1">
      <c r="A19" s="217" t="s">
        <v>31</v>
      </c>
      <c r="B19" s="550">
        <f t="shared" si="0"/>
        <v>113481</v>
      </c>
      <c r="C19" s="551">
        <f>+'[2]VAC 04-99'!E1406</f>
        <v>9182</v>
      </c>
      <c r="D19" s="551">
        <f>+'[2]VAC 04-99'!F1406</f>
        <v>9112</v>
      </c>
      <c r="E19" s="551">
        <f>+'[2]VAC 04-99'!G1406</f>
        <v>9063</v>
      </c>
      <c r="F19" s="551">
        <f>+'[2]VAC 04-99'!H1406</f>
        <v>9561</v>
      </c>
      <c r="G19" s="551">
        <f>+'[2]VAC 04-99'!I1406</f>
        <v>10051</v>
      </c>
      <c r="H19" s="551">
        <f>+'[2]VAC 04-99'!J1406</f>
        <v>9512</v>
      </c>
      <c r="I19" s="551">
        <f>+'[2]VAC 04-99'!K1406</f>
        <v>10180</v>
      </c>
      <c r="J19" s="551">
        <f>+'[2]VAC 04-99'!L1406</f>
        <v>9405</v>
      </c>
      <c r="K19" s="551">
        <f>+'[2]VAC 04-99'!M1406</f>
        <v>9552</v>
      </c>
      <c r="L19" s="551">
        <f>+'[2]VAC 04-99'!N1406</f>
        <v>9294</v>
      </c>
      <c r="M19" s="551">
        <f>+'[2]VAC 04-99'!O1406</f>
        <v>8895</v>
      </c>
      <c r="N19" s="551">
        <f>+'[2]VAC 04-99'!P1406</f>
        <v>9674</v>
      </c>
      <c r="O19" s="215"/>
    </row>
    <row r="20" spans="1:15" ht="12" customHeight="1">
      <c r="A20" s="269" t="s">
        <v>32</v>
      </c>
      <c r="B20" s="550">
        <f t="shared" si="0"/>
        <v>13058</v>
      </c>
      <c r="C20" s="551">
        <f>+'[2]VAC 04-99'!E1409</f>
        <v>981</v>
      </c>
      <c r="D20" s="551">
        <f>+'[2]VAC 04-99'!F1409</f>
        <v>1013</v>
      </c>
      <c r="E20" s="551">
        <f>+'[2]VAC 04-99'!G1409</f>
        <v>992</v>
      </c>
      <c r="F20" s="551">
        <f>+'[2]VAC 04-99'!H1409</f>
        <v>1070</v>
      </c>
      <c r="G20" s="551">
        <f>+'[2]VAC 04-99'!I1409</f>
        <v>1108</v>
      </c>
      <c r="H20" s="551">
        <f>+'[2]VAC 04-99'!J1409</f>
        <v>1158</v>
      </c>
      <c r="I20" s="551">
        <f>+'[2]VAC 04-99'!K1409</f>
        <v>1161</v>
      </c>
      <c r="J20" s="551">
        <f>+'[2]VAC 04-99'!L1409</f>
        <v>1107</v>
      </c>
      <c r="K20" s="551">
        <f>+'[2]VAC 04-99'!M1409</f>
        <v>1127</v>
      </c>
      <c r="L20" s="551">
        <f>+'[2]VAC 04-99'!N1409</f>
        <v>1129</v>
      </c>
      <c r="M20" s="551">
        <f>+'[2]VAC 04-99'!O1409</f>
        <v>1115</v>
      </c>
      <c r="N20" s="551">
        <f>+'[2]VAC 04-99'!P1409</f>
        <v>1097</v>
      </c>
      <c r="O20" s="215"/>
    </row>
    <row r="21" spans="1:15" ht="12" customHeight="1">
      <c r="A21" s="269" t="s">
        <v>33</v>
      </c>
      <c r="B21" s="550">
        <f t="shared" si="0"/>
        <v>149251</v>
      </c>
      <c r="C21" s="551">
        <f>+'[2]VAC 04-99'!E1412</f>
        <v>11127</v>
      </c>
      <c r="D21" s="551">
        <f>+'[2]VAC 04-99'!F1412</f>
        <v>10956</v>
      </c>
      <c r="E21" s="551">
        <f>+'[2]VAC 04-99'!G1412</f>
        <v>11133</v>
      </c>
      <c r="F21" s="551">
        <f>+'[2]VAC 04-99'!H1412</f>
        <v>13106</v>
      </c>
      <c r="G21" s="551">
        <f>+'[2]VAC 04-99'!I1412</f>
        <v>13523</v>
      </c>
      <c r="H21" s="551">
        <f>+'[2]VAC 04-99'!J1412</f>
        <v>12224</v>
      </c>
      <c r="I21" s="551">
        <f>+'[2]VAC 04-99'!K1412</f>
        <v>13413</v>
      </c>
      <c r="J21" s="551">
        <f>+'[2]VAC 04-99'!L1412</f>
        <v>12432</v>
      </c>
      <c r="K21" s="551">
        <f>+'[2]VAC 04-99'!M1412</f>
        <v>13065</v>
      </c>
      <c r="L21" s="551">
        <f>+'[2]VAC 04-99'!N1412</f>
        <v>12276</v>
      </c>
      <c r="M21" s="551">
        <f>+'[2]VAC 04-99'!O1412</f>
        <v>12649</v>
      </c>
      <c r="N21" s="551">
        <f>+'[2]VAC 04-99'!P1412</f>
        <v>13347</v>
      </c>
      <c r="O21" s="215"/>
    </row>
    <row r="22" spans="1:15" ht="12" customHeight="1">
      <c r="A22" s="269" t="s">
        <v>34</v>
      </c>
      <c r="B22" s="550">
        <f t="shared" si="0"/>
        <v>23223</v>
      </c>
      <c r="C22" s="551">
        <f>+'[2]VAC 04-99'!E1415</f>
        <v>1162</v>
      </c>
      <c r="D22" s="551">
        <f>+'[2]VAC 04-99'!F1415</f>
        <v>1196</v>
      </c>
      <c r="E22" s="551">
        <f>+'[2]VAC 04-99'!G1415</f>
        <v>1661</v>
      </c>
      <c r="F22" s="551">
        <f>+'[2]VAC 04-99'!H1415</f>
        <v>1934</v>
      </c>
      <c r="G22" s="551">
        <f>+'[2]VAC 04-99'!I1415</f>
        <v>2253</v>
      </c>
      <c r="H22" s="551">
        <f>+'[2]VAC 04-99'!J1415</f>
        <v>2704</v>
      </c>
      <c r="I22" s="551">
        <f>+'[2]VAC 04-99'!K1415</f>
        <v>2802</v>
      </c>
      <c r="J22" s="551">
        <f>+'[2]VAC 04-99'!L1415</f>
        <v>2207</v>
      </c>
      <c r="K22" s="551">
        <f>+'[2]VAC 04-99'!M1415</f>
        <v>1436</v>
      </c>
      <c r="L22" s="551">
        <f>+'[2]VAC 04-99'!N1415</f>
        <v>1474</v>
      </c>
      <c r="M22" s="551">
        <f>+'[2]VAC 04-99'!O1415</f>
        <v>1824</v>
      </c>
      <c r="N22" s="551">
        <f>+'[2]VAC 04-99'!P1415</f>
        <v>2570</v>
      </c>
      <c r="O22" s="215"/>
    </row>
    <row r="23" spans="1:15" ht="12" customHeight="1">
      <c r="A23" s="269" t="s">
        <v>35</v>
      </c>
      <c r="B23" s="550">
        <f t="shared" si="0"/>
        <v>61102.712226398449</v>
      </c>
      <c r="C23" s="551">
        <f>+'[2]VAC 04-99'!E1418</f>
        <v>5090.9999999999991</v>
      </c>
      <c r="D23" s="551">
        <f>+'[2]VAC 04-99'!F1418</f>
        <v>5051</v>
      </c>
      <c r="E23" s="551">
        <f>+'[2]VAC 04-99'!G1418</f>
        <v>5202.0000000000009</v>
      </c>
      <c r="F23" s="551">
        <f>+'[2]VAC 04-99'!H1418</f>
        <v>5122</v>
      </c>
      <c r="G23" s="551">
        <f>+'[2]VAC 04-99'!I1418</f>
        <v>5237.0222912242307</v>
      </c>
      <c r="H23" s="551">
        <f>+'[2]VAC 04-99'!J1418</f>
        <v>4856.0000000000009</v>
      </c>
      <c r="I23" s="551">
        <f>+'[2]VAC 04-99'!K1418</f>
        <v>5034.0000000000009</v>
      </c>
      <c r="J23" s="551">
        <f>+'[2]VAC 04-99'!L1418</f>
        <v>4787.9999999999991</v>
      </c>
      <c r="K23" s="551">
        <f>+'[2]VAC 04-99'!M1418</f>
        <v>4935.9999999999991</v>
      </c>
      <c r="L23" s="551">
        <f>+'[2]VAC 04-99'!N1418</f>
        <v>4893</v>
      </c>
      <c r="M23" s="551">
        <f>+'[2]VAC 04-99'!O1418</f>
        <v>4898.9999999999991</v>
      </c>
      <c r="N23" s="551">
        <f>+'[2]VAC 04-99'!P1418</f>
        <v>5993.6899351742204</v>
      </c>
      <c r="O23" s="215"/>
    </row>
    <row r="24" spans="1:15" ht="12" customHeight="1">
      <c r="A24" s="269" t="s">
        <v>36</v>
      </c>
      <c r="B24" s="550">
        <f t="shared" si="0"/>
        <v>29731</v>
      </c>
      <c r="C24" s="551">
        <f>+'[2]VAC 04-99'!E1421</f>
        <v>2270</v>
      </c>
      <c r="D24" s="551">
        <f>+'[2]VAC 04-99'!F1421</f>
        <v>2212</v>
      </c>
      <c r="E24" s="551">
        <f>+'[2]VAC 04-99'!G1421</f>
        <v>2282</v>
      </c>
      <c r="F24" s="551">
        <f>+'[2]VAC 04-99'!H1421</f>
        <v>2476</v>
      </c>
      <c r="G24" s="551">
        <f>+'[2]VAC 04-99'!I1421</f>
        <v>2683</v>
      </c>
      <c r="H24" s="551">
        <f>+'[2]VAC 04-99'!J1421</f>
        <v>2756</v>
      </c>
      <c r="I24" s="551">
        <f>+'[2]VAC 04-99'!K1421</f>
        <v>2398</v>
      </c>
      <c r="J24" s="551">
        <f>+'[2]VAC 04-99'!L1421</f>
        <v>2377</v>
      </c>
      <c r="K24" s="551">
        <f>+'[2]VAC 04-99'!M1421</f>
        <v>2462</v>
      </c>
      <c r="L24" s="551">
        <f>+'[2]VAC 04-99'!N1421</f>
        <v>2592</v>
      </c>
      <c r="M24" s="551">
        <f>+'[2]VAC 04-99'!O1421</f>
        <v>2535</v>
      </c>
      <c r="N24" s="551">
        <f>+'[2]VAC 04-99'!P1421</f>
        <v>2688</v>
      </c>
      <c r="O24" s="215"/>
    </row>
    <row r="25" spans="1:15" ht="12" customHeight="1">
      <c r="A25" s="217" t="s">
        <v>37</v>
      </c>
      <c r="B25" s="550">
        <f t="shared" si="0"/>
        <v>35096</v>
      </c>
      <c r="C25" s="551">
        <f>+'[2]VAC 04-99'!E1424</f>
        <v>3160</v>
      </c>
      <c r="D25" s="551">
        <f>+'[2]VAC 04-99'!F1424</f>
        <v>2610</v>
      </c>
      <c r="E25" s="551">
        <f>+'[2]VAC 04-99'!G1424</f>
        <v>2871</v>
      </c>
      <c r="F25" s="551">
        <f>+'[2]VAC 04-99'!H1424</f>
        <v>3140</v>
      </c>
      <c r="G25" s="551">
        <f>+'[2]VAC 04-99'!I1424</f>
        <v>3008</v>
      </c>
      <c r="H25" s="551">
        <f>+'[2]VAC 04-99'!J1424</f>
        <v>3080</v>
      </c>
      <c r="I25" s="551">
        <f>+'[2]VAC 04-99'!K1424</f>
        <v>3205</v>
      </c>
      <c r="J25" s="551">
        <f>+'[2]VAC 04-99'!L1424</f>
        <v>2810</v>
      </c>
      <c r="K25" s="551">
        <f>+'[2]VAC 04-99'!M1424</f>
        <v>2870</v>
      </c>
      <c r="L25" s="551">
        <f>+'[2]VAC 04-99'!N1424</f>
        <v>2820</v>
      </c>
      <c r="M25" s="551">
        <f>+'[2]VAC 04-99'!O1424</f>
        <v>2792</v>
      </c>
      <c r="N25" s="551">
        <f>+'[2]VAC 04-99'!P1424</f>
        <v>2730</v>
      </c>
      <c r="O25" s="215"/>
    </row>
    <row r="26" spans="1:15" ht="12" customHeight="1">
      <c r="A26" s="269" t="s">
        <v>38</v>
      </c>
      <c r="B26" s="550">
        <f t="shared" si="0"/>
        <v>3495</v>
      </c>
      <c r="C26" s="551">
        <f>+'[2]VAC 04-99'!E1427</f>
        <v>356</v>
      </c>
      <c r="D26" s="551">
        <f>+'[2]VAC 04-99'!F1427</f>
        <v>327</v>
      </c>
      <c r="E26" s="551">
        <f>+'[2]VAC 04-99'!G1427</f>
        <v>331</v>
      </c>
      <c r="F26" s="551">
        <f>+'[2]VAC 04-99'!H1427</f>
        <v>340</v>
      </c>
      <c r="G26" s="551">
        <f>+'[2]VAC 04-99'!I1427</f>
        <v>302</v>
      </c>
      <c r="H26" s="551">
        <f>+'[2]VAC 04-99'!J1427</f>
        <v>219</v>
      </c>
      <c r="I26" s="551">
        <f>+'[2]VAC 04-99'!K1427</f>
        <v>249</v>
      </c>
      <c r="J26" s="551">
        <f>+'[2]VAC 04-99'!L1427</f>
        <v>231</v>
      </c>
      <c r="K26" s="551">
        <f>+'[2]VAC 04-99'!M1427</f>
        <v>221</v>
      </c>
      <c r="L26" s="551">
        <f>+'[2]VAC 04-99'!N1427</f>
        <v>206</v>
      </c>
      <c r="M26" s="551">
        <f>+'[2]VAC 04-99'!O1427</f>
        <v>302</v>
      </c>
      <c r="N26" s="551">
        <f>+'[2]VAC 04-99'!P1427</f>
        <v>411</v>
      </c>
      <c r="O26" s="215"/>
    </row>
    <row r="27" spans="1:15" ht="12" customHeight="1">
      <c r="A27" s="269" t="s">
        <v>39</v>
      </c>
      <c r="B27" s="550">
        <f t="shared" si="0"/>
        <v>5040</v>
      </c>
      <c r="C27" s="551">
        <f>+'[2]VAC 04-99'!E1430</f>
        <v>353</v>
      </c>
      <c r="D27" s="551">
        <f>+'[2]VAC 04-99'!F1430</f>
        <v>420</v>
      </c>
      <c r="E27" s="551">
        <f>+'[2]VAC 04-99'!G1430</f>
        <v>393</v>
      </c>
      <c r="F27" s="551">
        <f>+'[2]VAC 04-99'!H1430</f>
        <v>396</v>
      </c>
      <c r="G27" s="551">
        <f>+'[2]VAC 04-99'!I1430</f>
        <v>411</v>
      </c>
      <c r="H27" s="551">
        <f>+'[2]VAC 04-99'!J1430</f>
        <v>425</v>
      </c>
      <c r="I27" s="551">
        <f>+'[2]VAC 04-99'!K1430</f>
        <v>435</v>
      </c>
      <c r="J27" s="551">
        <f>+'[2]VAC 04-99'!L1430</f>
        <v>426</v>
      </c>
      <c r="K27" s="551">
        <f>+'[2]VAC 04-99'!M1430</f>
        <v>435</v>
      </c>
      <c r="L27" s="551">
        <f>+'[2]VAC 04-99'!N1430</f>
        <v>422</v>
      </c>
      <c r="M27" s="551">
        <f>+'[2]VAC 04-99'!O1430</f>
        <v>440</v>
      </c>
      <c r="N27" s="551">
        <f>+'[2]VAC 04-99'!P1430</f>
        <v>484</v>
      </c>
      <c r="O27" s="215"/>
    </row>
    <row r="28" spans="1:15" ht="12" customHeight="1">
      <c r="A28" s="269" t="s">
        <v>40</v>
      </c>
      <c r="B28" s="550">
        <f t="shared" si="0"/>
        <v>97165</v>
      </c>
      <c r="C28" s="551">
        <f>+'[2]VAC 04-99'!E1433</f>
        <v>5035</v>
      </c>
      <c r="D28" s="551">
        <f>+'[2]VAC 04-99'!F1433</f>
        <v>7190</v>
      </c>
      <c r="E28" s="551">
        <f>+'[2]VAC 04-99'!G1433</f>
        <v>8862</v>
      </c>
      <c r="F28" s="551">
        <f>+'[2]VAC 04-99'!H1433</f>
        <v>9714</v>
      </c>
      <c r="G28" s="551">
        <f>+'[2]VAC 04-99'!I1433</f>
        <v>9200</v>
      </c>
      <c r="H28" s="551">
        <f>+'[2]VAC 04-99'!J1433</f>
        <v>9606</v>
      </c>
      <c r="I28" s="551">
        <f>+'[2]VAC 04-99'!K1433</f>
        <v>9161</v>
      </c>
      <c r="J28" s="551">
        <f>+'[2]VAC 04-99'!L1433</f>
        <v>8242</v>
      </c>
      <c r="K28" s="551">
        <f>+'[2]VAC 04-99'!M1433</f>
        <v>6828</v>
      </c>
      <c r="L28" s="551">
        <f>+'[2]VAC 04-99'!N1433</f>
        <v>6886</v>
      </c>
      <c r="M28" s="551">
        <f>+'[2]VAC 04-99'!O1433</f>
        <v>7324</v>
      </c>
      <c r="N28" s="551">
        <f>+'[2]VAC 04-99'!P1433</f>
        <v>9117</v>
      </c>
      <c r="O28" s="215"/>
    </row>
    <row r="29" spans="1:15" ht="12" customHeight="1">
      <c r="A29" s="269" t="s">
        <v>41</v>
      </c>
      <c r="B29" s="550">
        <f t="shared" si="0"/>
        <v>42496</v>
      </c>
      <c r="C29" s="551">
        <f>+'[2]VAC 04-99'!E1436</f>
        <v>3600</v>
      </c>
      <c r="D29" s="551">
        <f>+'[2]VAC 04-99'!F1436</f>
        <v>3417</v>
      </c>
      <c r="E29" s="551">
        <f>+'[2]VAC 04-99'!G1436</f>
        <v>3585</v>
      </c>
      <c r="F29" s="551">
        <f>+'[2]VAC 04-99'!H1436</f>
        <v>3570</v>
      </c>
      <c r="G29" s="551">
        <f>+'[2]VAC 04-99'!I1436</f>
        <v>3612</v>
      </c>
      <c r="H29" s="551">
        <f>+'[2]VAC 04-99'!J1436</f>
        <v>3574</v>
      </c>
      <c r="I29" s="551">
        <f>+'[2]VAC 04-99'!K1436</f>
        <v>3559</v>
      </c>
      <c r="J29" s="551">
        <f>+'[2]VAC 04-99'!L1436</f>
        <v>3630</v>
      </c>
      <c r="K29" s="551">
        <f>+'[2]VAC 04-99'!M1436</f>
        <v>3583</v>
      </c>
      <c r="L29" s="551">
        <f>+'[2]VAC 04-99'!N1436</f>
        <v>3450</v>
      </c>
      <c r="M29" s="551">
        <f>+'[2]VAC 04-99'!O1436</f>
        <v>3505</v>
      </c>
      <c r="N29" s="551">
        <f>+'[2]VAC 04-99'!P1436</f>
        <v>3411</v>
      </c>
      <c r="O29" s="215"/>
    </row>
    <row r="30" spans="1:15" ht="12" customHeight="1">
      <c r="A30" s="271" t="s">
        <v>111</v>
      </c>
      <c r="B30" s="550">
        <f t="shared" si="0"/>
        <v>21379</v>
      </c>
      <c r="C30" s="551">
        <f>+'[2]VAC 04-99'!E1439</f>
        <v>1760</v>
      </c>
      <c r="D30" s="551">
        <f>+'[2]VAC 04-99'!F1439</f>
        <v>1720</v>
      </c>
      <c r="E30" s="551">
        <f>+'[2]VAC 04-99'!G1439</f>
        <v>1840</v>
      </c>
      <c r="F30" s="551">
        <f>+'[2]VAC 04-99'!H1439</f>
        <v>1830</v>
      </c>
      <c r="G30" s="551">
        <f>+'[2]VAC 04-99'!I1439</f>
        <v>1850</v>
      </c>
      <c r="H30" s="551">
        <f>+'[2]VAC 04-99'!J1439</f>
        <v>1790</v>
      </c>
      <c r="I30" s="551">
        <f>+'[2]VAC 04-99'!K1439</f>
        <v>1799</v>
      </c>
      <c r="J30" s="551">
        <f>+'[2]VAC 04-99'!L1439</f>
        <v>1832</v>
      </c>
      <c r="K30" s="551">
        <f>+'[2]VAC 04-99'!M1439</f>
        <v>1798</v>
      </c>
      <c r="L30" s="551">
        <f>+'[2]VAC 04-99'!N1439</f>
        <v>1720</v>
      </c>
      <c r="M30" s="551">
        <f>+'[2]VAC 04-99'!O1439</f>
        <v>1750</v>
      </c>
      <c r="N30" s="551">
        <f>+'[2]VAC 04-99'!P1439</f>
        <v>1690</v>
      </c>
      <c r="O30" s="215"/>
    </row>
    <row r="31" spans="1:15" ht="12" customHeight="1">
      <c r="A31" s="271" t="s">
        <v>112</v>
      </c>
      <c r="B31" s="550">
        <f t="shared" si="0"/>
        <v>21117</v>
      </c>
      <c r="C31" s="551">
        <f>+'[2]VAC 04-99'!E1442</f>
        <v>1840</v>
      </c>
      <c r="D31" s="551">
        <f>+'[2]VAC 04-99'!F1442</f>
        <v>1697</v>
      </c>
      <c r="E31" s="551">
        <f>+'[2]VAC 04-99'!G1442</f>
        <v>1745</v>
      </c>
      <c r="F31" s="551">
        <f>+'[2]VAC 04-99'!H1442</f>
        <v>1740</v>
      </c>
      <c r="G31" s="551">
        <f>+'[2]VAC 04-99'!I1442</f>
        <v>1762</v>
      </c>
      <c r="H31" s="551">
        <f>+'[2]VAC 04-99'!J1442</f>
        <v>1784</v>
      </c>
      <c r="I31" s="551">
        <f>+'[2]VAC 04-99'!K1442</f>
        <v>1760</v>
      </c>
      <c r="J31" s="551">
        <f>+'[2]VAC 04-99'!L1442</f>
        <v>1798</v>
      </c>
      <c r="K31" s="551">
        <f>+'[2]VAC 04-99'!M1442</f>
        <v>1785</v>
      </c>
      <c r="L31" s="551">
        <f>+'[2]VAC 04-99'!N1442</f>
        <v>1730</v>
      </c>
      <c r="M31" s="551">
        <f>+'[2]VAC 04-99'!O1442</f>
        <v>1755</v>
      </c>
      <c r="N31" s="551">
        <f>+'[2]VAC 04-99'!P1442</f>
        <v>1721</v>
      </c>
      <c r="O31" s="215"/>
    </row>
    <row r="32" spans="1:15" ht="12" customHeight="1">
      <c r="A32" s="269" t="s">
        <v>44</v>
      </c>
      <c r="B32" s="550">
        <f t="shared" si="0"/>
        <v>73001</v>
      </c>
      <c r="C32" s="551">
        <f>+'[2]VAC 04-99'!E1445</f>
        <v>5386</v>
      </c>
      <c r="D32" s="551">
        <f>+'[2]VAC 04-99'!F1445</f>
        <v>5702</v>
      </c>
      <c r="E32" s="551">
        <f>+'[2]VAC 04-99'!G1445</f>
        <v>6038</v>
      </c>
      <c r="F32" s="551">
        <f>+'[2]VAC 04-99'!H1445</f>
        <v>6424</v>
      </c>
      <c r="G32" s="551">
        <f>+'[2]VAC 04-99'!I1445</f>
        <v>6755</v>
      </c>
      <c r="H32" s="551">
        <f>+'[2]VAC 04-99'!J1445</f>
        <v>7142</v>
      </c>
      <c r="I32" s="551">
        <f>+'[2]VAC 04-99'!K1445</f>
        <v>7137</v>
      </c>
      <c r="J32" s="551">
        <f>+'[2]VAC 04-99'!L1445</f>
        <v>6661</v>
      </c>
      <c r="K32" s="551">
        <f>+'[2]VAC 04-99'!M1445</f>
        <v>6039</v>
      </c>
      <c r="L32" s="551">
        <f>+'[2]VAC 04-99'!N1445</f>
        <v>5509</v>
      </c>
      <c r="M32" s="551">
        <f>+'[2]VAC 04-99'!O1445</f>
        <v>5086</v>
      </c>
      <c r="N32" s="551">
        <f>+'[2]VAC 04-99'!P1445</f>
        <v>5122</v>
      </c>
      <c r="O32" s="215"/>
    </row>
    <row r="33" spans="1:15" ht="12" customHeight="1">
      <c r="A33" s="269" t="s">
        <v>45</v>
      </c>
      <c r="B33" s="550">
        <f t="shared" si="0"/>
        <v>146350</v>
      </c>
      <c r="C33" s="551">
        <f>+'[2]VAC 04-99'!E1448</f>
        <v>9200</v>
      </c>
      <c r="D33" s="551">
        <f>+'[2]VAC 04-99'!F1448</f>
        <v>10835</v>
      </c>
      <c r="E33" s="551">
        <f>+'[2]VAC 04-99'!G1448</f>
        <v>11700</v>
      </c>
      <c r="F33" s="551">
        <f>+'[2]VAC 04-99'!H1448</f>
        <v>15855</v>
      </c>
      <c r="G33" s="551">
        <f>+'[2]VAC 04-99'!I1448</f>
        <v>15895</v>
      </c>
      <c r="H33" s="551">
        <f>+'[2]VAC 04-99'!J1448</f>
        <v>15830</v>
      </c>
      <c r="I33" s="551">
        <f>+'[2]VAC 04-99'!K1448</f>
        <v>14200</v>
      </c>
      <c r="J33" s="551">
        <f>+'[2]VAC 04-99'!L1448</f>
        <v>12710</v>
      </c>
      <c r="K33" s="551">
        <f>+'[2]VAC 04-99'!M1448</f>
        <v>11050</v>
      </c>
      <c r="L33" s="551">
        <f>+'[2]VAC 04-99'!N1448</f>
        <v>9850</v>
      </c>
      <c r="M33" s="551">
        <f>+'[2]VAC 04-99'!O1448</f>
        <v>9900</v>
      </c>
      <c r="N33" s="551">
        <f>+'[2]VAC 04-99'!P1448</f>
        <v>9325</v>
      </c>
      <c r="O33" s="215"/>
    </row>
    <row r="34" spans="1:15" ht="12" customHeight="1">
      <c r="A34" s="217" t="s">
        <v>46</v>
      </c>
      <c r="B34" s="550">
        <f t="shared" si="0"/>
        <v>56686</v>
      </c>
      <c r="C34" s="551">
        <f>+'[2]VAC 04-99'!E1451</f>
        <v>4905</v>
      </c>
      <c r="D34" s="551">
        <f>+'[2]VAC 04-99'!F1451</f>
        <v>4708</v>
      </c>
      <c r="E34" s="551">
        <f>+'[2]VAC 04-99'!G1451</f>
        <v>4647</v>
      </c>
      <c r="F34" s="551">
        <f>+'[2]VAC 04-99'!H1451</f>
        <v>4681</v>
      </c>
      <c r="G34" s="551">
        <f>+'[2]VAC 04-99'!I1451</f>
        <v>4726</v>
      </c>
      <c r="H34" s="551">
        <f>+'[2]VAC 04-99'!J1451</f>
        <v>5019</v>
      </c>
      <c r="I34" s="551">
        <f>+'[2]VAC 04-99'!K1451</f>
        <v>4852</v>
      </c>
      <c r="J34" s="551">
        <f>+'[2]VAC 04-99'!L1451</f>
        <v>4576</v>
      </c>
      <c r="K34" s="551">
        <f>+'[2]VAC 04-99'!M1451</f>
        <v>4519</v>
      </c>
      <c r="L34" s="551">
        <f>+'[2]VAC 04-99'!N1451</f>
        <v>4704</v>
      </c>
      <c r="M34" s="551">
        <f>+'[2]VAC 04-99'!O1451</f>
        <v>4611</v>
      </c>
      <c r="N34" s="551">
        <f>+'[2]VAC 04-99'!P1451</f>
        <v>4738</v>
      </c>
      <c r="O34" s="215"/>
    </row>
    <row r="35" spans="1:15" ht="12" customHeight="1">
      <c r="A35" s="217" t="s">
        <v>47</v>
      </c>
      <c r="B35" s="550">
        <f t="shared" si="0"/>
        <v>13923</v>
      </c>
      <c r="C35" s="551">
        <f>+'[2]VAC 04-99'!E1454</f>
        <v>1193</v>
      </c>
      <c r="D35" s="551">
        <f>+'[2]VAC 04-99'!F1454</f>
        <v>1136.0000000000002</v>
      </c>
      <c r="E35" s="551">
        <f>+'[2]VAC 04-99'!G1454</f>
        <v>1087.9999999999998</v>
      </c>
      <c r="F35" s="551">
        <f>+'[2]VAC 04-99'!H1454</f>
        <v>1185</v>
      </c>
      <c r="G35" s="551">
        <f>+'[2]VAC 04-99'!I1454</f>
        <v>1069</v>
      </c>
      <c r="H35" s="551">
        <f>+'[2]VAC 04-99'!J1454</f>
        <v>1130.0000000000002</v>
      </c>
      <c r="I35" s="551">
        <f>+'[2]VAC 04-99'!K1454</f>
        <v>1108</v>
      </c>
      <c r="J35" s="551">
        <f>+'[2]VAC 04-99'!L1454</f>
        <v>1148</v>
      </c>
      <c r="K35" s="551">
        <f>+'[2]VAC 04-99'!M1454</f>
        <v>1124</v>
      </c>
      <c r="L35" s="551">
        <f>+'[2]VAC 04-99'!N1454</f>
        <v>1347</v>
      </c>
      <c r="M35" s="551">
        <f>+'[2]VAC 04-99'!O1454</f>
        <v>1201</v>
      </c>
      <c r="N35" s="551">
        <f>+'[2]VAC 04-99'!P1454</f>
        <v>1194</v>
      </c>
      <c r="O35" s="215"/>
    </row>
    <row r="36" spans="1:15" ht="12" customHeight="1">
      <c r="A36" s="217" t="s">
        <v>48</v>
      </c>
      <c r="B36" s="550">
        <f t="shared" si="0"/>
        <v>15802</v>
      </c>
      <c r="C36" s="551">
        <f>+'[2]VAC 04-99'!E1457</f>
        <v>992</v>
      </c>
      <c r="D36" s="551">
        <f>+'[2]VAC 04-99'!F1457</f>
        <v>974</v>
      </c>
      <c r="E36" s="551">
        <f>+'[2]VAC 04-99'!G1457</f>
        <v>1115</v>
      </c>
      <c r="F36" s="551">
        <f>+'[2]VAC 04-99'!H1457</f>
        <v>1170</v>
      </c>
      <c r="G36" s="551">
        <f>+'[2]VAC 04-99'!I1457</f>
        <v>1182</v>
      </c>
      <c r="H36" s="551">
        <f>+'[2]VAC 04-99'!J1457</f>
        <v>1314</v>
      </c>
      <c r="I36" s="551">
        <f>+'[2]VAC 04-99'!K1457</f>
        <v>1296</v>
      </c>
      <c r="J36" s="551">
        <f>+'[2]VAC 04-99'!L1457</f>
        <v>1325.0000000000002</v>
      </c>
      <c r="K36" s="551">
        <f>+'[2]VAC 04-99'!M1457</f>
        <v>1514</v>
      </c>
      <c r="L36" s="551">
        <f>+'[2]VAC 04-99'!N1457</f>
        <v>1525</v>
      </c>
      <c r="M36" s="551">
        <f>+'[2]VAC 04-99'!O1457</f>
        <v>1669.9999999999998</v>
      </c>
      <c r="N36" s="551">
        <f>+'[2]VAC 04-99'!P1457</f>
        <v>1725</v>
      </c>
      <c r="O36" s="215"/>
    </row>
    <row r="37" spans="1:15" ht="12" customHeight="1" thickBot="1">
      <c r="A37" s="272" t="s">
        <v>49</v>
      </c>
      <c r="B37" s="552">
        <f t="shared" si="0"/>
        <v>14653</v>
      </c>
      <c r="C37" s="553">
        <f>+'[2]VAC 04-99'!E1460</f>
        <v>1260</v>
      </c>
      <c r="D37" s="553">
        <f>+'[2]VAC 04-99'!F1460</f>
        <v>1102</v>
      </c>
      <c r="E37" s="553">
        <f>+'[2]VAC 04-99'!G1460</f>
        <v>1134</v>
      </c>
      <c r="F37" s="553">
        <f>+'[2]VAC 04-99'!H1460</f>
        <v>1197</v>
      </c>
      <c r="G37" s="553">
        <f>+'[2]VAC 04-99'!I1460</f>
        <v>1177</v>
      </c>
      <c r="H37" s="553">
        <f>+'[2]VAC 04-99'!J1460</f>
        <v>1355</v>
      </c>
      <c r="I37" s="553">
        <f>+'[2]VAC 04-99'!K1460</f>
        <v>1351</v>
      </c>
      <c r="J37" s="553">
        <f>+'[2]VAC 04-99'!L1460</f>
        <v>1183</v>
      </c>
      <c r="K37" s="553">
        <f>+'[2]VAC 04-99'!M1460</f>
        <v>1301</v>
      </c>
      <c r="L37" s="553">
        <f>+'[2]VAC 04-99'!N1460</f>
        <v>1255</v>
      </c>
      <c r="M37" s="553">
        <f>+'[2]VAC 04-99'!O1460</f>
        <v>1127</v>
      </c>
      <c r="N37" s="553">
        <f>+'[2]VAC 04-99'!P1460</f>
        <v>1210.9999999999998</v>
      </c>
      <c r="O37" s="215"/>
    </row>
    <row r="38" spans="1:15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15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15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15" ht="13" customHeight="1">
      <c r="A41" s="12"/>
    </row>
    <row r="42" spans="1:15" ht="13" customHeight="1">
      <c r="A42" s="141"/>
    </row>
    <row r="43" spans="1:15" ht="13" customHeight="1">
      <c r="A43" s="191"/>
    </row>
    <row r="44" spans="1:15" ht="13" customHeight="1">
      <c r="A44" s="31"/>
    </row>
    <row r="45" spans="1:15" ht="13" customHeight="1">
      <c r="A45" s="58"/>
    </row>
    <row r="46" spans="1:15" ht="13" customHeight="1">
      <c r="A46" s="31"/>
    </row>
    <row r="47" spans="1:15" ht="13" customHeight="1">
      <c r="A47" s="141"/>
    </row>
    <row r="48" spans="1:15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Hoja61">
    <tabColor theme="9" tint="0.59999389629810485"/>
  </sheetPr>
  <dimension ref="A4:S5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23" customWidth="1"/>
    <col min="3" max="14" width="8.59765625" style="223" customWidth="1"/>
    <col min="15" max="16384" width="7" style="213"/>
  </cols>
  <sheetData>
    <row r="4" spans="1:19" ht="13" customHeight="1">
      <c r="A4" s="511" t="s">
        <v>396</v>
      </c>
      <c r="B4" s="507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7"/>
      <c r="P4" s="217"/>
      <c r="Q4" s="217"/>
      <c r="R4" s="217"/>
      <c r="S4" s="217"/>
    </row>
    <row r="5" spans="1:19" ht="13" customHeight="1">
      <c r="A5" s="516" t="s">
        <v>319</v>
      </c>
      <c r="B5" s="509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17"/>
      <c r="P5" s="217"/>
      <c r="Q5" s="217"/>
      <c r="R5" s="217"/>
      <c r="S5" s="217"/>
    </row>
    <row r="6" spans="1:19" ht="5" customHeight="1" thickBot="1">
      <c r="A6" s="217"/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</row>
    <row r="7" spans="1:19" ht="15" customHeight="1">
      <c r="A7" s="519" t="s">
        <v>18</v>
      </c>
      <c r="B7" s="522" t="s">
        <v>118</v>
      </c>
      <c r="C7" s="546" t="s">
        <v>57</v>
      </c>
      <c r="D7" s="546" t="s">
        <v>58</v>
      </c>
      <c r="E7" s="546" t="s">
        <v>59</v>
      </c>
      <c r="F7" s="546" t="s">
        <v>60</v>
      </c>
      <c r="G7" s="546" t="s">
        <v>61</v>
      </c>
      <c r="H7" s="546" t="s">
        <v>62</v>
      </c>
      <c r="I7" s="546" t="s">
        <v>63</v>
      </c>
      <c r="J7" s="546" t="s">
        <v>64</v>
      </c>
      <c r="K7" s="546" t="s">
        <v>65</v>
      </c>
      <c r="L7" s="546" t="s">
        <v>66</v>
      </c>
      <c r="M7" s="546" t="s">
        <v>67</v>
      </c>
      <c r="N7" s="546" t="s">
        <v>68</v>
      </c>
      <c r="O7" s="215"/>
      <c r="P7" s="215"/>
      <c r="Q7" s="215"/>
      <c r="R7" s="276"/>
      <c r="S7" s="215"/>
    </row>
    <row r="8" spans="1:19" ht="15" customHeight="1">
      <c r="A8" s="530" t="s">
        <v>100</v>
      </c>
      <c r="B8" s="559">
        <f t="shared" ref="B8:B37" si="0">SUM(C8:N8)</f>
        <v>192919.58622447916</v>
      </c>
      <c r="C8" s="560">
        <f t="shared" ref="C8:N8" si="1">SUM(C9:C13,C17:C29,C32:C37)</f>
        <v>14435.501962604636</v>
      </c>
      <c r="D8" s="560">
        <f t="shared" si="1"/>
        <v>15165.041513058542</v>
      </c>
      <c r="E8" s="560">
        <f t="shared" si="1"/>
        <v>15698.177174599414</v>
      </c>
      <c r="F8" s="560">
        <f t="shared" si="1"/>
        <v>16742.249492325143</v>
      </c>
      <c r="G8" s="560">
        <f t="shared" si="1"/>
        <v>17211.289598663028</v>
      </c>
      <c r="H8" s="560">
        <f t="shared" si="1"/>
        <v>17310.472914118865</v>
      </c>
      <c r="I8" s="560">
        <f t="shared" si="1"/>
        <v>16978.761805249844</v>
      </c>
      <c r="J8" s="560">
        <f t="shared" si="1"/>
        <v>16416.581344038175</v>
      </c>
      <c r="K8" s="560">
        <f t="shared" si="1"/>
        <v>15834.779012474872</v>
      </c>
      <c r="L8" s="560">
        <f t="shared" si="1"/>
        <v>15543.862926852034</v>
      </c>
      <c r="M8" s="560">
        <f t="shared" si="1"/>
        <v>15492.830870610909</v>
      </c>
      <c r="N8" s="560">
        <f t="shared" si="1"/>
        <v>16090.037609883664</v>
      </c>
      <c r="O8" s="215"/>
      <c r="P8" s="215"/>
      <c r="Q8" s="215"/>
      <c r="R8" s="276"/>
      <c r="S8" s="215"/>
    </row>
    <row r="9" spans="1:19" ht="12" customHeight="1">
      <c r="A9" s="269" t="s">
        <v>21</v>
      </c>
      <c r="B9" s="550">
        <f t="shared" si="0"/>
        <v>684.90908000000002</v>
      </c>
      <c r="C9" s="562">
        <f>+'[2]VAC 04-99'!E1377</f>
        <v>53.022660000000002</v>
      </c>
      <c r="D9" s="562">
        <f>+'[2]VAC 04-99'!F1377</f>
        <v>53.636699999999998</v>
      </c>
      <c r="E9" s="562">
        <f>+'[2]VAC 04-99'!G1377</f>
        <v>54.831119999999999</v>
      </c>
      <c r="F9" s="562">
        <f>+'[2]VAC 04-99'!H1377</f>
        <v>56.008199999999995</v>
      </c>
      <c r="G9" s="562">
        <f>+'[2]VAC 04-99'!I1377</f>
        <v>54.911700000000003</v>
      </c>
      <c r="H9" s="562">
        <f>+'[2]VAC 04-99'!J1377</f>
        <v>54.988199999999999</v>
      </c>
      <c r="I9" s="562">
        <f>+'[2]VAC 04-99'!K1377</f>
        <v>53.116499999999995</v>
      </c>
      <c r="J9" s="562">
        <f>+'[2]VAC 04-99'!L1377</f>
        <v>54.213000000000008</v>
      </c>
      <c r="K9" s="562">
        <f>+'[2]VAC 04-99'!M1377</f>
        <v>62.38</v>
      </c>
      <c r="L9" s="562">
        <f>+'[2]VAC 04-99'!N1377</f>
        <v>62.45</v>
      </c>
      <c r="M9" s="562">
        <f>+'[2]VAC 04-99'!O1377</f>
        <v>62.231000000000002</v>
      </c>
      <c r="N9" s="562">
        <f>+'[2]VAC 04-99'!P1377</f>
        <v>63.12</v>
      </c>
      <c r="O9" s="215"/>
      <c r="P9" s="215"/>
      <c r="Q9" s="215"/>
      <c r="R9" s="276"/>
      <c r="S9" s="215"/>
    </row>
    <row r="10" spans="1:19" ht="12" customHeight="1">
      <c r="A10" s="269" t="s">
        <v>22</v>
      </c>
      <c r="B10" s="550">
        <f t="shared" si="0"/>
        <v>7217.133293042516</v>
      </c>
      <c r="C10" s="562">
        <f>+'[2]VAC 04-99'!E1380</f>
        <v>505.69654291363605</v>
      </c>
      <c r="D10" s="562">
        <f>+'[2]VAC 04-99'!F1380</f>
        <v>567.94003017554132</v>
      </c>
      <c r="E10" s="562">
        <f>+'[2]VAC 04-99'!G1380</f>
        <v>639.63836251441398</v>
      </c>
      <c r="F10" s="562">
        <f>+'[2]VAC 04-99'!H1380</f>
        <v>583.60303733856688</v>
      </c>
      <c r="G10" s="562">
        <f>+'[2]VAC 04-99'!I1380</f>
        <v>597.48268572170423</v>
      </c>
      <c r="H10" s="562">
        <f>+'[2]VAC 04-99'!J1380</f>
        <v>592.35205188219504</v>
      </c>
      <c r="I10" s="562">
        <f>+'[2]VAC 04-99'!K1380</f>
        <v>570.04614790213645</v>
      </c>
      <c r="J10" s="562">
        <f>+'[2]VAC 04-99'!L1380</f>
        <v>636.3342040962176</v>
      </c>
      <c r="K10" s="562">
        <f>+'[2]VAC 04-99'!M1380</f>
        <v>610.87514117116098</v>
      </c>
      <c r="L10" s="562">
        <f>+'[2]VAC 04-99'!N1380</f>
        <v>629.873410166035</v>
      </c>
      <c r="M10" s="562">
        <f>+'[2]VAC 04-99'!O1380</f>
        <v>648.87167916090903</v>
      </c>
      <c r="N10" s="562">
        <f>+'[2]VAC 04-99'!P1380</f>
        <v>634.41999999999996</v>
      </c>
      <c r="O10" s="215"/>
      <c r="P10" s="215"/>
      <c r="Q10" s="215"/>
      <c r="R10" s="276"/>
      <c r="S10" s="215"/>
    </row>
    <row r="11" spans="1:19" ht="12" customHeight="1">
      <c r="A11" s="269" t="s">
        <v>23</v>
      </c>
      <c r="B11" s="550">
        <f t="shared" si="0"/>
        <v>3101.3203999999996</v>
      </c>
      <c r="C11" s="562">
        <f>+'[2]VAC 04-99'!E1383</f>
        <v>258.142</v>
      </c>
      <c r="D11" s="562">
        <f>+'[2]VAC 04-99'!F1383</f>
        <v>291.5</v>
      </c>
      <c r="E11" s="562">
        <f>+'[2]VAC 04-99'!G1383</f>
        <v>270.77999999999997</v>
      </c>
      <c r="F11" s="562">
        <f>+'[2]VAC 04-99'!H1383</f>
        <v>260.334</v>
      </c>
      <c r="G11" s="562">
        <f>+'[2]VAC 04-99'!I1383</f>
        <v>264.238</v>
      </c>
      <c r="H11" s="562">
        <f>+'[2]VAC 04-99'!J1383</f>
        <v>264.89</v>
      </c>
      <c r="I11" s="562">
        <f>+'[2]VAC 04-99'!K1383</f>
        <v>241.16329999999999</v>
      </c>
      <c r="J11" s="562">
        <f>+'[2]VAC 04-99'!L1383</f>
        <v>239.7</v>
      </c>
      <c r="K11" s="562">
        <f>+'[2]VAC 04-99'!M1383</f>
        <v>250.45</v>
      </c>
      <c r="L11" s="562">
        <f>+'[2]VAC 04-99'!N1383</f>
        <v>251.25399999999999</v>
      </c>
      <c r="M11" s="562">
        <f>+'[2]VAC 04-99'!O1383</f>
        <v>250.41200000000001</v>
      </c>
      <c r="N11" s="562">
        <f>+'[2]VAC 04-99'!P1383</f>
        <v>258.45710000000003</v>
      </c>
      <c r="O11" s="215"/>
      <c r="P11" s="215"/>
      <c r="Q11" s="215"/>
      <c r="R11" s="276"/>
      <c r="S11" s="215"/>
    </row>
    <row r="12" spans="1:19" ht="12" customHeight="1">
      <c r="A12" s="217" t="s">
        <v>24</v>
      </c>
      <c r="B12" s="550">
        <f t="shared" si="0"/>
        <v>8226.5413575000002</v>
      </c>
      <c r="C12" s="562">
        <f>+'[2]VAC 04-99'!E1386</f>
        <v>663.69555329999991</v>
      </c>
      <c r="D12" s="562">
        <f>+'[2]VAC 04-99'!F1386</f>
        <v>660.49526249999997</v>
      </c>
      <c r="E12" s="562">
        <f>+'[2]VAC 04-99'!G1386</f>
        <v>657.69160380000005</v>
      </c>
      <c r="F12" s="562">
        <f>+'[2]VAC 04-99'!H1386</f>
        <v>662.97769259999995</v>
      </c>
      <c r="G12" s="562">
        <f>+'[2]VAC 04-99'!I1386</f>
        <v>648.66888780000011</v>
      </c>
      <c r="H12" s="562">
        <f>+'[2]VAC 04-99'!J1386</f>
        <v>662.96065350000003</v>
      </c>
      <c r="I12" s="562">
        <f>+'[2]VAC 04-99'!K1386</f>
        <v>721.04892419999999</v>
      </c>
      <c r="J12" s="562">
        <f>+'[2]VAC 04-99'!L1386</f>
        <v>748.47019109999997</v>
      </c>
      <c r="K12" s="562">
        <f>+'[2]VAC 04-99'!M1386</f>
        <v>699.61291019999987</v>
      </c>
      <c r="L12" s="562">
        <f>+'[2]VAC 04-99'!N1386</f>
        <v>722.10738330000004</v>
      </c>
      <c r="M12" s="562">
        <f>+'[2]VAC 04-99'!O1386</f>
        <v>688.83269849999999</v>
      </c>
      <c r="N12" s="562">
        <f>+'[2]VAC 04-99'!P1386</f>
        <v>689.97959670000012</v>
      </c>
      <c r="O12" s="215"/>
      <c r="P12" s="215"/>
      <c r="Q12" s="215"/>
      <c r="R12" s="276"/>
      <c r="S12" s="215"/>
    </row>
    <row r="13" spans="1:19" ht="12" customHeight="1">
      <c r="A13" s="269" t="s">
        <v>25</v>
      </c>
      <c r="B13" s="550">
        <f t="shared" si="0"/>
        <v>24659.137672836001</v>
      </c>
      <c r="C13" s="562">
        <f>+'[2]VAC 04-99'!E1389</f>
        <v>1821.3955400910004</v>
      </c>
      <c r="D13" s="562">
        <f>+'[2]VAC 04-99'!F1389</f>
        <v>1996.1750845829997</v>
      </c>
      <c r="E13" s="562">
        <f>+'[2]VAC 04-99'!G1389</f>
        <v>1917.066934485</v>
      </c>
      <c r="F13" s="562">
        <f>+'[2]VAC 04-99'!H1389</f>
        <v>1939.8317933669998</v>
      </c>
      <c r="G13" s="562">
        <f>+'[2]VAC 04-99'!I1389</f>
        <v>2161.422985401</v>
      </c>
      <c r="H13" s="562">
        <f>+'[2]VAC 04-99'!J1389</f>
        <v>2251.14568328</v>
      </c>
      <c r="I13" s="562">
        <f>+'[2]VAC 04-99'!K1389</f>
        <v>2199.9598912500001</v>
      </c>
      <c r="J13" s="562">
        <f>+'[2]VAC 04-99'!L1389</f>
        <v>2242.0488951900002</v>
      </c>
      <c r="K13" s="562">
        <f>+'[2]VAC 04-99'!M1389</f>
        <v>2164.5264116670005</v>
      </c>
      <c r="L13" s="562">
        <f>+'[2]VAC 04-99'!N1389</f>
        <v>2141.034621586</v>
      </c>
      <c r="M13" s="562">
        <f>+'[2]VAC 04-99'!O1389</f>
        <v>1919.42515785</v>
      </c>
      <c r="N13" s="562">
        <f>+'[2]VAC 04-99'!P1389</f>
        <v>1905.1046740860002</v>
      </c>
      <c r="O13" s="215"/>
      <c r="P13" s="215"/>
      <c r="Q13" s="215"/>
      <c r="R13" s="276"/>
      <c r="S13" s="215"/>
    </row>
    <row r="14" spans="1:19" ht="12" customHeight="1">
      <c r="A14" s="271" t="s">
        <v>107</v>
      </c>
      <c r="B14" s="550">
        <f t="shared" si="0"/>
        <v>12583.765584286</v>
      </c>
      <c r="C14" s="562">
        <f>+'[2]VAC 04-99'!E1392</f>
        <v>880.28234009100015</v>
      </c>
      <c r="D14" s="562">
        <f>+'[2]VAC 04-99'!F1392</f>
        <v>1116.4424245829998</v>
      </c>
      <c r="E14" s="562">
        <f>+'[2]VAC 04-99'!G1392</f>
        <v>900.23938948499995</v>
      </c>
      <c r="F14" s="562">
        <f>+'[2]VAC 04-99'!H1392</f>
        <v>945.488465367</v>
      </c>
      <c r="G14" s="562">
        <f>+'[2]VAC 04-99'!I1392</f>
        <v>978.23236940099991</v>
      </c>
      <c r="H14" s="562">
        <f>+'[2]VAC 04-99'!J1392</f>
        <v>1067.7281092800001</v>
      </c>
      <c r="I14" s="562">
        <f>+'[2]VAC 04-99'!K1392</f>
        <v>1142.2883992500001</v>
      </c>
      <c r="J14" s="562">
        <f>+'[2]VAC 04-99'!L1392</f>
        <v>1235.7817491900003</v>
      </c>
      <c r="K14" s="562">
        <f>+'[2]VAC 04-99'!M1392</f>
        <v>1168.6634096670002</v>
      </c>
      <c r="L14" s="562">
        <f>+'[2]VAC 04-99'!N1392</f>
        <v>1185.779818986</v>
      </c>
      <c r="M14" s="562">
        <f>+'[2]VAC 04-99'!O1392</f>
        <v>952.33</v>
      </c>
      <c r="N14" s="562">
        <f>+'[2]VAC 04-99'!P1392</f>
        <v>1010.509108986</v>
      </c>
      <c r="O14" s="215"/>
      <c r="P14" s="215"/>
      <c r="Q14" s="215"/>
      <c r="R14" s="276"/>
      <c r="S14" s="215"/>
    </row>
    <row r="15" spans="1:19" ht="12" customHeight="1">
      <c r="A15" s="271" t="s">
        <v>108</v>
      </c>
      <c r="B15" s="550">
        <f t="shared" si="0"/>
        <v>7371.9165099999991</v>
      </c>
      <c r="C15" s="562">
        <f>+'[2]VAC 04-99'!E1395</f>
        <v>616.52166000000011</v>
      </c>
      <c r="D15" s="562">
        <f>+'[2]VAC 04-99'!F1395</f>
        <v>549.05222999999978</v>
      </c>
      <c r="E15" s="562">
        <f>+'[2]VAC 04-99'!G1395</f>
        <v>589.01684999999998</v>
      </c>
      <c r="F15" s="562">
        <f>+'[2]VAC 04-99'!H1395</f>
        <v>535.23479999999995</v>
      </c>
      <c r="G15" s="562">
        <f>+'[2]VAC 04-99'!I1395</f>
        <v>649.67472000000021</v>
      </c>
      <c r="H15" s="562">
        <f>+'[2]VAC 04-99'!J1395</f>
        <v>652.95515</v>
      </c>
      <c r="I15" s="562">
        <f>+'[2]VAC 04-99'!K1395</f>
        <v>654.36900000000003</v>
      </c>
      <c r="J15" s="562">
        <f>+'[2]VAC 04-99'!L1395</f>
        <v>645.45000000000005</v>
      </c>
      <c r="K15" s="562">
        <f>+'[2]VAC 04-99'!M1395</f>
        <v>644.58000000000004</v>
      </c>
      <c r="L15" s="562">
        <f>+'[2]VAC 04-99'!N1395</f>
        <v>630.22299999999996</v>
      </c>
      <c r="M15" s="562">
        <f>+'[2]VAC 04-99'!O1395</f>
        <v>632.12</v>
      </c>
      <c r="N15" s="562">
        <f>+'[2]VAC 04-99'!P1395</f>
        <v>572.71910000000003</v>
      </c>
      <c r="O15" s="215"/>
      <c r="P15" s="215"/>
      <c r="Q15" s="215"/>
      <c r="R15" s="276"/>
      <c r="S15" s="215"/>
    </row>
    <row r="16" spans="1:19" ht="12" customHeight="1">
      <c r="A16" s="271" t="s">
        <v>109</v>
      </c>
      <c r="B16" s="550">
        <f t="shared" si="0"/>
        <v>4703.4555785500006</v>
      </c>
      <c r="C16" s="562">
        <f>+'[2]VAC 04-99'!E1398</f>
        <v>324.59154000000007</v>
      </c>
      <c r="D16" s="562">
        <f>+'[2]VAC 04-99'!F1398</f>
        <v>330.68043</v>
      </c>
      <c r="E16" s="562">
        <f>+'[2]VAC 04-99'!G1398</f>
        <v>427.81069500000007</v>
      </c>
      <c r="F16" s="562">
        <f>+'[2]VAC 04-99'!H1398</f>
        <v>459.10852800000004</v>
      </c>
      <c r="G16" s="562">
        <f>+'[2]VAC 04-99'!I1398</f>
        <v>533.51589600000011</v>
      </c>
      <c r="H16" s="562">
        <f>+'[2]VAC 04-99'!J1398</f>
        <v>530.46242399999994</v>
      </c>
      <c r="I16" s="562">
        <f>+'[2]VAC 04-99'!K1398</f>
        <v>403.30249199999997</v>
      </c>
      <c r="J16" s="562">
        <f>+'[2]VAC 04-99'!L1398</f>
        <v>360.81714599999998</v>
      </c>
      <c r="K16" s="562">
        <f>+'[2]VAC 04-99'!M1398</f>
        <v>351.28300199999995</v>
      </c>
      <c r="L16" s="562">
        <f>+'[2]VAC 04-99'!N1398</f>
        <v>325.03180260000005</v>
      </c>
      <c r="M16" s="562">
        <f>+'[2]VAC 04-99'!O1398</f>
        <v>334.97515785000002</v>
      </c>
      <c r="N16" s="562">
        <f>+'[2]VAC 04-99'!P1398</f>
        <v>321.87646510000002</v>
      </c>
      <c r="O16" s="215"/>
      <c r="P16" s="215"/>
      <c r="Q16" s="215"/>
      <c r="R16" s="276"/>
      <c r="S16" s="215"/>
    </row>
    <row r="17" spans="1:19" ht="12" customHeight="1">
      <c r="A17" s="269" t="s">
        <v>29</v>
      </c>
      <c r="B17" s="550">
        <f t="shared" si="0"/>
        <v>9172.372949999999</v>
      </c>
      <c r="C17" s="562">
        <f>+'[2]VAC 04-99'!E1401</f>
        <v>748.7029500000001</v>
      </c>
      <c r="D17" s="562">
        <f>+'[2]VAC 04-99'!F1401</f>
        <v>788.50029000000006</v>
      </c>
      <c r="E17" s="562">
        <f>+'[2]VAC 04-99'!G1401</f>
        <v>760.82820000000015</v>
      </c>
      <c r="F17" s="562">
        <f>+'[2]VAC 04-99'!H1401</f>
        <v>732.99801000000014</v>
      </c>
      <c r="G17" s="562">
        <f>+'[2]VAC 04-99'!I1401</f>
        <v>771.50096999999994</v>
      </c>
      <c r="H17" s="562">
        <f>+'[2]VAC 04-99'!J1401</f>
        <v>774.26414999999986</v>
      </c>
      <c r="I17" s="562">
        <f>+'[2]VAC 04-99'!K1401</f>
        <v>745.69038</v>
      </c>
      <c r="J17" s="562">
        <f>+'[2]VAC 04-99'!L1401</f>
        <v>756.02603999999997</v>
      </c>
      <c r="K17" s="562">
        <f>+'[2]VAC 04-99'!M1401</f>
        <v>762.35514000000001</v>
      </c>
      <c r="L17" s="562">
        <f>+'[2]VAC 04-99'!N1401</f>
        <v>745.79901000000007</v>
      </c>
      <c r="M17" s="562">
        <f>+'[2]VAC 04-99'!O1401</f>
        <v>745.76892000000009</v>
      </c>
      <c r="N17" s="562">
        <f>+'[2]VAC 04-99'!P1401</f>
        <v>839.93889000000001</v>
      </c>
      <c r="O17" s="215"/>
      <c r="P17" s="215"/>
      <c r="Q17" s="215"/>
      <c r="R17" s="276"/>
      <c r="S17" s="215"/>
    </row>
    <row r="18" spans="1:19" ht="12" customHeight="1">
      <c r="A18" s="217" t="s">
        <v>30</v>
      </c>
      <c r="B18" s="550">
        <f t="shared" si="0"/>
        <v>9831.0845686106222</v>
      </c>
      <c r="C18" s="562">
        <f>+'[2]VAC 04-99'!E1404</f>
        <v>834.23249999999996</v>
      </c>
      <c r="D18" s="562">
        <f>+'[2]VAC 04-99'!F1404</f>
        <v>810.2</v>
      </c>
      <c r="E18" s="562">
        <f>+'[2]VAC 04-99'!G1404</f>
        <v>818.154</v>
      </c>
      <c r="F18" s="562">
        <f>+'[2]VAC 04-99'!H1404</f>
        <v>831.52389751958003</v>
      </c>
      <c r="G18" s="562">
        <f>+'[2]VAC 04-99'!I1404</f>
        <v>877.80525314800002</v>
      </c>
      <c r="H18" s="562">
        <f>+'[2]VAC 04-99'!J1404</f>
        <v>856.19369435666795</v>
      </c>
      <c r="I18" s="562">
        <f>+'[2]VAC 04-99'!K1404</f>
        <v>778.67477479770503</v>
      </c>
      <c r="J18" s="562">
        <f>+'[2]VAC 04-99'!L1404</f>
        <v>850.51338975195802</v>
      </c>
      <c r="K18" s="562">
        <f>+'[2]VAC 04-99'!M1404</f>
        <v>841.243859036711</v>
      </c>
      <c r="L18" s="562">
        <f>+'[2]VAC 04-99'!N1404</f>
        <v>778.30160000000001</v>
      </c>
      <c r="M18" s="562">
        <f>+'[2]VAC 04-99'!O1404</f>
        <v>779.4</v>
      </c>
      <c r="N18" s="562">
        <f>+'[2]VAC 04-99'!P1404</f>
        <v>774.84159999999997</v>
      </c>
      <c r="O18" s="215"/>
      <c r="P18" s="215"/>
      <c r="Q18" s="215"/>
      <c r="R18" s="276"/>
      <c r="S18" s="215"/>
    </row>
    <row r="19" spans="1:19" ht="12" customHeight="1">
      <c r="A19" s="217" t="s">
        <v>31</v>
      </c>
      <c r="B19" s="550">
        <f t="shared" si="0"/>
        <v>21608.025756700004</v>
      </c>
      <c r="C19" s="562">
        <f>+'[2]VAC 04-99'!E1407</f>
        <v>1758.5654250000002</v>
      </c>
      <c r="D19" s="562">
        <f>+'[2]VAC 04-99'!F1407</f>
        <v>1741.4054550000001</v>
      </c>
      <c r="E19" s="562">
        <f>+'[2]VAC 04-99'!G1407</f>
        <v>1747.8364019999999</v>
      </c>
      <c r="F19" s="562">
        <f>+'[2]VAC 04-99'!H1407</f>
        <v>1839.1602660000001</v>
      </c>
      <c r="G19" s="562">
        <f>+'[2]VAC 04-99'!I1407</f>
        <v>1883.4877932000002</v>
      </c>
      <c r="H19" s="562">
        <f>+'[2]VAC 04-99'!J1407</f>
        <v>1798.3436400000001</v>
      </c>
      <c r="I19" s="562">
        <f>+'[2]VAC 04-99'!K1407</f>
        <v>1912.7330699999998</v>
      </c>
      <c r="J19" s="562">
        <f>+'[2]VAC 04-99'!L1407</f>
        <v>1809.5258438999999</v>
      </c>
      <c r="K19" s="562">
        <f>+'[2]VAC 04-99'!M1407</f>
        <v>1845.7642129999999</v>
      </c>
      <c r="L19" s="562">
        <f>+'[2]VAC 04-99'!N1407</f>
        <v>1756.7750700000001</v>
      </c>
      <c r="M19" s="562">
        <f>+'[2]VAC 04-99'!O1407</f>
        <v>1709.0922426</v>
      </c>
      <c r="N19" s="562">
        <f>+'[2]VAC 04-99'!P1407</f>
        <v>1805.3363360000001</v>
      </c>
      <c r="O19" s="215"/>
      <c r="P19" s="215"/>
      <c r="Q19" s="215"/>
      <c r="R19" s="276"/>
      <c r="S19" s="215"/>
    </row>
    <row r="20" spans="1:19" ht="12" customHeight="1">
      <c r="A20" s="269" t="s">
        <v>32</v>
      </c>
      <c r="B20" s="550">
        <f t="shared" si="0"/>
        <v>1992.1606594999998</v>
      </c>
      <c r="C20" s="562">
        <f>+'[2]VAC 04-99'!E1410</f>
        <v>142.95657</v>
      </c>
      <c r="D20" s="562">
        <f>+'[2]VAC 04-99'!F1410</f>
        <v>150.72570599999995</v>
      </c>
      <c r="E20" s="562">
        <f>+'[2]VAC 04-99'!G1410</f>
        <v>151.36443</v>
      </c>
      <c r="F20" s="562">
        <f>+'[2]VAC 04-99'!H1410</f>
        <v>160.5038375</v>
      </c>
      <c r="G20" s="562">
        <f>+'[2]VAC 04-99'!I1410</f>
        <v>173.5098065</v>
      </c>
      <c r="H20" s="562">
        <f>+'[2]VAC 04-99'!J1410</f>
        <v>177.19244</v>
      </c>
      <c r="I20" s="562">
        <f>+'[2]VAC 04-99'!K1410</f>
        <v>174.14587019999999</v>
      </c>
      <c r="J20" s="562">
        <f>+'[2]VAC 04-99'!L1410</f>
        <v>171.83752699999999</v>
      </c>
      <c r="K20" s="562">
        <f>+'[2]VAC 04-99'!M1410</f>
        <v>174.29936330000001</v>
      </c>
      <c r="L20" s="562">
        <f>+'[2]VAC 04-99'!N1410</f>
        <v>179.17140000000001</v>
      </c>
      <c r="M20" s="562">
        <f>+'[2]VAC 04-99'!O1410</f>
        <v>172.144263</v>
      </c>
      <c r="N20" s="562">
        <f>+'[2]VAC 04-99'!P1410</f>
        <v>164.30944600000001</v>
      </c>
      <c r="O20" s="215"/>
      <c r="P20" s="215"/>
      <c r="Q20" s="215"/>
      <c r="R20" s="276"/>
      <c r="S20" s="215"/>
    </row>
    <row r="21" spans="1:19" ht="12" customHeight="1">
      <c r="A21" s="269" t="s">
        <v>33</v>
      </c>
      <c r="B21" s="550">
        <f t="shared" si="0"/>
        <v>22966.1111533</v>
      </c>
      <c r="C21" s="562">
        <f>+'[2]VAC 04-99'!E1413</f>
        <v>1813.4498399999993</v>
      </c>
      <c r="D21" s="562">
        <f>+'[2]VAC 04-99'!F1413</f>
        <v>1790.3560200000009</v>
      </c>
      <c r="E21" s="562">
        <f>+'[2]VAC 04-99'!G1413</f>
        <v>1835.0090700000007</v>
      </c>
      <c r="F21" s="562">
        <f>+'[2]VAC 04-99'!H1413</f>
        <v>1895.2338</v>
      </c>
      <c r="G21" s="562">
        <f>+'[2]VAC 04-99'!I1413</f>
        <v>1852.35788</v>
      </c>
      <c r="H21" s="562">
        <f>+'[2]VAC 04-99'!J1413</f>
        <v>1791.2026033</v>
      </c>
      <c r="I21" s="562">
        <f>+'[2]VAC 04-99'!K1413</f>
        <v>1836.4040600000001</v>
      </c>
      <c r="J21" s="562">
        <f>+'[2]VAC 04-99'!L1413</f>
        <v>1860.18733</v>
      </c>
      <c r="K21" s="562">
        <f>+'[2]VAC 04-99'!M1413</f>
        <v>1992.7501</v>
      </c>
      <c r="L21" s="562">
        <f>+'[2]VAC 04-99'!N1413</f>
        <v>2053.9219800000001</v>
      </c>
      <c r="M21" s="562">
        <f>+'[2]VAC 04-99'!O1413</f>
        <v>2073.8884799999983</v>
      </c>
      <c r="N21" s="562">
        <f>+'[2]VAC 04-99'!P1413</f>
        <v>2171.3499900000002</v>
      </c>
      <c r="O21" s="215"/>
      <c r="P21" s="215"/>
      <c r="Q21" s="215"/>
      <c r="R21" s="276"/>
      <c r="S21" s="215"/>
    </row>
    <row r="22" spans="1:19" ht="12" customHeight="1">
      <c r="A22" s="269" t="s">
        <v>34</v>
      </c>
      <c r="B22" s="550">
        <f t="shared" si="0"/>
        <v>3679.9656900000004</v>
      </c>
      <c r="C22" s="562">
        <f>+'[2]VAC 04-99'!E1416</f>
        <v>185.49218160000001</v>
      </c>
      <c r="D22" s="562">
        <f>+'[2]VAC 04-99'!F1416</f>
        <v>189.92194979999996</v>
      </c>
      <c r="E22" s="562">
        <f>+'[2]VAC 04-99'!G1416</f>
        <v>263.23149689999997</v>
      </c>
      <c r="F22" s="562">
        <f>+'[2]VAC 04-99'!H1416</f>
        <v>307.22492819999997</v>
      </c>
      <c r="G22" s="562">
        <f>+'[2]VAC 04-99'!I1416</f>
        <v>357.25245510000008</v>
      </c>
      <c r="H22" s="562">
        <f>+'[2]VAC 04-99'!J1416</f>
        <v>429.23513520000012</v>
      </c>
      <c r="I22" s="562">
        <f>+'[2]VAC 04-99'!K1416</f>
        <v>436.99032779999999</v>
      </c>
      <c r="J22" s="562">
        <f>+'[2]VAC 04-99'!L1416</f>
        <v>348.00671100000011</v>
      </c>
      <c r="K22" s="562">
        <f>+'[2]VAC 04-99'!M1416</f>
        <v>227.47768170000006</v>
      </c>
      <c r="L22" s="562">
        <f>+'[2]VAC 04-99'!N1416</f>
        <v>233.76439560000003</v>
      </c>
      <c r="M22" s="562">
        <f>+'[2]VAC 04-99'!O1416</f>
        <v>290.62070009999997</v>
      </c>
      <c r="N22" s="562">
        <f>+'[2]VAC 04-99'!P1416</f>
        <v>410.74772700000011</v>
      </c>
      <c r="O22" s="215"/>
      <c r="P22" s="215"/>
      <c r="Q22" s="215"/>
      <c r="R22" s="276"/>
      <c r="S22" s="215"/>
    </row>
    <row r="23" spans="1:19" ht="12" customHeight="1">
      <c r="A23" s="269" t="s">
        <v>35</v>
      </c>
      <c r="B23" s="550">
        <f t="shared" si="0"/>
        <v>7969.0239899899871</v>
      </c>
      <c r="C23" s="562">
        <f>+'[2]VAC 04-99'!E1419</f>
        <v>666.1466999999999</v>
      </c>
      <c r="D23" s="562">
        <f>+'[2]VAC 04-99'!F1419</f>
        <v>651.19146000000001</v>
      </c>
      <c r="E23" s="562">
        <f>+'[2]VAC 04-99'!G1419</f>
        <v>681.61550999999986</v>
      </c>
      <c r="F23" s="562">
        <f>+'[2]VAC 04-99'!H1419</f>
        <v>675.79436999999996</v>
      </c>
      <c r="G23" s="562">
        <f>+'[2]VAC 04-99'!I1419</f>
        <v>691.83051329232342</v>
      </c>
      <c r="H23" s="562">
        <f>+'[2]VAC 04-99'!J1419</f>
        <v>633.99885000000006</v>
      </c>
      <c r="I23" s="562">
        <f>+'[2]VAC 04-99'!K1419</f>
        <v>657.93162000000007</v>
      </c>
      <c r="J23" s="562">
        <f>+'[2]VAC 04-99'!L1419</f>
        <v>627.15464999999995</v>
      </c>
      <c r="K23" s="562">
        <f>+'[2]VAC 04-99'!M1419</f>
        <v>641.52185999999995</v>
      </c>
      <c r="L23" s="562">
        <f>+'[2]VAC 04-99'!N1419</f>
        <v>638.04468000000008</v>
      </c>
      <c r="M23" s="562">
        <f>+'[2]VAC 04-99'!O1419</f>
        <v>638.14667999999995</v>
      </c>
      <c r="N23" s="562">
        <f>+'[2]VAC 04-99'!P1419</f>
        <v>765.64709669766398</v>
      </c>
      <c r="O23" s="215"/>
      <c r="P23" s="215"/>
      <c r="Q23" s="215"/>
      <c r="R23" s="276"/>
      <c r="S23" s="215"/>
    </row>
    <row r="24" spans="1:19" ht="12" customHeight="1">
      <c r="A24" s="269" t="s">
        <v>36</v>
      </c>
      <c r="B24" s="550">
        <f t="shared" si="0"/>
        <v>3495.8862747000007</v>
      </c>
      <c r="C24" s="562">
        <f>+'[2]VAC 04-99'!E1422</f>
        <v>264.60642120000006</v>
      </c>
      <c r="D24" s="562">
        <f>+'[2]VAC 04-99'!F1422</f>
        <v>293.82147540000005</v>
      </c>
      <c r="E24" s="562">
        <f>+'[2]VAC 04-99'!G1422</f>
        <v>261.34850039999998</v>
      </c>
      <c r="F24" s="562">
        <f>+'[2]VAC 04-99'!H1422</f>
        <v>289.00117980000005</v>
      </c>
      <c r="G24" s="562">
        <f>+'[2]VAC 04-99'!I1422</f>
        <v>313.52715630000017</v>
      </c>
      <c r="H24" s="562">
        <f>+'[2]VAC 04-99'!J1422</f>
        <v>320.51399820000012</v>
      </c>
      <c r="I24" s="562">
        <f>+'[2]VAC 04-99'!K1422</f>
        <v>279.85466640000016</v>
      </c>
      <c r="J24" s="562">
        <f>+'[2]VAC 04-99'!L1422</f>
        <v>278.6167281000001</v>
      </c>
      <c r="K24" s="562">
        <f>+'[2]VAC 04-99'!M1422</f>
        <v>286.40127629999995</v>
      </c>
      <c r="L24" s="562">
        <f>+'[2]VAC 04-99'!N1422</f>
        <v>301.80541830000004</v>
      </c>
      <c r="M24" s="562">
        <f>+'[2]VAC 04-99'!O1422</f>
        <v>293.84826569999984</v>
      </c>
      <c r="N24" s="562">
        <f>+'[2]VAC 04-99'!P1422</f>
        <v>312.5411886</v>
      </c>
      <c r="O24" s="215"/>
      <c r="P24" s="215"/>
      <c r="Q24" s="215"/>
      <c r="R24" s="276"/>
      <c r="S24" s="215"/>
    </row>
    <row r="25" spans="1:19" ht="12" customHeight="1">
      <c r="A25" s="217" t="s">
        <v>37</v>
      </c>
      <c r="B25" s="550">
        <f t="shared" si="0"/>
        <v>5490.11</v>
      </c>
      <c r="C25" s="562">
        <f>+'[2]VAC 04-99'!E1425</f>
        <v>490.32400000000001</v>
      </c>
      <c r="D25" s="562">
        <f>+'[2]VAC 04-99'!F1425</f>
        <v>425.68</v>
      </c>
      <c r="E25" s="562">
        <f>+'[2]VAC 04-99'!G1425</f>
        <v>460.577</v>
      </c>
      <c r="F25" s="562">
        <f>+'[2]VAC 04-99'!H1425</f>
        <v>480.22</v>
      </c>
      <c r="G25" s="562">
        <f>+'[2]VAC 04-99'!I1425</f>
        <v>471.55</v>
      </c>
      <c r="H25" s="562">
        <f>+'[2]VAC 04-99'!J1425</f>
        <v>473.44</v>
      </c>
      <c r="I25" s="562">
        <f>+'[2]VAC 04-99'!K1425</f>
        <v>490.24</v>
      </c>
      <c r="J25" s="562">
        <f>+'[2]VAC 04-99'!L1425</f>
        <v>452.05500000000001</v>
      </c>
      <c r="K25" s="562">
        <f>+'[2]VAC 04-99'!M1425</f>
        <v>455.22</v>
      </c>
      <c r="L25" s="562">
        <f>+'[2]VAC 04-99'!N1425</f>
        <v>440.11099999999999</v>
      </c>
      <c r="M25" s="562">
        <f>+'[2]VAC 04-99'!O1425</f>
        <v>420.22300000000001</v>
      </c>
      <c r="N25" s="562">
        <f>+'[2]VAC 04-99'!P1425</f>
        <v>430.47</v>
      </c>
      <c r="O25" s="215"/>
      <c r="P25" s="215"/>
      <c r="Q25" s="215"/>
      <c r="R25" s="276"/>
      <c r="S25" s="215"/>
    </row>
    <row r="26" spans="1:19" ht="12" customHeight="1">
      <c r="A26" s="269" t="s">
        <v>38</v>
      </c>
      <c r="B26" s="550">
        <f t="shared" si="0"/>
        <v>748.61212000000012</v>
      </c>
      <c r="C26" s="562">
        <f>+'[2]VAC 04-99'!E1428</f>
        <v>78.900999999999996</v>
      </c>
      <c r="D26" s="562">
        <f>+'[2]VAC 04-99'!F1428</f>
        <v>69.425899999999999</v>
      </c>
      <c r="E26" s="562">
        <f>+'[2]VAC 04-99'!G1428</f>
        <v>72.644000000000005</v>
      </c>
      <c r="F26" s="562">
        <f>+'[2]VAC 04-99'!H1428</f>
        <v>75.849999999999994</v>
      </c>
      <c r="G26" s="562">
        <f>+'[2]VAC 04-99'!I1428</f>
        <v>63.45</v>
      </c>
      <c r="H26" s="562">
        <f>+'[2]VAC 04-99'!J1428</f>
        <v>45.363039999999998</v>
      </c>
      <c r="I26" s="562">
        <f>+'[2]VAC 04-99'!K1428</f>
        <v>52.643700000000003</v>
      </c>
      <c r="J26" s="562">
        <f>+'[2]VAC 04-99'!L1428</f>
        <v>47.895119999999999</v>
      </c>
      <c r="K26" s="562">
        <f>+'[2]VAC 04-99'!M1428</f>
        <v>44.998880000000007</v>
      </c>
      <c r="L26" s="562">
        <f>+'[2]VAC 04-99'!N1428</f>
        <v>41.641999999999996</v>
      </c>
      <c r="M26" s="562">
        <f>+'[2]VAC 04-99'!O1428</f>
        <v>63.10783</v>
      </c>
      <c r="N26" s="562">
        <f>+'[2]VAC 04-99'!P1428</f>
        <v>92.690650000000005</v>
      </c>
      <c r="O26" s="215"/>
      <c r="P26" s="215"/>
      <c r="Q26" s="215"/>
      <c r="R26" s="276"/>
      <c r="S26" s="215"/>
    </row>
    <row r="27" spans="1:19" ht="12" customHeight="1">
      <c r="A27" s="269" t="s">
        <v>39</v>
      </c>
      <c r="B27" s="550">
        <f t="shared" si="0"/>
        <v>971.12160000000006</v>
      </c>
      <c r="C27" s="562">
        <f>+'[2]VAC 04-99'!E1431</f>
        <v>67.549499999999995</v>
      </c>
      <c r="D27" s="562">
        <f>+'[2]VAC 04-99'!F1431</f>
        <v>81.487799999999993</v>
      </c>
      <c r="E27" s="562">
        <f>+'[2]VAC 04-99'!G1431</f>
        <v>75.597300000000004</v>
      </c>
      <c r="F27" s="562">
        <f>+'[2]VAC 04-99'!H1431</f>
        <v>75.735000000000014</v>
      </c>
      <c r="G27" s="562">
        <f>+'[2]VAC 04-99'!I1431</f>
        <v>79.503900000000016</v>
      </c>
      <c r="H27" s="562">
        <f>+'[2]VAC 04-99'!J1431</f>
        <v>82.793399999999991</v>
      </c>
      <c r="I27" s="562">
        <f>+'[2]VAC 04-99'!K1431</f>
        <v>84.246899999999997</v>
      </c>
      <c r="J27" s="562">
        <f>+'[2]VAC 04-99'!L1431</f>
        <v>81.125699999999981</v>
      </c>
      <c r="K27" s="562">
        <f>+'[2]VAC 04-99'!M1431</f>
        <v>84.297899999999998</v>
      </c>
      <c r="L27" s="562">
        <f>+'[2]VAC 04-99'!N1431</f>
        <v>81.640800000000013</v>
      </c>
      <c r="M27" s="562">
        <f>+'[2]VAC 04-99'!O1431</f>
        <v>84.129600000000011</v>
      </c>
      <c r="N27" s="562">
        <f>+'[2]VAC 04-99'!P1431</f>
        <v>93.013800000000018</v>
      </c>
      <c r="O27" s="215"/>
      <c r="P27" s="215"/>
      <c r="Q27" s="215"/>
      <c r="R27" s="276"/>
      <c r="S27" s="215"/>
    </row>
    <row r="28" spans="1:19" ht="12" customHeight="1">
      <c r="A28" s="269" t="s">
        <v>40</v>
      </c>
      <c r="B28" s="550">
        <f t="shared" si="0"/>
        <v>12261.10584</v>
      </c>
      <c r="C28" s="562">
        <f>+'[2]VAC 04-99'!E1434</f>
        <v>614.53827000000001</v>
      </c>
      <c r="D28" s="562">
        <f>+'[2]VAC 04-99'!F1434</f>
        <v>886.21323000000007</v>
      </c>
      <c r="E28" s="562">
        <f>+'[2]VAC 04-99'!G1434</f>
        <v>1099.0250100000001</v>
      </c>
      <c r="F28" s="562">
        <f>+'[2]VAC 04-99'!H1434</f>
        <v>1212.88608</v>
      </c>
      <c r="G28" s="562">
        <f>+'[2]VAC 04-99'!I1434</f>
        <v>1191.9332400000001</v>
      </c>
      <c r="H28" s="562">
        <f>+'[2]VAC 04-99'!J1434</f>
        <v>1234.57536</v>
      </c>
      <c r="I28" s="562">
        <f>+'[2]VAC 04-99'!K1434</f>
        <v>1160.8048800000001</v>
      </c>
      <c r="J28" s="562">
        <f>+'[2]VAC 04-99'!L1434</f>
        <v>999.87948000000006</v>
      </c>
      <c r="K28" s="562">
        <f>+'[2]VAC 04-99'!M1434</f>
        <v>827.94470999999999</v>
      </c>
      <c r="L28" s="562">
        <f>+'[2]VAC 04-99'!N1434</f>
        <v>844.44881999999996</v>
      </c>
      <c r="M28" s="562">
        <f>+'[2]VAC 04-99'!O1434</f>
        <v>1087.6356900000001</v>
      </c>
      <c r="N28" s="562">
        <f>+'[2]VAC 04-99'!P1434</f>
        <v>1101.2210700000001</v>
      </c>
      <c r="O28" s="215"/>
      <c r="P28" s="215"/>
      <c r="Q28" s="215"/>
      <c r="R28" s="276"/>
      <c r="S28" s="215"/>
    </row>
    <row r="29" spans="1:19" ht="12" customHeight="1">
      <c r="A29" s="269" t="s">
        <v>41</v>
      </c>
      <c r="B29" s="550">
        <f t="shared" si="0"/>
        <v>4669.7689999999993</v>
      </c>
      <c r="C29" s="562">
        <f>+'[2]VAC 04-99'!E1437</f>
        <v>388.8</v>
      </c>
      <c r="D29" s="562">
        <f>+'[2]VAC 04-99'!F1437</f>
        <v>386.82</v>
      </c>
      <c r="E29" s="562">
        <f>+'[2]VAC 04-99'!G1437</f>
        <v>392.495</v>
      </c>
      <c r="F29" s="562">
        <f>+'[2]VAC 04-99'!H1437</f>
        <v>390.41999999999996</v>
      </c>
      <c r="G29" s="562">
        <f>+'[2]VAC 04-99'!I1437</f>
        <v>391.57</v>
      </c>
      <c r="H29" s="562">
        <f>+'[2]VAC 04-99'!J1437</f>
        <v>388.14300000000003</v>
      </c>
      <c r="I29" s="562">
        <f>+'[2]VAC 04-99'!K1437</f>
        <v>387.89</v>
      </c>
      <c r="J29" s="562">
        <f>+'[2]VAC 04-99'!L1437</f>
        <v>388.78999999999996</v>
      </c>
      <c r="K29" s="562">
        <f>+'[2]VAC 04-99'!M1437</f>
        <v>386.69799999999998</v>
      </c>
      <c r="L29" s="562">
        <f>+'[2]VAC 04-99'!N1437</f>
        <v>390.07900000000001</v>
      </c>
      <c r="M29" s="562">
        <f>+'[2]VAC 04-99'!O1437</f>
        <v>390.34</v>
      </c>
      <c r="N29" s="562">
        <f>+'[2]VAC 04-99'!P1437</f>
        <v>387.72399999999999</v>
      </c>
      <c r="O29" s="215"/>
      <c r="P29" s="215"/>
      <c r="Q29" s="215"/>
      <c r="R29" s="276"/>
      <c r="S29" s="215"/>
    </row>
    <row r="30" spans="1:19" ht="12" customHeight="1">
      <c r="A30" s="271" t="s">
        <v>111</v>
      </c>
      <c r="B30" s="550">
        <f t="shared" si="0"/>
        <v>2419.029</v>
      </c>
      <c r="C30" s="562">
        <f>+'[2]VAC 04-99'!E1440</f>
        <v>196.65</v>
      </c>
      <c r="D30" s="562">
        <f>+'[2]VAC 04-99'!F1440</f>
        <v>198.87</v>
      </c>
      <c r="E30" s="562">
        <f>+'[2]VAC 04-99'!G1440</f>
        <v>202.44</v>
      </c>
      <c r="F30" s="562">
        <f>+'[2]VAC 04-99'!H1440</f>
        <v>201.45</v>
      </c>
      <c r="G30" s="562">
        <f>+'[2]VAC 04-99'!I1440</f>
        <v>201.59</v>
      </c>
      <c r="H30" s="562">
        <f>+'[2]VAC 04-99'!J1440</f>
        <v>200.68700000000001</v>
      </c>
      <c r="I30" s="562">
        <f>+'[2]VAC 04-99'!K1440</f>
        <v>201.44</v>
      </c>
      <c r="J30" s="562">
        <f>+'[2]VAC 04-99'!L1440</f>
        <v>202.01</v>
      </c>
      <c r="K30" s="562">
        <f>+'[2]VAC 04-99'!M1440</f>
        <v>201.22</v>
      </c>
      <c r="L30" s="562">
        <f>+'[2]VAC 04-99'!N1440</f>
        <v>204.53200000000001</v>
      </c>
      <c r="M30" s="562">
        <f>+'[2]VAC 04-99'!O1440</f>
        <v>204.67</v>
      </c>
      <c r="N30" s="562">
        <f>+'[2]VAC 04-99'!P1440</f>
        <v>203.47</v>
      </c>
      <c r="O30" s="215"/>
      <c r="P30" s="215"/>
      <c r="Q30" s="215"/>
      <c r="R30" s="276"/>
      <c r="S30" s="215"/>
    </row>
    <row r="31" spans="1:19" ht="12" customHeight="1">
      <c r="A31" s="271" t="s">
        <v>112</v>
      </c>
      <c r="B31" s="550">
        <f t="shared" si="0"/>
        <v>2250.7399999999998</v>
      </c>
      <c r="C31" s="562">
        <f>+'[2]VAC 04-99'!E1443</f>
        <v>192.15</v>
      </c>
      <c r="D31" s="562">
        <f>+'[2]VAC 04-99'!F1443</f>
        <v>187.95</v>
      </c>
      <c r="E31" s="562">
        <f>+'[2]VAC 04-99'!G1443</f>
        <v>190.05500000000001</v>
      </c>
      <c r="F31" s="562">
        <f>+'[2]VAC 04-99'!H1443</f>
        <v>188.97</v>
      </c>
      <c r="G31" s="562">
        <f>+'[2]VAC 04-99'!I1443</f>
        <v>189.98</v>
      </c>
      <c r="H31" s="562">
        <f>+'[2]VAC 04-99'!J1443</f>
        <v>187.45599999999999</v>
      </c>
      <c r="I31" s="562">
        <f>+'[2]VAC 04-99'!K1443</f>
        <v>186.45</v>
      </c>
      <c r="J31" s="562">
        <f>+'[2]VAC 04-99'!L1443</f>
        <v>186.78</v>
      </c>
      <c r="K31" s="562">
        <f>+'[2]VAC 04-99'!M1443</f>
        <v>185.47800000000001</v>
      </c>
      <c r="L31" s="562">
        <f>+'[2]VAC 04-99'!N1443</f>
        <v>185.547</v>
      </c>
      <c r="M31" s="562">
        <f>+'[2]VAC 04-99'!O1443</f>
        <v>185.67</v>
      </c>
      <c r="N31" s="562">
        <f>+'[2]VAC 04-99'!P1443</f>
        <v>184.25399999999999</v>
      </c>
      <c r="O31" s="215"/>
      <c r="P31" s="215"/>
      <c r="Q31" s="215"/>
      <c r="R31" s="276"/>
      <c r="S31" s="215"/>
    </row>
    <row r="32" spans="1:19" ht="12" customHeight="1">
      <c r="A32" s="269" t="s">
        <v>44</v>
      </c>
      <c r="B32" s="550">
        <f t="shared" si="0"/>
        <v>10865.347019999999</v>
      </c>
      <c r="C32" s="562">
        <f>+'[2]VAC 04-99'!E1446</f>
        <v>772.61889000000008</v>
      </c>
      <c r="D32" s="562">
        <f>+'[2]VAC 04-99'!F1446</f>
        <v>830.69820000000027</v>
      </c>
      <c r="E32" s="562">
        <f>+'[2]VAC 04-99'!G1446</f>
        <v>897.00839999999982</v>
      </c>
      <c r="F32" s="562">
        <f>+'[2]VAC 04-99'!H1446</f>
        <v>975.14040000000011</v>
      </c>
      <c r="G32" s="562">
        <f>+'[2]VAC 04-99'!I1446</f>
        <v>1037.0748000000003</v>
      </c>
      <c r="H32" s="562">
        <f>+'[2]VAC 04-99'!J1446</f>
        <v>1101.2251499999995</v>
      </c>
      <c r="I32" s="562">
        <f>+'[2]VAC 04-99'!K1446</f>
        <v>1092.2465999999993</v>
      </c>
      <c r="J32" s="562">
        <f>+'[2]VAC 04-99'!L1446</f>
        <v>998.68709999999987</v>
      </c>
      <c r="K32" s="562">
        <f>+'[2]VAC 04-99'!M1446</f>
        <v>888.69795000000011</v>
      </c>
      <c r="L32" s="562">
        <f>+'[2]VAC 04-99'!N1446</f>
        <v>801.41655000000026</v>
      </c>
      <c r="M32" s="562">
        <f>+'[2]VAC 04-99'!O1446</f>
        <v>730.20678000000009</v>
      </c>
      <c r="N32" s="562">
        <f>+'[2]VAC 04-99'!P1446</f>
        <v>740.3262000000002</v>
      </c>
      <c r="O32" s="215"/>
      <c r="P32" s="215"/>
      <c r="Q32" s="215"/>
      <c r="R32" s="276"/>
      <c r="S32" s="215"/>
    </row>
    <row r="33" spans="1:19" ht="12" customHeight="1">
      <c r="A33" s="269" t="s">
        <v>45</v>
      </c>
      <c r="B33" s="550">
        <f t="shared" si="0"/>
        <v>21025.2035</v>
      </c>
      <c r="C33" s="562">
        <f>+'[2]VAC 04-99'!E1449</f>
        <v>1305.1054999999999</v>
      </c>
      <c r="D33" s="562">
        <f>+'[2]VAC 04-99'!F1449</f>
        <v>1549.8779999999999</v>
      </c>
      <c r="E33" s="562">
        <f>+'[2]VAC 04-99'!G1449</f>
        <v>1678.06</v>
      </c>
      <c r="F33" s="562">
        <f>+'[2]VAC 04-99'!H1449</f>
        <v>2308.38</v>
      </c>
      <c r="G33" s="562">
        <f>+'[2]VAC 04-99'!I1449</f>
        <v>2323.7550000000001</v>
      </c>
      <c r="H33" s="562">
        <f>+'[2]VAC 04-99'!J1449</f>
        <v>2308.11</v>
      </c>
      <c r="I33" s="562">
        <f>+'[2]VAC 04-99'!K1449</f>
        <v>2052.1949999999997</v>
      </c>
      <c r="J33" s="562">
        <f>+'[2]VAC 04-99'!L1449</f>
        <v>1829.3399999999997</v>
      </c>
      <c r="K33" s="562">
        <f>+'[2]VAC 04-99'!M1449</f>
        <v>1564.54</v>
      </c>
      <c r="L33" s="562">
        <f>+'[2]VAC 04-99'!N1449</f>
        <v>1391.4300000000003</v>
      </c>
      <c r="M33" s="562">
        <f>+'[2]VAC 04-99'!O1449</f>
        <v>1396.0600000000002</v>
      </c>
      <c r="N33" s="562">
        <f>+'[2]VAC 04-99'!P1449</f>
        <v>1318.35</v>
      </c>
      <c r="O33" s="215"/>
      <c r="P33" s="215"/>
      <c r="Q33" s="215"/>
      <c r="R33" s="276"/>
      <c r="S33" s="215"/>
    </row>
    <row r="34" spans="1:19" ht="12" customHeight="1">
      <c r="A34" s="217" t="s">
        <v>46</v>
      </c>
      <c r="B34" s="550">
        <f t="shared" si="0"/>
        <v>6254.5344299999997</v>
      </c>
      <c r="C34" s="562">
        <f>+'[2]VAC 04-99'!E1452</f>
        <v>525.21330000000012</v>
      </c>
      <c r="D34" s="562">
        <f>+'[2]VAC 04-99'!F1452</f>
        <v>508.04363999999998</v>
      </c>
      <c r="E34" s="562">
        <f>+'[2]VAC 04-99'!G1452</f>
        <v>505.25496000000004</v>
      </c>
      <c r="F34" s="562">
        <f>+'[2]VAC 04-99'!H1452</f>
        <v>516.83858999999984</v>
      </c>
      <c r="G34" s="562">
        <f>+'[2]VAC 04-99'!I1452</f>
        <v>515.74566000000004</v>
      </c>
      <c r="H34" s="562">
        <f>+'[2]VAC 04-99'!J1452</f>
        <v>556.66193999999996</v>
      </c>
      <c r="I34" s="562">
        <f>+'[2]VAC 04-99'!K1452</f>
        <v>532.70825999999977</v>
      </c>
      <c r="J34" s="562">
        <f>+'[2]VAC 04-99'!L1452</f>
        <v>496.23408000000006</v>
      </c>
      <c r="K34" s="562">
        <f>+'[2]VAC 04-99'!M1452</f>
        <v>479.94518999999985</v>
      </c>
      <c r="L34" s="562">
        <f>+'[2]VAC 04-99'!N1452</f>
        <v>518.10543000000018</v>
      </c>
      <c r="M34" s="562">
        <f>+'[2]VAC 04-99'!O1452</f>
        <v>536.62964999999997</v>
      </c>
      <c r="N34" s="562">
        <f>+'[2]VAC 04-99'!P1452</f>
        <v>563.15373000000011</v>
      </c>
      <c r="O34" s="215"/>
      <c r="P34" s="215"/>
      <c r="Q34" s="215"/>
      <c r="R34" s="276"/>
      <c r="S34" s="215"/>
    </row>
    <row r="35" spans="1:19" ht="12" customHeight="1">
      <c r="A35" s="217" t="s">
        <v>47</v>
      </c>
      <c r="B35" s="550">
        <f t="shared" si="0"/>
        <v>1631.2111199999999</v>
      </c>
      <c r="C35" s="562">
        <f>+'[2]VAC 04-99'!E1455</f>
        <v>133.64743000000001</v>
      </c>
      <c r="D35" s="562">
        <f>+'[2]VAC 04-99'!F1455</f>
        <v>135.66381000000001</v>
      </c>
      <c r="E35" s="562">
        <f>+'[2]VAC 04-99'!G1455</f>
        <v>126.75861999999999</v>
      </c>
      <c r="F35" s="562">
        <f>+'[2]VAC 04-99'!H1455</f>
        <v>136.59506999999999</v>
      </c>
      <c r="G35" s="562">
        <f>+'[2]VAC 04-99'!I1455</f>
        <v>145.78962000000001</v>
      </c>
      <c r="H35" s="562">
        <f>+'[2]VAC 04-99'!J1455</f>
        <v>125.60253</v>
      </c>
      <c r="I35" s="562">
        <f>+'[2]VAC 04-99'!K1455</f>
        <v>131.19817</v>
      </c>
      <c r="J35" s="562">
        <f>+'[2]VAC 04-99'!L1455</f>
        <v>138.28564</v>
      </c>
      <c r="K35" s="562">
        <f>+'[2]VAC 04-99'!M1455</f>
        <v>135.85396</v>
      </c>
      <c r="L35" s="562">
        <f>+'[2]VAC 04-99'!N1455</f>
        <v>137.75633999999999</v>
      </c>
      <c r="M35" s="562">
        <f>+'[2]VAC 04-99'!O1455</f>
        <v>132.97764000000001</v>
      </c>
      <c r="N35" s="562">
        <f>+'[2]VAC 04-99'!P1455</f>
        <v>151.08229</v>
      </c>
      <c r="O35" s="215"/>
      <c r="P35" s="215"/>
      <c r="Q35" s="215"/>
      <c r="R35" s="276"/>
      <c r="S35" s="215"/>
    </row>
    <row r="36" spans="1:19" ht="12" customHeight="1">
      <c r="A36" s="217" t="s">
        <v>48</v>
      </c>
      <c r="B36" s="550">
        <f t="shared" si="0"/>
        <v>2025.8147550000003</v>
      </c>
      <c r="C36" s="562">
        <f>+'[2]VAC 04-99'!E1458</f>
        <v>131.38918000000001</v>
      </c>
      <c r="D36" s="562">
        <f>+'[2]VAC 04-99'!F1458</f>
        <v>126.8625</v>
      </c>
      <c r="E36" s="562">
        <f>+'[2]VAC 04-99'!G1458</f>
        <v>145.03125</v>
      </c>
      <c r="F36" s="562">
        <f>+'[2]VAC 04-99'!H1458</f>
        <v>150.79935</v>
      </c>
      <c r="G36" s="562">
        <f>+'[2]VAC 04-99'!I1458</f>
        <v>151.56129000000001</v>
      </c>
      <c r="H36" s="562">
        <f>+'[2]VAC 04-99'!J1458</f>
        <v>170.7174</v>
      </c>
      <c r="I36" s="562">
        <f>+'[2]VAC 04-99'!K1458</f>
        <v>167.06875800000003</v>
      </c>
      <c r="J36" s="562">
        <f>+'[2]VAC 04-99'!L1458</f>
        <v>169.90471500000001</v>
      </c>
      <c r="K36" s="562">
        <f>+'[2]VAC 04-99'!M1458</f>
        <v>193.94346300000001</v>
      </c>
      <c r="L36" s="562">
        <f>+'[2]VAC 04-99'!N1458</f>
        <v>201.56002799999999</v>
      </c>
      <c r="M36" s="562">
        <f>+'[2]VAC 04-99'!O1458</f>
        <v>201.360591</v>
      </c>
      <c r="N36" s="562">
        <f>+'[2]VAC 04-99'!P1458</f>
        <v>215.61623</v>
      </c>
      <c r="O36" s="215"/>
      <c r="P36" s="215"/>
      <c r="Q36" s="215"/>
      <c r="R36" s="276"/>
      <c r="S36" s="215"/>
    </row>
    <row r="37" spans="1:19" ht="12" customHeight="1" thickBot="1">
      <c r="A37" s="272" t="s">
        <v>49</v>
      </c>
      <c r="B37" s="552">
        <f t="shared" si="0"/>
        <v>2373.0839933000002</v>
      </c>
      <c r="C37" s="564">
        <f>+'[2]VAC 04-99'!E1461</f>
        <v>211.31000850000001</v>
      </c>
      <c r="D37" s="564">
        <f>+'[2]VAC 04-99'!F1461</f>
        <v>178.3989996</v>
      </c>
      <c r="E37" s="564">
        <f>+'[2]VAC 04-99'!G1461</f>
        <v>186.33000449999997</v>
      </c>
      <c r="F37" s="564">
        <f>+'[2]VAC 04-99'!H1461</f>
        <v>185.18998999999999</v>
      </c>
      <c r="G37" s="564">
        <f>+'[2]VAC 04-99'!I1461</f>
        <v>191.3600022</v>
      </c>
      <c r="H37" s="564">
        <f>+'[2]VAC 04-99'!J1461</f>
        <v>216.55999439999999</v>
      </c>
      <c r="I37" s="564">
        <f>+'[2]VAC 04-99'!K1461</f>
        <v>219.7600047</v>
      </c>
      <c r="J37" s="564">
        <f>+'[2]VAC 04-99'!L1461</f>
        <v>191.74999890000001</v>
      </c>
      <c r="K37" s="564">
        <f>+'[2]VAC 04-99'!M1461</f>
        <v>212.98100310000001</v>
      </c>
      <c r="L37" s="564">
        <f>+'[2]VAC 04-99'!N1461</f>
        <v>201.36998990000001</v>
      </c>
      <c r="M37" s="564">
        <f>+'[2]VAC 04-99'!O1461</f>
        <v>177.47800269999999</v>
      </c>
      <c r="N37" s="564">
        <f>+'[2]VAC 04-99'!P1461</f>
        <v>200.5959948</v>
      </c>
      <c r="O37" s="215"/>
      <c r="P37" s="215"/>
      <c r="Q37" s="215"/>
      <c r="R37" s="276"/>
      <c r="S37" s="215"/>
    </row>
    <row r="38" spans="1:19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19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19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19" ht="13" customHeight="1">
      <c r="A41" s="12"/>
    </row>
    <row r="42" spans="1:19" ht="13" customHeight="1">
      <c r="A42" s="141"/>
    </row>
    <row r="43" spans="1:19" ht="13" customHeight="1">
      <c r="A43" s="191"/>
    </row>
    <row r="44" spans="1:19" ht="13" customHeight="1">
      <c r="A44" s="31"/>
    </row>
    <row r="45" spans="1:19" ht="13" customHeight="1">
      <c r="A45" s="58"/>
    </row>
    <row r="46" spans="1:19" ht="13" customHeight="1">
      <c r="A46" s="31"/>
    </row>
    <row r="47" spans="1:19" ht="13" customHeight="1">
      <c r="A47" s="141"/>
    </row>
    <row r="48" spans="1:19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Hoja62">
    <tabColor theme="9" tint="0.59999389629810485"/>
  </sheetPr>
  <dimension ref="A4:AF54"/>
  <sheetViews>
    <sheetView showGridLines="0" topLeftCell="A3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23" customWidth="1"/>
    <col min="3" max="14" width="8.59765625" style="223" customWidth="1"/>
    <col min="15" max="16384" width="7" style="213"/>
  </cols>
  <sheetData>
    <row r="4" spans="1:32" ht="13" customHeight="1">
      <c r="A4" s="511" t="s">
        <v>397</v>
      </c>
      <c r="B4" s="507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</row>
    <row r="5" spans="1:32" ht="13" customHeight="1">
      <c r="A5" s="514" t="s">
        <v>595</v>
      </c>
      <c r="B5" s="507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</row>
    <row r="6" spans="1:32" ht="5" customHeight="1" thickBot="1"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  <c r="AD6" s="217"/>
      <c r="AE6" s="217"/>
      <c r="AF6" s="217"/>
    </row>
    <row r="7" spans="1:32" ht="15" customHeight="1">
      <c r="A7" s="519" t="s">
        <v>18</v>
      </c>
      <c r="B7" s="522" t="s">
        <v>118</v>
      </c>
      <c r="C7" s="546" t="s">
        <v>57</v>
      </c>
      <c r="D7" s="546" t="s">
        <v>58</v>
      </c>
      <c r="E7" s="546" t="s">
        <v>59</v>
      </c>
      <c r="F7" s="546" t="s">
        <v>60</v>
      </c>
      <c r="G7" s="546" t="s">
        <v>61</v>
      </c>
      <c r="H7" s="546" t="s">
        <v>62</v>
      </c>
      <c r="I7" s="546" t="s">
        <v>63</v>
      </c>
      <c r="J7" s="546" t="s">
        <v>64</v>
      </c>
      <c r="K7" s="546" t="s">
        <v>65</v>
      </c>
      <c r="L7" s="546" t="s">
        <v>66</v>
      </c>
      <c r="M7" s="546" t="s">
        <v>67</v>
      </c>
      <c r="N7" s="546" t="s">
        <v>68</v>
      </c>
      <c r="P7" s="269"/>
      <c r="Q7" s="276"/>
      <c r="R7" s="276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5"/>
      <c r="AD7" s="215"/>
      <c r="AE7" s="276"/>
      <c r="AF7" s="215"/>
    </row>
    <row r="8" spans="1:32" ht="15" customHeight="1">
      <c r="A8" s="530" t="s">
        <v>100</v>
      </c>
      <c r="B8" s="565">
        <f>('C-60'!B8/'C-59'!B8)*1000</f>
        <v>142.15926729189371</v>
      </c>
      <c r="C8" s="565">
        <f>('C-60'!C8/'C-59'!C8)*1000</f>
        <v>142.5418868256244</v>
      </c>
      <c r="D8" s="565">
        <f>('C-60'!D8/'C-59'!D8)*1000</f>
        <v>144.7888705549847</v>
      </c>
      <c r="E8" s="565">
        <f>('C-60'!E8/'C-59'!E8)*1000</f>
        <v>143.18712420051639</v>
      </c>
      <c r="F8" s="565">
        <f>('C-60'!F8/'C-59'!F8)*1000</f>
        <v>141.4387771694515</v>
      </c>
      <c r="G8" s="565">
        <f>('C-60'!G8/'C-59'!G8)*1000</f>
        <v>141.18566876853612</v>
      </c>
      <c r="H8" s="565">
        <f>('C-60'!H8/'C-59'!H8)*1000</f>
        <v>142.07778290942781</v>
      </c>
      <c r="I8" s="565">
        <f>('C-60'!I8/'C-59'!I8)*1000</f>
        <v>140.67960167079437</v>
      </c>
      <c r="J8" s="565">
        <f>('C-60'!J8/'C-59'!J8)*1000</f>
        <v>142.27286497762483</v>
      </c>
      <c r="K8" s="565">
        <f>('C-60'!K8/'C-59'!K8)*1000</f>
        <v>141.79087021029284</v>
      </c>
      <c r="L8" s="565">
        <f>('C-60'!L8/'C-59'!L8)*1000</f>
        <v>142.20958282612048</v>
      </c>
      <c r="M8" s="565">
        <f>('C-60'!M8/'C-59'!M8)*1000</f>
        <v>143.19359370221278</v>
      </c>
      <c r="N8" s="565">
        <f>('C-60'!N8/'C-59'!N8)*1000</f>
        <v>141.07423985167785</v>
      </c>
      <c r="P8" s="269"/>
      <c r="Q8" s="276"/>
      <c r="R8" s="276"/>
      <c r="S8" s="215"/>
      <c r="T8" s="215"/>
      <c r="U8" s="215"/>
      <c r="V8" s="215"/>
      <c r="W8" s="215"/>
      <c r="X8" s="215"/>
      <c r="Y8" s="215"/>
      <c r="Z8" s="215"/>
      <c r="AA8" s="215"/>
      <c r="AB8" s="215"/>
      <c r="AC8" s="215"/>
      <c r="AD8" s="215"/>
      <c r="AE8" s="276"/>
      <c r="AF8" s="215"/>
    </row>
    <row r="9" spans="1:32" ht="12" customHeight="1">
      <c r="A9" s="269" t="s">
        <v>21</v>
      </c>
      <c r="B9" s="566">
        <f>('C-60'!B9/'C-59'!B9)*1000</f>
        <v>151.86454101995568</v>
      </c>
      <c r="C9" s="567">
        <f>('C-60'!C9/'C-59'!C9)*1000</f>
        <v>152.80305475504321</v>
      </c>
      <c r="D9" s="567">
        <f>('C-60'!D9/'C-59'!D9)*1000</f>
        <v>150.66488764044945</v>
      </c>
      <c r="E9" s="567">
        <f>('C-60'!E9/'C-59'!E9)*1000</f>
        <v>151.88675900277005</v>
      </c>
      <c r="F9" s="567">
        <f>('C-60'!F9/'C-59'!F9)*1000</f>
        <v>152.6108991825613</v>
      </c>
      <c r="G9" s="567">
        <f>('C-60'!G9/'C-59'!G9)*1000</f>
        <v>151.68977900552488</v>
      </c>
      <c r="H9" s="567">
        <f>('C-60'!H9/'C-59'!H9)*1000</f>
        <v>155.77393767705379</v>
      </c>
      <c r="I9" s="567">
        <f>('C-60'!I9/'C-59'!I9)*1000</f>
        <v>149.2036516853932</v>
      </c>
      <c r="J9" s="567">
        <f>('C-60'!J9/'C-59'!J9)*1000</f>
        <v>148.93681318681317</v>
      </c>
      <c r="K9" s="567">
        <f>('C-60'!K9/'C-59'!K9)*1000</f>
        <v>151.40776699029126</v>
      </c>
      <c r="L9" s="567">
        <f>('C-60'!L9/'C-59'!L9)*1000</f>
        <v>148.6904761904762</v>
      </c>
      <c r="M9" s="567">
        <f>('C-60'!M9/'C-59'!M9)*1000</f>
        <v>154.80348258706468</v>
      </c>
      <c r="N9" s="567">
        <f>('C-60'!N9/'C-59'!N9)*1000</f>
        <v>153.95121951219511</v>
      </c>
      <c r="P9" s="269"/>
      <c r="Q9" s="276"/>
      <c r="R9" s="276"/>
      <c r="S9" s="215"/>
      <c r="T9" s="215"/>
      <c r="U9" s="215"/>
      <c r="V9" s="215"/>
      <c r="W9" s="215"/>
      <c r="X9" s="215"/>
      <c r="Y9" s="215"/>
      <c r="Z9" s="215"/>
      <c r="AA9" s="215"/>
      <c r="AB9" s="215"/>
      <c r="AC9" s="215"/>
      <c r="AD9" s="215"/>
      <c r="AE9" s="276"/>
      <c r="AF9" s="215"/>
    </row>
    <row r="10" spans="1:32" ht="12" customHeight="1">
      <c r="A10" s="269" t="s">
        <v>22</v>
      </c>
      <c r="B10" s="566">
        <f>('C-60'!B10/'C-59'!B10)*1000</f>
        <v>150.97077682491104</v>
      </c>
      <c r="C10" s="567">
        <f>('C-60'!C10/'C-59'!C10)*1000</f>
        <v>148.03762965855859</v>
      </c>
      <c r="D10" s="567">
        <f>('C-60'!D10/'C-59'!D10)*1000</f>
        <v>161.34659948168786</v>
      </c>
      <c r="E10" s="567">
        <f>('C-60'!E10/'C-59'!E10)*1000</f>
        <v>166.57249023812864</v>
      </c>
      <c r="F10" s="567">
        <f>('C-60'!F10/'C-59'!F10)*1000</f>
        <v>151.9008426180549</v>
      </c>
      <c r="G10" s="567">
        <f>('C-60'!G10/'C-59'!G10)*1000</f>
        <v>150.71442473568325</v>
      </c>
      <c r="H10" s="567">
        <f>('C-60'!H10/'C-59'!H10)*1000</f>
        <v>154.78234959033054</v>
      </c>
      <c r="I10" s="567">
        <f>('C-60'!I10/'C-59'!I10)*1000</f>
        <v>145.16072011768179</v>
      </c>
      <c r="J10" s="567">
        <f>('C-60'!J10/'C-59'!J10)*1000</f>
        <v>149.47949356265389</v>
      </c>
      <c r="K10" s="567">
        <f>('C-60'!K10/'C-59'!K10)*1000</f>
        <v>143.9724584424136</v>
      </c>
      <c r="L10" s="567">
        <f>('C-60'!L10/'C-59'!L10)*1000</f>
        <v>142.03933028887926</v>
      </c>
      <c r="M10" s="567">
        <f>('C-60'!M10/'C-59'!M10)*1000</f>
        <v>149.99345334278988</v>
      </c>
      <c r="N10" s="567">
        <f>('C-60'!N10/'C-59'!N10)*1000</f>
        <v>150.76520912547528</v>
      </c>
      <c r="P10" s="269"/>
      <c r="Q10" s="276"/>
      <c r="R10" s="276"/>
      <c r="S10" s="215"/>
      <c r="T10" s="215"/>
      <c r="U10" s="215"/>
      <c r="V10" s="215"/>
      <c r="W10" s="215"/>
      <c r="X10" s="215"/>
      <c r="Y10" s="215"/>
      <c r="Z10" s="215"/>
      <c r="AA10" s="215"/>
      <c r="AB10" s="215"/>
      <c r="AC10" s="215"/>
      <c r="AD10" s="215"/>
      <c r="AE10" s="276"/>
      <c r="AF10" s="215"/>
    </row>
    <row r="11" spans="1:32" ht="12" customHeight="1">
      <c r="A11" s="269" t="s">
        <v>23</v>
      </c>
      <c r="B11" s="566">
        <f>('C-60'!B11/'C-59'!B11)*1000</f>
        <v>144.5567446629999</v>
      </c>
      <c r="C11" s="567">
        <f>('C-60'!C11/'C-59'!C11)*1000</f>
        <v>140.67683923705721</v>
      </c>
      <c r="D11" s="567">
        <f>('C-60'!D11/'C-59'!D11)*1000</f>
        <v>138.54562737642587</v>
      </c>
      <c r="E11" s="567">
        <f>('C-60'!E11/'C-59'!E11)*1000</f>
        <v>141.47335423197489</v>
      </c>
      <c r="F11" s="567">
        <f>('C-60'!F11/'C-59'!F11)*1000</f>
        <v>144.7908787541713</v>
      </c>
      <c r="G11" s="567">
        <f>('C-60'!G11/'C-59'!G11)*1000</f>
        <v>146.47339246119734</v>
      </c>
      <c r="H11" s="567">
        <f>('C-60'!H11/'C-59'!H11)*1000</f>
        <v>143.49404117009752</v>
      </c>
      <c r="I11" s="567">
        <f>('C-60'!I11/'C-59'!I11)*1000</f>
        <v>142.7001775147929</v>
      </c>
      <c r="J11" s="567">
        <f>('C-60'!J11/'C-59'!J11)*1000</f>
        <v>145.27272727272728</v>
      </c>
      <c r="K11" s="567">
        <f>('C-60'!K11/'C-59'!K11)*1000</f>
        <v>154.31300061614294</v>
      </c>
      <c r="L11" s="567">
        <f>('C-60'!L11/'C-59'!L11)*1000</f>
        <v>153.20365853658535</v>
      </c>
      <c r="M11" s="567">
        <f>('C-60'!M11/'C-59'!M11)*1000</f>
        <v>149.0547619047619</v>
      </c>
      <c r="N11" s="567">
        <f>('C-60'!N11/'C-59'!N11)*1000</f>
        <v>138.21235294117648</v>
      </c>
      <c r="P11" s="269"/>
      <c r="Q11" s="276"/>
      <c r="R11" s="276"/>
      <c r="S11" s="215"/>
      <c r="T11" s="215"/>
      <c r="U11" s="215"/>
      <c r="V11" s="215"/>
      <c r="W11" s="215"/>
      <c r="X11" s="215"/>
      <c r="Y11" s="215"/>
      <c r="Z11" s="215"/>
      <c r="AA11" s="215"/>
      <c r="AB11" s="215"/>
      <c r="AC11" s="215"/>
      <c r="AD11" s="215"/>
      <c r="AE11" s="276"/>
      <c r="AF11" s="215"/>
    </row>
    <row r="12" spans="1:32" ht="12" customHeight="1">
      <c r="A12" s="217" t="s">
        <v>24</v>
      </c>
      <c r="B12" s="566">
        <f>('C-60'!B12/'C-59'!B12)*1000</f>
        <v>141.36165233267465</v>
      </c>
      <c r="C12" s="567">
        <f>('C-60'!C12/'C-59'!C12)*1000</f>
        <v>142.42393847639485</v>
      </c>
      <c r="D12" s="567">
        <f>('C-60'!D12/'C-59'!D12)*1000</f>
        <v>141.28240909090908</v>
      </c>
      <c r="E12" s="567">
        <f>('C-60'!E12/'C-59'!E12)*1000</f>
        <v>140.68269600000002</v>
      </c>
      <c r="F12" s="567">
        <f>('C-60'!F12/'C-59'!F12)*1000</f>
        <v>140.40188322744598</v>
      </c>
      <c r="G12" s="567">
        <f>('C-60'!G12/'C-59'!G12)*1000</f>
        <v>138.10280770704708</v>
      </c>
      <c r="H12" s="567">
        <f>('C-60'!H12/'C-59'!H12)*1000</f>
        <v>138.72371908349027</v>
      </c>
      <c r="I12" s="567">
        <f>('C-60'!I12/'C-59'!I12)*1000</f>
        <v>140.2818918677043</v>
      </c>
      <c r="J12" s="567">
        <f>('C-60'!J12/'C-59'!J12)*1000</f>
        <v>140.76926671055108</v>
      </c>
      <c r="K12" s="567">
        <f>('C-60'!K12/'C-59'!K12)*1000</f>
        <v>140.73886747133372</v>
      </c>
      <c r="L12" s="567">
        <f>('C-60'!L12/'C-59'!L12)*1000</f>
        <v>144.30603183453238</v>
      </c>
      <c r="M12" s="567">
        <f>('C-60'!M12/'C-59'!M12)*1000</f>
        <v>143.08946790610719</v>
      </c>
      <c r="N12" s="567">
        <f>('C-60'!N12/'C-59'!N12)*1000</f>
        <v>145.53461225479859</v>
      </c>
      <c r="P12" s="269"/>
      <c r="Q12" s="276"/>
      <c r="R12" s="276"/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76"/>
      <c r="AF12" s="215"/>
    </row>
    <row r="13" spans="1:32" ht="12" customHeight="1">
      <c r="A13" s="269" t="s">
        <v>25</v>
      </c>
      <c r="B13" s="566">
        <f>('C-60'!B13/'C-59'!B13)*1000</f>
        <v>125.38459572902558</v>
      </c>
      <c r="C13" s="567">
        <f>('C-60'!C13/'C-59'!C13)*1000</f>
        <v>123.70249525203751</v>
      </c>
      <c r="D13" s="567">
        <f>('C-60'!D13/'C-59'!D13)*1000</f>
        <v>134.0704603790046</v>
      </c>
      <c r="E13" s="567">
        <f>('C-60'!E13/'C-59'!E13)*1000</f>
        <v>122.97561963467831</v>
      </c>
      <c r="F13" s="567">
        <f>('C-60'!F13/'C-59'!F13)*1000</f>
        <v>122.93756216281132</v>
      </c>
      <c r="G13" s="567">
        <f>('C-60'!G13/'C-59'!G13)*1000</f>
        <v>125.24180005800208</v>
      </c>
      <c r="H13" s="567">
        <f>('C-60'!H13/'C-59'!H13)*1000</f>
        <v>128.41675318197377</v>
      </c>
      <c r="I13" s="567">
        <f>('C-60'!I13/'C-59'!I13)*1000</f>
        <v>129.55420123962074</v>
      </c>
      <c r="J13" s="567">
        <f>('C-60'!J13/'C-59'!J13)*1000</f>
        <v>130.73933729022102</v>
      </c>
      <c r="K13" s="567">
        <f>('C-60'!K13/'C-59'!K13)*1000</f>
        <v>126.89959615799967</v>
      </c>
      <c r="L13" s="567">
        <f>('C-60'!L13/'C-59'!L13)*1000</f>
        <v>124.75437720463815</v>
      </c>
      <c r="M13" s="567">
        <f>('C-60'!M13/'C-59'!M13)*1000</f>
        <v>119.41179282381485</v>
      </c>
      <c r="N13" s="567">
        <f>('C-60'!N13/'C-59'!N13)*1000</f>
        <v>115.6290770870357</v>
      </c>
      <c r="P13" s="269"/>
      <c r="Q13" s="276"/>
      <c r="R13" s="276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76"/>
      <c r="AF13" s="215"/>
    </row>
    <row r="14" spans="1:32" ht="12" customHeight="1">
      <c r="A14" s="271" t="s">
        <v>107</v>
      </c>
      <c r="B14" s="566">
        <f>('C-60'!B14/'C-59'!B14)*1000</f>
        <v>113.30601102364487</v>
      </c>
      <c r="C14" s="567">
        <f>('C-60'!C14/'C-59'!C14)*1000</f>
        <v>106.14763536609189</v>
      </c>
      <c r="D14" s="567">
        <f>('C-60'!D14/'C-59'!D14)*1000</f>
        <v>128.90456351264288</v>
      </c>
      <c r="E14" s="567">
        <f>('C-60'!E14/'C-59'!E14)*1000</f>
        <v>105.31579193788019</v>
      </c>
      <c r="F14" s="567">
        <f>('C-60'!F14/'C-59'!F14)*1000</f>
        <v>110.58344624175439</v>
      </c>
      <c r="G14" s="567">
        <f>('C-60'!G14/'C-59'!G14)*1000</f>
        <v>112.45342791136912</v>
      </c>
      <c r="H14" s="567">
        <f>('C-60'!H14/'C-59'!H14)*1000</f>
        <v>117.47476172076138</v>
      </c>
      <c r="I14" s="567">
        <f>('C-60'!I14/'C-59'!I14)*1000</f>
        <v>118.20037243894868</v>
      </c>
      <c r="J14" s="567">
        <f>('C-60'!J14/'C-59'!J14)*1000</f>
        <v>122.6704138564622</v>
      </c>
      <c r="K14" s="567">
        <f>('C-60'!K14/'C-59'!K14)*1000</f>
        <v>116.13469240455134</v>
      </c>
      <c r="L14" s="567">
        <f>('C-60'!L14/'C-59'!L14)*1000</f>
        <v>114.76769444308943</v>
      </c>
      <c r="M14" s="567">
        <f>('C-60'!M14/'C-59'!M14)*1000</f>
        <v>103.52538319382543</v>
      </c>
      <c r="N14" s="567">
        <f>('C-60'!N14/'C-59'!N14)*1000</f>
        <v>102.19550050424756</v>
      </c>
      <c r="P14" s="269"/>
      <c r="Q14" s="276"/>
      <c r="R14" s="276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76"/>
      <c r="AF14" s="215"/>
    </row>
    <row r="15" spans="1:32" ht="12" customHeight="1">
      <c r="A15" s="271" t="s">
        <v>108</v>
      </c>
      <c r="B15" s="566">
        <f>('C-60'!B15/'C-59'!B15)*1000</f>
        <v>135.11577181085042</v>
      </c>
      <c r="C15" s="567">
        <f>('C-60'!C15/'C-59'!C15)*1000</f>
        <v>143.54404190919675</v>
      </c>
      <c r="D15" s="567">
        <f>('C-60'!D15/'C-59'!D15)*1000</f>
        <v>135.53498642310535</v>
      </c>
      <c r="E15" s="567">
        <f>('C-60'!E15/'C-59'!E15)*1000</f>
        <v>139.4122721893491</v>
      </c>
      <c r="F15" s="567">
        <f>('C-60'!F15/'C-59'!F15)*1000</f>
        <v>127.01347887992407</v>
      </c>
      <c r="G15" s="567">
        <f>('C-60'!G15/'C-59'!G15)*1000</f>
        <v>128.52121068249261</v>
      </c>
      <c r="H15" s="567">
        <f>('C-60'!H15/'C-59'!H15)*1000</f>
        <v>131.69728721258574</v>
      </c>
      <c r="I15" s="567">
        <f>('C-60'!I15/'C-59'!I15)*1000</f>
        <v>140.12184154175588</v>
      </c>
      <c r="J15" s="567">
        <f>('C-60'!J15/'C-59'!J15)*1000</f>
        <v>137.38825031928482</v>
      </c>
      <c r="K15" s="567">
        <f>('C-60'!K15/'C-59'!K15)*1000</f>
        <v>137.52506934072969</v>
      </c>
      <c r="L15" s="567">
        <f>('C-60'!L15/'C-59'!L15)*1000</f>
        <v>134.23280085197018</v>
      </c>
      <c r="M15" s="567">
        <f>('C-60'!M15/'C-59'!M15)*1000</f>
        <v>135.35760171306211</v>
      </c>
      <c r="N15" s="567">
        <f>('C-60'!N15/'C-59'!N15)*1000</f>
        <v>131.90214187010596</v>
      </c>
      <c r="P15" s="269"/>
      <c r="Q15" s="276"/>
      <c r="R15" s="276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76"/>
      <c r="AF15" s="215"/>
    </row>
    <row r="16" spans="1:32" ht="12" customHeight="1">
      <c r="A16" s="271" t="s">
        <v>109</v>
      </c>
      <c r="B16" s="566">
        <f>('C-60'!B16/'C-59'!B16)*1000</f>
        <v>151.48980863662717</v>
      </c>
      <c r="C16" s="567">
        <f>('C-60'!C16/'C-59'!C16)*1000</f>
        <v>151.96233146067419</v>
      </c>
      <c r="D16" s="567">
        <f>('C-60'!D16/'C-59'!D16)*1000</f>
        <v>151.89730362884706</v>
      </c>
      <c r="E16" s="567">
        <f>('C-60'!E16/'C-59'!E16)*1000</f>
        <v>151.92141157670457</v>
      </c>
      <c r="F16" s="567">
        <f>('C-60'!F16/'C-59'!F16)*1000</f>
        <v>152.27480199004975</v>
      </c>
      <c r="G16" s="567">
        <f>('C-60'!G16/'C-59'!G16)*1000</f>
        <v>152.25910273972607</v>
      </c>
      <c r="H16" s="567">
        <f>('C-60'!H16/'C-59'!H16)*1000</f>
        <v>152.30043755383289</v>
      </c>
      <c r="I16" s="567">
        <f>('C-60'!I16/'C-59'!I16)*1000</f>
        <v>152.36210502455609</v>
      </c>
      <c r="J16" s="567">
        <f>('C-60'!J16/'C-59'!J16)*1000</f>
        <v>151.79518132099284</v>
      </c>
      <c r="K16" s="567">
        <f>('C-60'!K16/'C-59'!K16)*1000</f>
        <v>152.2683146944083</v>
      </c>
      <c r="L16" s="567">
        <f>('C-60'!L16/'C-59'!L16)*1000</f>
        <v>152.23972018735367</v>
      </c>
      <c r="M16" s="567">
        <f>('C-60'!M16/'C-59'!M16)*1000</f>
        <v>151.91617136054421</v>
      </c>
      <c r="N16" s="567">
        <f>('C-60'!N16/'C-59'!N16)*1000</f>
        <v>143.31098178984863</v>
      </c>
      <c r="P16" s="269"/>
      <c r="Q16" s="276"/>
      <c r="R16" s="276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76"/>
      <c r="AF16" s="215"/>
    </row>
    <row r="17" spans="1:32" ht="12" customHeight="1">
      <c r="A17" s="269" t="s">
        <v>29</v>
      </c>
      <c r="B17" s="566">
        <f>('C-60'!B17/'C-59'!B17)*1000</f>
        <v>147.66046798029555</v>
      </c>
      <c r="C17" s="567">
        <f>('C-60'!C17/'C-59'!C17)*1000</f>
        <v>148.31674920760699</v>
      </c>
      <c r="D17" s="567">
        <f>('C-60'!D17/'C-59'!D17)*1000</f>
        <v>152.24952500482718</v>
      </c>
      <c r="E17" s="567">
        <f>('C-60'!E17/'C-59'!E17)*1000</f>
        <v>148.89005870841493</v>
      </c>
      <c r="F17" s="567">
        <f>('C-60'!F17/'C-59'!F17)*1000</f>
        <v>148.59071761605517</v>
      </c>
      <c r="G17" s="567">
        <f>('C-60'!G17/'C-59'!G17)*1000</f>
        <v>149.86421328671329</v>
      </c>
      <c r="H17" s="567">
        <f>('C-60'!H17/'C-59'!H17)*1000</f>
        <v>148.83970588235289</v>
      </c>
      <c r="I17" s="567">
        <f>('C-60'!I17/'C-59'!I17)*1000</f>
        <v>146.4722804949912</v>
      </c>
      <c r="J17" s="567">
        <f>('C-60'!J17/'C-59'!J17)*1000</f>
        <v>145.61364406779663</v>
      </c>
      <c r="K17" s="567">
        <f>('C-60'!K17/'C-59'!K17)*1000</f>
        <v>146.07302931596095</v>
      </c>
      <c r="L17" s="567">
        <f>('C-60'!L17/'C-59'!L17)*1000</f>
        <v>145.23836611489776</v>
      </c>
      <c r="M17" s="567">
        <f>('C-60'!M17/'C-59'!M17)*1000</f>
        <v>145.40240202768572</v>
      </c>
      <c r="N17" s="567">
        <f>('C-60'!N17/'C-59'!N17)*1000</f>
        <v>146.53504710397769</v>
      </c>
      <c r="P17" s="269"/>
      <c r="Q17" s="276"/>
      <c r="R17" s="276"/>
      <c r="S17" s="215"/>
      <c r="T17" s="215"/>
      <c r="U17" s="215"/>
      <c r="V17" s="215"/>
      <c r="W17" s="215"/>
      <c r="X17" s="215"/>
      <c r="Y17" s="215"/>
      <c r="Z17" s="215"/>
      <c r="AA17" s="215"/>
      <c r="AB17" s="215"/>
      <c r="AC17" s="215"/>
      <c r="AD17" s="215"/>
      <c r="AE17" s="276"/>
      <c r="AF17" s="215"/>
    </row>
    <row r="18" spans="1:32" ht="12" customHeight="1">
      <c r="A18" s="217" t="s">
        <v>30</v>
      </c>
      <c r="B18" s="566">
        <f>('C-60'!B18/'C-59'!B18)*1000</f>
        <v>135.11103952023174</v>
      </c>
      <c r="C18" s="567">
        <f>('C-60'!C18/'C-59'!C18)*1000</f>
        <v>139.29412255802305</v>
      </c>
      <c r="D18" s="567">
        <f>('C-60'!D18/'C-59'!D18)*1000</f>
        <v>133.80677126341865</v>
      </c>
      <c r="E18" s="567">
        <f>('C-60'!E18/'C-59'!E18)*1000</f>
        <v>135.27678571428572</v>
      </c>
      <c r="F18" s="567">
        <f>('C-60'!F18/'C-59'!F18)*1000</f>
        <v>138.84185966264488</v>
      </c>
      <c r="G18" s="567">
        <f>('C-60'!G18/'C-59'!G18)*1000</f>
        <v>135.46377363395064</v>
      </c>
      <c r="H18" s="567">
        <f>('C-60'!H18/'C-59'!H18)*1000</f>
        <v>133.84300365119086</v>
      </c>
      <c r="I18" s="567">
        <f>('C-60'!I18/'C-59'!I18)*1000</f>
        <v>130.54061605996731</v>
      </c>
      <c r="J18" s="567">
        <f>('C-60'!J18/'C-59'!J18)*1000</f>
        <v>137.15745682179616</v>
      </c>
      <c r="K18" s="567">
        <f>('C-60'!K18/'C-59'!K18)*1000</f>
        <v>138.1352806300018</v>
      </c>
      <c r="L18" s="567">
        <f>('C-60'!L18/'C-59'!L18)*1000</f>
        <v>132.47686808510639</v>
      </c>
      <c r="M18" s="567">
        <f>('C-60'!M18/'C-59'!M18)*1000</f>
        <v>132.21374045801525</v>
      </c>
      <c r="N18" s="567">
        <f>('C-60'!N18/'C-59'!N18)*1000</f>
        <v>134.07883716906039</v>
      </c>
      <c r="P18" s="269"/>
      <c r="Q18" s="276"/>
      <c r="R18" s="276"/>
      <c r="S18" s="215"/>
      <c r="T18" s="215"/>
      <c r="U18" s="215"/>
      <c r="V18" s="215"/>
      <c r="W18" s="215"/>
      <c r="X18" s="215"/>
      <c r="Y18" s="215"/>
      <c r="Z18" s="215"/>
      <c r="AA18" s="215"/>
      <c r="AB18" s="215"/>
      <c r="AC18" s="215"/>
      <c r="AD18" s="215"/>
      <c r="AE18" s="276"/>
      <c r="AF18" s="215"/>
    </row>
    <row r="19" spans="1:32" ht="12" customHeight="1">
      <c r="A19" s="217" t="s">
        <v>31</v>
      </c>
      <c r="B19" s="566">
        <f>('C-60'!B19/'C-59'!B19)*1000</f>
        <v>190.41095651871242</v>
      </c>
      <c r="C19" s="567">
        <f>('C-60'!C19/'C-59'!C19)*1000</f>
        <v>191.52313493792207</v>
      </c>
      <c r="D19" s="567">
        <f>('C-60'!D19/'C-59'!D19)*1000</f>
        <v>191.1112220149254</v>
      </c>
      <c r="E19" s="567">
        <f>('C-60'!E19/'C-59'!E19)*1000</f>
        <v>192.85406620324395</v>
      </c>
      <c r="F19" s="567">
        <f>('C-60'!F19/'C-59'!F19)*1000</f>
        <v>192.36065955443993</v>
      </c>
      <c r="G19" s="567">
        <f>('C-60'!G19/'C-59'!G19)*1000</f>
        <v>187.39307463933937</v>
      </c>
      <c r="H19" s="567">
        <f>('C-60'!H19/'C-59'!H19)*1000</f>
        <v>189.06051724137933</v>
      </c>
      <c r="I19" s="567">
        <f>('C-60'!I19/'C-59'!I19)*1000</f>
        <v>187.8912642436149</v>
      </c>
      <c r="J19" s="567">
        <f>('C-60'!J19/'C-59'!J19)*1000</f>
        <v>192.40040870813397</v>
      </c>
      <c r="K19" s="567">
        <f>('C-60'!K19/'C-59'!K19)*1000</f>
        <v>193.2332718802345</v>
      </c>
      <c r="L19" s="567">
        <f>('C-60'!L19/'C-59'!L19)*1000</f>
        <v>189.02249515816658</v>
      </c>
      <c r="M19" s="567">
        <f>('C-60'!M19/'C-59'!M19)*1000</f>
        <v>192.1407805059022</v>
      </c>
      <c r="N19" s="567">
        <f>('C-60'!N19/'C-59'!N19)*1000</f>
        <v>186.61735952036386</v>
      </c>
      <c r="P19" s="269"/>
      <c r="Q19" s="276"/>
      <c r="R19" s="276"/>
      <c r="S19" s="215"/>
      <c r="T19" s="215"/>
      <c r="U19" s="215"/>
      <c r="V19" s="215"/>
      <c r="W19" s="215"/>
      <c r="X19" s="215"/>
      <c r="Y19" s="215"/>
      <c r="Z19" s="215"/>
      <c r="AA19" s="215"/>
      <c r="AB19" s="215"/>
      <c r="AC19" s="215"/>
      <c r="AD19" s="215"/>
      <c r="AE19" s="276"/>
      <c r="AF19" s="215"/>
    </row>
    <row r="20" spans="1:32" ht="12" customHeight="1">
      <c r="A20" s="269" t="s">
        <v>32</v>
      </c>
      <c r="B20" s="566">
        <f>('C-60'!B20/'C-59'!B20)*1000</f>
        <v>152.56246435135549</v>
      </c>
      <c r="C20" s="567">
        <f>('C-60'!C20/'C-59'!C20)*1000</f>
        <v>145.72535168195719</v>
      </c>
      <c r="D20" s="567">
        <f>('C-60'!D20/'C-59'!D20)*1000</f>
        <v>148.79141757156955</v>
      </c>
      <c r="E20" s="567">
        <f>('C-60'!E20/'C-59'!E20)*1000</f>
        <v>152.58511088709679</v>
      </c>
      <c r="F20" s="567">
        <f>('C-60'!F20/'C-59'!F20)*1000</f>
        <v>150.00358644859813</v>
      </c>
      <c r="G20" s="567">
        <f>('C-60'!G20/'C-59'!G20)*1000</f>
        <v>156.59729828519855</v>
      </c>
      <c r="H20" s="567">
        <f>('C-60'!H20/'C-59'!H20)*1000</f>
        <v>153.01592400690848</v>
      </c>
      <c r="I20" s="567">
        <f>('C-60'!I20/'C-59'!I20)*1000</f>
        <v>149.99644289405683</v>
      </c>
      <c r="J20" s="567">
        <f>('C-60'!J20/'C-59'!J20)*1000</f>
        <v>155.22811833785005</v>
      </c>
      <c r="K20" s="567">
        <f>('C-60'!K20/'C-59'!K20)*1000</f>
        <v>154.65782014196986</v>
      </c>
      <c r="L20" s="567">
        <f>('C-60'!L20/'C-59'!L20)*1000</f>
        <v>158.6992028343667</v>
      </c>
      <c r="M20" s="567">
        <f>('C-60'!M20/'C-59'!M20)*1000</f>
        <v>154.38947354260088</v>
      </c>
      <c r="N20" s="567">
        <f>('C-60'!N20/'C-59'!N20)*1000</f>
        <v>149.78071649954421</v>
      </c>
      <c r="P20" s="269"/>
      <c r="Q20" s="276"/>
      <c r="R20" s="276"/>
      <c r="S20" s="215"/>
      <c r="T20" s="215"/>
      <c r="U20" s="215"/>
      <c r="V20" s="215"/>
      <c r="W20" s="215"/>
      <c r="X20" s="215"/>
      <c r="Y20" s="215"/>
      <c r="Z20" s="215"/>
      <c r="AA20" s="215"/>
      <c r="AB20" s="215"/>
      <c r="AC20" s="215"/>
      <c r="AD20" s="215"/>
      <c r="AE20" s="276"/>
      <c r="AF20" s="215"/>
    </row>
    <row r="21" spans="1:32" ht="12" customHeight="1">
      <c r="A21" s="269" t="s">
        <v>33</v>
      </c>
      <c r="B21" s="566">
        <f>('C-60'!B21/'C-59'!B21)*1000</f>
        <v>153.87576065352997</v>
      </c>
      <c r="C21" s="567">
        <f>('C-60'!C21/'C-59'!C21)*1000</f>
        <v>162.97742787813422</v>
      </c>
      <c r="D21" s="567">
        <f>('C-60'!D21/'C-59'!D21)*1000</f>
        <v>163.41329134720709</v>
      </c>
      <c r="E21" s="567">
        <f>('C-60'!E21/'C-59'!E21)*1000</f>
        <v>164.82610886553496</v>
      </c>
      <c r="F21" s="567">
        <f>('C-60'!F21/'C-59'!F21)*1000</f>
        <v>144.60810315885851</v>
      </c>
      <c r="G21" s="567">
        <f>('C-60'!G21/'C-59'!G21)*1000</f>
        <v>136.97832433631589</v>
      </c>
      <c r="H21" s="567">
        <f>('C-60'!H21/'C-59'!H21)*1000</f>
        <v>146.53162657886125</v>
      </c>
      <c r="I21" s="567">
        <f>('C-60'!I21/'C-59'!I21)*1000</f>
        <v>136.91225378364274</v>
      </c>
      <c r="J21" s="567">
        <f>('C-60'!J21/'C-59'!J21)*1000</f>
        <v>149.62896798584299</v>
      </c>
      <c r="K21" s="567">
        <f>('C-60'!K21/'C-59'!K21)*1000</f>
        <v>152.52584003061614</v>
      </c>
      <c r="L21" s="567">
        <f>('C-60'!L21/'C-59'!L21)*1000</f>
        <v>167.31198924731183</v>
      </c>
      <c r="M21" s="567">
        <f>('C-60'!M21/'C-59'!M21)*1000</f>
        <v>163.95671436477178</v>
      </c>
      <c r="N21" s="567">
        <f>('C-60'!N21/'C-59'!N21)*1000</f>
        <v>162.6844976399191</v>
      </c>
      <c r="P21" s="269"/>
      <c r="Q21" s="276"/>
      <c r="R21" s="276"/>
      <c r="S21" s="215"/>
      <c r="T21" s="215"/>
      <c r="U21" s="215"/>
      <c r="V21" s="215"/>
      <c r="W21" s="215"/>
      <c r="X21" s="215"/>
      <c r="Y21" s="215"/>
      <c r="Z21" s="215"/>
      <c r="AA21" s="215"/>
      <c r="AB21" s="215"/>
      <c r="AC21" s="215"/>
      <c r="AD21" s="215"/>
      <c r="AE21" s="276"/>
      <c r="AF21" s="215"/>
    </row>
    <row r="22" spans="1:32" ht="12" customHeight="1">
      <c r="A22" s="269" t="s">
        <v>34</v>
      </c>
      <c r="B22" s="566">
        <f>('C-60'!B22/'C-59'!B22)*1000</f>
        <v>158.4621147138613</v>
      </c>
      <c r="C22" s="567">
        <f>('C-60'!C22/'C-59'!C22)*1000</f>
        <v>159.63182581755595</v>
      </c>
      <c r="D22" s="567">
        <f>('C-60'!D22/'C-59'!D22)*1000</f>
        <v>158.79761688963205</v>
      </c>
      <c r="E22" s="567">
        <f>('C-60'!E22/'C-59'!E22)*1000</f>
        <v>158.47772239614687</v>
      </c>
      <c r="F22" s="567">
        <f>('C-60'!F22/'C-59'!F22)*1000</f>
        <v>158.85466814891416</v>
      </c>
      <c r="G22" s="567">
        <f>('C-60'!G22/'C-59'!G22)*1000</f>
        <v>158.56744567243678</v>
      </c>
      <c r="H22" s="567">
        <f>('C-60'!H22/'C-59'!H22)*1000</f>
        <v>158.74080443786985</v>
      </c>
      <c r="I22" s="567">
        <f>('C-60'!I22/'C-59'!I22)*1000</f>
        <v>155.95657665952891</v>
      </c>
      <c r="J22" s="567">
        <f>('C-60'!J22/'C-59'!J22)*1000</f>
        <v>157.68314952424109</v>
      </c>
      <c r="K22" s="567">
        <f>('C-60'!K22/'C-59'!K22)*1000</f>
        <v>158.41064185236772</v>
      </c>
      <c r="L22" s="567">
        <f>('C-60'!L22/'C-59'!L22)*1000</f>
        <v>158.59185590230669</v>
      </c>
      <c r="M22" s="567">
        <f>('C-60'!M22/'C-59'!M22)*1000</f>
        <v>159.33152417763156</v>
      </c>
      <c r="N22" s="567">
        <f>('C-60'!N22/'C-59'!N22)*1000</f>
        <v>159.8240182879378</v>
      </c>
      <c r="P22" s="269"/>
      <c r="Q22" s="276"/>
      <c r="R22" s="276"/>
      <c r="S22" s="215"/>
      <c r="T22" s="215"/>
      <c r="U22" s="215"/>
      <c r="V22" s="215"/>
      <c r="W22" s="215"/>
      <c r="X22" s="215"/>
      <c r="Y22" s="215"/>
      <c r="Z22" s="215"/>
      <c r="AA22" s="215"/>
      <c r="AB22" s="215"/>
      <c r="AC22" s="215"/>
      <c r="AD22" s="215"/>
      <c r="AE22" s="276"/>
      <c r="AF22" s="215"/>
    </row>
    <row r="23" spans="1:32" ht="12" customHeight="1">
      <c r="A23" s="269" t="s">
        <v>35</v>
      </c>
      <c r="B23" s="566">
        <f>('C-60'!B23/'C-59'!B23)*1000</f>
        <v>130.42013520550563</v>
      </c>
      <c r="C23" s="567">
        <f>('C-60'!C23/'C-59'!C23)*1000</f>
        <v>130.84790807307013</v>
      </c>
      <c r="D23" s="567">
        <f>('C-60'!D23/'C-59'!D23)*1000</f>
        <v>128.9232745990893</v>
      </c>
      <c r="E23" s="567">
        <f>('C-60'!E23/'C-59'!E23)*1000</f>
        <v>131.02950980392154</v>
      </c>
      <c r="F23" s="567">
        <f>('C-60'!F23/'C-59'!F23)*1000</f>
        <v>131.9395490042952</v>
      </c>
      <c r="G23" s="567">
        <f>('C-60'!G23/'C-59'!G23)*1000</f>
        <v>132.10379387760787</v>
      </c>
      <c r="H23" s="567">
        <f>('C-60'!H23/'C-59'!H23)*1000</f>
        <v>130.5598949752883</v>
      </c>
      <c r="I23" s="567">
        <f>('C-60'!I23/'C-59'!I23)*1000</f>
        <v>130.69758045292014</v>
      </c>
      <c r="J23" s="567">
        <f>('C-60'!J23/'C-59'!J23)*1000</f>
        <v>130.98468045112782</v>
      </c>
      <c r="K23" s="567">
        <f>('C-60'!K23/'C-59'!K23)*1000</f>
        <v>129.96796191247975</v>
      </c>
      <c r="L23" s="567">
        <f>('C-60'!L23/'C-59'!L23)*1000</f>
        <v>130.39948497854078</v>
      </c>
      <c r="M23" s="567">
        <f>('C-60'!M23/'C-59'!M23)*1000</f>
        <v>130.26060012247399</v>
      </c>
      <c r="N23" s="567">
        <f>('C-60'!N23/'C-59'!N23)*1000</f>
        <v>127.74219303611819</v>
      </c>
      <c r="P23" s="269"/>
      <c r="Q23" s="276"/>
      <c r="R23" s="276"/>
      <c r="S23" s="215"/>
      <c r="T23" s="215"/>
      <c r="U23" s="215"/>
      <c r="V23" s="215"/>
      <c r="W23" s="215"/>
      <c r="X23" s="215"/>
      <c r="Y23" s="215"/>
      <c r="Z23" s="215"/>
      <c r="AA23" s="215"/>
      <c r="AB23" s="215"/>
      <c r="AC23" s="215"/>
      <c r="AD23" s="215"/>
      <c r="AE23" s="276"/>
      <c r="AF23" s="215"/>
    </row>
    <row r="24" spans="1:32" ht="12" customHeight="1">
      <c r="A24" s="269" t="s">
        <v>36</v>
      </c>
      <c r="B24" s="566">
        <f>('C-60'!B24/'C-59'!B24)*1000</f>
        <v>117.58387792876125</v>
      </c>
      <c r="C24" s="567">
        <f>('C-60'!C24/'C-59'!C24)*1000</f>
        <v>116.56670537444937</v>
      </c>
      <c r="D24" s="567">
        <f>('C-60'!D24/'C-59'!D24)*1000</f>
        <v>132.83068508137436</v>
      </c>
      <c r="E24" s="567">
        <f>('C-60'!E24/'C-59'!E24)*1000</f>
        <v>114.52607379491674</v>
      </c>
      <c r="F24" s="567">
        <f>('C-60'!F24/'C-59'!F24)*1000</f>
        <v>116.72099345718904</v>
      </c>
      <c r="G24" s="567">
        <f>('C-60'!G24/'C-59'!G24)*1000</f>
        <v>116.85693488632134</v>
      </c>
      <c r="H24" s="567">
        <f>('C-60'!H24/'C-59'!H24)*1000</f>
        <v>116.29680631349787</v>
      </c>
      <c r="I24" s="567">
        <f>('C-60'!I24/'C-59'!I24)*1000</f>
        <v>116.70336380316937</v>
      </c>
      <c r="J24" s="567">
        <f>('C-60'!J24/'C-59'!J24)*1000</f>
        <v>117.21360037862856</v>
      </c>
      <c r="K24" s="567">
        <f>('C-60'!K24/'C-59'!K24)*1000</f>
        <v>116.32870686433792</v>
      </c>
      <c r="L24" s="567">
        <f>('C-60'!L24/'C-59'!L24)*1000</f>
        <v>116.43727557870372</v>
      </c>
      <c r="M24" s="567">
        <f>('C-60'!M24/'C-59'!M24)*1000</f>
        <v>115.91647562130171</v>
      </c>
      <c r="N24" s="567">
        <f>('C-60'!N24/'C-59'!N24)*1000</f>
        <v>116.27276361607143</v>
      </c>
      <c r="P24" s="269"/>
      <c r="Q24" s="276"/>
      <c r="R24" s="276"/>
      <c r="S24" s="215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  <c r="AE24" s="276"/>
      <c r="AF24" s="215"/>
    </row>
    <row r="25" spans="1:32" ht="12" customHeight="1">
      <c r="A25" s="217" t="s">
        <v>37</v>
      </c>
      <c r="B25" s="566">
        <f>('C-60'!B25/'C-59'!B25)*1000</f>
        <v>156.43121723273308</v>
      </c>
      <c r="C25" s="567">
        <f>('C-60'!C25/'C-59'!C25)*1000</f>
        <v>155.16582278481013</v>
      </c>
      <c r="D25" s="567">
        <f>('C-60'!D25/'C-59'!D25)*1000</f>
        <v>163.09578544061304</v>
      </c>
      <c r="E25" s="567">
        <f>('C-60'!E25/'C-59'!E25)*1000</f>
        <v>160.4238941135493</v>
      </c>
      <c r="F25" s="567">
        <f>('C-60'!F25/'C-59'!F25)*1000</f>
        <v>152.9363057324841</v>
      </c>
      <c r="G25" s="567">
        <f>('C-60'!G25/'C-59'!G25)*1000</f>
        <v>156.7652925531915</v>
      </c>
      <c r="H25" s="567">
        <f>('C-60'!H25/'C-59'!H25)*1000</f>
        <v>153.71428571428572</v>
      </c>
      <c r="I25" s="567">
        <f>('C-60'!I25/'C-59'!I25)*1000</f>
        <v>152.96099843993761</v>
      </c>
      <c r="J25" s="567">
        <f>('C-60'!J25/'C-59'!J25)*1000</f>
        <v>160.87366548042706</v>
      </c>
      <c r="K25" s="567">
        <f>('C-60'!K25/'C-59'!K25)*1000</f>
        <v>158.61324041811847</v>
      </c>
      <c r="L25" s="567">
        <f>('C-60'!L25/'C-59'!L25)*1000</f>
        <v>156.06773049645389</v>
      </c>
      <c r="M25" s="567">
        <f>('C-60'!M25/'C-59'!M25)*1000</f>
        <v>150.50967048710604</v>
      </c>
      <c r="N25" s="567">
        <f>('C-60'!N25/'C-59'!N25)*1000</f>
        <v>157.68131868131869</v>
      </c>
      <c r="P25" s="269"/>
      <c r="Q25" s="276"/>
      <c r="R25" s="276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  <c r="AE25" s="276"/>
      <c r="AF25" s="215"/>
    </row>
    <row r="26" spans="1:32" ht="12" customHeight="1">
      <c r="A26" s="269" t="s">
        <v>38</v>
      </c>
      <c r="B26" s="566">
        <f>('C-60'!B26/'C-59'!B26)*1000</f>
        <v>214.19517024320461</v>
      </c>
      <c r="C26" s="567">
        <f>('C-60'!C26/'C-59'!C26)*1000</f>
        <v>221.63202247191012</v>
      </c>
      <c r="D26" s="567">
        <f>('C-60'!D26/'C-59'!D26)*1000</f>
        <v>212.31162079510705</v>
      </c>
      <c r="E26" s="567">
        <f>('C-60'!E26/'C-59'!E26)*1000</f>
        <v>219.46827794561935</v>
      </c>
      <c r="F26" s="567">
        <f>('C-60'!F26/'C-59'!F26)*1000</f>
        <v>223.08823529411765</v>
      </c>
      <c r="G26" s="567">
        <f>('C-60'!G26/'C-59'!G26)*1000</f>
        <v>210.0993377483444</v>
      </c>
      <c r="H26" s="567">
        <f>('C-60'!H26/'C-59'!H26)*1000</f>
        <v>207.13716894977168</v>
      </c>
      <c r="I26" s="567">
        <f>('C-60'!I26/'C-59'!I26)*1000</f>
        <v>211.42048192771085</v>
      </c>
      <c r="J26" s="567">
        <f>('C-60'!J26/'C-59'!J26)*1000</f>
        <v>207.33818181818182</v>
      </c>
      <c r="K26" s="567">
        <f>('C-60'!K26/'C-59'!K26)*1000</f>
        <v>203.61484162895931</v>
      </c>
      <c r="L26" s="567">
        <f>('C-60'!L26/'C-59'!L26)*1000</f>
        <v>202.14563106796115</v>
      </c>
      <c r="M26" s="567">
        <f>('C-60'!M26/'C-59'!M26)*1000</f>
        <v>208.96632450331126</v>
      </c>
      <c r="N26" s="567">
        <f>('C-60'!N26/'C-59'!N26)*1000</f>
        <v>225.52469586374696</v>
      </c>
      <c r="P26" s="269"/>
      <c r="Q26" s="276"/>
      <c r="R26" s="276"/>
      <c r="S26" s="215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  <c r="AD26" s="215"/>
      <c r="AE26" s="276"/>
      <c r="AF26" s="215"/>
    </row>
    <row r="27" spans="1:32" ht="12" customHeight="1">
      <c r="A27" s="269" t="s">
        <v>39</v>
      </c>
      <c r="B27" s="566">
        <f>('C-60'!B27/'C-59'!B27)*1000</f>
        <v>192.68285714285716</v>
      </c>
      <c r="C27" s="567">
        <f>('C-60'!C27/'C-59'!C27)*1000</f>
        <v>191.35835694050991</v>
      </c>
      <c r="D27" s="567">
        <f>('C-60'!D27/'C-59'!D27)*1000</f>
        <v>194.01857142857139</v>
      </c>
      <c r="E27" s="567">
        <f>('C-60'!E27/'C-59'!E27)*1000</f>
        <v>192.35954198473286</v>
      </c>
      <c r="F27" s="567">
        <f>('C-60'!F27/'C-59'!F27)*1000</f>
        <v>191.25000000000003</v>
      </c>
      <c r="G27" s="567">
        <f>('C-60'!G27/'C-59'!G27)*1000</f>
        <v>193.4401459854015</v>
      </c>
      <c r="H27" s="567">
        <f>('C-60'!H27/'C-59'!H27)*1000</f>
        <v>194.80799999999999</v>
      </c>
      <c r="I27" s="567">
        <f>('C-60'!I27/'C-59'!I27)*1000</f>
        <v>193.67103448275861</v>
      </c>
      <c r="J27" s="567">
        <f>('C-60'!J27/'C-59'!J27)*1000</f>
        <v>190.43591549295772</v>
      </c>
      <c r="K27" s="567">
        <f>('C-60'!K27/'C-59'!K27)*1000</f>
        <v>193.78827586206896</v>
      </c>
      <c r="L27" s="567">
        <f>('C-60'!L27/'C-59'!L27)*1000</f>
        <v>193.46161137440762</v>
      </c>
      <c r="M27" s="567">
        <f>('C-60'!M27/'C-59'!M27)*1000</f>
        <v>191.20363636363638</v>
      </c>
      <c r="N27" s="567">
        <f>('C-60'!N27/'C-59'!N27)*1000</f>
        <v>192.17727272727276</v>
      </c>
      <c r="P27" s="269"/>
      <c r="Q27" s="276"/>
      <c r="R27" s="276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76"/>
      <c r="AF27" s="215"/>
    </row>
    <row r="28" spans="1:32" ht="12" customHeight="1">
      <c r="A28" s="269" t="s">
        <v>40</v>
      </c>
      <c r="B28" s="566">
        <f>('C-60'!B28/'C-59'!B28)*1000</f>
        <v>126.18850244429578</v>
      </c>
      <c r="C28" s="567">
        <f>('C-60'!C28/'C-59'!C28)*1000</f>
        <v>122.0532810327706</v>
      </c>
      <c r="D28" s="567">
        <f>('C-60'!D28/'C-59'!D28)*1000</f>
        <v>123.25636022253131</v>
      </c>
      <c r="E28" s="567">
        <f>('C-60'!E28/'C-59'!E28)*1000</f>
        <v>124.01546039268788</v>
      </c>
      <c r="F28" s="567">
        <f>('C-60'!F28/'C-59'!F28)*1000</f>
        <v>124.85959234095121</v>
      </c>
      <c r="G28" s="567">
        <f>('C-60'!G28/'C-59'!G28)*1000</f>
        <v>129.55796086956522</v>
      </c>
      <c r="H28" s="567">
        <f>('C-60'!H28/'C-59'!H28)*1000</f>
        <v>128.52127420362274</v>
      </c>
      <c r="I28" s="567">
        <f>('C-60'!I28/'C-59'!I28)*1000</f>
        <v>126.71159043772515</v>
      </c>
      <c r="J28" s="567">
        <f>('C-60'!J28/'C-59'!J28)*1000</f>
        <v>121.31515166221791</v>
      </c>
      <c r="K28" s="567">
        <f>('C-60'!K28/'C-59'!K28)*1000</f>
        <v>121.25728031634446</v>
      </c>
      <c r="L28" s="567">
        <f>('C-60'!L28/'C-59'!L28)*1000</f>
        <v>122.63270694162068</v>
      </c>
      <c r="M28" s="567">
        <f>('C-60'!M28/'C-59'!M28)*1000</f>
        <v>148.50296149645004</v>
      </c>
      <c r="N28" s="567">
        <f>('C-60'!N28/'C-59'!N28)*1000</f>
        <v>120.78765712405396</v>
      </c>
      <c r="P28" s="269"/>
      <c r="Q28" s="276"/>
      <c r="R28" s="276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5"/>
      <c r="AE28" s="276"/>
      <c r="AF28" s="215"/>
    </row>
    <row r="29" spans="1:32" ht="12" customHeight="1">
      <c r="A29" s="269" t="s">
        <v>41</v>
      </c>
      <c r="B29" s="566">
        <f>('C-60'!B29/'C-59'!B29)*1000</f>
        <v>109.88725997740963</v>
      </c>
      <c r="C29" s="567">
        <f>('C-60'!C29/'C-59'!C29)*1000</f>
        <v>108</v>
      </c>
      <c r="D29" s="567">
        <f>('C-60'!D29/'C-59'!D29)*1000</f>
        <v>113.20456540825286</v>
      </c>
      <c r="E29" s="567">
        <f>('C-60'!E29/'C-59'!E29)*1000</f>
        <v>109.48256624825663</v>
      </c>
      <c r="F29" s="567">
        <f>('C-60'!F29/'C-59'!F29)*1000</f>
        <v>109.36134453781511</v>
      </c>
      <c r="G29" s="567">
        <f>('C-60'!G29/'C-59'!G29)*1000</f>
        <v>108.40808416389812</v>
      </c>
      <c r="H29" s="567">
        <f>('C-60'!H29/'C-59'!H29)*1000</f>
        <v>108.60184667039732</v>
      </c>
      <c r="I29" s="567">
        <f>('C-60'!I29/'C-59'!I29)*1000</f>
        <v>108.98847991008711</v>
      </c>
      <c r="J29" s="567">
        <f>('C-60'!J29/'C-59'!J29)*1000</f>
        <v>107.10468319559227</v>
      </c>
      <c r="K29" s="567">
        <f>('C-60'!K29/'C-59'!K29)*1000</f>
        <v>107.92576053586379</v>
      </c>
      <c r="L29" s="567">
        <f>('C-60'!L29/'C-59'!L29)*1000</f>
        <v>113.06637681159421</v>
      </c>
      <c r="M29" s="567">
        <f>('C-60'!M29/'C-59'!M29)*1000</f>
        <v>111.36661911554921</v>
      </c>
      <c r="N29" s="567">
        <f>('C-60'!N29/'C-59'!N29)*1000</f>
        <v>113.6687188507769</v>
      </c>
      <c r="P29" s="269"/>
      <c r="Q29" s="276"/>
      <c r="R29" s="276"/>
      <c r="S29" s="215"/>
      <c r="T29" s="215"/>
      <c r="U29" s="215"/>
      <c r="V29" s="215"/>
      <c r="W29" s="215"/>
      <c r="X29" s="215"/>
      <c r="Y29" s="215"/>
      <c r="Z29" s="215"/>
      <c r="AA29" s="215"/>
      <c r="AB29" s="215"/>
      <c r="AC29" s="215"/>
      <c r="AD29" s="215"/>
      <c r="AE29" s="276"/>
      <c r="AF29" s="215"/>
    </row>
    <row r="30" spans="1:32" ht="12" customHeight="1">
      <c r="A30" s="271" t="s">
        <v>111</v>
      </c>
      <c r="B30" s="566">
        <f>('C-60'!B30/'C-59'!B30)*1000</f>
        <v>113.1497731418682</v>
      </c>
      <c r="C30" s="567">
        <f>('C-60'!C30/'C-59'!C30)*1000</f>
        <v>111.73295454545455</v>
      </c>
      <c r="D30" s="567">
        <f>('C-60'!D30/'C-59'!D30)*1000</f>
        <v>115.62209302325583</v>
      </c>
      <c r="E30" s="567">
        <f>('C-60'!E30/'C-59'!E30)*1000</f>
        <v>110.02173913043478</v>
      </c>
      <c r="F30" s="567">
        <f>('C-60'!F30/'C-59'!F30)*1000</f>
        <v>110.08196721311475</v>
      </c>
      <c r="G30" s="567">
        <f>('C-60'!G30/'C-59'!G30)*1000</f>
        <v>108.96756756756757</v>
      </c>
      <c r="H30" s="567">
        <f>('C-60'!H30/'C-59'!H30)*1000</f>
        <v>112.11564245810055</v>
      </c>
      <c r="I30" s="567">
        <f>('C-60'!I30/'C-59'!I30)*1000</f>
        <v>111.97331851028349</v>
      </c>
      <c r="J30" s="567">
        <f>('C-60'!J30/'C-59'!J30)*1000</f>
        <v>110.26746724890829</v>
      </c>
      <c r="K30" s="567">
        <f>('C-60'!K30/'C-59'!K30)*1000</f>
        <v>111.91323692992214</v>
      </c>
      <c r="L30" s="567">
        <f>('C-60'!L30/'C-59'!L30)*1000</f>
        <v>118.9139534883721</v>
      </c>
      <c r="M30" s="567">
        <f>('C-60'!M30/'C-59'!M30)*1000</f>
        <v>116.9542857142857</v>
      </c>
      <c r="N30" s="567">
        <f>('C-60'!N30/'C-59'!N30)*1000</f>
        <v>120.39644970414201</v>
      </c>
      <c r="P30" s="269"/>
      <c r="Q30" s="276"/>
      <c r="R30" s="276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/>
      <c r="AE30" s="276"/>
      <c r="AF30" s="215"/>
    </row>
    <row r="31" spans="1:32" ht="12" customHeight="1">
      <c r="A31" s="271" t="s">
        <v>112</v>
      </c>
      <c r="B31" s="566">
        <f>('C-60'!B31/'C-59'!B31)*1000</f>
        <v>106.58426859875929</v>
      </c>
      <c r="C31" s="567">
        <f>('C-60'!C31/'C-59'!C31)*1000</f>
        <v>104.42934782608695</v>
      </c>
      <c r="D31" s="567">
        <f>('C-60'!D31/'C-59'!D31)*1000</f>
        <v>110.75427224513848</v>
      </c>
      <c r="E31" s="567">
        <f>('C-60'!E31/'C-59'!E31)*1000</f>
        <v>108.91404011461319</v>
      </c>
      <c r="F31" s="567">
        <f>('C-60'!F31/'C-59'!F31)*1000</f>
        <v>108.60344827586208</v>
      </c>
      <c r="G31" s="567">
        <f>('C-60'!G31/'C-59'!G31)*1000</f>
        <v>107.82065834279229</v>
      </c>
      <c r="H31" s="567">
        <f>('C-60'!H31/'C-59'!H31)*1000</f>
        <v>105.07623318385649</v>
      </c>
      <c r="I31" s="567">
        <f>('C-60'!I31/'C-59'!I31)*1000</f>
        <v>105.93749999999999</v>
      </c>
      <c r="J31" s="567">
        <f>('C-60'!J31/'C-59'!J31)*1000</f>
        <v>103.88209121245828</v>
      </c>
      <c r="K31" s="567">
        <f>('C-60'!K31/'C-59'!K31)*1000</f>
        <v>103.90924369747898</v>
      </c>
      <c r="L31" s="567">
        <f>('C-60'!L31/'C-59'!L31)*1000</f>
        <v>107.25260115606937</v>
      </c>
      <c r="M31" s="567">
        <f>('C-60'!M31/'C-59'!M31)*1000</f>
        <v>105.7948717948718</v>
      </c>
      <c r="N31" s="567">
        <f>('C-60'!N31/'C-59'!N31)*1000</f>
        <v>107.06217315514236</v>
      </c>
      <c r="P31" s="269"/>
      <c r="Q31" s="276"/>
      <c r="R31" s="276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  <c r="AD31" s="215"/>
      <c r="AE31" s="276"/>
      <c r="AF31" s="215"/>
    </row>
    <row r="32" spans="1:32" ht="12" customHeight="1">
      <c r="A32" s="269" t="s">
        <v>44</v>
      </c>
      <c r="B32" s="566">
        <f>('C-60'!B32/'C-59'!B32)*1000</f>
        <v>148.83833125573619</v>
      </c>
      <c r="C32" s="567">
        <f>('C-60'!C32/'C-59'!C32)*1000</f>
        <v>143.44947827701449</v>
      </c>
      <c r="D32" s="567">
        <f>('C-60'!D32/'C-59'!D32)*1000</f>
        <v>145.68540862855141</v>
      </c>
      <c r="E32" s="567">
        <f>('C-60'!E32/'C-59'!E32)*1000</f>
        <v>148.56051672739315</v>
      </c>
      <c r="F32" s="567">
        <f>('C-60'!F32/'C-59'!F32)*1000</f>
        <v>151.79645080946452</v>
      </c>
      <c r="G32" s="567">
        <f>('C-60'!G32/'C-59'!G32)*1000</f>
        <v>153.52698741672842</v>
      </c>
      <c r="H32" s="567">
        <f>('C-60'!H32/'C-59'!H32)*1000</f>
        <v>154.1900238028563</v>
      </c>
      <c r="I32" s="567">
        <f>('C-60'!I32/'C-59'!I32)*1000</f>
        <v>153.04001681378722</v>
      </c>
      <c r="J32" s="567">
        <f>('C-60'!J32/'C-59'!J32)*1000</f>
        <v>149.93050593004051</v>
      </c>
      <c r="K32" s="567">
        <f>('C-60'!K32/'C-59'!K32)*1000</f>
        <v>147.15978638847494</v>
      </c>
      <c r="L32" s="567">
        <f>('C-60'!L32/'C-59'!L32)*1000</f>
        <v>145.47405155200585</v>
      </c>
      <c r="M32" s="567">
        <f>('C-60'!M32/'C-59'!M32)*1000</f>
        <v>143.57191899331499</v>
      </c>
      <c r="N32" s="567">
        <f>('C-60'!N32/'C-59'!N32)*1000</f>
        <v>144.53850058570873</v>
      </c>
      <c r="P32" s="269"/>
      <c r="Q32" s="276"/>
      <c r="R32" s="276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76"/>
      <c r="AF32" s="215"/>
    </row>
    <row r="33" spans="1:32" ht="12" customHeight="1">
      <c r="A33" s="269" t="s">
        <v>45</v>
      </c>
      <c r="B33" s="566">
        <f>('C-60'!B33/'C-59'!B33)*1000</f>
        <v>143.66384352579433</v>
      </c>
      <c r="C33" s="567">
        <f>('C-60'!C33/'C-59'!C33)*1000</f>
        <v>141.85929347826084</v>
      </c>
      <c r="D33" s="567">
        <f>('C-60'!D33/'C-59'!D33)*1000</f>
        <v>143.04365482233501</v>
      </c>
      <c r="E33" s="567">
        <f>('C-60'!E33/'C-59'!E33)*1000</f>
        <v>143.42393162393162</v>
      </c>
      <c r="F33" s="567">
        <f>('C-60'!F33/'C-59'!F33)*1000</f>
        <v>145.59318826868497</v>
      </c>
      <c r="G33" s="567">
        <f>('C-60'!G33/'C-59'!G33)*1000</f>
        <v>146.194086190626</v>
      </c>
      <c r="H33" s="567">
        <f>('C-60'!H33/'C-59'!H33)*1000</f>
        <v>145.80606443461784</v>
      </c>
      <c r="I33" s="567">
        <f>('C-60'!I33/'C-59'!I33)*1000</f>
        <v>144.52077464788729</v>
      </c>
      <c r="J33" s="567">
        <f>('C-60'!J33/'C-59'!J33)*1000</f>
        <v>143.92918961447677</v>
      </c>
      <c r="K33" s="567">
        <f>('C-60'!K33/'C-59'!K33)*1000</f>
        <v>141.58733031674208</v>
      </c>
      <c r="L33" s="567">
        <f>('C-60'!L33/'C-59'!L33)*1000</f>
        <v>141.26192893401017</v>
      </c>
      <c r="M33" s="567">
        <f>('C-60'!M33/'C-59'!M33)*1000</f>
        <v>141.01616161616161</v>
      </c>
      <c r="N33" s="567">
        <f>('C-60'!N33/'C-59'!N33)*1000</f>
        <v>141.37801608579088</v>
      </c>
      <c r="P33" s="269"/>
      <c r="Q33" s="276"/>
      <c r="R33" s="276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15"/>
      <c r="AD33" s="215"/>
      <c r="AE33" s="276"/>
      <c r="AF33" s="215"/>
    </row>
    <row r="34" spans="1:32" ht="12" customHeight="1">
      <c r="A34" s="217" t="s">
        <v>46</v>
      </c>
      <c r="B34" s="566">
        <f>('C-60'!B34/'C-59'!B34)*1000</f>
        <v>110.33649278481458</v>
      </c>
      <c r="C34" s="567">
        <f>('C-60'!C34/'C-59'!C34)*1000</f>
        <v>107.07712538226302</v>
      </c>
      <c r="D34" s="567">
        <f>('C-60'!D34/'C-59'!D34)*1000</f>
        <v>107.91071367884452</v>
      </c>
      <c r="E34" s="567">
        <f>('C-60'!E34/'C-59'!E34)*1000</f>
        <v>108.72712717882506</v>
      </c>
      <c r="F34" s="567">
        <f>('C-60'!F34/'C-59'!F34)*1000</f>
        <v>110.41200384533217</v>
      </c>
      <c r="G34" s="567">
        <f>('C-60'!G34/'C-59'!G34)*1000</f>
        <v>109.12942446043166</v>
      </c>
      <c r="H34" s="567">
        <f>('C-60'!H34/'C-59'!H34)*1000</f>
        <v>110.91092647937835</v>
      </c>
      <c r="I34" s="567">
        <f>('C-60'!I34/'C-59'!I34)*1000</f>
        <v>109.7914798021434</v>
      </c>
      <c r="J34" s="567">
        <f>('C-60'!J34/'C-59'!J34)*1000</f>
        <v>108.44276223776225</v>
      </c>
      <c r="K34" s="567">
        <f>('C-60'!K34/'C-59'!K34)*1000</f>
        <v>106.20606107545915</v>
      </c>
      <c r="L34" s="567">
        <f>('C-60'!L34/'C-59'!L34)*1000</f>
        <v>110.14146045918372</v>
      </c>
      <c r="M34" s="567">
        <f>('C-60'!M34/'C-59'!M34)*1000</f>
        <v>116.38031880286272</v>
      </c>
      <c r="N34" s="567">
        <f>('C-60'!N34/'C-59'!N34)*1000</f>
        <v>118.85895525538204</v>
      </c>
      <c r="P34" s="269"/>
      <c r="Q34" s="276"/>
      <c r="R34" s="276"/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  <c r="AD34" s="215"/>
      <c r="AE34" s="276"/>
      <c r="AF34" s="215"/>
    </row>
    <row r="35" spans="1:32" ht="12" customHeight="1">
      <c r="A35" s="217" t="s">
        <v>47</v>
      </c>
      <c r="B35" s="566">
        <f>('C-60'!B35/'C-59'!B35)*1000</f>
        <v>117.15945701357465</v>
      </c>
      <c r="C35" s="567">
        <f>('C-60'!C35/'C-59'!C35)*1000</f>
        <v>112.02634534786255</v>
      </c>
      <c r="D35" s="567">
        <f>('C-60'!D35/'C-59'!D35)*1000</f>
        <v>119.42236795774647</v>
      </c>
      <c r="E35" s="567">
        <f>('C-60'!E35/'C-59'!E35)*1000</f>
        <v>116.50608455882356</v>
      </c>
      <c r="F35" s="567">
        <f>('C-60'!F35/'C-59'!F35)*1000</f>
        <v>115.27010126582277</v>
      </c>
      <c r="G35" s="567">
        <f>('C-60'!G35/'C-59'!G35)*1000</f>
        <v>136.379438727783</v>
      </c>
      <c r="H35" s="567">
        <f>('C-60'!H35/'C-59'!H35)*1000</f>
        <v>111.15268141592918</v>
      </c>
      <c r="I35" s="567">
        <f>('C-60'!I35/'C-59'!I35)*1000</f>
        <v>118.40990072202166</v>
      </c>
      <c r="J35" s="567">
        <f>('C-60'!J35/'C-59'!J35)*1000</f>
        <v>120.45787456445993</v>
      </c>
      <c r="K35" s="567">
        <f>('C-60'!K35/'C-59'!K35)*1000</f>
        <v>120.86651245551602</v>
      </c>
      <c r="L35" s="567">
        <f>('C-60'!L35/'C-59'!L35)*1000</f>
        <v>102.26899777282851</v>
      </c>
      <c r="M35" s="567">
        <f>('C-60'!M35/'C-59'!M35)*1000</f>
        <v>110.72243130724398</v>
      </c>
      <c r="N35" s="567">
        <f>('C-60'!N35/'C-59'!N35)*1000</f>
        <v>126.53458123953098</v>
      </c>
      <c r="P35" s="269"/>
      <c r="Q35" s="276"/>
      <c r="R35" s="276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  <c r="AD35" s="215"/>
      <c r="AE35" s="276"/>
      <c r="AF35" s="215"/>
    </row>
    <row r="36" spans="1:32" ht="12" customHeight="1">
      <c r="A36" s="217" t="s">
        <v>48</v>
      </c>
      <c r="B36" s="566">
        <f>('C-60'!B36/'C-59'!B36)*1000</f>
        <v>128.19989589925328</v>
      </c>
      <c r="C36" s="567">
        <f>('C-60'!C36/'C-59'!C36)*1000</f>
        <v>132.44877016129033</v>
      </c>
      <c r="D36" s="567">
        <f>('C-60'!D36/'C-59'!D36)*1000</f>
        <v>130.24897330595485</v>
      </c>
      <c r="E36" s="567">
        <f>('C-60'!E36/'C-59'!E36)*1000</f>
        <v>130.07286995515696</v>
      </c>
      <c r="F36" s="567">
        <f>('C-60'!F36/'C-59'!F36)*1000</f>
        <v>128.88833333333332</v>
      </c>
      <c r="G36" s="567">
        <f>('C-60'!G36/'C-59'!G36)*1000</f>
        <v>128.22444162436551</v>
      </c>
      <c r="H36" s="567">
        <f>('C-60'!H36/'C-59'!H36)*1000</f>
        <v>129.92191780821918</v>
      </c>
      <c r="I36" s="567">
        <f>('C-60'!I36/'C-59'!I36)*1000</f>
        <v>128.91107870370371</v>
      </c>
      <c r="J36" s="567">
        <f>('C-60'!J36/'C-59'!J36)*1000</f>
        <v>128.22997358490565</v>
      </c>
      <c r="K36" s="567">
        <f>('C-60'!K36/'C-59'!K36)*1000</f>
        <v>128.10004161162485</v>
      </c>
      <c r="L36" s="567">
        <f>('C-60'!L36/'C-59'!L36)*1000</f>
        <v>132.17051016393441</v>
      </c>
      <c r="M36" s="567">
        <f>('C-60'!M36/'C-59'!M36)*1000</f>
        <v>120.57520419161678</v>
      </c>
      <c r="N36" s="567">
        <f>('C-60'!N36/'C-59'!N36)*1000</f>
        <v>124.99491594202898</v>
      </c>
      <c r="P36" s="269"/>
      <c r="Q36" s="276"/>
      <c r="R36" s="276"/>
      <c r="S36" s="215"/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5"/>
      <c r="AE36" s="276"/>
      <c r="AF36" s="215"/>
    </row>
    <row r="37" spans="1:32" ht="12" customHeight="1" thickBot="1">
      <c r="A37" s="272" t="s">
        <v>49</v>
      </c>
      <c r="B37" s="568">
        <f>('C-60'!B37/'C-59'!B37)*1000</f>
        <v>161.95209126458749</v>
      </c>
      <c r="C37" s="569">
        <f>('C-60'!C37/'C-59'!C37)*1000</f>
        <v>167.70635595238096</v>
      </c>
      <c r="D37" s="569">
        <f>('C-60'!D37/'C-59'!D37)*1000</f>
        <v>161.88656950998185</v>
      </c>
      <c r="E37" s="569">
        <f>('C-60'!E37/'C-59'!E37)*1000</f>
        <v>164.31217328042325</v>
      </c>
      <c r="F37" s="569">
        <f>('C-60'!F37/'C-59'!F37)*1000</f>
        <v>154.71177109440268</v>
      </c>
      <c r="G37" s="569">
        <f>('C-60'!G37/'C-59'!G37)*1000</f>
        <v>162.58283959218349</v>
      </c>
      <c r="H37" s="569">
        <f>('C-60'!H37/'C-59'!H37)*1000</f>
        <v>159.82287409594096</v>
      </c>
      <c r="I37" s="569">
        <f>('C-60'!I37/'C-59'!I37)*1000</f>
        <v>162.66469629903773</v>
      </c>
      <c r="J37" s="569">
        <f>('C-60'!J37/'C-59'!J37)*1000</f>
        <v>162.0879111580727</v>
      </c>
      <c r="K37" s="569">
        <f>('C-60'!K37/'C-59'!K37)*1000</f>
        <v>163.7056134511914</v>
      </c>
      <c r="L37" s="569">
        <f>('C-60'!L37/'C-59'!L37)*1000</f>
        <v>160.4541752191235</v>
      </c>
      <c r="M37" s="569">
        <f>('C-60'!M37/'C-59'!M37)*1000</f>
        <v>157.47826326530611</v>
      </c>
      <c r="N37" s="569">
        <f>('C-60'!N37/'C-59'!N37)*1000</f>
        <v>165.64491725846412</v>
      </c>
      <c r="P37" s="269"/>
      <c r="Q37" s="276"/>
      <c r="R37" s="276"/>
      <c r="S37" s="215"/>
      <c r="T37" s="215"/>
      <c r="U37" s="215"/>
      <c r="V37" s="215"/>
      <c r="W37" s="215"/>
      <c r="X37" s="215"/>
      <c r="Y37" s="215"/>
      <c r="Z37" s="215"/>
      <c r="AA37" s="215"/>
      <c r="AB37" s="215"/>
      <c r="AC37" s="215"/>
      <c r="AD37" s="215"/>
      <c r="AE37" s="276"/>
      <c r="AF37" s="215"/>
    </row>
    <row r="38" spans="1:32" ht="10" customHeight="1">
      <c r="A38" s="28" t="s">
        <v>238</v>
      </c>
      <c r="B38" s="539"/>
      <c r="C38" s="539"/>
      <c r="D38" s="539"/>
      <c r="E38" s="539"/>
      <c r="F38" s="539"/>
    </row>
    <row r="39" spans="1:32" ht="10" customHeight="1">
      <c r="A39" s="28" t="s">
        <v>192</v>
      </c>
      <c r="B39" s="539"/>
      <c r="C39" s="539"/>
      <c r="D39" s="539"/>
      <c r="E39" s="539"/>
      <c r="F39" s="539"/>
    </row>
    <row r="40" spans="1:32" ht="10" customHeight="1">
      <c r="A40" s="40" t="s">
        <v>261</v>
      </c>
      <c r="B40" s="539"/>
      <c r="C40" s="539"/>
      <c r="D40" s="539"/>
      <c r="E40" s="539"/>
      <c r="F40" s="539"/>
    </row>
    <row r="41" spans="1:32" ht="13" customHeight="1">
      <c r="A41" s="12"/>
    </row>
    <row r="42" spans="1:32" ht="13" customHeight="1">
      <c r="A42" s="141"/>
    </row>
    <row r="43" spans="1:32" ht="13" customHeight="1">
      <c r="A43" s="191"/>
    </row>
    <row r="44" spans="1:32" ht="13" customHeight="1">
      <c r="A44" s="31"/>
    </row>
    <row r="45" spans="1:32" ht="13" customHeight="1">
      <c r="A45" s="58"/>
    </row>
    <row r="46" spans="1:32" ht="13" customHeight="1">
      <c r="A46" s="31"/>
    </row>
    <row r="47" spans="1:32" ht="13" customHeight="1">
      <c r="A47" s="141"/>
    </row>
    <row r="48" spans="1:32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colBreaks count="1" manualBreakCount="1">
    <brk id="14" max="1048575" man="1"/>
  </colBreak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Hoja63">
    <tabColor theme="9" tint="0.59999389629810485"/>
  </sheetPr>
  <dimension ref="A4:N5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14" ht="13" customHeight="1">
      <c r="A4" s="511" t="s">
        <v>398</v>
      </c>
      <c r="B4" s="507"/>
    </row>
    <row r="5" spans="1:14" ht="13" customHeight="1">
      <c r="A5" s="514" t="s">
        <v>325</v>
      </c>
      <c r="B5" s="507"/>
    </row>
    <row r="6" spans="1:14" ht="5" customHeight="1" thickBot="1"/>
    <row r="7" spans="1:14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</row>
    <row r="8" spans="1:14" ht="15" customHeight="1">
      <c r="A8" s="530" t="s">
        <v>100</v>
      </c>
      <c r="B8" s="559">
        <f t="shared" ref="B8:B37" si="0">SUM(C8:N8)</f>
        <v>411440.69417025527</v>
      </c>
      <c r="C8" s="560">
        <f t="shared" ref="C8:N8" si="1">(C9+C10+C11+C12+C13+C17+C18+C19+C20+C21+C22+C23+C24+C25+C26+C27+C28+C29+C32+C33+C34+C35+C36+C37)</f>
        <v>29495.911174553599</v>
      </c>
      <c r="D8" s="560">
        <f t="shared" si="1"/>
        <v>32141.199140159999</v>
      </c>
      <c r="E8" s="560">
        <f t="shared" si="1"/>
        <v>34355.487105766399</v>
      </c>
      <c r="F8" s="560">
        <f t="shared" si="1"/>
        <v>35092.775071372802</v>
      </c>
      <c r="G8" s="560">
        <f t="shared" si="1"/>
        <v>36517.063036979198</v>
      </c>
      <c r="H8" s="560">
        <f t="shared" si="1"/>
        <v>37457.926933798401</v>
      </c>
      <c r="I8" s="560">
        <f t="shared" si="1"/>
        <v>36747.638968191997</v>
      </c>
      <c r="J8" s="560">
        <f t="shared" si="1"/>
        <v>35448.351002585594</v>
      </c>
      <c r="K8" s="560">
        <f t="shared" si="1"/>
        <v>32809.3352433408</v>
      </c>
      <c r="L8" s="560">
        <f t="shared" si="1"/>
        <v>32185</v>
      </c>
      <c r="M8" s="560">
        <f t="shared" si="1"/>
        <v>33208</v>
      </c>
      <c r="N8" s="560">
        <f t="shared" si="1"/>
        <v>35982.006493506495</v>
      </c>
    </row>
    <row r="9" spans="1:14" ht="12" customHeight="1">
      <c r="A9" s="269" t="s">
        <v>21</v>
      </c>
      <c r="B9" s="550">
        <f t="shared" si="0"/>
        <v>22337</v>
      </c>
      <c r="C9" s="562">
        <f>+'[2]CAP 04-99'!E1376</f>
        <v>1583</v>
      </c>
      <c r="D9" s="562">
        <f>+'[2]CAP 04-99'!F1376</f>
        <v>1930</v>
      </c>
      <c r="E9" s="562">
        <f>+'[2]CAP 04-99'!G1376</f>
        <v>1860</v>
      </c>
      <c r="F9" s="562">
        <f>+'[2]CAP 04-99'!H1376</f>
        <v>1981</v>
      </c>
      <c r="G9" s="562">
        <f>+'[2]CAP 04-99'!I1376</f>
        <v>1958</v>
      </c>
      <c r="H9" s="562">
        <f>+'[2]CAP 04-99'!J1376</f>
        <v>1810</v>
      </c>
      <c r="I9" s="562">
        <f>+'[2]CAP 04-99'!K1376</f>
        <v>1840</v>
      </c>
      <c r="J9" s="562">
        <f>+'[2]CAP 04-99'!L1376</f>
        <v>1860</v>
      </c>
      <c r="K9" s="562">
        <f>+'[2]CAP 04-99'!M1376</f>
        <v>1885</v>
      </c>
      <c r="L9" s="562">
        <f>+'[2]CAP 04-99'!N1376</f>
        <v>1792</v>
      </c>
      <c r="M9" s="562">
        <f>+'[2]CAP 04-99'!O1376</f>
        <v>1898</v>
      </c>
      <c r="N9" s="562">
        <f>+'[2]CAP 04-99'!P1376</f>
        <v>1940</v>
      </c>
    </row>
    <row r="10" spans="1:14" ht="12" customHeight="1">
      <c r="A10" s="269" t="s">
        <v>22</v>
      </c>
      <c r="B10" s="550">
        <f t="shared" si="0"/>
        <v>93285.687676748799</v>
      </c>
      <c r="C10" s="562">
        <f>+'[2]CAP 04-99'!E1379</f>
        <v>7086.9111745535993</v>
      </c>
      <c r="D10" s="562">
        <f>+'[2]CAP 04-99'!F1379</f>
        <v>7382.1991401599989</v>
      </c>
      <c r="E10" s="562">
        <f>+'[2]CAP 04-99'!G1379</f>
        <v>8677.4871057664004</v>
      </c>
      <c r="F10" s="562">
        <f>+'[2]CAP 04-99'!H1379</f>
        <v>8972.7750713728001</v>
      </c>
      <c r="G10" s="562">
        <f>+'[2]CAP 04-99'!I1379</f>
        <v>9268.0630369791998</v>
      </c>
      <c r="H10" s="562">
        <f>+'[2]CAP 04-99'!J1379</f>
        <v>9853.9269337984006</v>
      </c>
      <c r="I10" s="562">
        <f>+'[2]CAP 04-99'!K1379</f>
        <v>8858.6389681919991</v>
      </c>
      <c r="J10" s="562">
        <f>+'[2]CAP 04-99'!L1379</f>
        <v>8563.3510025855976</v>
      </c>
      <c r="K10" s="562">
        <f>+'[2]CAP 04-99'!M1379</f>
        <v>6496.3352433407999</v>
      </c>
      <c r="L10" s="562">
        <f>+'[2]CAP 04-99'!N1379</f>
        <v>5815</v>
      </c>
      <c r="M10" s="562">
        <f>+'[2]CAP 04-99'!O1379</f>
        <v>6110</v>
      </c>
      <c r="N10" s="562">
        <f>+'[2]CAP 04-99'!P1379</f>
        <v>6201</v>
      </c>
    </row>
    <row r="11" spans="1:14" ht="12" customHeight="1">
      <c r="A11" s="269" t="s">
        <v>23</v>
      </c>
      <c r="B11" s="550">
        <f t="shared" si="0"/>
        <v>26996</v>
      </c>
      <c r="C11" s="562">
        <f>+'[2]CAP 04-99'!E1382</f>
        <v>1570</v>
      </c>
      <c r="D11" s="562">
        <f>+'[2]CAP 04-99'!F1382</f>
        <v>1703</v>
      </c>
      <c r="E11" s="562">
        <f>+'[2]CAP 04-99'!G1382</f>
        <v>1690</v>
      </c>
      <c r="F11" s="562">
        <f>+'[2]CAP 04-99'!H1382</f>
        <v>2012</v>
      </c>
      <c r="G11" s="562">
        <f>+'[2]CAP 04-99'!I1382</f>
        <v>2450</v>
      </c>
      <c r="H11" s="562">
        <f>+'[2]CAP 04-99'!J1382</f>
        <v>2480</v>
      </c>
      <c r="I11" s="562">
        <f>+'[2]CAP 04-99'!K1382</f>
        <v>2432</v>
      </c>
      <c r="J11" s="562">
        <f>+'[2]CAP 04-99'!L1382</f>
        <v>2345</v>
      </c>
      <c r="K11" s="562">
        <f>+'[2]CAP 04-99'!M1382</f>
        <v>2430</v>
      </c>
      <c r="L11" s="562">
        <f>+'[2]CAP 04-99'!N1382</f>
        <v>2541</v>
      </c>
      <c r="M11" s="562">
        <f>+'[2]CAP 04-99'!O1382</f>
        <v>2523</v>
      </c>
      <c r="N11" s="562">
        <f>+'[2]CAP 04-99'!P1382</f>
        <v>2820</v>
      </c>
    </row>
    <row r="12" spans="1:14" ht="12" customHeight="1">
      <c r="A12" s="217" t="s">
        <v>24</v>
      </c>
      <c r="B12" s="550">
        <f t="shared" si="0"/>
        <v>35654</v>
      </c>
      <c r="C12" s="562">
        <f>+'[2]CAP 04-99'!E1385</f>
        <v>2582</v>
      </c>
      <c r="D12" s="562">
        <f>+'[2]CAP 04-99'!F1385</f>
        <v>2914</v>
      </c>
      <c r="E12" s="562">
        <f>+'[2]CAP 04-99'!G1385</f>
        <v>3003</v>
      </c>
      <c r="F12" s="562">
        <f>+'[2]CAP 04-99'!H1385</f>
        <v>2893</v>
      </c>
      <c r="G12" s="562">
        <f>+'[2]CAP 04-99'!I1385</f>
        <v>2923</v>
      </c>
      <c r="H12" s="562">
        <f>+'[2]CAP 04-99'!J1385</f>
        <v>3078</v>
      </c>
      <c r="I12" s="562">
        <f>+'[2]CAP 04-99'!K1385</f>
        <v>3010</v>
      </c>
      <c r="J12" s="562">
        <f>+'[2]CAP 04-99'!L1385</f>
        <v>3127</v>
      </c>
      <c r="K12" s="562">
        <f>+'[2]CAP 04-99'!M1385</f>
        <v>3058</v>
      </c>
      <c r="L12" s="562">
        <f>+'[2]CAP 04-99'!N1385</f>
        <v>2901</v>
      </c>
      <c r="M12" s="562">
        <f>+'[2]CAP 04-99'!O1385</f>
        <v>3144</v>
      </c>
      <c r="N12" s="562">
        <f>+'[2]CAP 04-99'!P1385</f>
        <v>3021</v>
      </c>
    </row>
    <row r="13" spans="1:14" ht="12" customHeight="1">
      <c r="A13" s="269" t="s">
        <v>25</v>
      </c>
      <c r="B13" s="550">
        <f t="shared" si="0"/>
        <v>29102</v>
      </c>
      <c r="C13" s="562">
        <f>+'[2]CAP 04-99'!E1388</f>
        <v>2202</v>
      </c>
      <c r="D13" s="562">
        <f>+'[2]CAP 04-99'!F1388</f>
        <v>2191</v>
      </c>
      <c r="E13" s="562">
        <f>+'[2]CAP 04-99'!G1388</f>
        <v>2699</v>
      </c>
      <c r="F13" s="562">
        <f>+'[2]CAP 04-99'!H1388</f>
        <v>2435</v>
      </c>
      <c r="G13" s="562">
        <f>+'[2]CAP 04-99'!I1388</f>
        <v>2458</v>
      </c>
      <c r="H13" s="562">
        <f>+'[2]CAP 04-99'!J1388</f>
        <v>2899</v>
      </c>
      <c r="I13" s="562">
        <f>+'[2]CAP 04-99'!K1388</f>
        <v>2598</v>
      </c>
      <c r="J13" s="562">
        <f>+'[2]CAP 04-99'!L1388</f>
        <v>2308</v>
      </c>
      <c r="K13" s="562">
        <f>+'[2]CAP 04-99'!M1388</f>
        <v>2276</v>
      </c>
      <c r="L13" s="562">
        <f>+'[2]CAP 04-99'!N1388</f>
        <v>2250</v>
      </c>
      <c r="M13" s="562">
        <f>+'[2]CAP 04-99'!O1388</f>
        <v>2419</v>
      </c>
      <c r="N13" s="562">
        <f>+'[2]CAP 04-99'!P1388</f>
        <v>2367</v>
      </c>
    </row>
    <row r="14" spans="1:14" ht="12" customHeight="1">
      <c r="A14" s="271" t="s">
        <v>107</v>
      </c>
      <c r="B14" s="550">
        <f t="shared" si="0"/>
        <v>16773</v>
      </c>
      <c r="C14" s="562">
        <f>+'[2]CAP 04-99'!E1391</f>
        <v>1440</v>
      </c>
      <c r="D14" s="562">
        <f>+'[2]CAP 04-99'!F1391</f>
        <v>1440</v>
      </c>
      <c r="E14" s="562">
        <f>+'[2]CAP 04-99'!G1391</f>
        <v>1545</v>
      </c>
      <c r="F14" s="562">
        <f>+'[2]CAP 04-99'!H1391</f>
        <v>1382</v>
      </c>
      <c r="G14" s="562">
        <f>+'[2]CAP 04-99'!I1391</f>
        <v>1301</v>
      </c>
      <c r="H14" s="562">
        <f>+'[2]CAP 04-99'!J1391</f>
        <v>1321</v>
      </c>
      <c r="I14" s="562">
        <f>+'[2]CAP 04-99'!K1391</f>
        <v>1372</v>
      </c>
      <c r="J14" s="562">
        <f>+'[2]CAP 04-99'!L1391</f>
        <v>1364</v>
      </c>
      <c r="K14" s="562">
        <f>+'[2]CAP 04-99'!M1391</f>
        <v>1383</v>
      </c>
      <c r="L14" s="562">
        <f>+'[2]CAP 04-99'!N1391</f>
        <v>1311</v>
      </c>
      <c r="M14" s="562">
        <f>+'[2]CAP 04-99'!O1391</f>
        <v>1452</v>
      </c>
      <c r="N14" s="562">
        <f>+'[2]CAP 04-99'!P1391</f>
        <v>1462</v>
      </c>
    </row>
    <row r="15" spans="1:14" ht="12" customHeight="1">
      <c r="A15" s="271" t="s">
        <v>108</v>
      </c>
      <c r="B15" s="550">
        <f t="shared" si="0"/>
        <v>1551</v>
      </c>
      <c r="C15" s="562">
        <f>+'[2]CAP 04-99'!E1394</f>
        <v>94</v>
      </c>
      <c r="D15" s="562">
        <f>+'[2]CAP 04-99'!F1394</f>
        <v>90</v>
      </c>
      <c r="E15" s="562">
        <f>+'[2]CAP 04-99'!G1394</f>
        <v>105</v>
      </c>
      <c r="F15" s="562">
        <f>+'[2]CAP 04-99'!H1394</f>
        <v>125</v>
      </c>
      <c r="G15" s="562">
        <f>+'[2]CAP 04-99'!I1394</f>
        <v>125</v>
      </c>
      <c r="H15" s="562">
        <f>+'[2]CAP 04-99'!J1394</f>
        <v>128</v>
      </c>
      <c r="I15" s="562">
        <f>+'[2]CAP 04-99'!K1394</f>
        <v>132</v>
      </c>
      <c r="J15" s="562">
        <f>+'[2]CAP 04-99'!L1394</f>
        <v>140</v>
      </c>
      <c r="K15" s="562">
        <f>+'[2]CAP 04-99'!M1394</f>
        <v>155</v>
      </c>
      <c r="L15" s="562">
        <f>+'[2]CAP 04-99'!N1394</f>
        <v>160</v>
      </c>
      <c r="M15" s="562">
        <f>+'[2]CAP 04-99'!O1394</f>
        <v>172</v>
      </c>
      <c r="N15" s="562">
        <f>+'[2]CAP 04-99'!P1394</f>
        <v>125</v>
      </c>
    </row>
    <row r="16" spans="1:14" ht="12" customHeight="1">
      <c r="A16" s="271" t="s">
        <v>109</v>
      </c>
      <c r="B16" s="550">
        <f t="shared" si="0"/>
        <v>10600</v>
      </c>
      <c r="C16" s="562">
        <f>+'[2]CAP 04-99'!E1397</f>
        <v>668</v>
      </c>
      <c r="D16" s="562">
        <f>+'[2]CAP 04-99'!F1397</f>
        <v>661</v>
      </c>
      <c r="E16" s="562">
        <f>+'[2]CAP 04-99'!G1397</f>
        <v>1049</v>
      </c>
      <c r="F16" s="562">
        <f>+'[2]CAP 04-99'!H1397</f>
        <v>928</v>
      </c>
      <c r="G16" s="562">
        <f>+'[2]CAP 04-99'!I1397</f>
        <v>1032</v>
      </c>
      <c r="H16" s="562">
        <f>+'[2]CAP 04-99'!J1397</f>
        <v>1272</v>
      </c>
      <c r="I16" s="562">
        <f>+'[2]CAP 04-99'!K1397</f>
        <v>1094</v>
      </c>
      <c r="J16" s="562">
        <f>+'[2]CAP 04-99'!L1397</f>
        <v>804</v>
      </c>
      <c r="K16" s="562">
        <f>+'[2]CAP 04-99'!M1397</f>
        <v>738</v>
      </c>
      <c r="L16" s="562">
        <f>+'[2]CAP 04-99'!N1397</f>
        <v>779</v>
      </c>
      <c r="M16" s="562">
        <f>+'[2]CAP 04-99'!O1397</f>
        <v>795</v>
      </c>
      <c r="N16" s="562">
        <f>+'[2]CAP 04-99'!P1397</f>
        <v>780</v>
      </c>
    </row>
    <row r="17" spans="1:14" ht="12" customHeight="1">
      <c r="A17" s="269" t="s">
        <v>29</v>
      </c>
      <c r="B17" s="550">
        <f t="shared" si="0"/>
        <v>4816</v>
      </c>
      <c r="C17" s="562">
        <f>+'[2]CAP 04-99'!E1400</f>
        <v>380</v>
      </c>
      <c r="D17" s="562">
        <f>+'[2]CAP 04-99'!F1400</f>
        <v>369</v>
      </c>
      <c r="E17" s="562">
        <f>+'[2]CAP 04-99'!G1400</f>
        <v>366</v>
      </c>
      <c r="F17" s="562">
        <f>+'[2]CAP 04-99'!H1400</f>
        <v>347</v>
      </c>
      <c r="G17" s="562">
        <f>+'[2]CAP 04-99'!I1400</f>
        <v>363</v>
      </c>
      <c r="H17" s="562">
        <f>+'[2]CAP 04-99'!J1400</f>
        <v>380</v>
      </c>
      <c r="I17" s="562">
        <f>+'[2]CAP 04-99'!K1400</f>
        <v>445</v>
      </c>
      <c r="J17" s="562">
        <f>+'[2]CAP 04-99'!L1400</f>
        <v>425</v>
      </c>
      <c r="K17" s="562">
        <f>+'[2]CAP 04-99'!M1400</f>
        <v>423</v>
      </c>
      <c r="L17" s="562">
        <f>+'[2]CAP 04-99'!N1400</f>
        <v>388</v>
      </c>
      <c r="M17" s="562">
        <f>+'[2]CAP 04-99'!O1400</f>
        <v>399</v>
      </c>
      <c r="N17" s="562">
        <f>+'[2]CAP 04-99'!P1400</f>
        <v>531</v>
      </c>
    </row>
    <row r="18" spans="1:14" ht="12" customHeight="1">
      <c r="A18" s="217" t="s">
        <v>30</v>
      </c>
      <c r="B18" s="550">
        <f t="shared" si="0"/>
        <v>20509</v>
      </c>
      <c r="C18" s="562">
        <f>+'[2]CAP 04-99'!E1403</f>
        <v>1498</v>
      </c>
      <c r="D18" s="562">
        <f>+'[2]CAP 04-99'!F1403</f>
        <v>1577</v>
      </c>
      <c r="E18" s="562">
        <f>+'[2]CAP 04-99'!G1403</f>
        <v>1657</v>
      </c>
      <c r="F18" s="562">
        <f>+'[2]CAP 04-99'!H1403</f>
        <v>1709</v>
      </c>
      <c r="G18" s="562">
        <f>+'[2]CAP 04-99'!I1403</f>
        <v>1594</v>
      </c>
      <c r="H18" s="562">
        <f>+'[2]CAP 04-99'!J1403</f>
        <v>1698</v>
      </c>
      <c r="I18" s="562">
        <f>+'[2]CAP 04-99'!K1403</f>
        <v>1771</v>
      </c>
      <c r="J18" s="562">
        <f>+'[2]CAP 04-99'!L1403</f>
        <v>1802</v>
      </c>
      <c r="K18" s="562">
        <f>+'[2]CAP 04-99'!M1403</f>
        <v>1797</v>
      </c>
      <c r="L18" s="562">
        <f>+'[2]CAP 04-99'!N1403</f>
        <v>1810</v>
      </c>
      <c r="M18" s="562">
        <f>+'[2]CAP 04-99'!O1403</f>
        <v>1795</v>
      </c>
      <c r="N18" s="562">
        <f>+'[2]CAP 04-99'!P1403</f>
        <v>1801</v>
      </c>
    </row>
    <row r="19" spans="1:14" ht="12" customHeight="1">
      <c r="A19" s="217" t="s">
        <v>31</v>
      </c>
      <c r="B19" s="550">
        <f t="shared" si="0"/>
        <v>40739</v>
      </c>
      <c r="C19" s="562">
        <f>+'[2]CAP 04-99'!E1406</f>
        <v>3091</v>
      </c>
      <c r="D19" s="562">
        <f>+'[2]CAP 04-99'!F1406</f>
        <v>3852</v>
      </c>
      <c r="E19" s="562">
        <f>+'[2]CAP 04-99'!G1406</f>
        <v>3190</v>
      </c>
      <c r="F19" s="562">
        <f>+'[2]CAP 04-99'!H1406</f>
        <v>3213</v>
      </c>
      <c r="G19" s="562">
        <f>+'[2]CAP 04-99'!I1406</f>
        <v>3394</v>
      </c>
      <c r="H19" s="562">
        <f>+'[2]CAP 04-99'!J1406</f>
        <v>3108</v>
      </c>
      <c r="I19" s="562">
        <f>+'[2]CAP 04-99'!K1406</f>
        <v>3615</v>
      </c>
      <c r="J19" s="562">
        <f>+'[2]CAP 04-99'!L1406</f>
        <v>3085</v>
      </c>
      <c r="K19" s="562">
        <f>+'[2]CAP 04-99'!M1406</f>
        <v>3390</v>
      </c>
      <c r="L19" s="562">
        <f>+'[2]CAP 04-99'!N1406</f>
        <v>3241</v>
      </c>
      <c r="M19" s="562">
        <f>+'[2]CAP 04-99'!O1406</f>
        <v>3430</v>
      </c>
      <c r="N19" s="562">
        <f>+'[2]CAP 04-99'!P1406</f>
        <v>4130</v>
      </c>
    </row>
    <row r="20" spans="1:14" ht="12" customHeight="1">
      <c r="A20" s="269" t="s">
        <v>32</v>
      </c>
      <c r="B20" s="550">
        <f t="shared" si="0"/>
        <v>17363</v>
      </c>
      <c r="C20" s="562">
        <f>+'[2]CAP 04-99'!E1409</f>
        <v>1127</v>
      </c>
      <c r="D20" s="562">
        <f>+'[2]CAP 04-99'!F1409</f>
        <v>1099</v>
      </c>
      <c r="E20" s="562">
        <f>+'[2]CAP 04-99'!G1409</f>
        <v>1228</v>
      </c>
      <c r="F20" s="562">
        <f>+'[2]CAP 04-99'!H1409</f>
        <v>1261</v>
      </c>
      <c r="G20" s="562">
        <f>+'[2]CAP 04-99'!I1409</f>
        <v>1416</v>
      </c>
      <c r="H20" s="562">
        <f>+'[2]CAP 04-99'!J1409</f>
        <v>1357</v>
      </c>
      <c r="I20" s="562">
        <f>+'[2]CAP 04-99'!K1409</f>
        <v>1480</v>
      </c>
      <c r="J20" s="562">
        <f>+'[2]CAP 04-99'!L1409</f>
        <v>1592</v>
      </c>
      <c r="K20" s="562">
        <f>+'[2]CAP 04-99'!M1409</f>
        <v>1613</v>
      </c>
      <c r="L20" s="562">
        <f>+'[2]CAP 04-99'!N1409</f>
        <v>1771</v>
      </c>
      <c r="M20" s="562">
        <f>+'[2]CAP 04-99'!O1409</f>
        <v>1634</v>
      </c>
      <c r="N20" s="562">
        <f>+'[2]CAP 04-99'!P1409</f>
        <v>1785</v>
      </c>
    </row>
    <row r="21" spans="1:14" ht="12" customHeight="1">
      <c r="A21" s="269" t="s">
        <v>33</v>
      </c>
      <c r="B21" s="550">
        <f t="shared" si="0"/>
        <v>23327</v>
      </c>
      <c r="C21" s="562">
        <f>+'[2]CAP 04-99'!E1412</f>
        <v>1667</v>
      </c>
      <c r="D21" s="562">
        <f>+'[2]CAP 04-99'!F1412</f>
        <v>1750</v>
      </c>
      <c r="E21" s="562">
        <f>+'[2]CAP 04-99'!G1412</f>
        <v>1813</v>
      </c>
      <c r="F21" s="562">
        <f>+'[2]CAP 04-99'!H1412</f>
        <v>1868</v>
      </c>
      <c r="G21" s="562">
        <f>+'[2]CAP 04-99'!I1412</f>
        <v>2004</v>
      </c>
      <c r="H21" s="562">
        <f>+'[2]CAP 04-99'!J1412</f>
        <v>2107</v>
      </c>
      <c r="I21" s="562">
        <f>+'[2]CAP 04-99'!K1412</f>
        <v>2141</v>
      </c>
      <c r="J21" s="562">
        <f>+'[2]CAP 04-99'!L1412</f>
        <v>2209</v>
      </c>
      <c r="K21" s="562">
        <f>+'[2]CAP 04-99'!M1412</f>
        <v>1988</v>
      </c>
      <c r="L21" s="562">
        <f>+'[2]CAP 04-99'!N1412</f>
        <v>1965</v>
      </c>
      <c r="M21" s="562">
        <f>+'[2]CAP 04-99'!O1412</f>
        <v>1839</v>
      </c>
      <c r="N21" s="562">
        <f>+'[2]CAP 04-99'!P1412</f>
        <v>1976</v>
      </c>
    </row>
    <row r="22" spans="1:14" ht="12" customHeight="1">
      <c r="A22" s="269" t="s">
        <v>34</v>
      </c>
      <c r="B22" s="550">
        <f t="shared" si="0"/>
        <v>1059</v>
      </c>
      <c r="C22" s="562">
        <f>+'[2]CAP 04-99'!E1415</f>
        <v>72</v>
      </c>
      <c r="D22" s="562">
        <f>+'[2]CAP 04-99'!F1415</f>
        <v>54</v>
      </c>
      <c r="E22" s="562">
        <f>+'[2]CAP 04-99'!G1415</f>
        <v>70</v>
      </c>
      <c r="F22" s="562">
        <f>+'[2]CAP 04-99'!H1415</f>
        <v>89</v>
      </c>
      <c r="G22" s="562">
        <f>+'[2]CAP 04-99'!I1415</f>
        <v>112</v>
      </c>
      <c r="H22" s="562">
        <f>+'[2]CAP 04-99'!J1415</f>
        <v>116</v>
      </c>
      <c r="I22" s="562">
        <f>+'[2]CAP 04-99'!K1415</f>
        <v>133</v>
      </c>
      <c r="J22" s="562">
        <f>+'[2]CAP 04-99'!L1415</f>
        <v>52</v>
      </c>
      <c r="K22" s="562">
        <f>+'[2]CAP 04-99'!M1415</f>
        <v>64</v>
      </c>
      <c r="L22" s="562">
        <f>+'[2]CAP 04-99'!N1415</f>
        <v>70</v>
      </c>
      <c r="M22" s="562">
        <f>+'[2]CAP 04-99'!O1415</f>
        <v>96</v>
      </c>
      <c r="N22" s="562">
        <f>+'[2]CAP 04-99'!P1415</f>
        <v>131</v>
      </c>
    </row>
    <row r="23" spans="1:14" ht="12" customHeight="1">
      <c r="A23" s="269" t="s">
        <v>35</v>
      </c>
      <c r="B23" s="550">
        <f t="shared" si="0"/>
        <v>3585.0064935064938</v>
      </c>
      <c r="C23" s="562">
        <f>+'[2]CAP 04-99'!E1418</f>
        <v>292.00000000000006</v>
      </c>
      <c r="D23" s="562">
        <f>+'[2]CAP 04-99'!F1418</f>
        <v>280</v>
      </c>
      <c r="E23" s="562">
        <f>+'[2]CAP 04-99'!G1418</f>
        <v>306.00000000000006</v>
      </c>
      <c r="F23" s="562">
        <f>+'[2]CAP 04-99'!H1418</f>
        <v>285</v>
      </c>
      <c r="G23" s="562">
        <f>+'[2]CAP 04-99'!I1418</f>
        <v>270</v>
      </c>
      <c r="H23" s="562">
        <f>+'[2]CAP 04-99'!J1418</f>
        <v>327</v>
      </c>
      <c r="I23" s="562">
        <f>+'[2]CAP 04-99'!K1418</f>
        <v>297</v>
      </c>
      <c r="J23" s="562">
        <f>+'[2]CAP 04-99'!L1418</f>
        <v>283.00000000000006</v>
      </c>
      <c r="K23" s="562">
        <f>+'[2]CAP 04-99'!M1418</f>
        <v>280</v>
      </c>
      <c r="L23" s="562">
        <f>+'[2]CAP 04-99'!N1418</f>
        <v>284.00000000000006</v>
      </c>
      <c r="M23" s="562">
        <f>+'[2]CAP 04-99'!O1418</f>
        <v>289</v>
      </c>
      <c r="N23" s="562">
        <f>+'[2]CAP 04-99'!P1418</f>
        <v>392.006493506494</v>
      </c>
    </row>
    <row r="24" spans="1:14" ht="12" customHeight="1">
      <c r="A24" s="269" t="s">
        <v>36</v>
      </c>
      <c r="B24" s="550">
        <f t="shared" si="0"/>
        <v>25727</v>
      </c>
      <c r="C24" s="562">
        <f>+'[2]CAP 04-99'!E1421</f>
        <v>1873</v>
      </c>
      <c r="D24" s="562">
        <f>+'[2]CAP 04-99'!F1421</f>
        <v>2079</v>
      </c>
      <c r="E24" s="562">
        <f>+'[2]CAP 04-99'!G1421</f>
        <v>2191</v>
      </c>
      <c r="F24" s="562">
        <f>+'[2]CAP 04-99'!H1421</f>
        <v>2190</v>
      </c>
      <c r="G24" s="562">
        <f>+'[2]CAP 04-99'!I1421</f>
        <v>2256</v>
      </c>
      <c r="H24" s="562">
        <f>+'[2]CAP 04-99'!J1421</f>
        <v>2284</v>
      </c>
      <c r="I24" s="562">
        <f>+'[2]CAP 04-99'!K1421</f>
        <v>2060</v>
      </c>
      <c r="J24" s="562">
        <f>+'[2]CAP 04-99'!L1421</f>
        <v>1987</v>
      </c>
      <c r="K24" s="562">
        <f>+'[2]CAP 04-99'!M1421</f>
        <v>2085</v>
      </c>
      <c r="L24" s="562">
        <f>+'[2]CAP 04-99'!N1421</f>
        <v>2350</v>
      </c>
      <c r="M24" s="562">
        <f>+'[2]CAP 04-99'!O1421</f>
        <v>2176</v>
      </c>
      <c r="N24" s="562">
        <f>+'[2]CAP 04-99'!P1421</f>
        <v>2196</v>
      </c>
    </row>
    <row r="25" spans="1:14" ht="12" customHeight="1">
      <c r="A25" s="217" t="s">
        <v>37</v>
      </c>
      <c r="B25" s="550">
        <f t="shared" si="0"/>
        <v>10335</v>
      </c>
      <c r="C25" s="562">
        <f>+'[2]CAP 04-99'!E1424</f>
        <v>859</v>
      </c>
      <c r="D25" s="562">
        <f>+'[2]CAP 04-99'!F1424</f>
        <v>865</v>
      </c>
      <c r="E25" s="562">
        <f>+'[2]CAP 04-99'!G1424</f>
        <v>868</v>
      </c>
      <c r="F25" s="562">
        <f>+'[2]CAP 04-99'!H1424</f>
        <v>700</v>
      </c>
      <c r="G25" s="562">
        <f>+'[2]CAP 04-99'!I1424</f>
        <v>836</v>
      </c>
      <c r="H25" s="562">
        <f>+'[2]CAP 04-99'!J1424</f>
        <v>841</v>
      </c>
      <c r="I25" s="562">
        <f>+'[2]CAP 04-99'!K1424</f>
        <v>817</v>
      </c>
      <c r="J25" s="562">
        <f>+'[2]CAP 04-99'!L1424</f>
        <v>794</v>
      </c>
      <c r="K25" s="562">
        <f>+'[2]CAP 04-99'!M1424</f>
        <v>783</v>
      </c>
      <c r="L25" s="562">
        <f>+'[2]CAP 04-99'!N1424</f>
        <v>785</v>
      </c>
      <c r="M25" s="562">
        <f>+'[2]CAP 04-99'!O1424</f>
        <v>767</v>
      </c>
      <c r="N25" s="562">
        <f>+'[2]CAP 04-99'!P1424</f>
        <v>1420</v>
      </c>
    </row>
    <row r="26" spans="1:14" ht="12" customHeight="1">
      <c r="A26" s="269" t="s">
        <v>38</v>
      </c>
      <c r="B26" s="550">
        <f t="shared" si="0"/>
        <v>689</v>
      </c>
      <c r="C26" s="562">
        <f>+'[2]CAP 04-99'!E1427</f>
        <v>55</v>
      </c>
      <c r="D26" s="562">
        <f>+'[2]CAP 04-99'!F1427</f>
        <v>67</v>
      </c>
      <c r="E26" s="562">
        <f>+'[2]CAP 04-99'!G1427</f>
        <v>58</v>
      </c>
      <c r="F26" s="562">
        <f>+'[2]CAP 04-99'!H1427</f>
        <v>60</v>
      </c>
      <c r="G26" s="562">
        <f>+'[2]CAP 04-99'!I1427</f>
        <v>54</v>
      </c>
      <c r="H26" s="562">
        <f>+'[2]CAP 04-99'!J1427</f>
        <v>77</v>
      </c>
      <c r="I26" s="562">
        <f>+'[2]CAP 04-99'!K1427</f>
        <v>38</v>
      </c>
      <c r="J26" s="562">
        <f>+'[2]CAP 04-99'!L1427</f>
        <v>53</v>
      </c>
      <c r="K26" s="562">
        <f>+'[2]CAP 04-99'!M1427</f>
        <v>48</v>
      </c>
      <c r="L26" s="562">
        <f>+'[2]CAP 04-99'!N1427</f>
        <v>45</v>
      </c>
      <c r="M26" s="562">
        <f>+'[2]CAP 04-99'!O1427</f>
        <v>49</v>
      </c>
      <c r="N26" s="562">
        <f>+'[2]CAP 04-99'!P1427</f>
        <v>85</v>
      </c>
    </row>
    <row r="27" spans="1:14" ht="12" customHeight="1">
      <c r="A27" s="269" t="s">
        <v>39</v>
      </c>
      <c r="B27" s="550">
        <f t="shared" si="0"/>
        <v>5343</v>
      </c>
      <c r="C27" s="562">
        <f>+'[2]CAP 04-99'!E1430</f>
        <v>327</v>
      </c>
      <c r="D27" s="562">
        <f>+'[2]CAP 04-99'!F1430</f>
        <v>351</v>
      </c>
      <c r="E27" s="562">
        <f>+'[2]CAP 04-99'!G1430</f>
        <v>358</v>
      </c>
      <c r="F27" s="562">
        <f>+'[2]CAP 04-99'!H1430</f>
        <v>396</v>
      </c>
      <c r="G27" s="562">
        <f>+'[2]CAP 04-99'!I1430</f>
        <v>435</v>
      </c>
      <c r="H27" s="562">
        <f>+'[2]CAP 04-99'!J1430</f>
        <v>470</v>
      </c>
      <c r="I27" s="562">
        <f>+'[2]CAP 04-99'!K1430</f>
        <v>511</v>
      </c>
      <c r="J27" s="562">
        <f>+'[2]CAP 04-99'!L1430</f>
        <v>494</v>
      </c>
      <c r="K27" s="562">
        <f>+'[2]CAP 04-99'!M1430</f>
        <v>508</v>
      </c>
      <c r="L27" s="562">
        <f>+'[2]CAP 04-99'!N1430</f>
        <v>480</v>
      </c>
      <c r="M27" s="562">
        <f>+'[2]CAP 04-99'!O1430</f>
        <v>488</v>
      </c>
      <c r="N27" s="562">
        <f>+'[2]CAP 04-99'!P1430</f>
        <v>525</v>
      </c>
    </row>
    <row r="28" spans="1:14" ht="12" customHeight="1">
      <c r="A28" s="269" t="s">
        <v>40</v>
      </c>
      <c r="B28" s="550">
        <f t="shared" si="0"/>
        <v>28248</v>
      </c>
      <c r="C28" s="562">
        <f>+'[2]CAP 04-99'!E1433</f>
        <v>1410</v>
      </c>
      <c r="D28" s="562">
        <f>+'[2]CAP 04-99'!F1433</f>
        <v>1616</v>
      </c>
      <c r="E28" s="562">
        <f>+'[2]CAP 04-99'!G1433</f>
        <v>2276</v>
      </c>
      <c r="F28" s="562">
        <f>+'[2]CAP 04-99'!H1433</f>
        <v>2593</v>
      </c>
      <c r="G28" s="562">
        <f>+'[2]CAP 04-99'!I1433</f>
        <v>2678</v>
      </c>
      <c r="H28" s="562">
        <f>+'[2]CAP 04-99'!J1433</f>
        <v>2609</v>
      </c>
      <c r="I28" s="562">
        <f>+'[2]CAP 04-99'!K1433</f>
        <v>2846</v>
      </c>
      <c r="J28" s="562">
        <f>+'[2]CAP 04-99'!L1433</f>
        <v>2716</v>
      </c>
      <c r="K28" s="562">
        <f>+'[2]CAP 04-99'!M1433</f>
        <v>1977</v>
      </c>
      <c r="L28" s="562">
        <f>+'[2]CAP 04-99'!N1433</f>
        <v>2013</v>
      </c>
      <c r="M28" s="562">
        <f>+'[2]CAP 04-99'!O1433</f>
        <v>2493</v>
      </c>
      <c r="N28" s="562">
        <f>+'[2]CAP 04-99'!P1433</f>
        <v>3021</v>
      </c>
    </row>
    <row r="29" spans="1:14" ht="12" customHeight="1">
      <c r="A29" s="269" t="s">
        <v>41</v>
      </c>
      <c r="B29" s="550">
        <f t="shared" si="0"/>
        <v>18390</v>
      </c>
      <c r="C29" s="562">
        <f>+'[2]CAP 04-99'!E1436</f>
        <v>1520</v>
      </c>
      <c r="D29" s="562">
        <f>+'[2]CAP 04-99'!F1436</f>
        <v>1748</v>
      </c>
      <c r="E29" s="562">
        <f>+'[2]CAP 04-99'!G1436</f>
        <v>1732</v>
      </c>
      <c r="F29" s="562">
        <f>+'[2]CAP 04-99'!H1436</f>
        <v>1761</v>
      </c>
      <c r="G29" s="562">
        <f>+'[2]CAP 04-99'!I1436</f>
        <v>1712</v>
      </c>
      <c r="H29" s="562">
        <f>+'[2]CAP 04-99'!J1436</f>
        <v>1628</v>
      </c>
      <c r="I29" s="562">
        <f>+'[2]CAP 04-99'!K1436</f>
        <v>1521</v>
      </c>
      <c r="J29" s="562">
        <f>+'[2]CAP 04-99'!L1436</f>
        <v>1419</v>
      </c>
      <c r="K29" s="562">
        <f>+'[2]CAP 04-99'!M1436</f>
        <v>1372</v>
      </c>
      <c r="L29" s="562">
        <f>+'[2]CAP 04-99'!N1436</f>
        <v>1345</v>
      </c>
      <c r="M29" s="562">
        <f>+'[2]CAP 04-99'!O1436</f>
        <v>1331</v>
      </c>
      <c r="N29" s="562">
        <f>+'[2]CAP 04-99'!P1436</f>
        <v>1301</v>
      </c>
    </row>
    <row r="30" spans="1:14" ht="12" customHeight="1">
      <c r="A30" s="271" t="s">
        <v>111</v>
      </c>
      <c r="B30" s="550">
        <f t="shared" si="0"/>
        <v>5709</v>
      </c>
      <c r="C30" s="562">
        <f>+'[2]CAP 04-99'!E1439</f>
        <v>415</v>
      </c>
      <c r="D30" s="562">
        <f>+'[2]CAP 04-99'!F1439</f>
        <v>480</v>
      </c>
      <c r="E30" s="562">
        <f>+'[2]CAP 04-99'!G1439</f>
        <v>512</v>
      </c>
      <c r="F30" s="562">
        <f>+'[2]CAP 04-99'!H1439</f>
        <v>521</v>
      </c>
      <c r="G30" s="562">
        <f>+'[2]CAP 04-99'!I1439</f>
        <v>510</v>
      </c>
      <c r="H30" s="562">
        <f>+'[2]CAP 04-99'!J1439</f>
        <v>523</v>
      </c>
      <c r="I30" s="562">
        <f>+'[2]CAP 04-99'!K1439</f>
        <v>501</v>
      </c>
      <c r="J30" s="562">
        <f>+'[2]CAP 04-99'!L1439</f>
        <v>479</v>
      </c>
      <c r="K30" s="562">
        <f>+'[2]CAP 04-99'!M1439</f>
        <v>460</v>
      </c>
      <c r="L30" s="562">
        <f>+'[2]CAP 04-99'!N1439</f>
        <v>450</v>
      </c>
      <c r="M30" s="562">
        <f>+'[2]CAP 04-99'!O1439</f>
        <v>456</v>
      </c>
      <c r="N30" s="562">
        <f>+'[2]CAP 04-99'!P1439</f>
        <v>402</v>
      </c>
    </row>
    <row r="31" spans="1:14" ht="12" customHeight="1">
      <c r="A31" s="271" t="s">
        <v>112</v>
      </c>
      <c r="B31" s="550">
        <f t="shared" si="0"/>
        <v>12681</v>
      </c>
      <c r="C31" s="562">
        <f>+'[2]CAP 04-99'!E1442</f>
        <v>1105</v>
      </c>
      <c r="D31" s="562">
        <f>+'[2]CAP 04-99'!F1442</f>
        <v>1268</v>
      </c>
      <c r="E31" s="562">
        <f>+'[2]CAP 04-99'!G1442</f>
        <v>1220</v>
      </c>
      <c r="F31" s="562">
        <f>+'[2]CAP 04-99'!H1442</f>
        <v>1240</v>
      </c>
      <c r="G31" s="562">
        <f>+'[2]CAP 04-99'!I1442</f>
        <v>1202</v>
      </c>
      <c r="H31" s="562">
        <f>+'[2]CAP 04-99'!J1442</f>
        <v>1105</v>
      </c>
      <c r="I31" s="562">
        <f>+'[2]CAP 04-99'!K1442</f>
        <v>1020</v>
      </c>
      <c r="J31" s="562">
        <f>+'[2]CAP 04-99'!L1442</f>
        <v>940</v>
      </c>
      <c r="K31" s="562">
        <f>+'[2]CAP 04-99'!M1442</f>
        <v>912</v>
      </c>
      <c r="L31" s="562">
        <f>+'[2]CAP 04-99'!N1442</f>
        <v>895</v>
      </c>
      <c r="M31" s="562">
        <f>+'[2]CAP 04-99'!O1442</f>
        <v>875</v>
      </c>
      <c r="N31" s="562">
        <f>+'[2]CAP 04-99'!P1442</f>
        <v>899</v>
      </c>
    </row>
    <row r="32" spans="1:14" ht="12" customHeight="1">
      <c r="A32" s="269" t="s">
        <v>44</v>
      </c>
      <c r="B32" s="550">
        <f t="shared" si="0"/>
        <v>3901</v>
      </c>
      <c r="C32" s="562">
        <f>+'[2]CAP 04-99'!E1445</f>
        <v>297</v>
      </c>
      <c r="D32" s="562">
        <f>+'[2]CAP 04-99'!F1445</f>
        <v>311</v>
      </c>
      <c r="E32" s="562">
        <f>+'[2]CAP 04-99'!G1445</f>
        <v>311</v>
      </c>
      <c r="F32" s="562">
        <f>+'[2]CAP 04-99'!H1445</f>
        <v>324</v>
      </c>
      <c r="G32" s="562">
        <f>+'[2]CAP 04-99'!I1445</f>
        <v>334</v>
      </c>
      <c r="H32" s="562">
        <f>+'[2]CAP 04-99'!J1445</f>
        <v>332</v>
      </c>
      <c r="I32" s="562">
        <f>+'[2]CAP 04-99'!K1445</f>
        <v>332</v>
      </c>
      <c r="J32" s="562">
        <f>+'[2]CAP 04-99'!L1445</f>
        <v>331</v>
      </c>
      <c r="K32" s="562">
        <f>+'[2]CAP 04-99'!M1445</f>
        <v>334</v>
      </c>
      <c r="L32" s="562">
        <f>+'[2]CAP 04-99'!N1445</f>
        <v>336</v>
      </c>
      <c r="M32" s="562">
        <f>+'[2]CAP 04-99'!O1445</f>
        <v>326</v>
      </c>
      <c r="N32" s="562">
        <f>+'[2]CAP 04-99'!P1445</f>
        <v>333</v>
      </c>
    </row>
    <row r="33" spans="1:14" ht="12" customHeight="1">
      <c r="A33" s="269" t="s">
        <v>45</v>
      </c>
      <c r="B33" s="550">
        <f t="shared" si="0"/>
        <v>0</v>
      </c>
      <c r="C33" s="562">
        <f>+'[2]CAP 04-99'!E1448</f>
        <v>0</v>
      </c>
      <c r="D33" s="562">
        <f>+'[2]CAP 04-99'!F1448</f>
        <v>0</v>
      </c>
      <c r="E33" s="562">
        <f>+'[2]CAP 04-99'!G1448</f>
        <v>0</v>
      </c>
      <c r="F33" s="562">
        <f>+'[2]CAP 04-99'!H1448</f>
        <v>0</v>
      </c>
      <c r="G33" s="562">
        <f>+'[2]CAP 04-99'!I1448</f>
        <v>0</v>
      </c>
      <c r="H33" s="562">
        <f>+'[2]CAP 04-99'!J1448</f>
        <v>0</v>
      </c>
      <c r="I33" s="562">
        <f>+'[2]CAP 04-99'!K1448</f>
        <v>0</v>
      </c>
      <c r="J33" s="562">
        <f>+'[2]CAP 04-99'!L1448</f>
        <v>0</v>
      </c>
      <c r="K33" s="562">
        <f>+'[2]CAP 04-99'!M1448</f>
        <v>0</v>
      </c>
      <c r="L33" s="562">
        <f>+'[2]CAP 04-99'!N1448</f>
        <v>0</v>
      </c>
      <c r="M33" s="562">
        <f>+'[2]CAP 04-99'!O1448</f>
        <v>0</v>
      </c>
      <c r="N33" s="562">
        <f>+'[2]CAP 04-99'!P1448</f>
        <v>0</v>
      </c>
    </row>
    <row r="34" spans="1:14" ht="12" customHeight="1">
      <c r="A34" s="217" t="s">
        <v>46</v>
      </c>
      <c r="B34" s="550">
        <f t="shared" si="0"/>
        <v>0</v>
      </c>
      <c r="C34" s="562">
        <f>+'[2]CAP 04-99'!E1451</f>
        <v>0</v>
      </c>
      <c r="D34" s="562">
        <f>+'[2]CAP 04-99'!F1451</f>
        <v>0</v>
      </c>
      <c r="E34" s="562">
        <f>+'[2]CAP 04-99'!G1451</f>
        <v>0</v>
      </c>
      <c r="F34" s="562">
        <f>+'[2]CAP 04-99'!H1451</f>
        <v>0</v>
      </c>
      <c r="G34" s="562">
        <f>+'[2]CAP 04-99'!I1451</f>
        <v>0</v>
      </c>
      <c r="H34" s="562">
        <f>+'[2]CAP 04-99'!J1451</f>
        <v>0</v>
      </c>
      <c r="I34" s="562">
        <f>+'[2]CAP 04-99'!K1451</f>
        <v>0</v>
      </c>
      <c r="J34" s="562">
        <f>+'[2]CAP 04-99'!L1451</f>
        <v>0</v>
      </c>
      <c r="K34" s="562">
        <f>+'[2]CAP 04-99'!M1451</f>
        <v>0</v>
      </c>
      <c r="L34" s="562">
        <f>+'[2]CAP 04-99'!N1451</f>
        <v>0</v>
      </c>
      <c r="M34" s="562">
        <f>+'[2]CAP 04-99'!O1451</f>
        <v>0</v>
      </c>
      <c r="N34" s="562">
        <f>+'[2]CAP 04-99'!P1451</f>
        <v>0</v>
      </c>
    </row>
    <row r="35" spans="1:14" ht="12" customHeight="1">
      <c r="A35" s="217" t="s">
        <v>47</v>
      </c>
      <c r="B35" s="550">
        <f t="shared" si="0"/>
        <v>35</v>
      </c>
      <c r="C35" s="562">
        <f>+'[2]CAP 04-99'!E1454</f>
        <v>4</v>
      </c>
      <c r="D35" s="562">
        <f>+'[2]CAP 04-99'!F1454</f>
        <v>3</v>
      </c>
      <c r="E35" s="562">
        <f>+'[2]CAP 04-99'!G1454</f>
        <v>2</v>
      </c>
      <c r="F35" s="562">
        <f>+'[2]CAP 04-99'!H1454</f>
        <v>3</v>
      </c>
      <c r="G35" s="562">
        <f>+'[2]CAP 04-99'!I1454</f>
        <v>2</v>
      </c>
      <c r="H35" s="562">
        <f>+'[2]CAP 04-99'!J1454</f>
        <v>3</v>
      </c>
      <c r="I35" s="562">
        <f>+'[2]CAP 04-99'!K1454</f>
        <v>2</v>
      </c>
      <c r="J35" s="562">
        <f>+'[2]CAP 04-99'!L1454</f>
        <v>3</v>
      </c>
      <c r="K35" s="562">
        <f>+'[2]CAP 04-99'!M1454</f>
        <v>2</v>
      </c>
      <c r="L35" s="562">
        <f>+'[2]CAP 04-99'!N1454</f>
        <v>3</v>
      </c>
      <c r="M35" s="562">
        <f>+'[2]CAP 04-99'!O1454</f>
        <v>2</v>
      </c>
      <c r="N35" s="562">
        <f>+'[2]CAP 04-99'!P1454</f>
        <v>6</v>
      </c>
    </row>
    <row r="36" spans="1:14" ht="12" customHeight="1">
      <c r="A36" s="217" t="s">
        <v>48</v>
      </c>
      <c r="B36" s="550">
        <f t="shared" si="0"/>
        <v>0</v>
      </c>
      <c r="C36" s="562">
        <f>+'[2]CAP 04-99'!E1457</f>
        <v>0</v>
      </c>
      <c r="D36" s="562">
        <f>+'[2]CAP 04-99'!F1457</f>
        <v>0</v>
      </c>
      <c r="E36" s="562">
        <f>+'[2]CAP 04-99'!G1457</f>
        <v>0</v>
      </c>
      <c r="F36" s="562">
        <f>+'[2]CAP 04-99'!H1457</f>
        <v>0</v>
      </c>
      <c r="G36" s="562">
        <f>+'[2]CAP 04-99'!I1457</f>
        <v>0</v>
      </c>
      <c r="H36" s="562">
        <f>+'[2]CAP 04-99'!J1457</f>
        <v>0</v>
      </c>
      <c r="I36" s="562">
        <f>+'[2]CAP 04-99'!K1457</f>
        <v>0</v>
      </c>
      <c r="J36" s="562">
        <f>+'[2]CAP 04-99'!L1457</f>
        <v>0</v>
      </c>
      <c r="K36" s="562">
        <f>+'[2]CAP 04-99'!M1457</f>
        <v>0</v>
      </c>
      <c r="L36" s="562">
        <f>+'[2]CAP 04-99'!N1457</f>
        <v>0</v>
      </c>
      <c r="M36" s="562">
        <f>+'[2]CAP 04-99'!O1457</f>
        <v>0</v>
      </c>
      <c r="N36" s="562">
        <f>+'[2]CAP 04-99'!P1457</f>
        <v>0</v>
      </c>
    </row>
    <row r="37" spans="1:14" ht="12" customHeight="1" thickBot="1">
      <c r="A37" s="272" t="s">
        <v>49</v>
      </c>
      <c r="B37" s="552">
        <f t="shared" si="0"/>
        <v>0</v>
      </c>
      <c r="C37" s="564">
        <f>+'[2]CAP 04-99'!E1460</f>
        <v>0</v>
      </c>
      <c r="D37" s="564">
        <f>+'[2]CAP 04-99'!F1460</f>
        <v>0</v>
      </c>
      <c r="E37" s="564">
        <f>+'[2]CAP 04-99'!G1460</f>
        <v>0</v>
      </c>
      <c r="F37" s="564">
        <f>+'[2]CAP 04-99'!H1460</f>
        <v>0</v>
      </c>
      <c r="G37" s="564">
        <f>+'[2]CAP 04-99'!I1460</f>
        <v>0</v>
      </c>
      <c r="H37" s="564">
        <f>+'[2]CAP 04-99'!J1460</f>
        <v>0</v>
      </c>
      <c r="I37" s="564">
        <f>+'[2]CAP 04-99'!K1460</f>
        <v>0</v>
      </c>
      <c r="J37" s="564">
        <f>+'[2]CAP 04-99'!L1460</f>
        <v>0</v>
      </c>
      <c r="K37" s="564">
        <f>+'[2]CAP 04-99'!M1460</f>
        <v>0</v>
      </c>
      <c r="L37" s="564">
        <f>+'[2]CAP 04-99'!N1460</f>
        <v>0</v>
      </c>
      <c r="M37" s="564">
        <f>+'[2]CAP 04-99'!O1460</f>
        <v>0</v>
      </c>
      <c r="N37" s="564">
        <f>+'[2]CAP 04-99'!P1460</f>
        <v>0</v>
      </c>
    </row>
    <row r="38" spans="1:14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14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14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Hoja64">
    <tabColor theme="9" tint="0.59999389629810485"/>
  </sheetPr>
  <dimension ref="A4:Y5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25" ht="13" customHeight="1">
      <c r="A4" s="511" t="s">
        <v>399</v>
      </c>
      <c r="B4" s="507"/>
    </row>
    <row r="5" spans="1:25" ht="13" customHeight="1">
      <c r="A5" s="514" t="s">
        <v>319</v>
      </c>
      <c r="B5" s="50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</row>
    <row r="6" spans="1:25" ht="5" customHeight="1" thickBot="1">
      <c r="A6" s="217"/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</row>
    <row r="7" spans="1:25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  <c r="O7" s="269"/>
      <c r="P7" s="215"/>
      <c r="Q7" s="284"/>
      <c r="R7" s="284"/>
      <c r="S7" s="284"/>
      <c r="T7" s="284"/>
      <c r="U7" s="284"/>
      <c r="V7" s="285"/>
      <c r="W7" s="284"/>
      <c r="X7" s="217"/>
      <c r="Y7" s="217"/>
    </row>
    <row r="8" spans="1:25" ht="15" customHeight="1">
      <c r="A8" s="530" t="s">
        <v>100</v>
      </c>
      <c r="B8" s="560">
        <f t="shared" ref="B8:B37" si="0">SUM(C8:N8)</f>
        <v>5102.2518173164126</v>
      </c>
      <c r="C8" s="570">
        <f t="shared" ref="C8:N8" si="1">(C9+C10+C11+C12+C13+C17+C18+C19+C20+C21+C22+C23+C24+C25+C26+C27+C28+C29+C32+C33+C34+C35+C36+C37)</f>
        <v>372.76647691357209</v>
      </c>
      <c r="D8" s="570">
        <f t="shared" si="1"/>
        <v>404.15850927436793</v>
      </c>
      <c r="E8" s="570">
        <f t="shared" si="1"/>
        <v>420.54353830764933</v>
      </c>
      <c r="F8" s="570">
        <f t="shared" si="1"/>
        <v>432.32441908486663</v>
      </c>
      <c r="G8" s="570">
        <f t="shared" si="1"/>
        <v>447.8732049399398</v>
      </c>
      <c r="H8" s="570">
        <f t="shared" si="1"/>
        <v>472.05425062021629</v>
      </c>
      <c r="I8" s="570">
        <f t="shared" si="1"/>
        <v>464.88899714196475</v>
      </c>
      <c r="J8" s="570">
        <f t="shared" si="1"/>
        <v>443.96860603619848</v>
      </c>
      <c r="K8" s="570">
        <f t="shared" si="1"/>
        <v>405.4185353094349</v>
      </c>
      <c r="L8" s="570">
        <f t="shared" si="1"/>
        <v>385.58055172800243</v>
      </c>
      <c r="M8" s="570">
        <f t="shared" si="1"/>
        <v>407.38621085130251</v>
      </c>
      <c r="N8" s="570">
        <f t="shared" si="1"/>
        <v>445.28851710889717</v>
      </c>
      <c r="O8" s="217"/>
      <c r="P8" s="215"/>
      <c r="Q8" s="286"/>
      <c r="R8" s="286"/>
      <c r="S8" s="287"/>
      <c r="T8" s="286"/>
      <c r="U8" s="286"/>
      <c r="V8" s="242"/>
      <c r="W8" s="287"/>
      <c r="X8" s="217"/>
      <c r="Y8" s="288"/>
    </row>
    <row r="9" spans="1:25" ht="12" customHeight="1">
      <c r="A9" s="269" t="s">
        <v>21</v>
      </c>
      <c r="B9" s="561">
        <f t="shared" si="0"/>
        <v>220.09279999999998</v>
      </c>
      <c r="C9" s="571">
        <f>+'[2]CAP 04-99'!E1377</f>
        <v>17.448</v>
      </c>
      <c r="D9" s="571">
        <f>+'[2]CAP 04-99'!F1377</f>
        <v>18.583200000000001</v>
      </c>
      <c r="E9" s="571">
        <f>+'[2]CAP 04-99'!G1377</f>
        <v>17.616000000000003</v>
      </c>
      <c r="F9" s="571">
        <f>+'[2]CAP 04-99'!H1377</f>
        <v>19.007999999999999</v>
      </c>
      <c r="G9" s="571">
        <f>+'[2]CAP 04-99'!I1377</f>
        <v>18.526400000000002</v>
      </c>
      <c r="H9" s="571">
        <f>+'[2]CAP 04-99'!J1377</f>
        <v>17.872</v>
      </c>
      <c r="I9" s="571">
        <f>+'[2]CAP 04-99'!K1377</f>
        <v>17.717600000000001</v>
      </c>
      <c r="J9" s="571">
        <f>+'[2]CAP 04-99'!L1377</f>
        <v>17.769600000000001</v>
      </c>
      <c r="K9" s="571">
        <f>+'[2]CAP 04-99'!M1377</f>
        <v>17.7864</v>
      </c>
      <c r="L9" s="571">
        <f>+'[2]CAP 04-99'!N1377</f>
        <v>17.076000000000001</v>
      </c>
      <c r="M9" s="571">
        <f>+'[2]CAP 04-99'!O1377</f>
        <v>18.687200000000001</v>
      </c>
      <c r="N9" s="571">
        <f>+'[2]CAP 04-99'!P1377</f>
        <v>22.002400000000002</v>
      </c>
      <c r="O9" s="217"/>
      <c r="P9" s="215"/>
      <c r="Q9" s="286"/>
      <c r="R9" s="286"/>
      <c r="S9" s="287"/>
      <c r="T9" s="286"/>
      <c r="U9" s="286"/>
      <c r="V9" s="242"/>
      <c r="W9" s="287"/>
      <c r="X9" s="217"/>
      <c r="Y9" s="288"/>
    </row>
    <row r="10" spans="1:25" ht="12" customHeight="1">
      <c r="A10" s="269" t="s">
        <v>22</v>
      </c>
      <c r="B10" s="561">
        <f t="shared" si="0"/>
        <v>1283.3101091296589</v>
      </c>
      <c r="C10" s="571">
        <f>+'[2]CAP 04-99'!E1380</f>
        <v>102.05152091357184</v>
      </c>
      <c r="D10" s="571">
        <f>+'[2]CAP 04-99'!F1380</f>
        <v>109.25654727436799</v>
      </c>
      <c r="E10" s="571">
        <f>+'[2]CAP 04-99'!G1380</f>
        <v>116.6978040076493</v>
      </c>
      <c r="F10" s="571">
        <f>+'[2]CAP 04-99'!H1380</f>
        <v>121.18618108486658</v>
      </c>
      <c r="G10" s="571">
        <f>+'[2]CAP 04-99'!I1380</f>
        <v>125.67455816208385</v>
      </c>
      <c r="H10" s="571">
        <f>+'[2]CAP 04-99'!J1380</f>
        <v>135.47811862021632</v>
      </c>
      <c r="I10" s="571">
        <f>+'[2]CAP 04-99'!K1380</f>
        <v>127.56440114196479</v>
      </c>
      <c r="J10" s="571">
        <f>+'[2]CAP 04-99'!L1380</f>
        <v>119.88691403619841</v>
      </c>
      <c r="K10" s="571">
        <f>+'[2]CAP 04-99'!M1380</f>
        <v>88.3501593094349</v>
      </c>
      <c r="L10" s="571">
        <f>+'[2]CAP 04-99'!N1380</f>
        <v>69.322305728002505</v>
      </c>
      <c r="M10" s="571">
        <f>+'[2]CAP 04-99'!O1380</f>
        <v>78.546598851302406</v>
      </c>
      <c r="N10" s="571">
        <f>+'[2]CAP 04-99'!P1380</f>
        <v>89.295000000000002</v>
      </c>
      <c r="O10" s="217"/>
      <c r="P10" s="215"/>
      <c r="Q10" s="286"/>
      <c r="R10" s="286"/>
      <c r="S10" s="287"/>
      <c r="T10" s="286"/>
      <c r="U10" s="286"/>
      <c r="V10" s="242"/>
      <c r="W10" s="287"/>
      <c r="X10" s="217"/>
      <c r="Y10" s="288"/>
    </row>
    <row r="11" spans="1:25" ht="12" customHeight="1">
      <c r="A11" s="269" t="s">
        <v>23</v>
      </c>
      <c r="B11" s="561">
        <f t="shared" si="0"/>
        <v>374.52320000000003</v>
      </c>
      <c r="C11" s="571">
        <f>+'[2]CAP 04-99'!E1383</f>
        <v>24.571199999999997</v>
      </c>
      <c r="D11" s="571">
        <f>+'[2]CAP 04-99'!F1383</f>
        <v>24.662399999999998</v>
      </c>
      <c r="E11" s="571">
        <f>+'[2]CAP 04-99'!G1383</f>
        <v>24.081599999999998</v>
      </c>
      <c r="F11" s="571">
        <f>+'[2]CAP 04-99'!H1383</f>
        <v>26.685600000000004</v>
      </c>
      <c r="G11" s="571">
        <f>+'[2]CAP 04-99'!I1383</f>
        <v>31.214399999999998</v>
      </c>
      <c r="H11" s="571">
        <f>+'[2]CAP 04-99'!J1383</f>
        <v>34.908000000000001</v>
      </c>
      <c r="I11" s="571">
        <f>+'[2]CAP 04-99'!K1383</f>
        <v>35.001599999999996</v>
      </c>
      <c r="J11" s="571">
        <f>+'[2]CAP 04-99'!L1383</f>
        <v>30.945599999999999</v>
      </c>
      <c r="K11" s="571">
        <f>+'[2]CAP 04-99'!M1383</f>
        <v>32.5792</v>
      </c>
      <c r="L11" s="571">
        <f>+'[2]CAP 04-99'!N1383</f>
        <v>33.908799999999999</v>
      </c>
      <c r="M11" s="571">
        <f>+'[2]CAP 04-99'!O1383</f>
        <v>36.508800000000001</v>
      </c>
      <c r="N11" s="571">
        <f>+'[2]CAP 04-99'!P1383</f>
        <v>39.456000000000003</v>
      </c>
      <c r="O11" s="217"/>
      <c r="P11" s="215"/>
      <c r="Q11" s="286"/>
      <c r="R11" s="286"/>
      <c r="S11" s="287"/>
      <c r="T11" s="286"/>
      <c r="U11" s="286"/>
      <c r="V11" s="242"/>
      <c r="W11" s="287"/>
      <c r="X11" s="217"/>
      <c r="Y11" s="288"/>
    </row>
    <row r="12" spans="1:25" ht="12" customHeight="1">
      <c r="A12" s="217" t="s">
        <v>24</v>
      </c>
      <c r="B12" s="561">
        <f t="shared" si="0"/>
        <v>437.23138799999998</v>
      </c>
      <c r="C12" s="571">
        <f>+'[2]CAP 04-99'!E1386</f>
        <v>32.886748000000004</v>
      </c>
      <c r="D12" s="571">
        <f>+'[2]CAP 04-99'!F1386</f>
        <v>37.006267999999999</v>
      </c>
      <c r="E12" s="571">
        <f>+'[2]CAP 04-99'!G1386</f>
        <v>38.430360000000007</v>
      </c>
      <c r="F12" s="571">
        <f>+'[2]CAP 04-99'!H1386</f>
        <v>35.987364000000007</v>
      </c>
      <c r="G12" s="571">
        <f>+'[2]CAP 04-99'!I1386</f>
        <v>35.758856000000002</v>
      </c>
      <c r="H12" s="571">
        <f>+'[2]CAP 04-99'!J1386</f>
        <v>37.662500000000001</v>
      </c>
      <c r="I12" s="571">
        <f>+'[2]CAP 04-99'!K1386</f>
        <v>36.203495999999994</v>
      </c>
      <c r="J12" s="571">
        <f>+'[2]CAP 04-99'!L1386</f>
        <v>37.669412000000008</v>
      </c>
      <c r="K12" s="571">
        <f>+'[2]CAP 04-99'!M1386</f>
        <v>36.755456000000002</v>
      </c>
      <c r="L12" s="571">
        <f>+'[2]CAP 04-99'!N1386</f>
        <v>34.742167999999999</v>
      </c>
      <c r="M12" s="571">
        <f>+'[2]CAP 04-99'!O1386</f>
        <v>37.766136000000003</v>
      </c>
      <c r="N12" s="571">
        <f>+'[2]CAP 04-99'!P1386</f>
        <v>36.362624000000004</v>
      </c>
      <c r="O12" s="217"/>
      <c r="P12" s="215"/>
      <c r="Q12" s="286"/>
      <c r="R12" s="286"/>
      <c r="S12" s="287"/>
      <c r="T12" s="286"/>
      <c r="U12" s="286"/>
      <c r="V12" s="242"/>
      <c r="W12" s="287"/>
      <c r="X12" s="217"/>
      <c r="Y12" s="288"/>
    </row>
    <row r="13" spans="1:25" ht="12" customHeight="1">
      <c r="A13" s="269" t="s">
        <v>25</v>
      </c>
      <c r="B13" s="561">
        <f t="shared" si="0"/>
        <v>295.77286600000002</v>
      </c>
      <c r="C13" s="571">
        <f>+'[2]CAP 04-99'!E1389</f>
        <v>22.361480000000004</v>
      </c>
      <c r="D13" s="571">
        <f>+'[2]CAP 04-99'!F1389</f>
        <v>22.142379999999999</v>
      </c>
      <c r="E13" s="571">
        <f>+'[2]CAP 04-99'!G1389</f>
        <v>27.480780000000003</v>
      </c>
      <c r="F13" s="571">
        <f>+'[2]CAP 04-99'!H1389</f>
        <v>24.959350000000001</v>
      </c>
      <c r="G13" s="571">
        <f>+'[2]CAP 04-99'!I1389</f>
        <v>25.339348000000001</v>
      </c>
      <c r="H13" s="571">
        <f>+'[2]CAP 04-99'!J1389</f>
        <v>32.180779999999999</v>
      </c>
      <c r="I13" s="571">
        <f>+'[2]CAP 04-99'!K1389</f>
        <v>26.378339999999998</v>
      </c>
      <c r="J13" s="571">
        <f>+'[2]CAP 04-99'!L1389</f>
        <v>23.557900000000004</v>
      </c>
      <c r="K13" s="571">
        <f>+'[2]CAP 04-99'!M1389</f>
        <v>23.322119999999998</v>
      </c>
      <c r="L13" s="571">
        <f>+'[2]CAP 04-99'!N1389</f>
        <v>22.454887999999997</v>
      </c>
      <c r="M13" s="571">
        <f>+'[2]CAP 04-99'!O1389</f>
        <v>22.738</v>
      </c>
      <c r="N13" s="571">
        <f>+'[2]CAP 04-99'!P1389</f>
        <v>22.857499999999998</v>
      </c>
      <c r="O13" s="217"/>
      <c r="P13" s="215"/>
      <c r="Q13" s="286"/>
      <c r="R13" s="286"/>
      <c r="S13" s="287"/>
      <c r="T13" s="286"/>
      <c r="U13" s="286"/>
      <c r="V13" s="242"/>
      <c r="W13" s="287"/>
      <c r="X13" s="217"/>
      <c r="Y13" s="288"/>
    </row>
    <row r="14" spans="1:25" ht="12" customHeight="1">
      <c r="A14" s="271" t="s">
        <v>107</v>
      </c>
      <c r="B14" s="561">
        <f t="shared" si="0"/>
        <v>169.68451800000003</v>
      </c>
      <c r="C14" s="571">
        <f>+'[2]CAP 04-99'!E1392</f>
        <v>14.450400000000002</v>
      </c>
      <c r="D14" s="571">
        <f>+'[2]CAP 04-99'!F1392</f>
        <v>14.427099999999999</v>
      </c>
      <c r="E14" s="571">
        <f>+'[2]CAP 04-99'!G1392</f>
        <v>15.783420000000005</v>
      </c>
      <c r="F14" s="571">
        <f>+'[2]CAP 04-99'!H1392</f>
        <v>14.205349999999999</v>
      </c>
      <c r="G14" s="571">
        <f>+'[2]CAP 04-99'!I1392</f>
        <v>13.600348</v>
      </c>
      <c r="H14" s="571">
        <f>+'[2]CAP 04-99'!J1392</f>
        <v>13.714699999999997</v>
      </c>
      <c r="I14" s="571">
        <f>+'[2]CAP 04-99'!K1392</f>
        <v>14.005499999999998</v>
      </c>
      <c r="J14" s="571">
        <f>+'[2]CAP 04-99'!L1392</f>
        <v>14.055900000000001</v>
      </c>
      <c r="K14" s="571">
        <f>+'[2]CAP 04-99'!M1392</f>
        <v>14.5304</v>
      </c>
      <c r="L14" s="571">
        <f>+'[2]CAP 04-99'!N1392</f>
        <v>13.222899999999999</v>
      </c>
      <c r="M14" s="571">
        <f>+'[2]CAP 04-99'!O1392</f>
        <v>13.52</v>
      </c>
      <c r="N14" s="571">
        <f>+'[2]CAP 04-99'!P1392</f>
        <v>14.168499999999998</v>
      </c>
      <c r="O14" s="217"/>
      <c r="P14" s="215"/>
      <c r="Q14" s="286"/>
      <c r="R14" s="286"/>
      <c r="S14" s="287"/>
      <c r="T14" s="286"/>
      <c r="U14" s="286"/>
      <c r="V14" s="242"/>
      <c r="W14" s="287"/>
      <c r="X14" s="217"/>
      <c r="Y14" s="288"/>
    </row>
    <row r="15" spans="1:25" ht="12" customHeight="1">
      <c r="A15" s="271" t="s">
        <v>108</v>
      </c>
      <c r="B15" s="561">
        <f t="shared" si="0"/>
        <v>17.892199999999999</v>
      </c>
      <c r="C15" s="571">
        <f>+'[2]CAP 04-99'!E1395</f>
        <v>1.3884000000000001</v>
      </c>
      <c r="D15" s="571">
        <f>+'[2]CAP 04-99'!F1395</f>
        <v>1.258</v>
      </c>
      <c r="E15" s="571">
        <f>+'[2]CAP 04-99'!G1395</f>
        <v>1.4339999999999999</v>
      </c>
      <c r="F15" s="571">
        <f>+'[2]CAP 04-99'!H1395</f>
        <v>1.6232</v>
      </c>
      <c r="G15" s="571">
        <f>+'[2]CAP 04-99'!I1395</f>
        <v>1.6096000000000001</v>
      </c>
      <c r="H15" s="571">
        <f>+'[2]CAP 04-99'!J1395</f>
        <v>1.6459999999999999</v>
      </c>
      <c r="I15" s="571">
        <f>+'[2]CAP 04-99'!K1395</f>
        <v>1.6319999999999999</v>
      </c>
      <c r="J15" s="571">
        <f>+'[2]CAP 04-99'!L1395</f>
        <v>1.512</v>
      </c>
      <c r="K15" s="571">
        <f>+'[2]CAP 04-99'!M1395</f>
        <v>1.56</v>
      </c>
      <c r="L15" s="571">
        <f>+'[2]CAP 04-99'!N1395</f>
        <v>1.54</v>
      </c>
      <c r="M15" s="571">
        <f>+'[2]CAP 04-99'!O1395</f>
        <v>1.5640000000000001</v>
      </c>
      <c r="N15" s="571">
        <f>+'[2]CAP 04-99'!P1395</f>
        <v>1.125</v>
      </c>
      <c r="O15" s="217"/>
      <c r="P15" s="215"/>
      <c r="Q15" s="286"/>
      <c r="R15" s="286"/>
      <c r="S15" s="287"/>
      <c r="T15" s="286"/>
      <c r="U15" s="286"/>
      <c r="V15" s="242"/>
      <c r="W15" s="287"/>
      <c r="X15" s="217"/>
      <c r="Y15" s="288"/>
    </row>
    <row r="16" spans="1:25" ht="12" customHeight="1">
      <c r="A16" s="271" t="s">
        <v>109</v>
      </c>
      <c r="B16" s="561">
        <f t="shared" si="0"/>
        <v>108.19614799999999</v>
      </c>
      <c r="C16" s="571">
        <f>+'[2]CAP 04-99'!E1398</f>
        <v>6.5226800000000003</v>
      </c>
      <c r="D16" s="571">
        <f>+'[2]CAP 04-99'!F1398</f>
        <v>6.4572800000000008</v>
      </c>
      <c r="E16" s="571">
        <f>+'[2]CAP 04-99'!G1398</f>
        <v>10.263359999999999</v>
      </c>
      <c r="F16" s="571">
        <f>+'[2]CAP 04-99'!H1398</f>
        <v>9.1308000000000007</v>
      </c>
      <c r="G16" s="571">
        <f>+'[2]CAP 04-99'!I1398</f>
        <v>10.129400000000002</v>
      </c>
      <c r="H16" s="571">
        <f>+'[2]CAP 04-99'!J1398</f>
        <v>16.820080000000001</v>
      </c>
      <c r="I16" s="571">
        <f>+'[2]CAP 04-99'!K1398</f>
        <v>10.74084</v>
      </c>
      <c r="J16" s="571">
        <f>+'[2]CAP 04-99'!L1398</f>
        <v>7.99</v>
      </c>
      <c r="K16" s="571">
        <f>+'[2]CAP 04-99'!M1398</f>
        <v>7.2317200000000001</v>
      </c>
      <c r="L16" s="571">
        <f>+'[2]CAP 04-99'!N1398</f>
        <v>7.6919879999999985</v>
      </c>
      <c r="M16" s="571">
        <f>+'[2]CAP 04-99'!O1398</f>
        <v>7.6539999999999999</v>
      </c>
      <c r="N16" s="571">
        <f>+'[2]CAP 04-99'!P1398</f>
        <v>7.5640000000000001</v>
      </c>
      <c r="O16" s="217"/>
      <c r="P16" s="215"/>
      <c r="Q16" s="286"/>
      <c r="R16" s="286"/>
      <c r="S16" s="287"/>
      <c r="T16" s="286"/>
      <c r="U16" s="286"/>
      <c r="V16" s="242"/>
      <c r="W16" s="287"/>
      <c r="X16" s="217"/>
      <c r="Y16" s="288"/>
    </row>
    <row r="17" spans="1:25" ht="12" customHeight="1">
      <c r="A17" s="269" t="s">
        <v>29</v>
      </c>
      <c r="B17" s="561">
        <f t="shared" si="0"/>
        <v>59.775999999999996</v>
      </c>
      <c r="C17" s="571">
        <f>+'[2]CAP 04-99'!E1401</f>
        <v>4.7432000000000007</v>
      </c>
      <c r="D17" s="571">
        <f>+'[2]CAP 04-99'!F1401</f>
        <v>4.6551999999999998</v>
      </c>
      <c r="E17" s="571">
        <f>+'[2]CAP 04-99'!G1401</f>
        <v>4.6124000000000001</v>
      </c>
      <c r="F17" s="571">
        <f>+'[2]CAP 04-99'!H1401</f>
        <v>4.3763999999999994</v>
      </c>
      <c r="G17" s="571">
        <f>+'[2]CAP 04-99'!I1401</f>
        <v>4.6012000000000004</v>
      </c>
      <c r="H17" s="571">
        <f>+'[2]CAP 04-99'!J1401</f>
        <v>4.8228</v>
      </c>
      <c r="I17" s="571">
        <f>+'[2]CAP 04-99'!K1401</f>
        <v>5.6308000000000007</v>
      </c>
      <c r="J17" s="571">
        <f>+'[2]CAP 04-99'!L1401</f>
        <v>5.3783999999999992</v>
      </c>
      <c r="K17" s="571">
        <f>+'[2]CAP 04-99'!M1401</f>
        <v>5.3391999999999999</v>
      </c>
      <c r="L17" s="571">
        <f>+'[2]CAP 04-99'!N1401</f>
        <v>4.9123999999999999</v>
      </c>
      <c r="M17" s="571">
        <f>+'[2]CAP 04-99'!O1401</f>
        <v>5.0224000000000002</v>
      </c>
      <c r="N17" s="571">
        <f>+'[2]CAP 04-99'!P1401</f>
        <v>5.6816000000000004</v>
      </c>
      <c r="O17" s="217"/>
      <c r="P17" s="215"/>
      <c r="Q17" s="286"/>
      <c r="R17" s="286"/>
      <c r="S17" s="287"/>
      <c r="T17" s="286"/>
      <c r="U17" s="286"/>
      <c r="V17" s="242"/>
      <c r="W17" s="287"/>
      <c r="X17" s="217"/>
      <c r="Y17" s="288"/>
    </row>
    <row r="18" spans="1:25" ht="12" customHeight="1">
      <c r="A18" s="217" t="s">
        <v>30</v>
      </c>
      <c r="B18" s="561">
        <f t="shared" si="0"/>
        <v>218.59657630000004</v>
      </c>
      <c r="C18" s="571">
        <f>+'[2]CAP 04-99'!E1404</f>
        <v>15.74066</v>
      </c>
      <c r="D18" s="571">
        <f>+'[2]CAP 04-99'!F1404</f>
        <v>16.02</v>
      </c>
      <c r="E18" s="571">
        <f>+'[2]CAP 04-99'!G1404</f>
        <v>16.5047423</v>
      </c>
      <c r="F18" s="571">
        <f>+'[2]CAP 04-99'!H1404</f>
        <v>17.151</v>
      </c>
      <c r="G18" s="571">
        <f>+'[2]CAP 04-99'!I1404</f>
        <v>15.98</v>
      </c>
      <c r="H18" s="571">
        <f>+'[2]CAP 04-99'!J1404</f>
        <v>17.329999999999998</v>
      </c>
      <c r="I18" s="571">
        <f>+'[2]CAP 04-99'!K1404</f>
        <v>19.0914</v>
      </c>
      <c r="J18" s="571">
        <f>+'[2]CAP 04-99'!L1404</f>
        <v>20.179819999999999</v>
      </c>
      <c r="K18" s="571">
        <f>+'[2]CAP 04-99'!M1404</f>
        <v>20.1982</v>
      </c>
      <c r="L18" s="571">
        <f>+'[2]CAP 04-99'!N1404</f>
        <v>19.978753999999999</v>
      </c>
      <c r="M18" s="571">
        <f>+'[2]CAP 04-99'!O1404</f>
        <v>20.02</v>
      </c>
      <c r="N18" s="571">
        <f>+'[2]CAP 04-99'!P1404</f>
        <v>20.402000000000001</v>
      </c>
      <c r="O18" s="217"/>
      <c r="P18" s="215"/>
      <c r="Q18" s="286"/>
      <c r="R18" s="286"/>
      <c r="S18" s="287"/>
      <c r="T18" s="286"/>
      <c r="U18" s="286"/>
      <c r="V18" s="242"/>
      <c r="W18" s="287"/>
      <c r="X18" s="217"/>
      <c r="Y18" s="288"/>
    </row>
    <row r="19" spans="1:25" ht="12" customHeight="1">
      <c r="A19" s="217" t="s">
        <v>31</v>
      </c>
      <c r="B19" s="561">
        <f t="shared" si="0"/>
        <v>533.01405999999997</v>
      </c>
      <c r="C19" s="571">
        <f>+'[2]CAP 04-99'!E1407</f>
        <v>39.537219999999998</v>
      </c>
      <c r="D19" s="571">
        <f>+'[2]CAP 04-99'!F1407</f>
        <v>47.502380000000002</v>
      </c>
      <c r="E19" s="571">
        <f>+'[2]CAP 04-99'!G1407</f>
        <v>41.664400000000001</v>
      </c>
      <c r="F19" s="571">
        <f>+'[2]CAP 04-99'!H1407</f>
        <v>42.454303999999993</v>
      </c>
      <c r="G19" s="571">
        <f>+'[2]CAP 04-99'!I1407</f>
        <v>44.942500000000003</v>
      </c>
      <c r="H19" s="571">
        <f>+'[2]CAP 04-99'!J1407</f>
        <v>41.70928</v>
      </c>
      <c r="I19" s="571">
        <f>+'[2]CAP 04-99'!K1407</f>
        <v>46.404132000000004</v>
      </c>
      <c r="J19" s="571">
        <f>+'[2]CAP 04-99'!L1407</f>
        <v>40.186212000000005</v>
      </c>
      <c r="K19" s="571">
        <f>+'[2]CAP 04-99'!M1407</f>
        <v>45.057091999999997</v>
      </c>
      <c r="L19" s="571">
        <f>+'[2]CAP 04-99'!N1407</f>
        <v>44.308860000000003</v>
      </c>
      <c r="M19" s="571">
        <f>+'[2]CAP 04-99'!O1407</f>
        <v>44.144660000000002</v>
      </c>
      <c r="N19" s="571">
        <f>+'[2]CAP 04-99'!P1407</f>
        <v>55.103020000000001</v>
      </c>
      <c r="O19" s="217"/>
      <c r="P19" s="215"/>
      <c r="Q19" s="286"/>
      <c r="R19" s="286"/>
      <c r="S19" s="287"/>
      <c r="T19" s="286"/>
      <c r="U19" s="286"/>
      <c r="V19" s="242"/>
      <c r="W19" s="287"/>
      <c r="X19" s="217"/>
      <c r="Y19" s="288"/>
    </row>
    <row r="20" spans="1:25" ht="12" customHeight="1">
      <c r="A20" s="269" t="s">
        <v>32</v>
      </c>
      <c r="B20" s="561">
        <f t="shared" si="0"/>
        <v>247.49548000000004</v>
      </c>
      <c r="C20" s="571">
        <f>+'[2]CAP 04-99'!E1410</f>
        <v>16.199960000000008</v>
      </c>
      <c r="D20" s="571">
        <f>+'[2]CAP 04-99'!F1410</f>
        <v>15.399840000000001</v>
      </c>
      <c r="E20" s="571">
        <f>+'[2]CAP 04-99'!G1410</f>
        <v>17.666000000000004</v>
      </c>
      <c r="F20" s="571">
        <f>+'[2]CAP 04-99'!H1410</f>
        <v>18.263760000000005</v>
      </c>
      <c r="G20" s="571">
        <f>+'[2]CAP 04-99'!I1410</f>
        <v>19.284680000000005</v>
      </c>
      <c r="H20" s="571">
        <f>+'[2]CAP 04-99'!J1410</f>
        <v>19.617680000000004</v>
      </c>
      <c r="I20" s="571">
        <f>+'[2]CAP 04-99'!K1410</f>
        <v>21.461239999999997</v>
      </c>
      <c r="J20" s="571">
        <f>+'[2]CAP 04-99'!L1410</f>
        <v>23.059840000000008</v>
      </c>
      <c r="K20" s="571">
        <f>+'[2]CAP 04-99'!M1410</f>
        <v>23.165960000000013</v>
      </c>
      <c r="L20" s="571">
        <f>+'[2]CAP 04-99'!N1410</f>
        <v>25.442320000000006</v>
      </c>
      <c r="M20" s="571">
        <f>+'[2]CAP 04-99'!O1410</f>
        <v>23.574960000000004</v>
      </c>
      <c r="N20" s="571">
        <f>+'[2]CAP 04-99'!P1410</f>
        <v>24.35924</v>
      </c>
      <c r="O20" s="217"/>
      <c r="P20" s="215"/>
      <c r="Q20" s="286"/>
      <c r="R20" s="286"/>
      <c r="S20" s="287"/>
      <c r="T20" s="286"/>
      <c r="U20" s="286"/>
      <c r="V20" s="242"/>
      <c r="W20" s="287"/>
      <c r="X20" s="217"/>
      <c r="Y20" s="288"/>
    </row>
    <row r="21" spans="1:25" ht="12" customHeight="1">
      <c r="A21" s="269" t="s">
        <v>33</v>
      </c>
      <c r="B21" s="561">
        <f t="shared" si="0"/>
        <v>237.40544000000003</v>
      </c>
      <c r="C21" s="571">
        <f>+'[2]CAP 04-99'!E1413</f>
        <v>16.772480000000005</v>
      </c>
      <c r="D21" s="571">
        <f>+'[2]CAP 04-99'!F1413</f>
        <v>17.452080000000006</v>
      </c>
      <c r="E21" s="571">
        <f>+'[2]CAP 04-99'!G1413</f>
        <v>17.493600000000004</v>
      </c>
      <c r="F21" s="571">
        <f>+'[2]CAP 04-99'!H1413</f>
        <v>18.443999999999999</v>
      </c>
      <c r="G21" s="571">
        <f>+'[2]CAP 04-99'!I1413</f>
        <v>19.960080000000001</v>
      </c>
      <c r="H21" s="571">
        <f>+'[2]CAP 04-99'!J1413</f>
        <v>24.255279999999999</v>
      </c>
      <c r="I21" s="571">
        <f>+'[2]CAP 04-99'!K1413</f>
        <v>22.688880000000001</v>
      </c>
      <c r="J21" s="571">
        <f>+'[2]CAP 04-99'!L1413</f>
        <v>23.062479999999997</v>
      </c>
      <c r="K21" s="571">
        <f>+'[2]CAP 04-99'!M1413</f>
        <v>20.62088</v>
      </c>
      <c r="L21" s="571">
        <f>+'[2]CAP 04-99'!N1413</f>
        <v>20.449679999999997</v>
      </c>
      <c r="M21" s="571">
        <f>+'[2]CAP 04-99'!O1413</f>
        <v>17.488400000000009</v>
      </c>
      <c r="N21" s="571">
        <f>+'[2]CAP 04-99'!P1413</f>
        <v>18.717599999999997</v>
      </c>
      <c r="O21" s="217"/>
      <c r="P21" s="215"/>
      <c r="Q21" s="286"/>
      <c r="R21" s="286"/>
      <c r="S21" s="287"/>
      <c r="T21" s="286"/>
      <c r="U21" s="286"/>
      <c r="V21" s="242"/>
      <c r="W21" s="287"/>
      <c r="X21" s="217"/>
      <c r="Y21" s="288"/>
    </row>
    <row r="22" spans="1:25" ht="12" customHeight="1">
      <c r="A22" s="269" t="s">
        <v>34</v>
      </c>
      <c r="B22" s="561">
        <f t="shared" si="0"/>
        <v>12.355241599999999</v>
      </c>
      <c r="C22" s="571">
        <f>+'[2]CAP 04-99'!E1416</f>
        <v>0.82627200000000001</v>
      </c>
      <c r="D22" s="571">
        <f>+'[2]CAP 04-99'!F1416</f>
        <v>0.62625600000000015</v>
      </c>
      <c r="E22" s="571">
        <f>+'[2]CAP 04-99'!G1416</f>
        <v>0.8286960000000001</v>
      </c>
      <c r="F22" s="571">
        <f>+'[2]CAP 04-99'!H1416</f>
        <v>1.0481400000000003</v>
      </c>
      <c r="G22" s="571">
        <f>+'[2]CAP 04-99'!I1416</f>
        <v>1.2793520000000003</v>
      </c>
      <c r="H22" s="571">
        <f>+'[2]CAP 04-99'!J1416</f>
        <v>1.3353800000000002</v>
      </c>
      <c r="I22" s="571">
        <f>+'[2]CAP 04-99'!K1416</f>
        <v>1.5376000000000003</v>
      </c>
      <c r="J22" s="571">
        <f>+'[2]CAP 04-99'!L1416</f>
        <v>0.60473599999999994</v>
      </c>
      <c r="K22" s="571">
        <f>+'[2]CAP 04-99'!M1416</f>
        <v>0.75871600000000017</v>
      </c>
      <c r="L22" s="571">
        <f>+'[2]CAP 04-99'!N1416</f>
        <v>0.82845199999999997</v>
      </c>
      <c r="M22" s="571">
        <f>+'[2]CAP 04-99'!O1416</f>
        <v>1.1535920000000002</v>
      </c>
      <c r="N22" s="571">
        <f>+'[2]CAP 04-99'!P1416</f>
        <v>1.5280495999999999</v>
      </c>
      <c r="O22" s="217"/>
      <c r="P22" s="215"/>
      <c r="Q22" s="217"/>
      <c r="R22" s="286"/>
      <c r="S22" s="287"/>
      <c r="T22" s="286"/>
      <c r="U22" s="286"/>
      <c r="V22" s="242"/>
      <c r="W22" s="287"/>
      <c r="X22" s="217"/>
      <c r="Y22" s="288"/>
    </row>
    <row r="23" spans="1:25" ht="12" customHeight="1">
      <c r="A23" s="269" t="s">
        <v>35</v>
      </c>
      <c r="B23" s="561">
        <f t="shared" si="0"/>
        <v>43.806954286753104</v>
      </c>
      <c r="C23" s="571">
        <f>+'[2]CAP 04-99'!E1419</f>
        <v>3.1132</v>
      </c>
      <c r="D23" s="571">
        <f>+'[2]CAP 04-99'!F1419</f>
        <v>3.4771999999999998</v>
      </c>
      <c r="E23" s="571">
        <f>+'[2]CAP 04-99'!G1419</f>
        <v>3.5352000000000001</v>
      </c>
      <c r="F23" s="571">
        <f>+'[2]CAP 04-99'!H1419</f>
        <v>3.5156000000000001</v>
      </c>
      <c r="G23" s="571">
        <f>+'[2]CAP 04-99'!I1419</f>
        <v>3.5597467778558798</v>
      </c>
      <c r="H23" s="571">
        <f>+'[2]CAP 04-99'!J1419</f>
        <v>3.8875999999999999</v>
      </c>
      <c r="I23" s="571">
        <f>+'[2]CAP 04-99'!K1419</f>
        <v>3.7547999999999999</v>
      </c>
      <c r="J23" s="571">
        <f>+'[2]CAP 04-99'!L1419</f>
        <v>3.8224</v>
      </c>
      <c r="K23" s="571">
        <f>+'[2]CAP 04-99'!M1419</f>
        <v>3.2866</v>
      </c>
      <c r="L23" s="571">
        <f>+'[2]CAP 04-99'!N1419</f>
        <v>3.38836</v>
      </c>
      <c r="M23" s="571">
        <f>+'[2]CAP 04-99'!O1419</f>
        <v>3.6720000000000002</v>
      </c>
      <c r="N23" s="571">
        <f>+'[2]CAP 04-99'!P1419</f>
        <v>4.7942475088972296</v>
      </c>
      <c r="O23" s="217"/>
      <c r="P23" s="215"/>
      <c r="Q23" s="217"/>
      <c r="R23" s="286"/>
      <c r="S23" s="287"/>
      <c r="T23" s="286"/>
      <c r="U23" s="286"/>
      <c r="V23" s="242"/>
      <c r="W23" s="287"/>
      <c r="X23" s="217"/>
      <c r="Y23" s="288"/>
    </row>
    <row r="24" spans="1:25" ht="12" customHeight="1">
      <c r="A24" s="269" t="s">
        <v>36</v>
      </c>
      <c r="B24" s="561">
        <f t="shared" si="0"/>
        <v>335.45070000000004</v>
      </c>
      <c r="C24" s="571">
        <f>+'[2]CAP 04-99'!E1422</f>
        <v>23.909035999999997</v>
      </c>
      <c r="D24" s="571">
        <f>+'[2]CAP 04-99'!F1422</f>
        <v>31.265248000000003</v>
      </c>
      <c r="E24" s="571">
        <f>+'[2]CAP 04-99'!G1422</f>
        <v>28.511555999999985</v>
      </c>
      <c r="F24" s="571">
        <f>+'[2]CAP 04-99'!H1422</f>
        <v>28.261220000000016</v>
      </c>
      <c r="G24" s="571">
        <f>+'[2]CAP 04-99'!I1422</f>
        <v>29.604084000000025</v>
      </c>
      <c r="H24" s="571">
        <f>+'[2]CAP 04-99'!J1422</f>
        <v>29.746032000000003</v>
      </c>
      <c r="I24" s="571">
        <f>+'[2]CAP 04-99'!K1422</f>
        <v>26.394807999999998</v>
      </c>
      <c r="J24" s="571">
        <f>+'[2]CAP 04-99'!L1422</f>
        <v>25.796692000000004</v>
      </c>
      <c r="K24" s="571">
        <f>+'[2]CAP 04-99'!M1422</f>
        <v>26.884452</v>
      </c>
      <c r="L24" s="571">
        <f>+'[2]CAP 04-99'!N1422</f>
        <v>30.490372000000004</v>
      </c>
      <c r="M24" s="571">
        <f>+'[2]CAP 04-99'!O1422</f>
        <v>28.311763999999989</v>
      </c>
      <c r="N24" s="571">
        <f>+'[2]CAP 04-99'!P1422</f>
        <v>26.275435999999999</v>
      </c>
      <c r="O24" s="217"/>
      <c r="P24" s="215"/>
      <c r="Q24" s="217"/>
      <c r="R24" s="286"/>
      <c r="S24" s="287"/>
      <c r="T24" s="286"/>
      <c r="U24" s="286"/>
      <c r="V24" s="242"/>
      <c r="W24" s="287"/>
      <c r="X24" s="217"/>
      <c r="Y24" s="288"/>
    </row>
    <row r="25" spans="1:25" ht="12" customHeight="1">
      <c r="A25" s="217" t="s">
        <v>37</v>
      </c>
      <c r="B25" s="561">
        <f t="shared" si="0"/>
        <v>130.4425</v>
      </c>
      <c r="C25" s="571">
        <f>+'[2]CAP 04-99'!E1425</f>
        <v>10.4503</v>
      </c>
      <c r="D25" s="571">
        <f>+'[2]CAP 04-99'!F1425</f>
        <v>10.166699999999999</v>
      </c>
      <c r="E25" s="571">
        <f>+'[2]CAP 04-99'!G1425</f>
        <v>10.330400000000001</v>
      </c>
      <c r="F25" s="571">
        <f>+'[2]CAP 04-99'!H1425</f>
        <v>10.545299999999999</v>
      </c>
      <c r="G25" s="571">
        <f>+'[2]CAP 04-99'!I1425</f>
        <v>10.152999999999999</v>
      </c>
      <c r="H25" s="571">
        <f>+'[2]CAP 04-99'!J1425</f>
        <v>10.129800000000001</v>
      </c>
      <c r="I25" s="571">
        <f>+'[2]CAP 04-99'!K1425</f>
        <v>10.8263</v>
      </c>
      <c r="J25" s="571">
        <f>+'[2]CAP 04-99'!L1425</f>
        <v>10.4666</v>
      </c>
      <c r="K25" s="571">
        <f>+'[2]CAP 04-99'!M1425</f>
        <v>10.2403</v>
      </c>
      <c r="L25" s="571">
        <f>+'[2]CAP 04-99'!N1425</f>
        <v>10.2075</v>
      </c>
      <c r="M25" s="571">
        <f>+'[2]CAP 04-99'!O1425</f>
        <v>10.9383</v>
      </c>
      <c r="N25" s="571">
        <f>+'[2]CAP 04-99'!P1425</f>
        <v>15.988</v>
      </c>
      <c r="O25" s="217"/>
      <c r="P25" s="215"/>
      <c r="Q25" s="217"/>
      <c r="R25" s="286"/>
      <c r="S25" s="287"/>
      <c r="T25" s="286"/>
      <c r="U25" s="286"/>
      <c r="V25" s="242"/>
      <c r="W25" s="287"/>
      <c r="X25" s="217"/>
      <c r="Y25" s="288"/>
    </row>
    <row r="26" spans="1:25" ht="12" customHeight="1">
      <c r="A26" s="269" t="s">
        <v>38</v>
      </c>
      <c r="B26" s="561">
        <f t="shared" si="0"/>
        <v>10.113510000000002</v>
      </c>
      <c r="C26" s="571">
        <f>+'[2]CAP 04-99'!E1428</f>
        <v>0.82920000000000005</v>
      </c>
      <c r="D26" s="571">
        <f>+'[2]CAP 04-99'!F1428</f>
        <v>0.98241000000000001</v>
      </c>
      <c r="E26" s="571">
        <f>+'[2]CAP 04-99'!G1428</f>
        <v>0.93</v>
      </c>
      <c r="F26" s="571">
        <f>+'[2]CAP 04-99'!H1428</f>
        <v>0.92300000000000004</v>
      </c>
      <c r="G26" s="571">
        <f>+'[2]CAP 04-99'!I1428</f>
        <v>0.85960000000000003</v>
      </c>
      <c r="H26" s="571">
        <f>+'[2]CAP 04-99'!J1428</f>
        <v>0.93120000000000003</v>
      </c>
      <c r="I26" s="571">
        <f>+'[2]CAP 04-99'!K1428</f>
        <v>0.65800000000000003</v>
      </c>
      <c r="J26" s="571">
        <f>+'[2]CAP 04-99'!L1428</f>
        <v>0.81340000000000001</v>
      </c>
      <c r="K26" s="571">
        <f>+'[2]CAP 04-99'!M1428</f>
        <v>0.63</v>
      </c>
      <c r="L26" s="571">
        <f>+'[2]CAP 04-99'!N1428</f>
        <v>0.59599999999999997</v>
      </c>
      <c r="M26" s="571">
        <f>+'[2]CAP 04-99'!O1428</f>
        <v>0.76200000000000012</v>
      </c>
      <c r="N26" s="571">
        <f>+'[2]CAP 04-99'!P1428</f>
        <v>1.1987000000000001</v>
      </c>
      <c r="O26" s="217"/>
      <c r="P26" s="215"/>
      <c r="Q26" s="217"/>
      <c r="R26" s="286"/>
      <c r="S26" s="287"/>
      <c r="T26" s="286"/>
      <c r="U26" s="286"/>
      <c r="V26" s="242"/>
      <c r="W26" s="287"/>
      <c r="X26" s="217"/>
      <c r="Y26" s="288"/>
    </row>
    <row r="27" spans="1:25" ht="12" customHeight="1">
      <c r="A27" s="269" t="s">
        <v>39</v>
      </c>
      <c r="B27" s="561">
        <f t="shared" si="0"/>
        <v>76.478400000000008</v>
      </c>
      <c r="C27" s="571">
        <f>+'[2]CAP 04-99'!E1431</f>
        <v>4.6339999999999995</v>
      </c>
      <c r="D27" s="571">
        <f>+'[2]CAP 04-99'!F1431</f>
        <v>4.9880000000000022</v>
      </c>
      <c r="E27" s="571">
        <f>+'[2]CAP 04-99'!G1431</f>
        <v>5.1168000000000013</v>
      </c>
      <c r="F27" s="571">
        <f>+'[2]CAP 04-99'!H1431</f>
        <v>5.6599999999999993</v>
      </c>
      <c r="G27" s="571">
        <f>+'[2]CAP 04-99'!I1431</f>
        <v>6.1920000000000011</v>
      </c>
      <c r="H27" s="571">
        <f>+'[2]CAP 04-99'!J1431</f>
        <v>6.6320000000000023</v>
      </c>
      <c r="I27" s="571">
        <f>+'[2]CAP 04-99'!K1431</f>
        <v>7.3199999999999994</v>
      </c>
      <c r="J27" s="571">
        <f>+'[2]CAP 04-99'!L1431</f>
        <v>7.1239999999999997</v>
      </c>
      <c r="K27" s="571">
        <f>+'[2]CAP 04-99'!M1431</f>
        <v>7.3044000000000002</v>
      </c>
      <c r="L27" s="571">
        <f>+'[2]CAP 04-99'!N1431</f>
        <v>6.8840000000000003</v>
      </c>
      <c r="M27" s="571">
        <f>+'[2]CAP 04-99'!O1431</f>
        <v>7.0791999999999993</v>
      </c>
      <c r="N27" s="571">
        <f>+'[2]CAP 04-99'!P1431</f>
        <v>7.5440000000000005</v>
      </c>
      <c r="O27" s="217"/>
      <c r="P27" s="215"/>
      <c r="Q27" s="217"/>
      <c r="R27" s="286"/>
      <c r="S27" s="287"/>
      <c r="T27" s="286"/>
      <c r="U27" s="286"/>
      <c r="V27" s="242"/>
      <c r="W27" s="287"/>
      <c r="X27" s="217"/>
      <c r="Y27" s="288"/>
    </row>
    <row r="28" spans="1:25" ht="12" customHeight="1">
      <c r="A28" s="269" t="s">
        <v>40</v>
      </c>
      <c r="B28" s="561">
        <f t="shared" si="0"/>
        <v>340.69149200000004</v>
      </c>
      <c r="C28" s="571">
        <f>+'[2]CAP 04-99'!E1434</f>
        <v>15.7316</v>
      </c>
      <c r="D28" s="571">
        <f>+'[2]CAP 04-99'!F1434</f>
        <v>17.878</v>
      </c>
      <c r="E28" s="571">
        <f>+'[2]CAP 04-99'!G1434</f>
        <v>26.007200000000001</v>
      </c>
      <c r="F28" s="571">
        <f>+'[2]CAP 04-99'!H1434</f>
        <v>30.504800000000003</v>
      </c>
      <c r="G28" s="571">
        <f>+'[2]CAP 04-99'!I1434</f>
        <v>34.504000000000005</v>
      </c>
      <c r="H28" s="571">
        <f>+'[2]CAP 04-99'!J1434</f>
        <v>33.019600000000004</v>
      </c>
      <c r="I28" s="571">
        <f>+'[2]CAP 04-99'!K1434</f>
        <v>35.697200000000002</v>
      </c>
      <c r="J28" s="571">
        <f>+'[2]CAP 04-99'!L1434</f>
        <v>34.198799999999999</v>
      </c>
      <c r="K28" s="571">
        <f>+'[2]CAP 04-99'!M1434</f>
        <v>23.893200000000004</v>
      </c>
      <c r="L28" s="571">
        <f>+'[2]CAP 04-99'!N1434</f>
        <v>21.407492000000001</v>
      </c>
      <c r="M28" s="571">
        <f>+'[2]CAP 04-99'!O1434</f>
        <v>32.040800000000004</v>
      </c>
      <c r="N28" s="571">
        <f>+'[2]CAP 04-99'!P1434</f>
        <v>35.808800000000005</v>
      </c>
      <c r="O28" s="217"/>
      <c r="P28" s="215"/>
      <c r="Q28" s="217"/>
      <c r="R28" s="286"/>
      <c r="S28" s="287"/>
      <c r="T28" s="286"/>
      <c r="U28" s="286"/>
      <c r="V28" s="242"/>
      <c r="W28" s="287"/>
      <c r="X28" s="217"/>
      <c r="Y28" s="288"/>
    </row>
    <row r="29" spans="1:25" ht="12" customHeight="1">
      <c r="A29" s="269" t="s">
        <v>41</v>
      </c>
      <c r="B29" s="561">
        <f t="shared" si="0"/>
        <v>195.15889999999999</v>
      </c>
      <c r="C29" s="571">
        <f>+'[2]CAP 04-99'!E1437</f>
        <v>17.12</v>
      </c>
      <c r="D29" s="571">
        <f>+'[2]CAP 04-99'!F1437</f>
        <v>18.079999999999998</v>
      </c>
      <c r="E29" s="571">
        <f>+'[2]CAP 04-99'!G1437</f>
        <v>19.03</v>
      </c>
      <c r="F29" s="571">
        <f>+'[2]CAP 04-99'!H1437</f>
        <v>19.14</v>
      </c>
      <c r="G29" s="571">
        <f>+'[2]CAP 04-99'!I1437</f>
        <v>16.111000000000001</v>
      </c>
      <c r="H29" s="571">
        <f>+'[2]CAP 04-99'!J1437</f>
        <v>16.241</v>
      </c>
      <c r="I29" s="571">
        <f>+'[2]CAP 04-99'!K1437</f>
        <v>16.27</v>
      </c>
      <c r="J29" s="571">
        <f>+'[2]CAP 04-99'!L1437</f>
        <v>15.148999999999999</v>
      </c>
      <c r="K29" s="571">
        <f>+'[2]CAP 04-99'!M1437</f>
        <v>14.913</v>
      </c>
      <c r="L29" s="571">
        <f>+'[2]CAP 04-99'!N1437</f>
        <v>14.820599999999999</v>
      </c>
      <c r="M29" s="571">
        <f>+'[2]CAP 04-99'!O1437</f>
        <v>14.718999999999999</v>
      </c>
      <c r="N29" s="571">
        <f>+'[2]CAP 04-99'!P1437</f>
        <v>13.565300000000001</v>
      </c>
      <c r="O29" s="217"/>
      <c r="P29" s="215"/>
      <c r="Q29" s="217"/>
      <c r="R29" s="286"/>
      <c r="S29" s="287"/>
      <c r="T29" s="286"/>
      <c r="U29" s="286"/>
      <c r="V29" s="242"/>
      <c r="W29" s="287"/>
      <c r="X29" s="217"/>
      <c r="Y29" s="288"/>
    </row>
    <row r="30" spans="1:25" ht="12" customHeight="1">
      <c r="A30" s="271" t="s">
        <v>111</v>
      </c>
      <c r="B30" s="561">
        <f t="shared" si="0"/>
        <v>61.227799999999988</v>
      </c>
      <c r="C30" s="571">
        <f>+'[2]CAP 04-99'!E1440</f>
        <v>5.0750000000000002</v>
      </c>
      <c r="D30" s="571">
        <f>+'[2]CAP 04-99'!F1440</f>
        <v>5.23</v>
      </c>
      <c r="E30" s="571">
        <f>+'[2]CAP 04-99'!G1440</f>
        <v>5.41</v>
      </c>
      <c r="F30" s="571">
        <f>+'[2]CAP 04-99'!H1440</f>
        <v>5.4320000000000004</v>
      </c>
      <c r="G30" s="571">
        <f>+'[2]CAP 04-99'!I1440</f>
        <v>5.141</v>
      </c>
      <c r="H30" s="571">
        <f>+'[2]CAP 04-99'!J1440</f>
        <v>5.2439999999999998</v>
      </c>
      <c r="I30" s="571">
        <f>+'[2]CAP 04-99'!K1440</f>
        <v>5.32</v>
      </c>
      <c r="J30" s="571">
        <f>+'[2]CAP 04-99'!L1440</f>
        <v>5.1289999999999996</v>
      </c>
      <c r="K30" s="571">
        <f>+'[2]CAP 04-99'!M1440</f>
        <v>5.0199999999999996</v>
      </c>
      <c r="L30" s="571">
        <f>+'[2]CAP 04-99'!N1440</f>
        <v>4.9455999999999998</v>
      </c>
      <c r="M30" s="571">
        <f>+'[2]CAP 04-99'!O1440</f>
        <v>4.93</v>
      </c>
      <c r="N30" s="571">
        <f>+'[2]CAP 04-99'!P1440</f>
        <v>4.3512000000000004</v>
      </c>
      <c r="O30" s="217"/>
      <c r="P30" s="215"/>
      <c r="Q30" s="217"/>
      <c r="R30" s="286"/>
      <c r="S30" s="287"/>
      <c r="T30" s="286"/>
      <c r="U30" s="286"/>
      <c r="V30" s="242"/>
      <c r="W30" s="287"/>
      <c r="X30" s="217"/>
      <c r="Y30" s="288"/>
    </row>
    <row r="31" spans="1:25" ht="12" customHeight="1">
      <c r="A31" s="271" t="s">
        <v>112</v>
      </c>
      <c r="B31" s="561">
        <f t="shared" si="0"/>
        <v>133.93109999999999</v>
      </c>
      <c r="C31" s="571">
        <f>+'[2]CAP 04-99'!E1443</f>
        <v>12.045</v>
      </c>
      <c r="D31" s="571">
        <f>+'[2]CAP 04-99'!F1443</f>
        <v>12.85</v>
      </c>
      <c r="E31" s="571">
        <f>+'[2]CAP 04-99'!G1443</f>
        <v>13.62</v>
      </c>
      <c r="F31" s="571">
        <f>+'[2]CAP 04-99'!H1443</f>
        <v>13.708</v>
      </c>
      <c r="G31" s="571">
        <f>+'[2]CAP 04-99'!I1443</f>
        <v>10.97</v>
      </c>
      <c r="H31" s="571">
        <f>+'[2]CAP 04-99'!J1443</f>
        <v>10.997</v>
      </c>
      <c r="I31" s="571">
        <f>+'[2]CAP 04-99'!K1443</f>
        <v>10.95</v>
      </c>
      <c r="J31" s="571">
        <f>+'[2]CAP 04-99'!L1443</f>
        <v>10.02</v>
      </c>
      <c r="K31" s="571">
        <f>+'[2]CAP 04-99'!M1443</f>
        <v>9.8930000000000007</v>
      </c>
      <c r="L31" s="571">
        <f>+'[2]CAP 04-99'!N1443</f>
        <v>9.875</v>
      </c>
      <c r="M31" s="571">
        <f>+'[2]CAP 04-99'!O1443</f>
        <v>9.7889999999999997</v>
      </c>
      <c r="N31" s="571">
        <f>+'[2]CAP 04-99'!P1443</f>
        <v>9.2141000000000002</v>
      </c>
      <c r="O31" s="217"/>
      <c r="P31" s="215"/>
      <c r="Q31" s="217"/>
      <c r="R31" s="286"/>
      <c r="S31" s="287"/>
      <c r="T31" s="286"/>
      <c r="U31" s="286"/>
      <c r="V31" s="242"/>
      <c r="W31" s="287"/>
      <c r="X31" s="217"/>
      <c r="Y31" s="288"/>
    </row>
    <row r="32" spans="1:25" ht="12" customHeight="1">
      <c r="A32" s="269" t="s">
        <v>44</v>
      </c>
      <c r="B32" s="561">
        <f t="shared" si="0"/>
        <v>50.181200000000004</v>
      </c>
      <c r="C32" s="571">
        <f>+'[2]CAP 04-99'!E1446</f>
        <v>3.8003999999999998</v>
      </c>
      <c r="D32" s="571">
        <f>+'[2]CAP 04-99'!F1446</f>
        <v>3.9844000000000004</v>
      </c>
      <c r="E32" s="571">
        <f>+'[2]CAP 04-99'!G1446</f>
        <v>3.9860000000000007</v>
      </c>
      <c r="F32" s="571">
        <f>+'[2]CAP 04-99'!H1446</f>
        <v>4.1804000000000006</v>
      </c>
      <c r="G32" s="571">
        <f>+'[2]CAP 04-99'!I1446</f>
        <v>4.3084000000000007</v>
      </c>
      <c r="H32" s="571">
        <f>+'[2]CAP 04-99'!J1446</f>
        <v>4.2651999999999992</v>
      </c>
      <c r="I32" s="571">
        <f>+'[2]CAP 04-99'!K1446</f>
        <v>4.2683999999999997</v>
      </c>
      <c r="J32" s="571">
        <f>+'[2]CAP 04-99'!L1446</f>
        <v>4.2667999999999999</v>
      </c>
      <c r="K32" s="571">
        <f>+'[2]CAP 04-99'!M1446</f>
        <v>4.3132000000000001</v>
      </c>
      <c r="L32" s="571">
        <f>+'[2]CAP 04-99'!N1446</f>
        <v>4.3316000000000008</v>
      </c>
      <c r="M32" s="571">
        <f>+'[2]CAP 04-99'!O1446</f>
        <v>4.1924000000000001</v>
      </c>
      <c r="N32" s="571">
        <f>+'[2]CAP 04-99'!P1446</f>
        <v>4.2839999999999998</v>
      </c>
      <c r="O32" s="217"/>
      <c r="P32" s="215"/>
      <c r="Q32" s="217"/>
      <c r="R32" s="286"/>
      <c r="S32" s="287"/>
      <c r="T32" s="286"/>
      <c r="U32" s="286"/>
      <c r="V32" s="242"/>
      <c r="W32" s="287"/>
      <c r="X32" s="217"/>
      <c r="Y32" s="288"/>
    </row>
    <row r="33" spans="1:25" ht="12" customHeight="1">
      <c r="A33" s="269" t="s">
        <v>45</v>
      </c>
      <c r="B33" s="561">
        <f t="shared" si="0"/>
        <v>0</v>
      </c>
      <c r="C33" s="571">
        <f>+'[2]CAP 04-99'!E1449</f>
        <v>0</v>
      </c>
      <c r="D33" s="571">
        <f>+'[2]CAP 04-99'!F1449</f>
        <v>0</v>
      </c>
      <c r="E33" s="571">
        <f>+'[2]CAP 04-99'!G1449</f>
        <v>0</v>
      </c>
      <c r="F33" s="571">
        <f>+'[2]CAP 04-99'!H1449</f>
        <v>0</v>
      </c>
      <c r="G33" s="571">
        <f>+'[2]CAP 04-99'!I1449</f>
        <v>0</v>
      </c>
      <c r="H33" s="571">
        <f>+'[2]CAP 04-99'!J1449</f>
        <v>0</v>
      </c>
      <c r="I33" s="571">
        <f>+'[2]CAP 04-99'!K1449</f>
        <v>0</v>
      </c>
      <c r="J33" s="571">
        <f>+'[2]CAP 04-99'!L1449</f>
        <v>0</v>
      </c>
      <c r="K33" s="571">
        <f>+'[2]CAP 04-99'!M1449</f>
        <v>0</v>
      </c>
      <c r="L33" s="571">
        <f>+'[2]CAP 04-99'!N1449</f>
        <v>0</v>
      </c>
      <c r="M33" s="571">
        <f>+'[2]CAP 04-99'!O1449</f>
        <v>0</v>
      </c>
      <c r="N33" s="571">
        <f>+'[2]CAP 04-99'!P1449</f>
        <v>0</v>
      </c>
      <c r="O33" s="217"/>
      <c r="P33" s="215"/>
      <c r="Q33" s="217"/>
      <c r="R33" s="286"/>
      <c r="S33" s="287"/>
      <c r="T33" s="286"/>
      <c r="U33" s="286"/>
      <c r="V33" s="242"/>
      <c r="W33" s="287"/>
      <c r="X33" s="217"/>
      <c r="Y33" s="288"/>
    </row>
    <row r="34" spans="1:25" ht="12" customHeight="1">
      <c r="A34" s="217" t="s">
        <v>46</v>
      </c>
      <c r="B34" s="561">
        <f t="shared" si="0"/>
        <v>0</v>
      </c>
      <c r="C34" s="571">
        <f>+'[2]CAP 04-99'!E1452</f>
        <v>0</v>
      </c>
      <c r="D34" s="571">
        <f>+'[2]CAP 04-99'!F1452</f>
        <v>0</v>
      </c>
      <c r="E34" s="571">
        <f>+'[2]CAP 04-99'!G1452</f>
        <v>0</v>
      </c>
      <c r="F34" s="571">
        <f>+'[2]CAP 04-99'!H1452</f>
        <v>0</v>
      </c>
      <c r="G34" s="571">
        <f>+'[2]CAP 04-99'!I1452</f>
        <v>0</v>
      </c>
      <c r="H34" s="571">
        <f>+'[2]CAP 04-99'!J1452</f>
        <v>0</v>
      </c>
      <c r="I34" s="571">
        <f>+'[2]CAP 04-99'!K1452</f>
        <v>0</v>
      </c>
      <c r="J34" s="571">
        <f>+'[2]CAP 04-99'!L1452</f>
        <v>0</v>
      </c>
      <c r="K34" s="571">
        <f>+'[2]CAP 04-99'!M1452</f>
        <v>0</v>
      </c>
      <c r="L34" s="571">
        <f>+'[2]CAP 04-99'!N1452</f>
        <v>0</v>
      </c>
      <c r="M34" s="571">
        <f>+'[2]CAP 04-99'!O1452</f>
        <v>0</v>
      </c>
      <c r="N34" s="571">
        <f>+'[2]CAP 04-99'!P1452</f>
        <v>0</v>
      </c>
      <c r="O34" s="217"/>
      <c r="P34" s="215"/>
      <c r="Q34" s="217"/>
      <c r="R34" s="286"/>
      <c r="S34" s="287"/>
      <c r="T34" s="286"/>
      <c r="U34" s="286"/>
      <c r="V34" s="242"/>
      <c r="W34" s="287"/>
      <c r="X34" s="217"/>
      <c r="Y34" s="288"/>
    </row>
    <row r="35" spans="1:25" ht="12" customHeight="1">
      <c r="A35" s="217" t="s">
        <v>47</v>
      </c>
      <c r="B35" s="561">
        <f t="shared" si="0"/>
        <v>0.35500000000000004</v>
      </c>
      <c r="C35" s="571">
        <f>+'[2]CAP 04-99'!E1455</f>
        <v>4.0000000000000008E-2</v>
      </c>
      <c r="D35" s="571">
        <f>+'[2]CAP 04-99'!F1455</f>
        <v>0.03</v>
      </c>
      <c r="E35" s="571">
        <f>+'[2]CAP 04-99'!G1455</f>
        <v>2.0000000000000004E-2</v>
      </c>
      <c r="F35" s="571">
        <f>+'[2]CAP 04-99'!H1455</f>
        <v>0.03</v>
      </c>
      <c r="G35" s="571">
        <f>+'[2]CAP 04-99'!I1455</f>
        <v>2.0000000000000004E-2</v>
      </c>
      <c r="H35" s="571">
        <f>+'[2]CAP 04-99'!J1455</f>
        <v>0.03</v>
      </c>
      <c r="I35" s="571">
        <f>+'[2]CAP 04-99'!K1455</f>
        <v>2.0000000000000004E-2</v>
      </c>
      <c r="J35" s="571">
        <f>+'[2]CAP 04-99'!L1455</f>
        <v>0.03</v>
      </c>
      <c r="K35" s="571">
        <f>+'[2]CAP 04-99'!M1455</f>
        <v>2.0000000000000004E-2</v>
      </c>
      <c r="L35" s="571">
        <f>+'[2]CAP 04-99'!N1455</f>
        <v>0.03</v>
      </c>
      <c r="M35" s="571">
        <f>+'[2]CAP 04-99'!O1455</f>
        <v>2.0000000000000004E-2</v>
      </c>
      <c r="N35" s="571">
        <f>+'[2]CAP 04-99'!P1455</f>
        <v>6.5000000000000002E-2</v>
      </c>
      <c r="O35" s="217"/>
      <c r="P35" s="215"/>
      <c r="Q35" s="217"/>
      <c r="R35" s="286"/>
      <c r="S35" s="287"/>
      <c r="T35" s="286"/>
      <c r="U35" s="286"/>
      <c r="V35" s="242"/>
      <c r="W35" s="287"/>
      <c r="X35" s="217"/>
      <c r="Y35" s="288"/>
    </row>
    <row r="36" spans="1:25" ht="12" customHeight="1">
      <c r="A36" s="217" t="s">
        <v>48</v>
      </c>
      <c r="B36" s="561">
        <f t="shared" si="0"/>
        <v>0</v>
      </c>
      <c r="C36" s="571">
        <f>+'[2]CAP 04-99'!E1458</f>
        <v>0</v>
      </c>
      <c r="D36" s="571">
        <f>+'[2]CAP 04-99'!F1458</f>
        <v>0</v>
      </c>
      <c r="E36" s="571">
        <f>+'[2]CAP 04-99'!G1458</f>
        <v>0</v>
      </c>
      <c r="F36" s="571">
        <f>+'[2]CAP 04-99'!H1458</f>
        <v>0</v>
      </c>
      <c r="G36" s="571">
        <f>+'[2]CAP 04-99'!I1458</f>
        <v>0</v>
      </c>
      <c r="H36" s="571">
        <f>+'[2]CAP 04-99'!J1458</f>
        <v>0</v>
      </c>
      <c r="I36" s="571">
        <f>+'[2]CAP 04-99'!K1458</f>
        <v>0</v>
      </c>
      <c r="J36" s="571">
        <f>+'[2]CAP 04-99'!L1458</f>
        <v>0</v>
      </c>
      <c r="K36" s="571">
        <f>+'[2]CAP 04-99'!M1458</f>
        <v>0</v>
      </c>
      <c r="L36" s="571">
        <f>+'[2]CAP 04-99'!N1458</f>
        <v>0</v>
      </c>
      <c r="M36" s="571">
        <f>+'[2]CAP 04-99'!O1458</f>
        <v>0</v>
      </c>
      <c r="N36" s="571">
        <f>+'[2]CAP 04-99'!P1458</f>
        <v>0</v>
      </c>
      <c r="O36" s="217"/>
      <c r="P36" s="215"/>
      <c r="Q36" s="217"/>
      <c r="R36" s="286"/>
      <c r="S36" s="287"/>
      <c r="T36" s="286"/>
      <c r="U36" s="286"/>
      <c r="V36" s="242"/>
      <c r="W36" s="287"/>
      <c r="X36" s="217"/>
      <c r="Y36" s="288"/>
    </row>
    <row r="37" spans="1:25" ht="12" customHeight="1" thickBot="1">
      <c r="A37" s="272" t="s">
        <v>49</v>
      </c>
      <c r="B37" s="563">
        <f t="shared" si="0"/>
        <v>0</v>
      </c>
      <c r="C37" s="572">
        <f>+'[2]CAP 04-99'!E1461</f>
        <v>0</v>
      </c>
      <c r="D37" s="572">
        <f>+'[2]CAP 04-99'!F1461</f>
        <v>0</v>
      </c>
      <c r="E37" s="572">
        <f>+'[2]CAP 04-99'!G1461</f>
        <v>0</v>
      </c>
      <c r="F37" s="572">
        <f>+'[2]CAP 04-99'!H1461</f>
        <v>0</v>
      </c>
      <c r="G37" s="572">
        <f>+'[2]CAP 04-99'!I1461</f>
        <v>0</v>
      </c>
      <c r="H37" s="572">
        <f>+'[2]CAP 04-99'!J1461</f>
        <v>0</v>
      </c>
      <c r="I37" s="572">
        <f>+'[2]CAP 04-99'!K1461</f>
        <v>0</v>
      </c>
      <c r="J37" s="572">
        <f>+'[2]CAP 04-99'!L1461</f>
        <v>0</v>
      </c>
      <c r="K37" s="572">
        <f>+'[2]CAP 04-99'!M1461</f>
        <v>0</v>
      </c>
      <c r="L37" s="572">
        <f>+'[2]CAP 04-99'!N1461</f>
        <v>0</v>
      </c>
      <c r="M37" s="572">
        <f>+'[2]CAP 04-99'!O1461</f>
        <v>0</v>
      </c>
      <c r="N37" s="572">
        <f>+'[2]CAP 04-99'!P1461</f>
        <v>0</v>
      </c>
      <c r="O37" s="217"/>
      <c r="P37" s="215"/>
      <c r="Q37" s="217"/>
      <c r="R37" s="286"/>
      <c r="S37" s="287"/>
      <c r="T37" s="286"/>
      <c r="U37" s="286"/>
      <c r="V37" s="242"/>
      <c r="W37" s="287"/>
      <c r="X37" s="217"/>
      <c r="Y37" s="288"/>
    </row>
    <row r="38" spans="1:25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25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25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25" ht="13" customHeight="1">
      <c r="A41" s="12"/>
    </row>
    <row r="42" spans="1:25" ht="13" customHeight="1">
      <c r="A42" s="141"/>
    </row>
    <row r="43" spans="1:25" ht="13" customHeight="1">
      <c r="A43" s="191"/>
    </row>
    <row r="44" spans="1:25" ht="13" customHeight="1">
      <c r="A44" s="31"/>
    </row>
    <row r="45" spans="1:25" ht="13" customHeight="1">
      <c r="A45" s="58"/>
    </row>
    <row r="46" spans="1:25" ht="13" customHeight="1">
      <c r="A46" s="31"/>
    </row>
    <row r="47" spans="1:25" ht="13" customHeight="1">
      <c r="A47" s="141"/>
    </row>
    <row r="48" spans="1:25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Hoja65">
    <tabColor theme="9" tint="0.59999389629810485"/>
  </sheetPr>
  <dimension ref="A4:AA54"/>
  <sheetViews>
    <sheetView showGridLines="0" topLeftCell="A2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27" ht="13" customHeight="1">
      <c r="A4" s="511" t="s">
        <v>400</v>
      </c>
      <c r="B4" s="507"/>
    </row>
    <row r="5" spans="1:27" ht="13" customHeight="1">
      <c r="A5" s="514" t="s">
        <v>595</v>
      </c>
      <c r="B5" s="50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</row>
    <row r="6" spans="1:27" ht="5" customHeight="1" thickBot="1"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/>
    </row>
    <row r="7" spans="1:27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  <c r="P7" s="217"/>
      <c r="Q7" s="269"/>
      <c r="R7" s="215"/>
      <c r="S7" s="284"/>
      <c r="T7" s="284"/>
      <c r="U7" s="284"/>
      <c r="V7" s="284"/>
      <c r="W7" s="284"/>
      <c r="X7" s="285"/>
      <c r="Y7" s="284"/>
      <c r="Z7" s="217"/>
      <c r="AA7" s="217"/>
    </row>
    <row r="8" spans="1:27" ht="15" customHeight="1">
      <c r="A8" s="530" t="s">
        <v>100</v>
      </c>
      <c r="B8" s="565">
        <f>('C-63'!B8/'C-62'!B8)*1000</f>
        <v>12.400941106727492</v>
      </c>
      <c r="C8" s="565">
        <f>('C-63'!C8/'C-62'!C8)*1000</f>
        <v>12.637903426938756</v>
      </c>
      <c r="D8" s="565">
        <f>('C-63'!D8/'C-62'!D8)*1000</f>
        <v>12.574468908640601</v>
      </c>
      <c r="E8" s="565">
        <f>('C-63'!E8/'C-62'!E8)*1000</f>
        <v>12.240942386087232</v>
      </c>
      <c r="F8" s="565">
        <f>('C-63'!F8/'C-62'!F8)*1000</f>
        <v>12.319470837105115</v>
      </c>
      <c r="G8" s="565">
        <f>('C-63'!G8/'C-62'!G8)*1000</f>
        <v>12.264765227323966</v>
      </c>
      <c r="H8" s="565">
        <f>('C-63'!H8/'C-62'!H8)*1000</f>
        <v>12.602252427223364</v>
      </c>
      <c r="I8" s="565">
        <f>('C-63'!I8/'C-62'!I8)*1000</f>
        <v>12.650853502298832</v>
      </c>
      <c r="J8" s="565">
        <f>('C-63'!J8/'C-62'!J8)*1000</f>
        <v>12.524379653197848</v>
      </c>
      <c r="K8" s="565">
        <f>('C-63'!K8/'C-62'!K8)*1000</f>
        <v>12.356804315068265</v>
      </c>
      <c r="L8" s="565">
        <f>('C-63'!L8/'C-62'!L8)*1000</f>
        <v>11.980132102780873</v>
      </c>
      <c r="M8" s="565">
        <f>('C-63'!M8/'C-62'!M8)*1000</f>
        <v>12.267712926141368</v>
      </c>
      <c r="N8" s="565">
        <f>('C-63'!N8/'C-62'!N8)*1000</f>
        <v>12.375310898497455</v>
      </c>
      <c r="P8" s="217"/>
      <c r="Q8" s="217"/>
      <c r="R8" s="215"/>
      <c r="S8" s="286"/>
      <c r="T8" s="286"/>
      <c r="U8" s="287"/>
      <c r="V8" s="286"/>
      <c r="W8" s="286"/>
      <c r="X8" s="242"/>
      <c r="Y8" s="287"/>
      <c r="Z8" s="217"/>
      <c r="AA8" s="288"/>
    </row>
    <row r="9" spans="1:27" ht="12" customHeight="1">
      <c r="A9" s="269" t="s">
        <v>21</v>
      </c>
      <c r="B9" s="566">
        <f>('C-63'!B9/'C-62'!B9)*1000</f>
        <v>9.8532837892286338</v>
      </c>
      <c r="C9" s="567">
        <f>('C-63'!C9/'C-62'!C9)*1000</f>
        <v>11.022109917877447</v>
      </c>
      <c r="D9" s="567">
        <f>('C-63'!D9/'C-62'!D9)*1000</f>
        <v>9.6286010362694299</v>
      </c>
      <c r="E9" s="567">
        <f>('C-63'!E9/'C-62'!E9)*1000</f>
        <v>9.4709677419354854</v>
      </c>
      <c r="F9" s="567">
        <f>('C-63'!F9/'C-62'!F9)*1000</f>
        <v>9.5951539626451297</v>
      </c>
      <c r="G9" s="567">
        <f>('C-63'!G9/'C-62'!G9)*1000</f>
        <v>9.4618998978549538</v>
      </c>
      <c r="H9" s="567">
        <f>('C-63'!H9/'C-62'!H9)*1000</f>
        <v>9.8740331491712698</v>
      </c>
      <c r="I9" s="567">
        <f>('C-63'!I9/'C-62'!I9)*1000</f>
        <v>9.6291304347826081</v>
      </c>
      <c r="J9" s="567">
        <f>('C-63'!J9/'C-62'!J9)*1000</f>
        <v>9.5535483870967752</v>
      </c>
      <c r="K9" s="567">
        <f>('C-63'!K9/'C-62'!K9)*1000</f>
        <v>9.4357559681697616</v>
      </c>
      <c r="L9" s="567">
        <f>('C-63'!L9/'C-62'!L9)*1000</f>
        <v>9.5290178571428577</v>
      </c>
      <c r="M9" s="567">
        <f>('C-63'!M9/'C-62'!M9)*1000</f>
        <v>9.8457323498419402</v>
      </c>
      <c r="N9" s="567">
        <f>('C-63'!N9/'C-62'!N9)*1000</f>
        <v>11.341443298969073</v>
      </c>
      <c r="P9" s="217"/>
      <c r="Q9" s="217"/>
      <c r="R9" s="215"/>
      <c r="S9" s="286"/>
      <c r="T9" s="286"/>
      <c r="U9" s="287"/>
      <c r="V9" s="286"/>
      <c r="W9" s="286"/>
      <c r="X9" s="242"/>
      <c r="Y9" s="287"/>
      <c r="Z9" s="217"/>
      <c r="AA9" s="288"/>
    </row>
    <row r="10" spans="1:27" ht="12" customHeight="1">
      <c r="A10" s="269" t="s">
        <v>22</v>
      </c>
      <c r="B10" s="566">
        <f>('C-63'!B10/'C-62'!B10)*1000</f>
        <v>13.756773853418464</v>
      </c>
      <c r="C10" s="567">
        <f>('C-63'!C10/'C-62'!C10)*1000</f>
        <v>14.400000000000002</v>
      </c>
      <c r="D10" s="567">
        <f>('C-63'!D10/'C-62'!D10)*1000</f>
        <v>14.8</v>
      </c>
      <c r="E10" s="567">
        <f>('C-63'!E10/'C-62'!E10)*1000</f>
        <v>13.448340814024464</v>
      </c>
      <c r="F10" s="567">
        <f>('C-63'!F10/'C-62'!F10)*1000</f>
        <v>13.505986734416775</v>
      </c>
      <c r="G10" s="567">
        <f>('C-63'!G10/'C-62'!G10)*1000</f>
        <v>13.559959363747032</v>
      </c>
      <c r="H10" s="567">
        <f>('C-63'!H10/'C-62'!H10)*1000</f>
        <v>13.748642498609787</v>
      </c>
      <c r="I10" s="567">
        <f>('C-63'!I10/'C-62'!I10)*1000</f>
        <v>14.400000000000002</v>
      </c>
      <c r="J10" s="567">
        <f>('C-63'!J10/'C-62'!J10)*1000</f>
        <v>14.000000000000004</v>
      </c>
      <c r="K10" s="567">
        <f>('C-63'!K10/'C-62'!K10)*1000</f>
        <v>13.600000000000003</v>
      </c>
      <c r="L10" s="567">
        <f>('C-63'!L10/'C-62'!L10)*1000</f>
        <v>11.921290752880912</v>
      </c>
      <c r="M10" s="567">
        <f>('C-63'!M10/'C-62'!M10)*1000</f>
        <v>12.855417160605958</v>
      </c>
      <c r="N10" s="567">
        <f>('C-63'!N10/'C-62'!N10)*1000</f>
        <v>14.400096758587324</v>
      </c>
      <c r="P10" s="217"/>
      <c r="Q10" s="217"/>
      <c r="R10" s="215"/>
      <c r="S10" s="286"/>
      <c r="T10" s="286"/>
      <c r="U10" s="287"/>
      <c r="V10" s="286"/>
      <c r="W10" s="286"/>
      <c r="X10" s="242"/>
      <c r="Y10" s="287"/>
      <c r="Z10" s="217"/>
      <c r="AA10" s="288"/>
    </row>
    <row r="11" spans="1:27" ht="12" customHeight="1">
      <c r="A11" s="269" t="s">
        <v>23</v>
      </c>
      <c r="B11" s="566">
        <f>('C-63'!B11/'C-62'!B11)*1000</f>
        <v>13.873284931100905</v>
      </c>
      <c r="C11" s="567">
        <f>('C-63'!C11/'C-62'!C11)*1000</f>
        <v>15.65044585987261</v>
      </c>
      <c r="D11" s="567">
        <f>('C-63'!D11/'C-62'!D11)*1000</f>
        <v>14.481738109219023</v>
      </c>
      <c r="E11" s="567">
        <f>('C-63'!E11/'C-62'!E11)*1000</f>
        <v>14.249467455621302</v>
      </c>
      <c r="F11" s="567">
        <f>('C-63'!F11/'C-62'!F11)*1000</f>
        <v>13.263220675944336</v>
      </c>
      <c r="G11" s="567">
        <f>('C-63'!G11/'C-62'!G11)*1000</f>
        <v>12.740571428571428</v>
      </c>
      <c r="H11" s="567">
        <f>('C-63'!H11/'C-62'!H11)*1000</f>
        <v>14.075806451612904</v>
      </c>
      <c r="I11" s="567">
        <f>('C-63'!I11/'C-62'!I11)*1000</f>
        <v>14.392105263157893</v>
      </c>
      <c r="J11" s="567">
        <f>('C-63'!J11/'C-62'!J11)*1000</f>
        <v>13.19641791044776</v>
      </c>
      <c r="K11" s="567">
        <f>('C-63'!K11/'C-62'!K11)*1000</f>
        <v>13.407078189300412</v>
      </c>
      <c r="L11" s="567">
        <f>('C-63'!L11/'C-62'!L11)*1000</f>
        <v>13.344667453758362</v>
      </c>
      <c r="M11" s="567">
        <f>('C-63'!M11/'C-62'!M11)*1000</f>
        <v>14.470392390011892</v>
      </c>
      <c r="N11" s="567">
        <f>('C-63'!N11/'C-62'!N11)*1000</f>
        <v>13.991489361702129</v>
      </c>
      <c r="P11" s="217"/>
      <c r="Q11" s="217"/>
      <c r="R11" s="215"/>
      <c r="S11" s="286"/>
      <c r="T11" s="286"/>
      <c r="U11" s="287"/>
      <c r="V11" s="286"/>
      <c r="W11" s="286"/>
      <c r="X11" s="242"/>
      <c r="Y11" s="287"/>
      <c r="Z11" s="217"/>
      <c r="AA11" s="288"/>
    </row>
    <row r="12" spans="1:27" ht="12" customHeight="1">
      <c r="A12" s="217" t="s">
        <v>24</v>
      </c>
      <c r="B12" s="566">
        <f>('C-63'!B12/'C-62'!B12)*1000</f>
        <v>12.26317911033825</v>
      </c>
      <c r="C12" s="567">
        <f>('C-63'!C12/'C-62'!C12)*1000</f>
        <v>12.73692796281952</v>
      </c>
      <c r="D12" s="567">
        <f>('C-63'!D12/'C-62'!D12)*1000</f>
        <v>12.699474262182566</v>
      </c>
      <c r="E12" s="567">
        <f>('C-63'!E12/'C-62'!E12)*1000</f>
        <v>12.797322677322681</v>
      </c>
      <c r="F12" s="567">
        <f>('C-63'!F12/'C-62'!F12)*1000</f>
        <v>12.439462150017285</v>
      </c>
      <c r="G12" s="567">
        <f>('C-63'!G12/'C-62'!G12)*1000</f>
        <v>12.2336147793363</v>
      </c>
      <c r="H12" s="567">
        <f>('C-63'!H12/'C-62'!H12)*1000</f>
        <v>12.236029889538662</v>
      </c>
      <c r="I12" s="567">
        <f>('C-63'!I12/'C-62'!I12)*1000</f>
        <v>12.02773953488372</v>
      </c>
      <c r="J12" s="567">
        <f>('C-63'!J12/'C-62'!J12)*1000</f>
        <v>12.046502078669654</v>
      </c>
      <c r="K12" s="567">
        <f>('C-63'!K12/'C-62'!K12)*1000</f>
        <v>12.019442773054283</v>
      </c>
      <c r="L12" s="567">
        <f>('C-63'!L12/'C-62'!L12)*1000</f>
        <v>11.975928300586004</v>
      </c>
      <c r="M12" s="567">
        <f>('C-63'!M12/'C-62'!M12)*1000</f>
        <v>12.012129770992367</v>
      </c>
      <c r="N12" s="567">
        <f>('C-63'!N12/'C-62'!N12)*1000</f>
        <v>12.036618338298577</v>
      </c>
      <c r="P12" s="217"/>
      <c r="Q12" s="217"/>
      <c r="R12" s="215"/>
      <c r="S12" s="286"/>
      <c r="T12" s="286"/>
      <c r="U12" s="287"/>
      <c r="V12" s="286"/>
      <c r="W12" s="286"/>
      <c r="X12" s="242"/>
      <c r="Y12" s="287"/>
      <c r="Z12" s="217"/>
      <c r="AA12" s="288"/>
    </row>
    <row r="13" spans="1:27" ht="12" customHeight="1">
      <c r="A13" s="269" t="s">
        <v>25</v>
      </c>
      <c r="B13" s="566">
        <f>('C-63'!B13/'C-62'!B13)*1000</f>
        <v>10.163317503951619</v>
      </c>
      <c r="C13" s="567">
        <f>('C-63'!C13/'C-62'!C13)*1000</f>
        <v>10.155077202543143</v>
      </c>
      <c r="D13" s="567">
        <f>('C-63'!D13/'C-62'!D13)*1000</f>
        <v>10.106061159287995</v>
      </c>
      <c r="E13" s="567">
        <f>('C-63'!E13/'C-62'!E13)*1000</f>
        <v>10.181837717673213</v>
      </c>
      <c r="F13" s="567">
        <f>('C-63'!F13/'C-62'!F13)*1000</f>
        <v>10.250246406570842</v>
      </c>
      <c r="G13" s="567">
        <f>('C-63'!G13/'C-62'!G13)*1000</f>
        <v>10.308929210740441</v>
      </c>
      <c r="H13" s="567">
        <f>('C-63'!H13/'C-62'!H13)*1000</f>
        <v>11.100648499482579</v>
      </c>
      <c r="I13" s="567">
        <f>('C-63'!I13/'C-62'!I13)*1000</f>
        <v>10.153325635103926</v>
      </c>
      <c r="J13" s="567">
        <f>('C-63'!J13/'C-62'!J13)*1000</f>
        <v>10.207062391681111</v>
      </c>
      <c r="K13" s="567">
        <f>('C-63'!K13/'C-62'!K13)*1000</f>
        <v>10.246977152899824</v>
      </c>
      <c r="L13" s="567">
        <f>('C-63'!L13/'C-62'!L13)*1000</f>
        <v>9.9799502222222216</v>
      </c>
      <c r="M13" s="567">
        <f>('C-63'!M13/'C-62'!M13)*1000</f>
        <v>9.3997519636213323</v>
      </c>
      <c r="N13" s="567">
        <f>('C-63'!N13/'C-62'!N13)*1000</f>
        <v>9.6567384875369662</v>
      </c>
      <c r="P13" s="217"/>
      <c r="Q13" s="217"/>
      <c r="R13" s="215"/>
      <c r="S13" s="286"/>
      <c r="T13" s="286"/>
      <c r="U13" s="287"/>
      <c r="V13" s="286"/>
      <c r="W13" s="286"/>
      <c r="X13" s="242"/>
      <c r="Y13" s="287"/>
      <c r="Z13" s="217"/>
      <c r="AA13" s="288"/>
    </row>
    <row r="14" spans="1:27" ht="12" customHeight="1">
      <c r="A14" s="271" t="s">
        <v>107</v>
      </c>
      <c r="B14" s="566">
        <f>('C-63'!B14/'C-62'!B14)*1000</f>
        <v>10.116527633697014</v>
      </c>
      <c r="C14" s="567">
        <f>('C-63'!C14/'C-62'!C14)*1000</f>
        <v>10.035</v>
      </c>
      <c r="D14" s="567">
        <f>('C-63'!D14/'C-62'!D14)*1000</f>
        <v>10.018819444444444</v>
      </c>
      <c r="E14" s="567">
        <f>('C-63'!E14/'C-62'!E14)*1000</f>
        <v>10.215805825242722</v>
      </c>
      <c r="F14" s="567">
        <f>('C-63'!F14/'C-62'!F14)*1000</f>
        <v>10.278835021707669</v>
      </c>
      <c r="G14" s="567">
        <f>('C-63'!G14/'C-62'!G14)*1000</f>
        <v>10.45376479631053</v>
      </c>
      <c r="H14" s="567">
        <f>('C-63'!H14/'C-62'!H14)*1000</f>
        <v>10.382059046177135</v>
      </c>
      <c r="I14" s="567">
        <f>('C-63'!I14/'C-62'!I14)*1000</f>
        <v>10.208090379008745</v>
      </c>
      <c r="J14" s="567">
        <f>('C-63'!J14/'C-62'!J14)*1000</f>
        <v>10.304912023460412</v>
      </c>
      <c r="K14" s="567">
        <f>('C-63'!K14/'C-62'!K14)*1000</f>
        <v>10.506435285610991</v>
      </c>
      <c r="L14" s="567">
        <f>('C-63'!L14/'C-62'!L14)*1000</f>
        <v>10.086117467581998</v>
      </c>
      <c r="M14" s="567">
        <f>('C-63'!M14/'C-62'!M14)*1000</f>
        <v>9.3112947658402199</v>
      </c>
      <c r="N14" s="567">
        <f>('C-63'!N14/'C-62'!N14)*1000</f>
        <v>9.6911764705882337</v>
      </c>
      <c r="P14" s="217"/>
      <c r="Q14" s="217"/>
      <c r="R14" s="215"/>
      <c r="S14" s="286"/>
      <c r="T14" s="286"/>
      <c r="U14" s="287"/>
      <c r="V14" s="286"/>
      <c r="W14" s="286"/>
      <c r="X14" s="242"/>
      <c r="Y14" s="287"/>
      <c r="Z14" s="217"/>
      <c r="AA14" s="288"/>
    </row>
    <row r="15" spans="1:27" ht="12" customHeight="1">
      <c r="A15" s="271" t="s">
        <v>108</v>
      </c>
      <c r="B15" s="566">
        <f>('C-63'!B15/'C-62'!B15)*1000</f>
        <v>11.535912314635718</v>
      </c>
      <c r="C15" s="567">
        <f>('C-63'!C15/'C-62'!C15)*1000</f>
        <v>14.770212765957448</v>
      </c>
      <c r="D15" s="567">
        <f>('C-63'!D15/'C-62'!D15)*1000</f>
        <v>13.977777777777778</v>
      </c>
      <c r="E15" s="567">
        <f>('C-63'!E15/'C-62'!E15)*1000</f>
        <v>13.657142857142857</v>
      </c>
      <c r="F15" s="567">
        <f>('C-63'!F15/'C-62'!F15)*1000</f>
        <v>12.9856</v>
      </c>
      <c r="G15" s="567">
        <f>('C-63'!G15/'C-62'!G15)*1000</f>
        <v>12.876800000000001</v>
      </c>
      <c r="H15" s="567">
        <f>('C-63'!H15/'C-62'!H15)*1000</f>
        <v>12.859375</v>
      </c>
      <c r="I15" s="567">
        <f>('C-63'!I15/'C-62'!I15)*1000</f>
        <v>12.363636363636363</v>
      </c>
      <c r="J15" s="567">
        <f>('C-63'!J15/'C-62'!J15)*1000</f>
        <v>10.8</v>
      </c>
      <c r="K15" s="567">
        <f>('C-63'!K15/'C-62'!K15)*1000</f>
        <v>10.064516129032258</v>
      </c>
      <c r="L15" s="567">
        <f>('C-63'!L15/'C-62'!L15)*1000</f>
        <v>9.625</v>
      </c>
      <c r="M15" s="567">
        <f>('C-63'!M15/'C-62'!M15)*1000</f>
        <v>9.0930232558139537</v>
      </c>
      <c r="N15" s="567">
        <f>('C-63'!N15/'C-62'!N15)*1000</f>
        <v>9</v>
      </c>
      <c r="P15" s="217"/>
      <c r="Q15" s="217"/>
      <c r="R15" s="215"/>
      <c r="S15" s="286"/>
      <c r="T15" s="286"/>
      <c r="U15" s="287"/>
      <c r="V15" s="286"/>
      <c r="W15" s="286"/>
      <c r="X15" s="242"/>
      <c r="Y15" s="287"/>
      <c r="Z15" s="217"/>
      <c r="AA15" s="288"/>
    </row>
    <row r="16" spans="1:27" ht="12" customHeight="1">
      <c r="A16" s="271" t="s">
        <v>109</v>
      </c>
      <c r="B16" s="566">
        <f>('C-63'!B16/'C-62'!B16)*1000</f>
        <v>10.207183773584905</v>
      </c>
      <c r="C16" s="567">
        <f>('C-63'!C16/'C-62'!C16)*1000</f>
        <v>9.7644910179640725</v>
      </c>
      <c r="D16" s="567">
        <f>('C-63'!D16/'C-62'!D16)*1000</f>
        <v>9.7689561270801821</v>
      </c>
      <c r="E16" s="567">
        <f>('C-63'!E16/'C-62'!E16)*1000</f>
        <v>9.7839466158245951</v>
      </c>
      <c r="F16" s="567">
        <f>('C-63'!F16/'C-62'!F16)*1000</f>
        <v>9.8392241379310352</v>
      </c>
      <c r="G16" s="567">
        <f>('C-63'!G16/'C-62'!G16)*1000</f>
        <v>9.8153100775193831</v>
      </c>
      <c r="H16" s="567">
        <f>('C-63'!H16/'C-62'!H16)*1000</f>
        <v>13.223333333333333</v>
      </c>
      <c r="I16" s="567">
        <f>('C-63'!I16/'C-62'!I16)*1000</f>
        <v>9.8179524680073129</v>
      </c>
      <c r="J16" s="567">
        <f>('C-63'!J16/'C-62'!J16)*1000</f>
        <v>9.9378109452736325</v>
      </c>
      <c r="K16" s="567">
        <f>('C-63'!K16/'C-62'!K16)*1000</f>
        <v>9.799078590785907</v>
      </c>
      <c r="L16" s="567">
        <f>('C-63'!L16/'C-62'!L16)*1000</f>
        <v>9.8741822849807424</v>
      </c>
      <c r="M16" s="567">
        <f>('C-63'!M16/'C-62'!M16)*1000</f>
        <v>9.6276729559748428</v>
      </c>
      <c r="N16" s="567">
        <f>('C-63'!N16/'C-62'!N16)*1000</f>
        <v>9.6974358974358967</v>
      </c>
      <c r="P16" s="217"/>
      <c r="Q16" s="217"/>
      <c r="R16" s="215"/>
      <c r="S16" s="286"/>
      <c r="T16" s="286"/>
      <c r="U16" s="287"/>
      <c r="V16" s="286"/>
      <c r="W16" s="286"/>
      <c r="X16" s="242"/>
      <c r="Y16" s="287"/>
      <c r="Z16" s="217"/>
      <c r="AA16" s="288"/>
    </row>
    <row r="17" spans="1:27" ht="12" customHeight="1">
      <c r="A17" s="269" t="s">
        <v>29</v>
      </c>
      <c r="B17" s="566">
        <f>('C-63'!B17/'C-62'!B17)*1000</f>
        <v>12.411960132890364</v>
      </c>
      <c r="C17" s="567">
        <f>('C-63'!C17/'C-62'!C17)*1000</f>
        <v>12.482105263157896</v>
      </c>
      <c r="D17" s="567">
        <f>('C-63'!D17/'C-62'!D17)*1000</f>
        <v>12.615718157181572</v>
      </c>
      <c r="E17" s="567">
        <f>('C-63'!E17/'C-62'!E17)*1000</f>
        <v>12.602185792349728</v>
      </c>
      <c r="F17" s="567">
        <f>('C-63'!F17/'C-62'!F17)*1000</f>
        <v>12.612103746397693</v>
      </c>
      <c r="G17" s="567">
        <f>('C-63'!G17/'C-62'!G17)*1000</f>
        <v>12.675482093663913</v>
      </c>
      <c r="H17" s="567">
        <f>('C-63'!H17/'C-62'!H17)*1000</f>
        <v>12.691578947368422</v>
      </c>
      <c r="I17" s="567">
        <f>('C-63'!I17/'C-62'!I17)*1000</f>
        <v>12.653483146067417</v>
      </c>
      <c r="J17" s="567">
        <f>('C-63'!J17/'C-62'!J17)*1000</f>
        <v>12.65505882352941</v>
      </c>
      <c r="K17" s="567">
        <f>('C-63'!K17/'C-62'!K17)*1000</f>
        <v>12.622222222222222</v>
      </c>
      <c r="L17" s="567">
        <f>('C-63'!L17/'C-62'!L17)*1000</f>
        <v>12.660824742268041</v>
      </c>
      <c r="M17" s="567">
        <f>('C-63'!M17/'C-62'!M17)*1000</f>
        <v>12.587468671679199</v>
      </c>
      <c r="N17" s="567">
        <f>('C-63'!N17/'C-62'!N17)*1000</f>
        <v>10.699811676082863</v>
      </c>
      <c r="P17" s="217"/>
      <c r="Q17" s="217"/>
      <c r="R17" s="215"/>
      <c r="S17" s="286"/>
      <c r="T17" s="286"/>
      <c r="U17" s="287"/>
      <c r="V17" s="286"/>
      <c r="W17" s="286"/>
      <c r="X17" s="242"/>
      <c r="Y17" s="287"/>
      <c r="Z17" s="217"/>
      <c r="AA17" s="288"/>
    </row>
    <row r="18" spans="1:27" ht="12" customHeight="1">
      <c r="A18" s="217" t="s">
        <v>30</v>
      </c>
      <c r="B18" s="566">
        <f>('C-63'!B18/'C-62'!B18)*1000</f>
        <v>10.658568252962116</v>
      </c>
      <c r="C18" s="567">
        <f>('C-63'!C18/'C-62'!C18)*1000</f>
        <v>10.507783711615486</v>
      </c>
      <c r="D18" s="567">
        <f>('C-63'!D18/'C-62'!D18)*1000</f>
        <v>10.158528852251109</v>
      </c>
      <c r="E18" s="567">
        <f>('C-63'!E18/'C-62'!E18)*1000</f>
        <v>9.9606169583584805</v>
      </c>
      <c r="F18" s="567">
        <f>('C-63'!F18/'C-62'!F18)*1000</f>
        <v>10.035693387946166</v>
      </c>
      <c r="G18" s="567">
        <f>('C-63'!G18/'C-62'!G18)*1000</f>
        <v>10.025094102885822</v>
      </c>
      <c r="H18" s="567">
        <f>('C-63'!H18/'C-62'!H18)*1000</f>
        <v>10.20612485276796</v>
      </c>
      <c r="I18" s="567">
        <f>('C-63'!I18/'C-62'!I18)*1000</f>
        <v>10.780011293054772</v>
      </c>
      <c r="J18" s="567">
        <f>('C-63'!J18/'C-62'!J18)*1000</f>
        <v>11.198568257491676</v>
      </c>
      <c r="K18" s="567">
        <f>('C-63'!K18/'C-62'!K18)*1000</f>
        <v>11.23995548135782</v>
      </c>
      <c r="L18" s="567">
        <f>('C-63'!L18/'C-62'!L18)*1000</f>
        <v>11.037985635359114</v>
      </c>
      <c r="M18" s="567">
        <f>('C-63'!M18/'C-62'!M18)*1000</f>
        <v>11.153203342618383</v>
      </c>
      <c r="N18" s="567">
        <f>('C-63'!N18/'C-62'!N18)*1000</f>
        <v>11.328151027207108</v>
      </c>
      <c r="P18" s="217"/>
      <c r="Q18" s="217"/>
      <c r="R18" s="215"/>
      <c r="S18" s="286"/>
      <c r="T18" s="286"/>
      <c r="U18" s="287"/>
      <c r="V18" s="286"/>
      <c r="W18" s="286"/>
      <c r="X18" s="242"/>
      <c r="Y18" s="287"/>
      <c r="Z18" s="217"/>
      <c r="AA18" s="288"/>
    </row>
    <row r="19" spans="1:27" ht="12" customHeight="1">
      <c r="A19" s="217" t="s">
        <v>31</v>
      </c>
      <c r="B19" s="566">
        <f>('C-63'!B19/'C-62'!B19)*1000</f>
        <v>13.083631409705687</v>
      </c>
      <c r="C19" s="567">
        <f>('C-63'!C19/'C-62'!C19)*1000</f>
        <v>12.791077321255257</v>
      </c>
      <c r="D19" s="567">
        <f>('C-63'!D19/'C-62'!D19)*1000</f>
        <v>12.331874350986501</v>
      </c>
      <c r="E19" s="567">
        <f>('C-63'!E19/'C-62'!E19)*1000</f>
        <v>13.060940438871475</v>
      </c>
      <c r="F19" s="567">
        <f>('C-63'!F19/'C-62'!F19)*1000</f>
        <v>13.213291005291005</v>
      </c>
      <c r="G19" s="567">
        <f>('C-63'!G19/'C-62'!G19)*1000</f>
        <v>13.241750147318799</v>
      </c>
      <c r="H19" s="567">
        <f>('C-63'!H19/'C-62'!H19)*1000</f>
        <v>13.419974259974261</v>
      </c>
      <c r="I19" s="567">
        <f>('C-63'!I19/'C-62'!I19)*1000</f>
        <v>12.8365510373444</v>
      </c>
      <c r="J19" s="567">
        <f>('C-63'!J19/'C-62'!J19)*1000</f>
        <v>13.026324797406808</v>
      </c>
      <c r="K19" s="567">
        <f>('C-63'!K19/'C-62'!K19)*1000</f>
        <v>13.291177581120943</v>
      </c>
      <c r="L19" s="567">
        <f>('C-63'!L19/'C-62'!L19)*1000</f>
        <v>13.671354520209812</v>
      </c>
      <c r="M19" s="567">
        <f>('C-63'!M19/'C-62'!M19)*1000</f>
        <v>12.870163265306124</v>
      </c>
      <c r="N19" s="567">
        <f>('C-63'!N19/'C-62'!N19)*1000</f>
        <v>13.342135593220339</v>
      </c>
      <c r="P19" s="217"/>
      <c r="Q19" s="217"/>
      <c r="R19" s="215"/>
      <c r="S19" s="286"/>
      <c r="T19" s="286"/>
      <c r="U19" s="287"/>
      <c r="V19" s="286"/>
      <c r="W19" s="286"/>
      <c r="X19" s="242"/>
      <c r="Y19" s="287"/>
      <c r="Z19" s="217"/>
      <c r="AA19" s="288"/>
    </row>
    <row r="20" spans="1:27" ht="12" customHeight="1">
      <c r="A20" s="269" t="s">
        <v>32</v>
      </c>
      <c r="B20" s="566">
        <f>('C-63'!B20/'C-62'!B20)*1000</f>
        <v>14.254188792259406</v>
      </c>
      <c r="C20" s="567">
        <f>('C-63'!C20/'C-62'!C20)*1000</f>
        <v>14.374409937888206</v>
      </c>
      <c r="D20" s="567">
        <f>('C-63'!D20/'C-62'!D20)*1000</f>
        <v>14.012593266606007</v>
      </c>
      <c r="E20" s="567">
        <f>('C-63'!E20/'C-62'!E20)*1000</f>
        <v>14.385993485342023</v>
      </c>
      <c r="F20" s="567">
        <f>('C-63'!F20/'C-62'!F20)*1000</f>
        <v>14.483552735923874</v>
      </c>
      <c r="G20" s="567">
        <f>('C-63'!G20/'C-62'!G20)*1000</f>
        <v>13.619124293785314</v>
      </c>
      <c r="H20" s="567">
        <f>('C-63'!H20/'C-62'!H20)*1000</f>
        <v>14.456654384672072</v>
      </c>
      <c r="I20" s="567">
        <f>('C-63'!I20/'C-62'!I20)*1000</f>
        <v>14.500837837837837</v>
      </c>
      <c r="J20" s="567">
        <f>('C-63'!J20/'C-62'!J20)*1000</f>
        <v>14.484824120603021</v>
      </c>
      <c r="K20" s="567">
        <f>('C-63'!K20/'C-62'!K20)*1000</f>
        <v>14.362033477991329</v>
      </c>
      <c r="L20" s="567">
        <f>('C-63'!L20/'C-62'!L20)*1000</f>
        <v>14.366075663466971</v>
      </c>
      <c r="M20" s="567">
        <f>('C-63'!M20/'C-62'!M20)*1000</f>
        <v>14.427760097919219</v>
      </c>
      <c r="N20" s="567">
        <f>('C-63'!N20/'C-62'!N20)*1000</f>
        <v>13.646633053221288</v>
      </c>
      <c r="P20" s="217"/>
      <c r="Q20" s="217"/>
      <c r="R20" s="215"/>
      <c r="S20" s="286"/>
      <c r="T20" s="286"/>
      <c r="U20" s="287"/>
      <c r="V20" s="286"/>
      <c r="W20" s="286"/>
      <c r="X20" s="242"/>
      <c r="Y20" s="287"/>
      <c r="Z20" s="217"/>
      <c r="AA20" s="288"/>
    </row>
    <row r="21" spans="1:27" ht="12" customHeight="1">
      <c r="A21" s="269" t="s">
        <v>33</v>
      </c>
      <c r="B21" s="566">
        <f>('C-63'!B21/'C-62'!B21)*1000</f>
        <v>10.177281262056844</v>
      </c>
      <c r="C21" s="567">
        <f>('C-63'!C21/'C-62'!C21)*1000</f>
        <v>10.061475704859031</v>
      </c>
      <c r="D21" s="567">
        <f>('C-63'!D21/'C-62'!D21)*1000</f>
        <v>9.9726171428571462</v>
      </c>
      <c r="E21" s="567">
        <f>('C-63'!E21/'C-62'!E21)*1000</f>
        <v>9.6489795918367385</v>
      </c>
      <c r="F21" s="567">
        <f>('C-63'!F21/'C-62'!F21)*1000</f>
        <v>9.8736616702355455</v>
      </c>
      <c r="G21" s="567">
        <f>('C-63'!G21/'C-62'!G21)*1000</f>
        <v>9.9601197604790421</v>
      </c>
      <c r="H21" s="567">
        <f>('C-63'!H21/'C-62'!H21)*1000</f>
        <v>11.511760797342191</v>
      </c>
      <c r="I21" s="567">
        <f>('C-63'!I21/'C-62'!I21)*1000</f>
        <v>10.59732835123774</v>
      </c>
      <c r="J21" s="567">
        <f>('C-63'!J21/'C-62'!J21)*1000</f>
        <v>10.440235400633769</v>
      </c>
      <c r="K21" s="567">
        <f>('C-63'!K21/'C-62'!K21)*1000</f>
        <v>10.37267605633803</v>
      </c>
      <c r="L21" s="567">
        <f>('C-63'!L21/'C-62'!L21)*1000</f>
        <v>10.406961832061066</v>
      </c>
      <c r="M21" s="567">
        <f>('C-63'!M21/'C-62'!M21)*1000</f>
        <v>9.5097335508428547</v>
      </c>
      <c r="N21" s="567">
        <f>('C-63'!N21/'C-62'!N21)*1000</f>
        <v>9.4724696356275295</v>
      </c>
      <c r="P21" s="217"/>
      <c r="Q21" s="217"/>
      <c r="R21" s="215"/>
      <c r="S21" s="286"/>
      <c r="T21" s="286"/>
      <c r="U21" s="287"/>
      <c r="V21" s="286"/>
      <c r="W21" s="286"/>
      <c r="X21" s="242"/>
      <c r="Y21" s="287"/>
      <c r="Z21" s="217"/>
      <c r="AA21" s="288"/>
    </row>
    <row r="22" spans="1:27" ht="12" customHeight="1">
      <c r="A22" s="269" t="s">
        <v>34</v>
      </c>
      <c r="B22" s="566">
        <f>('C-63'!B22/'C-62'!B22)*1000</f>
        <v>11.666894806421151</v>
      </c>
      <c r="C22" s="567">
        <f>('C-63'!C22/'C-62'!C22)*1000</f>
        <v>11.476000000000001</v>
      </c>
      <c r="D22" s="567">
        <f>('C-63'!D22/'C-62'!D22)*1000</f>
        <v>11.597333333333337</v>
      </c>
      <c r="E22" s="567">
        <f>('C-63'!E22/'C-62'!E22)*1000</f>
        <v>11.838514285714288</v>
      </c>
      <c r="F22" s="567">
        <f>('C-63'!F22/'C-62'!F22)*1000</f>
        <v>11.776853932584272</v>
      </c>
      <c r="G22" s="567">
        <f>('C-63'!G22/'C-62'!G22)*1000</f>
        <v>11.422785714285716</v>
      </c>
      <c r="H22" s="567">
        <f>('C-63'!H22/'C-62'!H22)*1000</f>
        <v>11.511896551724139</v>
      </c>
      <c r="I22" s="567">
        <f>('C-63'!I22/'C-62'!I22)*1000</f>
        <v>11.5609022556391</v>
      </c>
      <c r="J22" s="567">
        <f>('C-63'!J22/'C-62'!J22)*1000</f>
        <v>11.629538461538461</v>
      </c>
      <c r="K22" s="567">
        <f>('C-63'!K22/'C-62'!K22)*1000</f>
        <v>11.854937500000002</v>
      </c>
      <c r="L22" s="567">
        <f>('C-63'!L22/'C-62'!L22)*1000</f>
        <v>11.83502857142857</v>
      </c>
      <c r="M22" s="567">
        <f>('C-63'!M22/'C-62'!M22)*1000</f>
        <v>12.016583333333335</v>
      </c>
      <c r="N22" s="567">
        <f>('C-63'!N22/'C-62'!N22)*1000</f>
        <v>11.664500763358779</v>
      </c>
      <c r="P22" s="217"/>
      <c r="Q22" s="217"/>
      <c r="R22" s="215"/>
      <c r="S22" s="217"/>
      <c r="T22" s="286"/>
      <c r="U22" s="287"/>
      <c r="V22" s="286"/>
      <c r="W22" s="286"/>
      <c r="X22" s="242"/>
      <c r="Y22" s="287"/>
      <c r="Z22" s="217"/>
      <c r="AA22" s="288"/>
    </row>
    <row r="23" spans="1:27" ht="12" customHeight="1">
      <c r="A23" s="269" t="s">
        <v>35</v>
      </c>
      <c r="B23" s="566">
        <f>('C-63'!B23/'C-62'!B23)*1000</f>
        <v>12.219490917547972</v>
      </c>
      <c r="C23" s="567">
        <f>('C-63'!C23/'C-62'!C23)*1000</f>
        <v>10.661643835616436</v>
      </c>
      <c r="D23" s="567">
        <f>('C-63'!D23/'C-62'!D23)*1000</f>
        <v>12.418571428571427</v>
      </c>
      <c r="E23" s="567">
        <f>('C-63'!E23/'C-62'!E23)*1000</f>
        <v>11.552941176470586</v>
      </c>
      <c r="F23" s="567">
        <f>('C-63'!F23/'C-62'!F23)*1000</f>
        <v>12.335438596491228</v>
      </c>
      <c r="G23" s="567">
        <f>('C-63'!G23/'C-62'!G23)*1000</f>
        <v>13.184247325392146</v>
      </c>
      <c r="H23" s="567">
        <f>('C-63'!H23/'C-62'!H23)*1000</f>
        <v>11.88868501529052</v>
      </c>
      <c r="I23" s="567">
        <f>('C-63'!I23/'C-62'!I23)*1000</f>
        <v>12.642424242424241</v>
      </c>
      <c r="J23" s="567">
        <f>('C-63'!J23/'C-62'!J23)*1000</f>
        <v>13.506713780918725</v>
      </c>
      <c r="K23" s="567">
        <f>('C-63'!K23/'C-62'!K23)*1000</f>
        <v>11.737857142857141</v>
      </c>
      <c r="L23" s="567">
        <f>('C-63'!L23/'C-62'!L23)*1000</f>
        <v>11.930845070422533</v>
      </c>
      <c r="M23" s="567">
        <f>('C-63'!M23/'C-62'!M23)*1000</f>
        <v>12.705882352941176</v>
      </c>
      <c r="N23" s="567">
        <f>('C-63'!N23/'C-62'!N23)*1000</f>
        <v>12.230020645864142</v>
      </c>
      <c r="P23" s="217"/>
      <c r="Q23" s="217"/>
      <c r="R23" s="215"/>
      <c r="S23" s="217"/>
      <c r="T23" s="286"/>
      <c r="U23" s="287"/>
      <c r="V23" s="286"/>
      <c r="W23" s="286"/>
      <c r="X23" s="242"/>
      <c r="Y23" s="287"/>
      <c r="Z23" s="217"/>
      <c r="AA23" s="288"/>
    </row>
    <row r="24" spans="1:27" ht="12" customHeight="1">
      <c r="A24" s="269" t="s">
        <v>36</v>
      </c>
      <c r="B24" s="566">
        <f>('C-63'!B24/'C-62'!B24)*1000</f>
        <v>13.038858009095504</v>
      </c>
      <c r="C24" s="567">
        <f>('C-63'!C24/'C-62'!C24)*1000</f>
        <v>12.765101975440469</v>
      </c>
      <c r="D24" s="567">
        <f>('C-63'!D24/'C-62'!D24)*1000</f>
        <v>15.038599326599329</v>
      </c>
      <c r="E24" s="567">
        <f>('C-63'!E24/'C-62'!E24)*1000</f>
        <v>13.013033318119573</v>
      </c>
      <c r="F24" s="567">
        <f>('C-63'!F24/'C-62'!F24)*1000</f>
        <v>12.904666666666675</v>
      </c>
      <c r="G24" s="567">
        <f>('C-63'!G24/'C-62'!G24)*1000</f>
        <v>13.122377659574479</v>
      </c>
      <c r="H24" s="567">
        <f>('C-63'!H24/'C-62'!H24)*1000</f>
        <v>13.023656742556918</v>
      </c>
      <c r="I24" s="567">
        <f>('C-63'!I24/'C-62'!I24)*1000</f>
        <v>12.813013592233009</v>
      </c>
      <c r="J24" s="567">
        <f>('C-63'!J24/'C-62'!J24)*1000</f>
        <v>12.982733769501763</v>
      </c>
      <c r="K24" s="567">
        <f>('C-63'!K24/'C-62'!K24)*1000</f>
        <v>12.894221582733813</v>
      </c>
      <c r="L24" s="567">
        <f>('C-63'!L24/'C-62'!L24)*1000</f>
        <v>12.974626382978725</v>
      </c>
      <c r="M24" s="567">
        <f>('C-63'!M24/'C-62'!M24)*1000</f>
        <v>13.010920955882348</v>
      </c>
      <c r="N24" s="567">
        <f>('C-63'!N24/'C-62'!N24)*1000</f>
        <v>11.965134790528232</v>
      </c>
      <c r="P24" s="217"/>
      <c r="Q24" s="217"/>
      <c r="R24" s="215"/>
      <c r="S24" s="217"/>
      <c r="T24" s="286"/>
      <c r="U24" s="287"/>
      <c r="V24" s="286"/>
      <c r="W24" s="286"/>
      <c r="X24" s="242"/>
      <c r="Y24" s="287"/>
      <c r="Z24" s="217"/>
      <c r="AA24" s="288"/>
    </row>
    <row r="25" spans="1:27" ht="12" customHeight="1">
      <c r="A25" s="217" t="s">
        <v>37</v>
      </c>
      <c r="B25" s="566">
        <f>('C-63'!B25/'C-62'!B25)*1000</f>
        <v>12.621432027092405</v>
      </c>
      <c r="C25" s="567">
        <f>('C-63'!C25/'C-62'!C25)*1000</f>
        <v>12.165657741559954</v>
      </c>
      <c r="D25" s="567">
        <f>('C-63'!D25/'C-62'!D25)*1000</f>
        <v>11.753410404624276</v>
      </c>
      <c r="E25" s="567">
        <f>('C-63'!E25/'C-62'!E25)*1000</f>
        <v>11.901382488479264</v>
      </c>
      <c r="F25" s="567">
        <f>('C-63'!F25/'C-62'!F25)*1000</f>
        <v>15.064714285714285</v>
      </c>
      <c r="G25" s="567">
        <f>('C-63'!G25/'C-62'!G25)*1000</f>
        <v>12.144736842105262</v>
      </c>
      <c r="H25" s="567">
        <f>('C-63'!H25/'C-62'!H25)*1000</f>
        <v>12.044946492271107</v>
      </c>
      <c r="I25" s="567">
        <f>('C-63'!I25/'C-62'!I25)*1000</f>
        <v>13.251285189718482</v>
      </c>
      <c r="J25" s="567">
        <f>('C-63'!J25/'C-62'!J25)*1000</f>
        <v>13.182115869017631</v>
      </c>
      <c r="K25" s="567">
        <f>('C-63'!K25/'C-62'!K25)*1000</f>
        <v>13.078288633461046</v>
      </c>
      <c r="L25" s="567">
        <f>('C-63'!L25/'C-62'!L25)*1000</f>
        <v>13.003184713375795</v>
      </c>
      <c r="M25" s="567">
        <f>('C-63'!M25/'C-62'!M25)*1000</f>
        <v>14.261147327249022</v>
      </c>
      <c r="N25" s="567">
        <f>('C-63'!N25/'C-62'!N25)*1000</f>
        <v>11.259154929577464</v>
      </c>
      <c r="P25" s="217"/>
      <c r="Q25" s="217"/>
      <c r="R25" s="215"/>
      <c r="S25" s="217"/>
      <c r="T25" s="286"/>
      <c r="U25" s="287"/>
      <c r="V25" s="286"/>
      <c r="W25" s="286"/>
      <c r="X25" s="242"/>
      <c r="Y25" s="287"/>
      <c r="Z25" s="217"/>
      <c r="AA25" s="288"/>
    </row>
    <row r="26" spans="1:27" ht="12" customHeight="1">
      <c r="A26" s="269" t="s">
        <v>38</v>
      </c>
      <c r="B26" s="566">
        <f>('C-63'!B26/'C-62'!B26)*1000</f>
        <v>14.678534107402033</v>
      </c>
      <c r="C26" s="567">
        <f>('C-63'!C26/'C-62'!C26)*1000</f>
        <v>15.076363636363638</v>
      </c>
      <c r="D26" s="567">
        <f>('C-63'!D26/'C-62'!D26)*1000</f>
        <v>14.662835820895522</v>
      </c>
      <c r="E26" s="567">
        <f>('C-63'!E26/'C-62'!E26)*1000</f>
        <v>16.03448275862069</v>
      </c>
      <c r="F26" s="567">
        <f>('C-63'!F26/'C-62'!F26)*1000</f>
        <v>15.383333333333335</v>
      </c>
      <c r="G26" s="567">
        <f>('C-63'!G26/'C-62'!G26)*1000</f>
        <v>15.918518518518519</v>
      </c>
      <c r="H26" s="567">
        <f>('C-63'!H26/'C-62'!H26)*1000</f>
        <v>12.093506493506492</v>
      </c>
      <c r="I26" s="567">
        <f>('C-63'!I26/'C-62'!I26)*1000</f>
        <v>17.315789473684212</v>
      </c>
      <c r="J26" s="567">
        <f>('C-63'!J26/'C-62'!J26)*1000</f>
        <v>15.347169811320754</v>
      </c>
      <c r="K26" s="567">
        <f>('C-63'!K26/'C-62'!K26)*1000</f>
        <v>13.125</v>
      </c>
      <c r="L26" s="567">
        <f>('C-63'!L26/'C-62'!L26)*1000</f>
        <v>13.244444444444444</v>
      </c>
      <c r="M26" s="567">
        <f>('C-63'!M26/'C-62'!M26)*1000</f>
        <v>15.551020408163268</v>
      </c>
      <c r="N26" s="567">
        <f>('C-63'!N26/'C-62'!N26)*1000</f>
        <v>14.102352941176472</v>
      </c>
      <c r="P26" s="217"/>
      <c r="Q26" s="217"/>
      <c r="R26" s="215"/>
      <c r="S26" s="217"/>
      <c r="T26" s="286"/>
      <c r="U26" s="287"/>
      <c r="V26" s="286"/>
      <c r="W26" s="286"/>
      <c r="X26" s="242"/>
      <c r="Y26" s="287"/>
      <c r="Z26" s="217"/>
      <c r="AA26" s="288"/>
    </row>
    <row r="27" spans="1:27" ht="12" customHeight="1">
      <c r="A27" s="269" t="s">
        <v>39</v>
      </c>
      <c r="B27" s="566">
        <f>('C-63'!B27/'C-62'!B27)*1000</f>
        <v>14.313756316676026</v>
      </c>
      <c r="C27" s="567">
        <f>('C-63'!C27/'C-62'!C27)*1000</f>
        <v>14.171253822629968</v>
      </c>
      <c r="D27" s="567">
        <f>('C-63'!D27/'C-62'!D27)*1000</f>
        <v>14.210826210826218</v>
      </c>
      <c r="E27" s="567">
        <f>('C-63'!E27/'C-62'!E27)*1000</f>
        <v>14.292737430167602</v>
      </c>
      <c r="F27" s="567">
        <f>('C-63'!F27/'C-62'!F27)*1000</f>
        <v>14.292929292929291</v>
      </c>
      <c r="G27" s="567">
        <f>('C-63'!G27/'C-62'!G27)*1000</f>
        <v>14.234482758620691</v>
      </c>
      <c r="H27" s="567">
        <f>('C-63'!H27/'C-62'!H27)*1000</f>
        <v>14.110638297872345</v>
      </c>
      <c r="I27" s="567">
        <f>('C-63'!I27/'C-62'!I27)*1000</f>
        <v>14.324853228962816</v>
      </c>
      <c r="J27" s="567">
        <f>('C-63'!J27/'C-62'!J27)*1000</f>
        <v>14.421052631578947</v>
      </c>
      <c r="K27" s="567">
        <f>('C-63'!K27/'C-62'!K27)*1000</f>
        <v>14.378740157480316</v>
      </c>
      <c r="L27" s="567">
        <f>('C-63'!L27/'C-62'!L27)*1000</f>
        <v>14.341666666666667</v>
      </c>
      <c r="M27" s="567">
        <f>('C-63'!M27/'C-62'!M27)*1000</f>
        <v>14.506557377049178</v>
      </c>
      <c r="N27" s="567">
        <f>('C-63'!N27/'C-62'!N27)*1000</f>
        <v>14.369523809523811</v>
      </c>
      <c r="P27" s="217"/>
      <c r="Q27" s="217"/>
      <c r="R27" s="215"/>
      <c r="S27" s="217"/>
      <c r="T27" s="286"/>
      <c r="U27" s="287"/>
      <c r="V27" s="286"/>
      <c r="W27" s="286"/>
      <c r="X27" s="242"/>
      <c r="Y27" s="287"/>
      <c r="Z27" s="217"/>
      <c r="AA27" s="288"/>
    </row>
    <row r="28" spans="1:27" ht="12" customHeight="1">
      <c r="A28" s="269" t="s">
        <v>40</v>
      </c>
      <c r="B28" s="566">
        <f>('C-63'!B28/'C-62'!B28)*1000</f>
        <v>12.060729679977344</v>
      </c>
      <c r="C28" s="567">
        <f>('C-63'!C28/'C-62'!C28)*1000</f>
        <v>11.157163120567377</v>
      </c>
      <c r="D28" s="567">
        <f>('C-63'!D28/'C-62'!D28)*1000</f>
        <v>11.063118811881187</v>
      </c>
      <c r="E28" s="567">
        <f>('C-63'!E28/'C-62'!E28)*1000</f>
        <v>11.426713532513181</v>
      </c>
      <c r="F28" s="567">
        <f>('C-63'!F28/'C-62'!F28)*1000</f>
        <v>11.764288468954879</v>
      </c>
      <c r="G28" s="567">
        <f>('C-63'!G28/'C-62'!G28)*1000</f>
        <v>12.884241971620614</v>
      </c>
      <c r="H28" s="567">
        <f>('C-63'!H28/'C-62'!H28)*1000</f>
        <v>12.65603679570717</v>
      </c>
      <c r="I28" s="567">
        <f>('C-63'!I28/'C-62'!I28)*1000</f>
        <v>12.542937456078707</v>
      </c>
      <c r="J28" s="567">
        <f>('C-63'!J28/'C-62'!J28)*1000</f>
        <v>12.591605301914578</v>
      </c>
      <c r="K28" s="567">
        <f>('C-63'!K28/'C-62'!K28)*1000</f>
        <v>12.085584218512901</v>
      </c>
      <c r="L28" s="567">
        <f>('C-63'!L28/'C-62'!L28)*1000</f>
        <v>10.634620963735719</v>
      </c>
      <c r="M28" s="567">
        <f>('C-63'!M28/'C-62'!M28)*1000</f>
        <v>12.852306458082634</v>
      </c>
      <c r="N28" s="567">
        <f>('C-63'!N28/'C-62'!N28)*1000</f>
        <v>11.85329361138696</v>
      </c>
      <c r="P28" s="217"/>
      <c r="Q28" s="217"/>
      <c r="R28" s="215"/>
      <c r="S28" s="217"/>
      <c r="T28" s="286"/>
      <c r="U28" s="287"/>
      <c r="V28" s="286"/>
      <c r="W28" s="286"/>
      <c r="X28" s="242"/>
      <c r="Y28" s="287"/>
      <c r="Z28" s="217"/>
      <c r="AA28" s="288"/>
    </row>
    <row r="29" spans="1:27" ht="12" customHeight="1">
      <c r="A29" s="269" t="s">
        <v>41</v>
      </c>
      <c r="B29" s="566">
        <f>('C-63'!B29/'C-62'!B29)*1000</f>
        <v>10.612229472539424</v>
      </c>
      <c r="C29" s="567">
        <f>('C-63'!C29/'C-62'!C29)*1000</f>
        <v>11.263157894736842</v>
      </c>
      <c r="D29" s="567">
        <f>('C-63'!D29/'C-62'!D29)*1000</f>
        <v>10.343249427917618</v>
      </c>
      <c r="E29" s="567">
        <f>('C-63'!E29/'C-62'!E29)*1000</f>
        <v>10.98729792147806</v>
      </c>
      <c r="F29" s="567">
        <f>('C-63'!F29/'C-62'!F29)*1000</f>
        <v>10.868824531516184</v>
      </c>
      <c r="G29" s="567">
        <f>('C-63'!G29/'C-62'!G29)*1000</f>
        <v>9.4106308411214954</v>
      </c>
      <c r="H29" s="567">
        <f>('C-63'!H29/'C-62'!H29)*1000</f>
        <v>9.9760442260442268</v>
      </c>
      <c r="I29" s="567">
        <f>('C-63'!I29/'C-62'!I29)*1000</f>
        <v>10.696909927679158</v>
      </c>
      <c r="J29" s="567">
        <f>('C-63'!J29/'C-62'!J29)*1000</f>
        <v>10.675828047921071</v>
      </c>
      <c r="K29" s="567">
        <f>('C-63'!K29/'C-62'!K29)*1000</f>
        <v>10.869533527696793</v>
      </c>
      <c r="L29" s="567">
        <f>('C-63'!L29/'C-62'!L29)*1000</f>
        <v>11.019033457249069</v>
      </c>
      <c r="M29" s="567">
        <f>('C-63'!M29/'C-62'!M29)*1000</f>
        <v>11.058602554470323</v>
      </c>
      <c r="N29" s="567">
        <f>('C-63'!N29/'C-62'!N29)*1000</f>
        <v>10.426825518831668</v>
      </c>
      <c r="P29" s="217"/>
      <c r="Q29" s="217"/>
      <c r="R29" s="215"/>
      <c r="S29" s="217"/>
      <c r="T29" s="286"/>
      <c r="U29" s="287"/>
      <c r="V29" s="286"/>
      <c r="W29" s="286"/>
      <c r="X29" s="242"/>
      <c r="Y29" s="287"/>
      <c r="Z29" s="217"/>
      <c r="AA29" s="288"/>
    </row>
    <row r="30" spans="1:27" ht="12" customHeight="1">
      <c r="A30" s="271" t="s">
        <v>111</v>
      </c>
      <c r="B30" s="566">
        <f>('C-63'!B30/'C-62'!B30)*1000</f>
        <v>10.724785426519528</v>
      </c>
      <c r="C30" s="567">
        <f>('C-63'!C30/'C-62'!C30)*1000</f>
        <v>12.228915662650603</v>
      </c>
      <c r="D30" s="567">
        <f>('C-63'!D30/'C-62'!D30)*1000</f>
        <v>10.895833333333334</v>
      </c>
      <c r="E30" s="567">
        <f>('C-63'!E30/'C-62'!E30)*1000</f>
        <v>10.56640625</v>
      </c>
      <c r="F30" s="567">
        <f>('C-63'!F30/'C-62'!F30)*1000</f>
        <v>10.426103646833015</v>
      </c>
      <c r="G30" s="567">
        <f>('C-63'!G30/'C-62'!G30)*1000</f>
        <v>10.080392156862745</v>
      </c>
      <c r="H30" s="567">
        <f>('C-63'!H30/'C-62'!H30)*1000</f>
        <v>10.026768642447419</v>
      </c>
      <c r="I30" s="567">
        <f>('C-63'!I30/'C-62'!I30)*1000</f>
        <v>10.6187624750499</v>
      </c>
      <c r="J30" s="567">
        <f>('C-63'!J30/'C-62'!J30)*1000</f>
        <v>10.707724425887264</v>
      </c>
      <c r="K30" s="567">
        <f>('C-63'!K30/'C-62'!K30)*1000</f>
        <v>10.913043478260869</v>
      </c>
      <c r="L30" s="567">
        <f>('C-63'!L30/'C-62'!L30)*1000</f>
        <v>10.990222222222222</v>
      </c>
      <c r="M30" s="567">
        <f>('C-63'!M30/'C-62'!M30)*1000</f>
        <v>10.81140350877193</v>
      </c>
      <c r="N30" s="567">
        <f>('C-63'!N30/'C-62'!N30)*1000</f>
        <v>10.823880597014927</v>
      </c>
      <c r="P30" s="217"/>
      <c r="Q30" s="217"/>
      <c r="R30" s="215"/>
      <c r="S30" s="217"/>
      <c r="T30" s="286"/>
      <c r="U30" s="287"/>
      <c r="V30" s="286"/>
      <c r="W30" s="286"/>
      <c r="X30" s="242"/>
      <c r="Y30" s="287"/>
      <c r="Z30" s="217"/>
      <c r="AA30" s="288"/>
    </row>
    <row r="31" spans="1:27" ht="12" customHeight="1">
      <c r="A31" s="271" t="s">
        <v>112</v>
      </c>
      <c r="B31" s="566">
        <f>('C-63'!B31/'C-62'!B31)*1000</f>
        <v>10.561556659569433</v>
      </c>
      <c r="C31" s="567">
        <f>('C-63'!C31/'C-62'!C31)*1000</f>
        <v>10.900452488687783</v>
      </c>
      <c r="D31" s="567">
        <f>('C-63'!D31/'C-62'!D31)*1000</f>
        <v>10.134069400630915</v>
      </c>
      <c r="E31" s="567">
        <f>('C-63'!E31/'C-62'!E31)*1000</f>
        <v>11.163934426229506</v>
      </c>
      <c r="F31" s="567">
        <f>('C-63'!F31/'C-62'!F31)*1000</f>
        <v>11.054838709677421</v>
      </c>
      <c r="G31" s="567">
        <f>('C-63'!G31/'C-62'!G31)*1000</f>
        <v>9.1264559068219633</v>
      </c>
      <c r="H31" s="567">
        <f>('C-63'!H31/'C-62'!H31)*1000</f>
        <v>9.9520361990950228</v>
      </c>
      <c r="I31" s="567">
        <f>('C-63'!I31/'C-62'!I31)*1000</f>
        <v>10.735294117647058</v>
      </c>
      <c r="J31" s="567">
        <f>('C-63'!J31/'C-62'!J31)*1000</f>
        <v>10.659574468085106</v>
      </c>
      <c r="K31" s="567">
        <f>('C-63'!K31/'C-62'!K31)*1000</f>
        <v>10.847587719298247</v>
      </c>
      <c r="L31" s="567">
        <f>('C-63'!L31/'C-62'!L31)*1000</f>
        <v>11.033519553072626</v>
      </c>
      <c r="M31" s="567">
        <f>('C-63'!M31/'C-62'!M31)*1000</f>
        <v>11.187428571428571</v>
      </c>
      <c r="N31" s="567">
        <f>('C-63'!N31/'C-62'!N31)*1000</f>
        <v>10.249276974416018</v>
      </c>
      <c r="P31" s="217"/>
      <c r="Q31" s="217"/>
      <c r="R31" s="215"/>
      <c r="S31" s="217"/>
      <c r="T31" s="286"/>
      <c r="U31" s="287"/>
      <c r="V31" s="286"/>
      <c r="W31" s="286"/>
      <c r="X31" s="242"/>
      <c r="Y31" s="287"/>
      <c r="Z31" s="217"/>
      <c r="AA31" s="288"/>
    </row>
    <row r="32" spans="1:27" ht="12" customHeight="1">
      <c r="A32" s="269" t="s">
        <v>44</v>
      </c>
      <c r="B32" s="566">
        <f>('C-63'!B32/'C-62'!B32)*1000</f>
        <v>12.863675980517817</v>
      </c>
      <c r="C32" s="567">
        <f>('C-63'!C32/'C-62'!C32)*1000</f>
        <v>12.795959595959594</v>
      </c>
      <c r="D32" s="567">
        <f>('C-63'!D32/'C-62'!D32)*1000</f>
        <v>12.811575562700966</v>
      </c>
      <c r="E32" s="567">
        <f>('C-63'!E32/'C-62'!E32)*1000</f>
        <v>12.816720257234728</v>
      </c>
      <c r="F32" s="567">
        <f>('C-63'!F32/'C-62'!F32)*1000</f>
        <v>12.902469135802471</v>
      </c>
      <c r="G32" s="567">
        <f>('C-63'!G32/'C-62'!G32)*1000</f>
        <v>12.899401197604794</v>
      </c>
      <c r="H32" s="567">
        <f>('C-63'!H32/'C-62'!H32)*1000</f>
        <v>12.846987951807225</v>
      </c>
      <c r="I32" s="567">
        <f>('C-63'!I32/'C-62'!I32)*1000</f>
        <v>12.856626506024096</v>
      </c>
      <c r="J32" s="567">
        <f>('C-63'!J32/'C-62'!J32)*1000</f>
        <v>12.890634441087613</v>
      </c>
      <c r="K32" s="567">
        <f>('C-63'!K32/'C-62'!K32)*1000</f>
        <v>12.91377245508982</v>
      </c>
      <c r="L32" s="567">
        <f>('C-63'!L32/'C-62'!L32)*1000</f>
        <v>12.891666666666669</v>
      </c>
      <c r="M32" s="567">
        <f>('C-63'!M32/'C-62'!M32)*1000</f>
        <v>12.860122699386503</v>
      </c>
      <c r="N32" s="567">
        <f>('C-63'!N32/'C-62'!N32)*1000</f>
        <v>12.864864864864863</v>
      </c>
      <c r="P32" s="217"/>
      <c r="Q32" s="217"/>
      <c r="R32" s="215"/>
      <c r="S32" s="217"/>
      <c r="T32" s="286"/>
      <c r="U32" s="287"/>
      <c r="V32" s="286"/>
      <c r="W32" s="286"/>
      <c r="X32" s="242"/>
      <c r="Y32" s="287"/>
      <c r="Z32" s="217"/>
      <c r="AA32" s="288"/>
    </row>
    <row r="33" spans="1:27" ht="12" customHeight="1">
      <c r="A33" s="269" t="s">
        <v>45</v>
      </c>
      <c r="B33" s="566">
        <v>0</v>
      </c>
      <c r="C33" s="567">
        <v>0</v>
      </c>
      <c r="D33" s="567">
        <v>0</v>
      </c>
      <c r="E33" s="567">
        <v>0</v>
      </c>
      <c r="F33" s="567">
        <v>0</v>
      </c>
      <c r="G33" s="567">
        <v>0</v>
      </c>
      <c r="H33" s="567">
        <v>0</v>
      </c>
      <c r="I33" s="567">
        <v>0</v>
      </c>
      <c r="J33" s="567">
        <v>0</v>
      </c>
      <c r="K33" s="567">
        <v>0</v>
      </c>
      <c r="L33" s="567">
        <v>0</v>
      </c>
      <c r="M33" s="567">
        <v>0</v>
      </c>
      <c r="N33" s="567">
        <v>0</v>
      </c>
      <c r="P33" s="217"/>
      <c r="Q33" s="217"/>
      <c r="R33" s="215"/>
      <c r="S33" s="217"/>
      <c r="T33" s="286"/>
      <c r="U33" s="287"/>
      <c r="V33" s="286"/>
      <c r="W33" s="286"/>
      <c r="X33" s="242"/>
      <c r="Y33" s="287"/>
      <c r="Z33" s="217"/>
      <c r="AA33" s="288"/>
    </row>
    <row r="34" spans="1:27" ht="12" customHeight="1">
      <c r="A34" s="217" t="s">
        <v>46</v>
      </c>
      <c r="B34" s="566">
        <v>0</v>
      </c>
      <c r="C34" s="567">
        <v>0</v>
      </c>
      <c r="D34" s="567">
        <v>0</v>
      </c>
      <c r="E34" s="567">
        <v>0</v>
      </c>
      <c r="F34" s="567">
        <v>0</v>
      </c>
      <c r="G34" s="567">
        <v>0</v>
      </c>
      <c r="H34" s="567">
        <v>0</v>
      </c>
      <c r="I34" s="567">
        <v>0</v>
      </c>
      <c r="J34" s="567">
        <v>0</v>
      </c>
      <c r="K34" s="567">
        <v>0</v>
      </c>
      <c r="L34" s="567">
        <v>0</v>
      </c>
      <c r="M34" s="567">
        <v>0</v>
      </c>
      <c r="N34" s="567">
        <v>0</v>
      </c>
      <c r="P34" s="217"/>
      <c r="Q34" s="217"/>
      <c r="R34" s="215"/>
      <c r="S34" s="217"/>
      <c r="T34" s="286"/>
      <c r="U34" s="287"/>
      <c r="V34" s="286"/>
      <c r="W34" s="286"/>
      <c r="X34" s="242"/>
      <c r="Y34" s="287"/>
      <c r="Z34" s="217"/>
      <c r="AA34" s="288"/>
    </row>
    <row r="35" spans="1:27" ht="12" customHeight="1">
      <c r="A35" s="217" t="s">
        <v>47</v>
      </c>
      <c r="B35" s="566">
        <v>0</v>
      </c>
      <c r="C35" s="567">
        <v>0</v>
      </c>
      <c r="D35" s="567">
        <v>0</v>
      </c>
      <c r="E35" s="567">
        <v>0</v>
      </c>
      <c r="F35" s="567">
        <v>0</v>
      </c>
      <c r="G35" s="567">
        <v>0</v>
      </c>
      <c r="H35" s="567">
        <v>0</v>
      </c>
      <c r="I35" s="567">
        <v>0</v>
      </c>
      <c r="J35" s="567">
        <v>0</v>
      </c>
      <c r="K35" s="567">
        <v>0</v>
      </c>
      <c r="L35" s="567">
        <v>0</v>
      </c>
      <c r="M35" s="567">
        <v>0</v>
      </c>
      <c r="N35" s="567">
        <v>0</v>
      </c>
      <c r="Q35" s="217"/>
      <c r="R35" s="215"/>
      <c r="S35" s="217"/>
      <c r="T35" s="286"/>
      <c r="U35" s="287"/>
      <c r="V35" s="286"/>
      <c r="W35" s="286"/>
      <c r="X35" s="242"/>
      <c r="Y35" s="287"/>
      <c r="Z35" s="217"/>
      <c r="AA35" s="288"/>
    </row>
    <row r="36" spans="1:27" ht="12" customHeight="1">
      <c r="A36" s="217" t="s">
        <v>48</v>
      </c>
      <c r="B36" s="566">
        <v>0</v>
      </c>
      <c r="C36" s="567">
        <v>0</v>
      </c>
      <c r="D36" s="567">
        <v>0</v>
      </c>
      <c r="E36" s="567">
        <v>0</v>
      </c>
      <c r="F36" s="567">
        <v>0</v>
      </c>
      <c r="G36" s="567">
        <v>0</v>
      </c>
      <c r="H36" s="567">
        <v>0</v>
      </c>
      <c r="I36" s="567">
        <v>0</v>
      </c>
      <c r="J36" s="567">
        <v>0</v>
      </c>
      <c r="K36" s="567">
        <v>0</v>
      </c>
      <c r="L36" s="567">
        <v>0</v>
      </c>
      <c r="M36" s="567">
        <v>0</v>
      </c>
      <c r="N36" s="567">
        <v>0</v>
      </c>
      <c r="Q36" s="217"/>
      <c r="R36" s="215"/>
      <c r="S36" s="217"/>
      <c r="T36" s="286"/>
      <c r="U36" s="287"/>
      <c r="V36" s="286"/>
      <c r="W36" s="286"/>
      <c r="X36" s="242"/>
      <c r="Y36" s="287"/>
      <c r="Z36" s="217"/>
      <c r="AA36" s="288"/>
    </row>
    <row r="37" spans="1:27" ht="12" customHeight="1" thickBot="1">
      <c r="A37" s="272" t="s">
        <v>49</v>
      </c>
      <c r="B37" s="568">
        <v>0</v>
      </c>
      <c r="C37" s="569">
        <v>0</v>
      </c>
      <c r="D37" s="569">
        <v>0</v>
      </c>
      <c r="E37" s="569">
        <v>0</v>
      </c>
      <c r="F37" s="569">
        <v>0</v>
      </c>
      <c r="G37" s="569">
        <v>0</v>
      </c>
      <c r="H37" s="569">
        <v>0</v>
      </c>
      <c r="I37" s="569">
        <v>0</v>
      </c>
      <c r="J37" s="569">
        <v>0</v>
      </c>
      <c r="K37" s="569">
        <v>0</v>
      </c>
      <c r="L37" s="569">
        <v>0</v>
      </c>
      <c r="M37" s="569">
        <v>0</v>
      </c>
      <c r="N37" s="569">
        <v>0</v>
      </c>
      <c r="P37" s="217"/>
      <c r="Q37" s="217"/>
      <c r="R37" s="215"/>
      <c r="S37" s="217"/>
      <c r="T37" s="286"/>
      <c r="U37" s="287"/>
      <c r="V37" s="286"/>
      <c r="W37" s="286"/>
      <c r="X37" s="242"/>
      <c r="Y37" s="287"/>
      <c r="Z37" s="217"/>
      <c r="AA37" s="288"/>
    </row>
    <row r="38" spans="1:27" ht="10" customHeight="1">
      <c r="A38" s="28" t="s">
        <v>238</v>
      </c>
      <c r="B38" s="536"/>
      <c r="C38" s="536"/>
      <c r="D38" s="536"/>
      <c r="E38" s="536"/>
      <c r="F38" s="536"/>
    </row>
    <row r="39" spans="1:27" ht="10" customHeight="1">
      <c r="A39" s="28" t="s">
        <v>192</v>
      </c>
      <c r="B39" s="536"/>
      <c r="C39" s="536"/>
      <c r="D39" s="536"/>
      <c r="E39" s="536"/>
      <c r="F39" s="536"/>
    </row>
    <row r="40" spans="1:27" ht="10" customHeight="1">
      <c r="A40" s="40" t="s">
        <v>261</v>
      </c>
      <c r="B40" s="536"/>
      <c r="C40" s="536"/>
      <c r="D40" s="536"/>
      <c r="E40" s="536"/>
      <c r="F40" s="536"/>
    </row>
    <row r="41" spans="1:27" ht="13" customHeight="1">
      <c r="A41" s="12"/>
    </row>
    <row r="42" spans="1:27" ht="13" customHeight="1">
      <c r="A42" s="141"/>
    </row>
    <row r="43" spans="1:27" ht="13" customHeight="1">
      <c r="A43" s="191"/>
    </row>
    <row r="44" spans="1:27" ht="13" customHeight="1">
      <c r="A44" s="31"/>
    </row>
    <row r="45" spans="1:27" ht="13" customHeight="1">
      <c r="A45" s="58"/>
    </row>
    <row r="46" spans="1:27" ht="13" customHeight="1">
      <c r="A46" s="31"/>
    </row>
    <row r="47" spans="1:27" ht="13" customHeight="1">
      <c r="A47" s="141"/>
    </row>
    <row r="48" spans="1:27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Hoja66">
    <tabColor theme="9" tint="0.59999389629810485"/>
  </sheetPr>
  <dimension ref="A4:O46"/>
  <sheetViews>
    <sheetView showGridLines="0" topLeftCell="A3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141" customWidth="1"/>
    <col min="2" max="2" width="8" style="141" customWidth="1"/>
    <col min="3" max="14" width="8.59765625" style="141" customWidth="1"/>
    <col min="15" max="16384" width="7" style="141"/>
  </cols>
  <sheetData>
    <row r="4" spans="1:15" ht="13" customHeight="1">
      <c r="A4" s="512" t="s">
        <v>401</v>
      </c>
      <c r="B4" s="508"/>
    </row>
    <row r="5" spans="1:15" ht="13" customHeight="1">
      <c r="A5" s="515" t="s">
        <v>325</v>
      </c>
      <c r="B5" s="508"/>
    </row>
    <row r="6" spans="1:15" ht="5" customHeight="1" thickBot="1"/>
    <row r="7" spans="1:15" ht="15" customHeight="1">
      <c r="A7" s="525" t="s">
        <v>18</v>
      </c>
      <c r="B7" s="526" t="s">
        <v>118</v>
      </c>
      <c r="C7" s="525" t="s">
        <v>57</v>
      </c>
      <c r="D7" s="525" t="s">
        <v>58</v>
      </c>
      <c r="E7" s="525" t="s">
        <v>59</v>
      </c>
      <c r="F7" s="525" t="s">
        <v>60</v>
      </c>
      <c r="G7" s="525" t="s">
        <v>61</v>
      </c>
      <c r="H7" s="525" t="s">
        <v>62</v>
      </c>
      <c r="I7" s="525" t="s">
        <v>63</v>
      </c>
      <c r="J7" s="525" t="s">
        <v>64</v>
      </c>
      <c r="K7" s="525" t="s">
        <v>65</v>
      </c>
      <c r="L7" s="525" t="s">
        <v>66</v>
      </c>
      <c r="M7" s="525" t="s">
        <v>67</v>
      </c>
      <c r="N7" s="525" t="s">
        <v>68</v>
      </c>
      <c r="O7" s="282"/>
    </row>
    <row r="8" spans="1:15" ht="15" customHeight="1">
      <c r="A8" s="401" t="s">
        <v>100</v>
      </c>
      <c r="B8" s="573">
        <f t="shared" ref="B8:B37" si="0">SUM(C8:N8)</f>
        <v>473283</v>
      </c>
      <c r="C8" s="573">
        <f t="shared" ref="C8:N8" si="1">(C9+C10+C11+C12+C13+C17+C18+C19+C20+C21+C22+C23+C24+C25+C26+C27+C28+C29+C32+C33+C34+C35+C36+C37)</f>
        <v>31345</v>
      </c>
      <c r="D8" s="573">
        <f t="shared" si="1"/>
        <v>37344</v>
      </c>
      <c r="E8" s="573">
        <f t="shared" si="1"/>
        <v>40945</v>
      </c>
      <c r="F8" s="573">
        <f t="shared" si="1"/>
        <v>47971</v>
      </c>
      <c r="G8" s="573">
        <f t="shared" si="1"/>
        <v>46678</v>
      </c>
      <c r="H8" s="573">
        <f t="shared" si="1"/>
        <v>47120</v>
      </c>
      <c r="I8" s="573">
        <f t="shared" si="1"/>
        <v>45906</v>
      </c>
      <c r="J8" s="573">
        <f t="shared" si="1"/>
        <v>41956</v>
      </c>
      <c r="K8" s="573">
        <f t="shared" si="1"/>
        <v>36148</v>
      </c>
      <c r="L8" s="573">
        <f t="shared" si="1"/>
        <v>33531</v>
      </c>
      <c r="M8" s="573">
        <f t="shared" si="1"/>
        <v>33340</v>
      </c>
      <c r="N8" s="573">
        <f t="shared" si="1"/>
        <v>30999</v>
      </c>
    </row>
    <row r="9" spans="1:15" ht="12" customHeight="1">
      <c r="A9" s="280" t="s">
        <v>21</v>
      </c>
      <c r="B9" s="574">
        <f t="shared" si="0"/>
        <v>0</v>
      </c>
      <c r="C9" s="575">
        <f>+'[2]ALP 04-99'!E1376</f>
        <v>0</v>
      </c>
      <c r="D9" s="575">
        <f>+'[2]ALP 04-99'!F1376</f>
        <v>0</v>
      </c>
      <c r="E9" s="575">
        <f>+'[2]ALP 04-99'!G1376</f>
        <v>0</v>
      </c>
      <c r="F9" s="575">
        <f>+'[2]ALP 04-99'!H1376</f>
        <v>0</v>
      </c>
      <c r="G9" s="575">
        <f>+'[2]ALP 04-99'!I1376</f>
        <v>0</v>
      </c>
      <c r="H9" s="575">
        <f>+'[2]ALP 04-99'!J1376</f>
        <v>0</v>
      </c>
      <c r="I9" s="575">
        <f>+'[2]ALP 04-99'!K1376</f>
        <v>0</v>
      </c>
      <c r="J9" s="575">
        <f>+'[2]ALP 04-99'!L1376</f>
        <v>0</v>
      </c>
      <c r="K9" s="575">
        <f>+'[2]ALP 04-99'!M1376</f>
        <v>0</v>
      </c>
      <c r="L9" s="575">
        <f>+'[2]ALP 04-99'!N1376</f>
        <v>0</v>
      </c>
      <c r="M9" s="575">
        <f>+'[2]ALP 04-99'!O1376</f>
        <v>0</v>
      </c>
      <c r="N9" s="575">
        <f>+'[2]ALP 04-99'!P1376</f>
        <v>0</v>
      </c>
    </row>
    <row r="10" spans="1:15" ht="12" customHeight="1">
      <c r="A10" s="280" t="s">
        <v>22</v>
      </c>
      <c r="B10" s="574">
        <f t="shared" si="0"/>
        <v>0</v>
      </c>
      <c r="C10" s="575">
        <f>+'[2]ALP 04-99'!E1379</f>
        <v>0</v>
      </c>
      <c r="D10" s="575">
        <f>+'[2]ALP 04-99'!F1379</f>
        <v>0</v>
      </c>
      <c r="E10" s="575">
        <f>+'[2]ALP 04-99'!G1379</f>
        <v>0</v>
      </c>
      <c r="F10" s="575">
        <f>+'[2]ALP 04-99'!H1379</f>
        <v>0</v>
      </c>
      <c r="G10" s="575">
        <f>+'[2]ALP 04-99'!I1379</f>
        <v>0</v>
      </c>
      <c r="H10" s="575">
        <f>+'[2]ALP 04-99'!J1379</f>
        <v>0</v>
      </c>
      <c r="I10" s="575">
        <f>+'[2]ALP 04-99'!K1379</f>
        <v>0</v>
      </c>
      <c r="J10" s="575">
        <f>+'[2]ALP 04-99'!L1379</f>
        <v>0</v>
      </c>
      <c r="K10" s="575">
        <f>+'[2]ALP 04-99'!M1379</f>
        <v>0</v>
      </c>
      <c r="L10" s="575">
        <f>+'[2]ALP 04-99'!N1379</f>
        <v>0</v>
      </c>
      <c r="M10" s="575">
        <f>+'[2]ALP 04-99'!O1379</f>
        <v>0</v>
      </c>
      <c r="N10" s="575">
        <f>+'[2]ALP 04-99'!P1379</f>
        <v>0</v>
      </c>
    </row>
    <row r="11" spans="1:15" ht="12" customHeight="1">
      <c r="A11" s="280" t="s">
        <v>23</v>
      </c>
      <c r="B11" s="574">
        <f t="shared" si="0"/>
        <v>0</v>
      </c>
      <c r="C11" s="575">
        <f>+'[2]ALP 04-99'!E1382</f>
        <v>0</v>
      </c>
      <c r="D11" s="575">
        <f>+'[2]ALP 04-99'!F1382</f>
        <v>0</v>
      </c>
      <c r="E11" s="575">
        <f>+'[2]ALP 04-99'!G1382</f>
        <v>0</v>
      </c>
      <c r="F11" s="575">
        <f>+'[2]ALP 04-99'!H1382</f>
        <v>0</v>
      </c>
      <c r="G11" s="575">
        <f>+'[2]ALP 04-99'!I1382</f>
        <v>0</v>
      </c>
      <c r="H11" s="575">
        <f>+'[2]ALP 04-99'!J1382</f>
        <v>0</v>
      </c>
      <c r="I11" s="575">
        <f>+'[2]ALP 04-99'!K1382</f>
        <v>0</v>
      </c>
      <c r="J11" s="575">
        <f>+'[2]ALP 04-99'!L1382</f>
        <v>0</v>
      </c>
      <c r="K11" s="575">
        <f>+'[2]ALP 04-99'!M1382</f>
        <v>0</v>
      </c>
      <c r="L11" s="575">
        <f>+'[2]ALP 04-99'!N1382</f>
        <v>0</v>
      </c>
      <c r="M11" s="575">
        <f>+'[2]ALP 04-99'!O1382</f>
        <v>0</v>
      </c>
      <c r="N11" s="575">
        <f>+'[2]ALP 04-99'!P1382</f>
        <v>0</v>
      </c>
    </row>
    <row r="12" spans="1:15" ht="12" customHeight="1">
      <c r="A12" s="191" t="s">
        <v>24</v>
      </c>
      <c r="B12" s="574">
        <f t="shared" si="0"/>
        <v>1377</v>
      </c>
      <c r="C12" s="575">
        <f>+'[2]ALP 04-99'!E1385</f>
        <v>24</v>
      </c>
      <c r="D12" s="575">
        <f>+'[2]ALP 04-99'!F1385</f>
        <v>0</v>
      </c>
      <c r="E12" s="575">
        <f>+'[2]ALP 04-99'!G1385</f>
        <v>0</v>
      </c>
      <c r="F12" s="575">
        <f>+'[2]ALP 04-99'!H1385</f>
        <v>89</v>
      </c>
      <c r="G12" s="575">
        <f>+'[2]ALP 04-99'!I1385</f>
        <v>293</v>
      </c>
      <c r="H12" s="575">
        <f>+'[2]ALP 04-99'!J1385</f>
        <v>187</v>
      </c>
      <c r="I12" s="575">
        <f>+'[2]ALP 04-99'!K1385</f>
        <v>301</v>
      </c>
      <c r="J12" s="575">
        <f>+'[2]ALP 04-99'!L1385</f>
        <v>216</v>
      </c>
      <c r="K12" s="575">
        <f>+'[2]ALP 04-99'!M1385</f>
        <v>100</v>
      </c>
      <c r="L12" s="575">
        <f>+'[2]ALP 04-99'!N1385</f>
        <v>32</v>
      </c>
      <c r="M12" s="575">
        <f>+'[2]ALP 04-99'!O1385</f>
        <v>34</v>
      </c>
      <c r="N12" s="575">
        <f>+'[2]ALP 04-99'!P1385</f>
        <v>101</v>
      </c>
    </row>
    <row r="13" spans="1:15" ht="12" customHeight="1">
      <c r="A13" s="191" t="s">
        <v>25</v>
      </c>
      <c r="B13" s="574">
        <f t="shared" si="0"/>
        <v>0</v>
      </c>
      <c r="C13" s="575">
        <f>+'[2]ALP 04-99'!E1388</f>
        <v>0</v>
      </c>
      <c r="D13" s="575">
        <f>+'[2]ALP 04-99'!F1388</f>
        <v>0</v>
      </c>
      <c r="E13" s="575">
        <f>+'[2]ALP 04-99'!G1388</f>
        <v>0</v>
      </c>
      <c r="F13" s="575">
        <f>+'[2]ALP 04-99'!H1388</f>
        <v>0</v>
      </c>
      <c r="G13" s="575">
        <f>+'[2]ALP 04-99'!I1388</f>
        <v>0</v>
      </c>
      <c r="H13" s="575">
        <f>+'[2]ALP 04-99'!J1388</f>
        <v>0</v>
      </c>
      <c r="I13" s="575">
        <f>+'[2]ALP 04-99'!K1388</f>
        <v>0</v>
      </c>
      <c r="J13" s="575">
        <f>+'[2]ALP 04-99'!L1388</f>
        <v>0</v>
      </c>
      <c r="K13" s="575">
        <f>+'[2]ALP 04-99'!M1388</f>
        <v>0</v>
      </c>
      <c r="L13" s="575">
        <f>+'[2]ALP 04-99'!N1388</f>
        <v>0</v>
      </c>
      <c r="M13" s="575">
        <f>+'[2]ALP 04-99'!O1388</f>
        <v>0</v>
      </c>
      <c r="N13" s="575">
        <f>+'[2]ALP 04-99'!P1388</f>
        <v>0</v>
      </c>
    </row>
    <row r="14" spans="1:15" ht="12" customHeight="1">
      <c r="A14" s="281" t="s">
        <v>107</v>
      </c>
      <c r="B14" s="574">
        <f t="shared" si="0"/>
        <v>0</v>
      </c>
      <c r="C14" s="575">
        <f>+'[2]ALP 04-99'!E1391</f>
        <v>0</v>
      </c>
      <c r="D14" s="575">
        <f>+'[2]ALP 04-99'!F1391</f>
        <v>0</v>
      </c>
      <c r="E14" s="575">
        <f>+'[2]ALP 04-99'!G1391</f>
        <v>0</v>
      </c>
      <c r="F14" s="575">
        <f>+'[2]ALP 04-99'!H1391</f>
        <v>0</v>
      </c>
      <c r="G14" s="575">
        <f>+'[2]ALP 04-99'!I1391</f>
        <v>0</v>
      </c>
      <c r="H14" s="575">
        <f>+'[2]ALP 04-99'!J1391</f>
        <v>0</v>
      </c>
      <c r="I14" s="575">
        <f>+'[2]ALP 04-99'!K1391</f>
        <v>0</v>
      </c>
      <c r="J14" s="575">
        <f>+'[2]ALP 04-99'!L1391</f>
        <v>0</v>
      </c>
      <c r="K14" s="575">
        <f>+'[2]ALP 04-99'!M1391</f>
        <v>0</v>
      </c>
      <c r="L14" s="575">
        <f>+'[2]ALP 04-99'!N1391</f>
        <v>0</v>
      </c>
      <c r="M14" s="575">
        <f>+'[2]ALP 04-99'!O1391</f>
        <v>0</v>
      </c>
      <c r="N14" s="575">
        <f>+'[2]ALP 04-99'!P1391</f>
        <v>0</v>
      </c>
    </row>
    <row r="15" spans="1:15" ht="12" customHeight="1">
      <c r="A15" s="281" t="s">
        <v>108</v>
      </c>
      <c r="B15" s="574">
        <f t="shared" si="0"/>
        <v>0</v>
      </c>
      <c r="C15" s="575">
        <f>+'[2]ALP 04-99'!E1394</f>
        <v>0</v>
      </c>
      <c r="D15" s="575">
        <f>+'[2]ALP 04-99'!F1394</f>
        <v>0</v>
      </c>
      <c r="E15" s="575">
        <f>+'[2]ALP 04-99'!G1394</f>
        <v>0</v>
      </c>
      <c r="F15" s="575">
        <f>+'[2]ALP 04-99'!H1394</f>
        <v>0</v>
      </c>
      <c r="G15" s="575">
        <f>+'[2]ALP 04-99'!I1394</f>
        <v>0</v>
      </c>
      <c r="H15" s="575">
        <f>+'[2]ALP 04-99'!J1394</f>
        <v>0</v>
      </c>
      <c r="I15" s="575">
        <f>+'[2]ALP 04-99'!K1394</f>
        <v>0</v>
      </c>
      <c r="J15" s="575">
        <f>+'[2]ALP 04-99'!L1394</f>
        <v>0</v>
      </c>
      <c r="K15" s="575">
        <f>+'[2]ALP 04-99'!M1394</f>
        <v>0</v>
      </c>
      <c r="L15" s="575">
        <f>+'[2]ALP 04-99'!N1394</f>
        <v>0</v>
      </c>
      <c r="M15" s="575">
        <f>+'[2]ALP 04-99'!O1394</f>
        <v>0</v>
      </c>
      <c r="N15" s="575">
        <f>+'[2]ALP 04-99'!P1394</f>
        <v>0</v>
      </c>
    </row>
    <row r="16" spans="1:15" ht="12" customHeight="1">
      <c r="A16" s="281" t="s">
        <v>109</v>
      </c>
      <c r="B16" s="574">
        <f t="shared" si="0"/>
        <v>0</v>
      </c>
      <c r="C16" s="575">
        <f>+'[2]ALP 04-99'!E1397</f>
        <v>0</v>
      </c>
      <c r="D16" s="575">
        <f>+'[2]ALP 04-99'!F1397</f>
        <v>0</v>
      </c>
      <c r="E16" s="575">
        <f>+'[2]ALP 04-99'!G1397</f>
        <v>0</v>
      </c>
      <c r="F16" s="575">
        <f>+'[2]ALP 04-99'!H1397</f>
        <v>0</v>
      </c>
      <c r="G16" s="575">
        <f>+'[2]ALP 04-99'!I1397</f>
        <v>0</v>
      </c>
      <c r="H16" s="575">
        <f>+'[2]ALP 04-99'!J1397</f>
        <v>0</v>
      </c>
      <c r="I16" s="575">
        <f>+'[2]ALP 04-99'!K1397</f>
        <v>0</v>
      </c>
      <c r="J16" s="575">
        <f>+'[2]ALP 04-99'!L1397</f>
        <v>0</v>
      </c>
      <c r="K16" s="575">
        <f>+'[2]ALP 04-99'!M1397</f>
        <v>0</v>
      </c>
      <c r="L16" s="575">
        <f>+'[2]ALP 04-99'!N1397</f>
        <v>0</v>
      </c>
      <c r="M16" s="575">
        <f>+'[2]ALP 04-99'!O1397</f>
        <v>0</v>
      </c>
      <c r="N16" s="575">
        <f>+'[2]ALP 04-99'!P1397</f>
        <v>0</v>
      </c>
    </row>
    <row r="17" spans="1:14" ht="12" customHeight="1">
      <c r="A17" s="280" t="s">
        <v>29</v>
      </c>
      <c r="B17" s="574">
        <f t="shared" si="0"/>
        <v>0</v>
      </c>
      <c r="C17" s="575">
        <f>+'[2]ALP 04-99'!E1400</f>
        <v>0</v>
      </c>
      <c r="D17" s="575">
        <f>+'[2]ALP 04-99'!F1400</f>
        <v>0</v>
      </c>
      <c r="E17" s="575">
        <f>+'[2]ALP 04-99'!G1400</f>
        <v>0</v>
      </c>
      <c r="F17" s="575">
        <f>+'[2]ALP 04-99'!H1400</f>
        <v>0</v>
      </c>
      <c r="G17" s="575">
        <f>+'[2]ALP 04-99'!I1400</f>
        <v>0</v>
      </c>
      <c r="H17" s="575">
        <f>+'[2]ALP 04-99'!J1400</f>
        <v>0</v>
      </c>
      <c r="I17" s="575">
        <f>+'[2]ALP 04-99'!K1400</f>
        <v>0</v>
      </c>
      <c r="J17" s="575">
        <f>+'[2]ALP 04-99'!L1400</f>
        <v>0</v>
      </c>
      <c r="K17" s="575">
        <f>+'[2]ALP 04-99'!M1400</f>
        <v>0</v>
      </c>
      <c r="L17" s="575">
        <f>+'[2]ALP 04-99'!N1400</f>
        <v>0</v>
      </c>
      <c r="M17" s="575">
        <f>+'[2]ALP 04-99'!O1400</f>
        <v>0</v>
      </c>
      <c r="N17" s="575">
        <f>+'[2]ALP 04-99'!P1400</f>
        <v>0</v>
      </c>
    </row>
    <row r="18" spans="1:14" ht="12" customHeight="1">
      <c r="A18" s="191" t="s">
        <v>30</v>
      </c>
      <c r="B18" s="574">
        <f t="shared" si="0"/>
        <v>390</v>
      </c>
      <c r="C18" s="575">
        <f>+'[2]ALP 04-99'!E1403</f>
        <v>38</v>
      </c>
      <c r="D18" s="575">
        <f>+'[2]ALP 04-99'!F1403</f>
        <v>35</v>
      </c>
      <c r="E18" s="575">
        <f>+'[2]ALP 04-99'!G1403</f>
        <v>33</v>
      </c>
      <c r="F18" s="575">
        <f>+'[2]ALP 04-99'!H1403</f>
        <v>35</v>
      </c>
      <c r="G18" s="575">
        <f>+'[2]ALP 04-99'!I1403</f>
        <v>35</v>
      </c>
      <c r="H18" s="575">
        <f>+'[2]ALP 04-99'!J1403</f>
        <v>30</v>
      </c>
      <c r="I18" s="575">
        <f>+'[2]ALP 04-99'!K1403</f>
        <v>34</v>
      </c>
      <c r="J18" s="575">
        <f>+'[2]ALP 04-99'!L1403</f>
        <v>31</v>
      </c>
      <c r="K18" s="575">
        <f>+'[2]ALP 04-99'!M1403</f>
        <v>29</v>
      </c>
      <c r="L18" s="575">
        <f>+'[2]ALP 04-99'!N1403</f>
        <v>24</v>
      </c>
      <c r="M18" s="575">
        <f>+'[2]ALP 04-99'!O1403</f>
        <v>32</v>
      </c>
      <c r="N18" s="575">
        <f>+'[2]ALP 04-99'!P1403</f>
        <v>34</v>
      </c>
    </row>
    <row r="19" spans="1:14" ht="12" customHeight="1">
      <c r="A19" s="191" t="s">
        <v>31</v>
      </c>
      <c r="B19" s="574">
        <f t="shared" si="0"/>
        <v>2831</v>
      </c>
      <c r="C19" s="575">
        <f>+'[2]ALP 04-99'!E1406</f>
        <v>215</v>
      </c>
      <c r="D19" s="575">
        <f>+'[2]ALP 04-99'!F1406</f>
        <v>179</v>
      </c>
      <c r="E19" s="575">
        <f>+'[2]ALP 04-99'!G1406</f>
        <v>214</v>
      </c>
      <c r="F19" s="575">
        <f>+'[2]ALP 04-99'!H1406</f>
        <v>220</v>
      </c>
      <c r="G19" s="575">
        <f>+'[2]ALP 04-99'!I1406</f>
        <v>205</v>
      </c>
      <c r="H19" s="575">
        <f>+'[2]ALP 04-99'!J1406</f>
        <v>248</v>
      </c>
      <c r="I19" s="575">
        <f>+'[2]ALP 04-99'!K1406</f>
        <v>334</v>
      </c>
      <c r="J19" s="575">
        <f>+'[2]ALP 04-99'!L1406</f>
        <v>215</v>
      </c>
      <c r="K19" s="575">
        <f>+'[2]ALP 04-99'!M1406</f>
        <v>275</v>
      </c>
      <c r="L19" s="575">
        <f>+'[2]ALP 04-99'!N1406</f>
        <v>278</v>
      </c>
      <c r="M19" s="575">
        <f>+'[2]ALP 04-99'!O1406</f>
        <v>216</v>
      </c>
      <c r="N19" s="575">
        <f>+'[2]ALP 04-99'!P1406</f>
        <v>232</v>
      </c>
    </row>
    <row r="20" spans="1:14" ht="12" customHeight="1">
      <c r="A20" s="280" t="s">
        <v>32</v>
      </c>
      <c r="B20" s="574">
        <f t="shared" si="0"/>
        <v>0</v>
      </c>
      <c r="C20" s="575">
        <f>+'[2]ALP 04-99'!E1409</f>
        <v>0</v>
      </c>
      <c r="D20" s="575">
        <f>+'[2]ALP 04-99'!F1409</f>
        <v>0</v>
      </c>
      <c r="E20" s="575">
        <f>+'[2]ALP 04-99'!G1409</f>
        <v>0</v>
      </c>
      <c r="F20" s="575">
        <f>+'[2]ALP 04-99'!H1409</f>
        <v>0</v>
      </c>
      <c r="G20" s="575">
        <f>+'[2]ALP 04-99'!I1409</f>
        <v>0</v>
      </c>
      <c r="H20" s="575">
        <f>+'[2]ALP 04-99'!J1409</f>
        <v>0</v>
      </c>
      <c r="I20" s="575">
        <f>+'[2]ALP 04-99'!K1409</f>
        <v>0</v>
      </c>
      <c r="J20" s="575">
        <f>+'[2]ALP 04-99'!L1409</f>
        <v>0</v>
      </c>
      <c r="K20" s="575">
        <f>+'[2]ALP 04-99'!M1409</f>
        <v>0</v>
      </c>
      <c r="L20" s="575">
        <f>+'[2]ALP 04-99'!N1409</f>
        <v>0</v>
      </c>
      <c r="M20" s="575">
        <f>+'[2]ALP 04-99'!O1409</f>
        <v>0</v>
      </c>
      <c r="N20" s="575">
        <f>+'[2]ALP 04-99'!P1409</f>
        <v>0</v>
      </c>
    </row>
    <row r="21" spans="1:14" ht="12" customHeight="1">
      <c r="A21" s="280" t="s">
        <v>33</v>
      </c>
      <c r="B21" s="574">
        <f t="shared" si="0"/>
        <v>1256</v>
      </c>
      <c r="C21" s="575">
        <f>+'[2]ALP 04-99'!E1412</f>
        <v>80</v>
      </c>
      <c r="D21" s="575">
        <f>+'[2]ALP 04-99'!F1412</f>
        <v>67</v>
      </c>
      <c r="E21" s="575">
        <f>+'[2]ALP 04-99'!G1412</f>
        <v>97</v>
      </c>
      <c r="F21" s="575">
        <f>+'[2]ALP 04-99'!H1412</f>
        <v>113</v>
      </c>
      <c r="G21" s="575">
        <f>+'[2]ALP 04-99'!I1412</f>
        <v>128</v>
      </c>
      <c r="H21" s="575">
        <f>+'[2]ALP 04-99'!J1412</f>
        <v>116</v>
      </c>
      <c r="I21" s="575">
        <f>+'[2]ALP 04-99'!K1412</f>
        <v>115</v>
      </c>
      <c r="J21" s="575">
        <f>+'[2]ALP 04-99'!L1412</f>
        <v>124</v>
      </c>
      <c r="K21" s="575">
        <f>+'[2]ALP 04-99'!M1412</f>
        <v>117</v>
      </c>
      <c r="L21" s="575">
        <f>+'[2]ALP 04-99'!N1412</f>
        <v>90</v>
      </c>
      <c r="M21" s="575">
        <f>+'[2]ALP 04-99'!O1412</f>
        <v>88</v>
      </c>
      <c r="N21" s="575">
        <f>+'[2]ALP 04-99'!P1412</f>
        <v>121</v>
      </c>
    </row>
    <row r="22" spans="1:14" ht="12" customHeight="1">
      <c r="A22" s="280" t="s">
        <v>34</v>
      </c>
      <c r="B22" s="574">
        <f t="shared" si="0"/>
        <v>15701</v>
      </c>
      <c r="C22" s="575">
        <f>+'[2]ALP 04-99'!E1415</f>
        <v>758</v>
      </c>
      <c r="D22" s="575">
        <f>+'[2]ALP 04-99'!F1415</f>
        <v>865</v>
      </c>
      <c r="E22" s="575">
        <f>+'[2]ALP 04-99'!G1415</f>
        <v>1201</v>
      </c>
      <c r="F22" s="575">
        <f>+'[2]ALP 04-99'!H1415</f>
        <v>1440</v>
      </c>
      <c r="G22" s="575">
        <f>+'[2]ALP 04-99'!I1415</f>
        <v>1583</v>
      </c>
      <c r="H22" s="575">
        <f>+'[2]ALP 04-99'!J1415</f>
        <v>1896</v>
      </c>
      <c r="I22" s="575">
        <f>+'[2]ALP 04-99'!K1415</f>
        <v>1849</v>
      </c>
      <c r="J22" s="575">
        <f>+'[2]ALP 04-99'!L1415</f>
        <v>1372</v>
      </c>
      <c r="K22" s="575">
        <f>+'[2]ALP 04-99'!M1415</f>
        <v>802</v>
      </c>
      <c r="L22" s="575">
        <f>+'[2]ALP 04-99'!N1415</f>
        <v>935</v>
      </c>
      <c r="M22" s="575">
        <f>+'[2]ALP 04-99'!O1415</f>
        <v>1271</v>
      </c>
      <c r="N22" s="575">
        <f>+'[2]ALP 04-99'!P1415</f>
        <v>1729</v>
      </c>
    </row>
    <row r="23" spans="1:14" ht="12" customHeight="1">
      <c r="A23" s="280" t="s">
        <v>35</v>
      </c>
      <c r="B23" s="574">
        <f t="shared" si="0"/>
        <v>12751</v>
      </c>
      <c r="C23" s="575">
        <f>+'[2]ALP 04-99'!E1418</f>
        <v>1099.0000000000002</v>
      </c>
      <c r="D23" s="575">
        <f>+'[2]ALP 04-99'!F1418</f>
        <v>1105</v>
      </c>
      <c r="E23" s="575">
        <f>+'[2]ALP 04-99'!G1418</f>
        <v>1119</v>
      </c>
      <c r="F23" s="575">
        <f>+'[2]ALP 04-99'!H1418</f>
        <v>1016.9999999999999</v>
      </c>
      <c r="G23" s="575">
        <f>+'[2]ALP 04-99'!I1418</f>
        <v>1007.0000000000001</v>
      </c>
      <c r="H23" s="575">
        <f>+'[2]ALP 04-99'!J1418</f>
        <v>1054</v>
      </c>
      <c r="I23" s="575">
        <f>+'[2]ALP 04-99'!K1418</f>
        <v>1087.0000000000002</v>
      </c>
      <c r="J23" s="575">
        <f>+'[2]ALP 04-99'!L1418</f>
        <v>1092</v>
      </c>
      <c r="K23" s="575">
        <f>+'[2]ALP 04-99'!M1418</f>
        <v>1029</v>
      </c>
      <c r="L23" s="575">
        <f>+'[2]ALP 04-99'!N1418</f>
        <v>1006</v>
      </c>
      <c r="M23" s="575">
        <f>+'[2]ALP 04-99'!O1418</f>
        <v>995</v>
      </c>
      <c r="N23" s="575">
        <f>+'[2]ALP 04-99'!P1418</f>
        <v>1141</v>
      </c>
    </row>
    <row r="24" spans="1:14" ht="12" customHeight="1">
      <c r="A24" s="280" t="s">
        <v>36</v>
      </c>
      <c r="B24" s="574">
        <f t="shared" si="0"/>
        <v>22349</v>
      </c>
      <c r="C24" s="575">
        <f>+'[2]ALP 04-99'!E1421</f>
        <v>1738</v>
      </c>
      <c r="D24" s="575">
        <f>+'[2]ALP 04-99'!F1421</f>
        <v>1625</v>
      </c>
      <c r="E24" s="575">
        <f>+'[2]ALP 04-99'!G1421</f>
        <v>1714</v>
      </c>
      <c r="F24" s="575">
        <f>+'[2]ALP 04-99'!H1421</f>
        <v>1892</v>
      </c>
      <c r="G24" s="575">
        <f>+'[2]ALP 04-99'!I1421</f>
        <v>2059</v>
      </c>
      <c r="H24" s="575">
        <f>+'[2]ALP 04-99'!J1421</f>
        <v>2065</v>
      </c>
      <c r="I24" s="575">
        <f>+'[2]ALP 04-99'!K1421</f>
        <v>1797</v>
      </c>
      <c r="J24" s="575">
        <f>+'[2]ALP 04-99'!L1421</f>
        <v>1762</v>
      </c>
      <c r="K24" s="575">
        <f>+'[2]ALP 04-99'!M1421</f>
        <v>1827</v>
      </c>
      <c r="L24" s="575">
        <f>+'[2]ALP 04-99'!N1421</f>
        <v>1984</v>
      </c>
      <c r="M24" s="575">
        <f>+'[2]ALP 04-99'!O1421</f>
        <v>1999</v>
      </c>
      <c r="N24" s="575">
        <f>+'[2]ALP 04-99'!P1421</f>
        <v>1887</v>
      </c>
    </row>
    <row r="25" spans="1:14" ht="12" customHeight="1">
      <c r="A25" s="191" t="s">
        <v>37</v>
      </c>
      <c r="B25" s="574">
        <f t="shared" si="0"/>
        <v>37588</v>
      </c>
      <c r="C25" s="575">
        <f>+'[2]ALP 04-99'!E1424</f>
        <v>3217</v>
      </c>
      <c r="D25" s="575">
        <f>+'[2]ALP 04-99'!F1424</f>
        <v>3553</v>
      </c>
      <c r="E25" s="575">
        <f>+'[2]ALP 04-99'!G1424</f>
        <v>3549</v>
      </c>
      <c r="F25" s="575">
        <f>+'[2]ALP 04-99'!H1424</f>
        <v>3039</v>
      </c>
      <c r="G25" s="575">
        <f>+'[2]ALP 04-99'!I1424</f>
        <v>3195</v>
      </c>
      <c r="H25" s="575">
        <f>+'[2]ALP 04-99'!J1424</f>
        <v>3321</v>
      </c>
      <c r="I25" s="575">
        <f>+'[2]ALP 04-99'!K1424</f>
        <v>3081</v>
      </c>
      <c r="J25" s="575">
        <f>+'[2]ALP 04-99'!L1424</f>
        <v>3038</v>
      </c>
      <c r="K25" s="575">
        <f>+'[2]ALP 04-99'!M1424</f>
        <v>2887</v>
      </c>
      <c r="L25" s="575">
        <f>+'[2]ALP 04-99'!N1424</f>
        <v>2844</v>
      </c>
      <c r="M25" s="575">
        <f>+'[2]ALP 04-99'!O1424</f>
        <v>2937</v>
      </c>
      <c r="N25" s="575">
        <f>+'[2]ALP 04-99'!P1424</f>
        <v>2927</v>
      </c>
    </row>
    <row r="26" spans="1:14" ht="12" customHeight="1">
      <c r="A26" s="280" t="s">
        <v>38</v>
      </c>
      <c r="B26" s="574">
        <f t="shared" si="0"/>
        <v>4117</v>
      </c>
      <c r="C26" s="575">
        <f>+'[2]ALP 04-99'!E1427</f>
        <v>367</v>
      </c>
      <c r="D26" s="575">
        <f>+'[2]ALP 04-99'!F1427</f>
        <v>305</v>
      </c>
      <c r="E26" s="575">
        <f>+'[2]ALP 04-99'!G1427</f>
        <v>299</v>
      </c>
      <c r="F26" s="575">
        <f>+'[2]ALP 04-99'!H1427</f>
        <v>292</v>
      </c>
      <c r="G26" s="575">
        <f>+'[2]ALP 04-99'!I1427</f>
        <v>272</v>
      </c>
      <c r="H26" s="575">
        <f>+'[2]ALP 04-99'!J1427</f>
        <v>347</v>
      </c>
      <c r="I26" s="575">
        <f>+'[2]ALP 04-99'!K1427</f>
        <v>463</v>
      </c>
      <c r="J26" s="575">
        <f>+'[2]ALP 04-99'!L1427</f>
        <v>355</v>
      </c>
      <c r="K26" s="575">
        <f>+'[2]ALP 04-99'!M1427</f>
        <v>315</v>
      </c>
      <c r="L26" s="575">
        <f>+'[2]ALP 04-99'!N1427</f>
        <v>397</v>
      </c>
      <c r="M26" s="575">
        <f>+'[2]ALP 04-99'!O1427</f>
        <v>358</v>
      </c>
      <c r="N26" s="575">
        <f>+'[2]ALP 04-99'!P1427</f>
        <v>347</v>
      </c>
    </row>
    <row r="27" spans="1:14" ht="12" customHeight="1">
      <c r="A27" s="280" t="s">
        <v>39</v>
      </c>
      <c r="B27" s="574">
        <f t="shared" si="0"/>
        <v>7956</v>
      </c>
      <c r="C27" s="575">
        <f>+'[2]ALP 04-99'!E1430</f>
        <v>497</v>
      </c>
      <c r="D27" s="575">
        <f>+'[2]ALP 04-99'!F1430</f>
        <v>507</v>
      </c>
      <c r="E27" s="575">
        <f>+'[2]ALP 04-99'!G1430</f>
        <v>519</v>
      </c>
      <c r="F27" s="575">
        <f>+'[2]ALP 04-99'!H1430</f>
        <v>548</v>
      </c>
      <c r="G27" s="575">
        <f>+'[2]ALP 04-99'!I1430</f>
        <v>651</v>
      </c>
      <c r="H27" s="575">
        <f>+'[2]ALP 04-99'!J1430</f>
        <v>807</v>
      </c>
      <c r="I27" s="575">
        <f>+'[2]ALP 04-99'!K1430</f>
        <v>798</v>
      </c>
      <c r="J27" s="575">
        <f>+'[2]ALP 04-99'!L1430</f>
        <v>833</v>
      </c>
      <c r="K27" s="575">
        <f>+'[2]ALP 04-99'!M1430</f>
        <v>727</v>
      </c>
      <c r="L27" s="575">
        <f>+'[2]ALP 04-99'!N1430</f>
        <v>624</v>
      </c>
      <c r="M27" s="575">
        <f>+'[2]ALP 04-99'!O1430</f>
        <v>700</v>
      </c>
      <c r="N27" s="575">
        <f>+'[2]ALP 04-99'!P1430</f>
        <v>745</v>
      </c>
    </row>
    <row r="28" spans="1:14" ht="12" customHeight="1">
      <c r="A28" s="280" t="s">
        <v>40</v>
      </c>
      <c r="B28" s="574">
        <f t="shared" si="0"/>
        <v>44781</v>
      </c>
      <c r="C28" s="575">
        <f>+'[2]ALP 04-99'!E1433</f>
        <v>2258</v>
      </c>
      <c r="D28" s="575">
        <f>+'[2]ALP 04-99'!F1433</f>
        <v>3285</v>
      </c>
      <c r="E28" s="575">
        <f>+'[2]ALP 04-99'!G1433</f>
        <v>4100</v>
      </c>
      <c r="F28" s="575">
        <f>+'[2]ALP 04-99'!H1433</f>
        <v>4500</v>
      </c>
      <c r="G28" s="575">
        <f>+'[2]ALP 04-99'!I1433</f>
        <v>4014</v>
      </c>
      <c r="H28" s="575">
        <f>+'[2]ALP 04-99'!J1433</f>
        <v>4121</v>
      </c>
      <c r="I28" s="575">
        <f>+'[2]ALP 04-99'!K1433</f>
        <v>3822</v>
      </c>
      <c r="J28" s="575">
        <f>+'[2]ALP 04-99'!L1433</f>
        <v>3927</v>
      </c>
      <c r="K28" s="575">
        <f>+'[2]ALP 04-99'!M1433</f>
        <v>3151</v>
      </c>
      <c r="L28" s="575">
        <f>+'[2]ALP 04-99'!N1433</f>
        <v>2827</v>
      </c>
      <c r="M28" s="575">
        <f>+'[2]ALP 04-99'!O1433</f>
        <v>3914</v>
      </c>
      <c r="N28" s="575">
        <f>+'[2]ALP 04-99'!P1433</f>
        <v>4862</v>
      </c>
    </row>
    <row r="29" spans="1:14" ht="12" customHeight="1">
      <c r="A29" s="191" t="s">
        <v>41</v>
      </c>
      <c r="B29" s="574">
        <f t="shared" si="0"/>
        <v>22860</v>
      </c>
      <c r="C29" s="575">
        <f>+'[2]ALP 04-99'!E1436</f>
        <v>2018</v>
      </c>
      <c r="D29" s="575">
        <f>+'[2]ALP 04-99'!F1436</f>
        <v>2070</v>
      </c>
      <c r="E29" s="575">
        <f>+'[2]ALP 04-99'!G1436</f>
        <v>2130</v>
      </c>
      <c r="F29" s="575">
        <f>+'[2]ALP 04-99'!H1436</f>
        <v>1939</v>
      </c>
      <c r="G29" s="575">
        <f>+'[2]ALP 04-99'!I1436</f>
        <v>1969</v>
      </c>
      <c r="H29" s="575">
        <f>+'[2]ALP 04-99'!J1436</f>
        <v>1957</v>
      </c>
      <c r="I29" s="575">
        <f>+'[2]ALP 04-99'!K1436</f>
        <v>1897</v>
      </c>
      <c r="J29" s="575">
        <f>+'[2]ALP 04-99'!L1436</f>
        <v>1870</v>
      </c>
      <c r="K29" s="575">
        <f>+'[2]ALP 04-99'!M1436</f>
        <v>1847</v>
      </c>
      <c r="L29" s="575">
        <f>+'[2]ALP 04-99'!N1436</f>
        <v>1780</v>
      </c>
      <c r="M29" s="575">
        <f>+'[2]ALP 04-99'!O1436</f>
        <v>1641</v>
      </c>
      <c r="N29" s="575">
        <f>+'[2]ALP 04-99'!P1436</f>
        <v>1742</v>
      </c>
    </row>
    <row r="30" spans="1:14" ht="12" customHeight="1">
      <c r="A30" s="281" t="s">
        <v>111</v>
      </c>
      <c r="B30" s="574">
        <f t="shared" si="0"/>
        <v>15468</v>
      </c>
      <c r="C30" s="575">
        <f>+'[2]ALP 04-99'!E1439</f>
        <v>1320</v>
      </c>
      <c r="D30" s="575">
        <f>+'[2]ALP 04-99'!F1439</f>
        <v>1380</v>
      </c>
      <c r="E30" s="575">
        <f>+'[2]ALP 04-99'!G1439</f>
        <v>1420</v>
      </c>
      <c r="F30" s="575">
        <f>+'[2]ALP 04-99'!H1439</f>
        <v>1250</v>
      </c>
      <c r="G30" s="575">
        <f>+'[2]ALP 04-99'!I1439</f>
        <v>1265</v>
      </c>
      <c r="H30" s="575">
        <f>+'[2]ALP 04-99'!J1439</f>
        <v>1280</v>
      </c>
      <c r="I30" s="575">
        <f>+'[2]ALP 04-99'!K1439</f>
        <v>1235</v>
      </c>
      <c r="J30" s="575">
        <f>+'[2]ALP 04-99'!L1439</f>
        <v>1210</v>
      </c>
      <c r="K30" s="575">
        <f>+'[2]ALP 04-99'!M1439</f>
        <v>1198</v>
      </c>
      <c r="L30" s="575">
        <f>+'[2]ALP 04-99'!N1439</f>
        <v>1170</v>
      </c>
      <c r="M30" s="575">
        <f>+'[2]ALP 04-99'!O1439</f>
        <v>1290</v>
      </c>
      <c r="N30" s="575">
        <f>+'[2]ALP 04-99'!P1439</f>
        <v>1450</v>
      </c>
    </row>
    <row r="31" spans="1:14" ht="12" customHeight="1">
      <c r="A31" s="281" t="s">
        <v>112</v>
      </c>
      <c r="B31" s="574">
        <f t="shared" si="0"/>
        <v>7392</v>
      </c>
      <c r="C31" s="575">
        <f>+'[2]ALP 04-99'!E1442</f>
        <v>698</v>
      </c>
      <c r="D31" s="575">
        <f>+'[2]ALP 04-99'!F1442</f>
        <v>690</v>
      </c>
      <c r="E31" s="575">
        <f>+'[2]ALP 04-99'!G1442</f>
        <v>710</v>
      </c>
      <c r="F31" s="575">
        <f>+'[2]ALP 04-99'!H1442</f>
        <v>689</v>
      </c>
      <c r="G31" s="575">
        <f>+'[2]ALP 04-99'!I1442</f>
        <v>704</v>
      </c>
      <c r="H31" s="575">
        <f>+'[2]ALP 04-99'!J1442</f>
        <v>677</v>
      </c>
      <c r="I31" s="575">
        <f>+'[2]ALP 04-99'!K1442</f>
        <v>662</v>
      </c>
      <c r="J31" s="575">
        <f>+'[2]ALP 04-99'!L1442</f>
        <v>660</v>
      </c>
      <c r="K31" s="575">
        <f>+'[2]ALP 04-99'!M1442</f>
        <v>649</v>
      </c>
      <c r="L31" s="575">
        <f>+'[2]ALP 04-99'!N1442</f>
        <v>610</v>
      </c>
      <c r="M31" s="575">
        <f>+'[2]ALP 04-99'!O1442</f>
        <v>351</v>
      </c>
      <c r="N31" s="575">
        <f>+'[2]ALP 04-99'!P1442</f>
        <v>292</v>
      </c>
    </row>
    <row r="32" spans="1:14" ht="12" customHeight="1">
      <c r="A32" s="280" t="s">
        <v>44</v>
      </c>
      <c r="B32" s="574">
        <f t="shared" si="0"/>
        <v>90127</v>
      </c>
      <c r="C32" s="575">
        <f>+'[2]ALP 04-99'!E1445</f>
        <v>6701</v>
      </c>
      <c r="D32" s="575">
        <f>+'[2]ALP 04-99'!F1445</f>
        <v>7123</v>
      </c>
      <c r="E32" s="575">
        <f>+'[2]ALP 04-99'!G1445</f>
        <v>7523</v>
      </c>
      <c r="F32" s="575">
        <f>+'[2]ALP 04-99'!H1445</f>
        <v>7970</v>
      </c>
      <c r="G32" s="575">
        <f>+'[2]ALP 04-99'!I1445</f>
        <v>8337</v>
      </c>
      <c r="H32" s="575">
        <f>+'[2]ALP 04-99'!J1445</f>
        <v>8751</v>
      </c>
      <c r="I32" s="575">
        <f>+'[2]ALP 04-99'!K1445</f>
        <v>8743</v>
      </c>
      <c r="J32" s="575">
        <f>+'[2]ALP 04-99'!L1445</f>
        <v>8351</v>
      </c>
      <c r="K32" s="575">
        <f>+'[2]ALP 04-99'!M1445</f>
        <v>7562</v>
      </c>
      <c r="L32" s="575">
        <f>+'[2]ALP 04-99'!N1445</f>
        <v>6810</v>
      </c>
      <c r="M32" s="575">
        <f>+'[2]ALP 04-99'!O1445</f>
        <v>6255</v>
      </c>
      <c r="N32" s="575">
        <f>+'[2]ALP 04-99'!P1445</f>
        <v>6001</v>
      </c>
    </row>
    <row r="33" spans="1:14" ht="12" customHeight="1">
      <c r="A33" s="280" t="s">
        <v>45</v>
      </c>
      <c r="B33" s="574">
        <f t="shared" si="0"/>
        <v>209199</v>
      </c>
      <c r="C33" s="575">
        <f>+'[2]ALP 04-99'!E1448</f>
        <v>12335</v>
      </c>
      <c r="D33" s="575">
        <f>+'[2]ALP 04-99'!F1448</f>
        <v>16625</v>
      </c>
      <c r="E33" s="575">
        <f>+'[2]ALP 04-99'!G1448</f>
        <v>18447</v>
      </c>
      <c r="F33" s="575">
        <f>+'[2]ALP 04-99'!H1448</f>
        <v>24877</v>
      </c>
      <c r="G33" s="575">
        <f>+'[2]ALP 04-99'!I1448</f>
        <v>22930</v>
      </c>
      <c r="H33" s="575">
        <f>+'[2]ALP 04-99'!J1448</f>
        <v>22220</v>
      </c>
      <c r="I33" s="575">
        <f>+'[2]ALP 04-99'!K1448</f>
        <v>21585</v>
      </c>
      <c r="J33" s="575">
        <f>+'[2]ALP 04-99'!L1448</f>
        <v>18770</v>
      </c>
      <c r="K33" s="575">
        <f>+'[2]ALP 04-99'!M1448</f>
        <v>15480</v>
      </c>
      <c r="L33" s="575">
        <f>+'[2]ALP 04-99'!N1448</f>
        <v>13900</v>
      </c>
      <c r="M33" s="575">
        <f>+'[2]ALP 04-99'!O1448</f>
        <v>12900</v>
      </c>
      <c r="N33" s="575">
        <f>+'[2]ALP 04-99'!P1448</f>
        <v>9130</v>
      </c>
    </row>
    <row r="34" spans="1:14" ht="12" customHeight="1">
      <c r="A34" s="191" t="s">
        <v>46</v>
      </c>
      <c r="B34" s="574">
        <f t="shared" si="0"/>
        <v>0</v>
      </c>
      <c r="C34" s="575">
        <f>+'[2]ALP 04-99'!E1451</f>
        <v>0</v>
      </c>
      <c r="D34" s="575">
        <f>+'[2]ALP 04-99'!F1451</f>
        <v>0</v>
      </c>
      <c r="E34" s="575">
        <f>+'[2]ALP 04-99'!G1451</f>
        <v>0</v>
      </c>
      <c r="F34" s="575">
        <f>+'[2]ALP 04-99'!H1451</f>
        <v>0</v>
      </c>
      <c r="G34" s="575">
        <f>+'[2]ALP 04-99'!I1451</f>
        <v>0</v>
      </c>
      <c r="H34" s="575">
        <f>+'[2]ALP 04-99'!J1451</f>
        <v>0</v>
      </c>
      <c r="I34" s="575">
        <f>+'[2]ALP 04-99'!K1451</f>
        <v>0</v>
      </c>
      <c r="J34" s="575">
        <f>+'[2]ALP 04-99'!L1451</f>
        <v>0</v>
      </c>
      <c r="K34" s="575">
        <f>+'[2]ALP 04-99'!M1451</f>
        <v>0</v>
      </c>
      <c r="L34" s="575">
        <f>+'[2]ALP 04-99'!N1451</f>
        <v>0</v>
      </c>
      <c r="M34" s="575">
        <f>+'[2]ALP 04-99'!O1451</f>
        <v>0</v>
      </c>
      <c r="N34" s="575">
        <f>+'[2]ALP 04-99'!P1451</f>
        <v>0</v>
      </c>
    </row>
    <row r="35" spans="1:14" ht="12" customHeight="1">
      <c r="A35" s="191" t="s">
        <v>47</v>
      </c>
      <c r="B35" s="574">
        <f t="shared" si="0"/>
        <v>0</v>
      </c>
      <c r="C35" s="575">
        <f>+'[2]ALP 04-99'!E1454</f>
        <v>0</v>
      </c>
      <c r="D35" s="575">
        <f>+'[2]ALP 04-99'!F1454</f>
        <v>0</v>
      </c>
      <c r="E35" s="575">
        <f>+'[2]ALP 04-99'!G1454</f>
        <v>0</v>
      </c>
      <c r="F35" s="575">
        <f>+'[2]ALP 04-99'!H1454</f>
        <v>0</v>
      </c>
      <c r="G35" s="575">
        <f>+'[2]ALP 04-99'!I1454</f>
        <v>0</v>
      </c>
      <c r="H35" s="575">
        <f>+'[2]ALP 04-99'!J1454</f>
        <v>0</v>
      </c>
      <c r="I35" s="575">
        <f>+'[2]ALP 04-99'!K1454</f>
        <v>0</v>
      </c>
      <c r="J35" s="575">
        <f>+'[2]ALP 04-99'!L1454</f>
        <v>0</v>
      </c>
      <c r="K35" s="575">
        <f>+'[2]ALP 04-99'!M1454</f>
        <v>0</v>
      </c>
      <c r="L35" s="575">
        <f>+'[2]ALP 04-99'!N1454</f>
        <v>0</v>
      </c>
      <c r="M35" s="575">
        <f>+'[2]ALP 04-99'!O1454</f>
        <v>0</v>
      </c>
      <c r="N35" s="575">
        <f>+'[2]ALP 04-99'!P1454</f>
        <v>0</v>
      </c>
    </row>
    <row r="36" spans="1:14" ht="12" customHeight="1">
      <c r="A36" s="191" t="s">
        <v>48</v>
      </c>
      <c r="B36" s="574">
        <f t="shared" si="0"/>
        <v>0</v>
      </c>
      <c r="C36" s="575">
        <f>+'[2]ALP 04-99'!E1457</f>
        <v>0</v>
      </c>
      <c r="D36" s="575">
        <f>+'[2]ALP 04-99'!F1457</f>
        <v>0</v>
      </c>
      <c r="E36" s="575">
        <f>+'[2]ALP 04-99'!G1457</f>
        <v>0</v>
      </c>
      <c r="F36" s="575">
        <f>+'[2]ALP 04-99'!H1457</f>
        <v>0</v>
      </c>
      <c r="G36" s="575">
        <f>+'[2]ALP 04-99'!I1457</f>
        <v>0</v>
      </c>
      <c r="H36" s="575">
        <f>+'[2]ALP 04-99'!J1457</f>
        <v>0</v>
      </c>
      <c r="I36" s="575">
        <f>+'[2]ALP 04-99'!K1457</f>
        <v>0</v>
      </c>
      <c r="J36" s="575">
        <f>+'[2]ALP 04-99'!L1457</f>
        <v>0</v>
      </c>
      <c r="K36" s="575">
        <f>+'[2]ALP 04-99'!M1457</f>
        <v>0</v>
      </c>
      <c r="L36" s="575">
        <f>+'[2]ALP 04-99'!N1457</f>
        <v>0</v>
      </c>
      <c r="M36" s="575">
        <f>+'[2]ALP 04-99'!O1457</f>
        <v>0</v>
      </c>
      <c r="N36" s="575">
        <f>+'[2]ALP 04-99'!P1457</f>
        <v>0</v>
      </c>
    </row>
    <row r="37" spans="1:14" ht="12" customHeight="1" thickBot="1">
      <c r="A37" s="272" t="s">
        <v>49</v>
      </c>
      <c r="B37" s="576">
        <f t="shared" si="0"/>
        <v>0</v>
      </c>
      <c r="C37" s="577">
        <f>+'[2]ALP 04-99'!E1460</f>
        <v>0</v>
      </c>
      <c r="D37" s="577">
        <f>+'[2]ALP 04-99'!F1460</f>
        <v>0</v>
      </c>
      <c r="E37" s="577">
        <f>+'[2]ALP 04-99'!G1460</f>
        <v>0</v>
      </c>
      <c r="F37" s="577">
        <f>+'[2]ALP 04-99'!H1460</f>
        <v>0</v>
      </c>
      <c r="G37" s="577">
        <f>+'[2]ALP 04-99'!I1460</f>
        <v>0</v>
      </c>
      <c r="H37" s="577">
        <f>+'[2]ALP 04-99'!J1460</f>
        <v>0</v>
      </c>
      <c r="I37" s="577">
        <f>+'[2]ALP 04-99'!K1460</f>
        <v>0</v>
      </c>
      <c r="J37" s="577">
        <f>+'[2]ALP 04-99'!L1460</f>
        <v>0</v>
      </c>
      <c r="K37" s="577">
        <f>+'[2]ALP 04-99'!M1460</f>
        <v>0</v>
      </c>
      <c r="L37" s="577">
        <f>+'[2]ALP 04-99'!N1460</f>
        <v>0</v>
      </c>
      <c r="M37" s="577">
        <f>+'[2]ALP 04-99'!O1460</f>
        <v>0</v>
      </c>
      <c r="N37" s="577">
        <f>+'[2]ALP 04-99'!P1460</f>
        <v>0</v>
      </c>
    </row>
    <row r="38" spans="1:14" ht="10" customHeight="1">
      <c r="A38" s="28" t="s">
        <v>238</v>
      </c>
      <c r="B38" s="540"/>
      <c r="C38" s="540"/>
      <c r="D38" s="540"/>
      <c r="E38" s="540"/>
      <c r="F38" s="540"/>
      <c r="G38" s="283"/>
      <c r="H38" s="283"/>
      <c r="I38" s="283"/>
      <c r="J38" s="283"/>
      <c r="K38" s="283"/>
      <c r="L38" s="283"/>
      <c r="M38" s="283"/>
      <c r="N38" s="283"/>
    </row>
    <row r="39" spans="1:14" ht="10" customHeight="1">
      <c r="A39" s="28" t="s">
        <v>192</v>
      </c>
      <c r="B39" s="540"/>
      <c r="C39" s="540"/>
      <c r="D39" s="540"/>
      <c r="E39" s="540"/>
      <c r="F39" s="540"/>
      <c r="G39" s="283"/>
      <c r="H39" s="283"/>
      <c r="I39" s="283"/>
      <c r="J39" s="283"/>
      <c r="K39" s="283"/>
      <c r="L39" s="283"/>
      <c r="M39" s="283"/>
      <c r="N39" s="283"/>
    </row>
    <row r="40" spans="1:14" ht="10" customHeight="1">
      <c r="A40" s="40" t="s">
        <v>261</v>
      </c>
      <c r="B40" s="540"/>
      <c r="C40" s="540"/>
      <c r="D40" s="540"/>
      <c r="E40" s="540"/>
      <c r="F40" s="540"/>
      <c r="G40" s="283"/>
      <c r="H40" s="283"/>
      <c r="I40" s="283"/>
      <c r="J40" s="283"/>
      <c r="K40" s="283"/>
      <c r="L40" s="283"/>
      <c r="M40" s="283"/>
      <c r="N40" s="283"/>
    </row>
    <row r="41" spans="1:14" ht="13" customHeight="1">
      <c r="A41" s="12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Hoja67">
    <tabColor theme="9" tint="0.59999389629810485"/>
  </sheetPr>
  <dimension ref="A4:O46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141" customWidth="1"/>
    <col min="2" max="2" width="8" style="141" customWidth="1"/>
    <col min="3" max="14" width="8.59765625" style="141" customWidth="1"/>
    <col min="15" max="16384" width="7" style="141"/>
  </cols>
  <sheetData>
    <row r="4" spans="1:15" ht="13" customHeight="1">
      <c r="A4" s="512" t="s">
        <v>402</v>
      </c>
      <c r="B4" s="508"/>
    </row>
    <row r="5" spans="1:15" ht="13" customHeight="1">
      <c r="A5" s="515" t="s">
        <v>319</v>
      </c>
      <c r="B5" s="508"/>
    </row>
    <row r="6" spans="1:15" ht="5" customHeight="1" thickBot="1"/>
    <row r="7" spans="1:15" ht="15" customHeight="1">
      <c r="A7" s="525" t="s">
        <v>18</v>
      </c>
      <c r="B7" s="526" t="s">
        <v>118</v>
      </c>
      <c r="C7" s="525" t="s">
        <v>57</v>
      </c>
      <c r="D7" s="525" t="s">
        <v>58</v>
      </c>
      <c r="E7" s="525" t="s">
        <v>59</v>
      </c>
      <c r="F7" s="525" t="s">
        <v>60</v>
      </c>
      <c r="G7" s="525" t="s">
        <v>61</v>
      </c>
      <c r="H7" s="525" t="s">
        <v>62</v>
      </c>
      <c r="I7" s="525" t="s">
        <v>63</v>
      </c>
      <c r="J7" s="525" t="s">
        <v>64</v>
      </c>
      <c r="K7" s="525" t="s">
        <v>65</v>
      </c>
      <c r="L7" s="525" t="s">
        <v>66</v>
      </c>
      <c r="M7" s="525" t="s">
        <v>67</v>
      </c>
      <c r="N7" s="525" t="s">
        <v>68</v>
      </c>
      <c r="O7" s="282"/>
    </row>
    <row r="8" spans="1:15" ht="15" customHeight="1">
      <c r="A8" s="532" t="s">
        <v>106</v>
      </c>
      <c r="B8" s="578">
        <f t="shared" ref="B8:B37" si="0">SUM(C8:N8)</f>
        <v>12579.638048988947</v>
      </c>
      <c r="C8" s="578">
        <f t="shared" ref="C8:N8" si="1">(C9+C10+C11+C12+C13+C17+C18+C19+C20+C21+C22+C23+C24+C25+C26+C27+C28+C29+C32+C33+C34+C35+C36+C37)</f>
        <v>820.68337250000002</v>
      </c>
      <c r="D8" s="578">
        <f t="shared" si="1"/>
        <v>989.6111699999999</v>
      </c>
      <c r="E8" s="578">
        <f t="shared" si="1"/>
        <v>1087.8139695</v>
      </c>
      <c r="F8" s="578">
        <f t="shared" si="1"/>
        <v>1305.7737815</v>
      </c>
      <c r="G8" s="578">
        <f t="shared" si="1"/>
        <v>1264.9400819444445</v>
      </c>
      <c r="H8" s="578">
        <f t="shared" si="1"/>
        <v>1265.1229629999998</v>
      </c>
      <c r="I8" s="578">
        <f t="shared" si="1"/>
        <v>1235.5540780000001</v>
      </c>
      <c r="J8" s="578">
        <f t="shared" si="1"/>
        <v>1114.8318901500002</v>
      </c>
      <c r="K8" s="578">
        <f t="shared" si="1"/>
        <v>952.38761399999999</v>
      </c>
      <c r="L8" s="578">
        <f t="shared" si="1"/>
        <v>868.60379850000004</v>
      </c>
      <c r="M8" s="578">
        <f t="shared" si="1"/>
        <v>865.92077449999999</v>
      </c>
      <c r="N8" s="578">
        <f t="shared" si="1"/>
        <v>808.3945553945025</v>
      </c>
    </row>
    <row r="9" spans="1:15" ht="12" customHeight="1">
      <c r="A9" s="280" t="s">
        <v>21</v>
      </c>
      <c r="B9" s="579">
        <f t="shared" si="0"/>
        <v>0</v>
      </c>
      <c r="C9" s="580">
        <f>+'[2]ALP 04-99'!E1377</f>
        <v>0</v>
      </c>
      <c r="D9" s="580">
        <f>+'[2]ALP 04-99'!F1377</f>
        <v>0</v>
      </c>
      <c r="E9" s="580">
        <f>+'[2]ALP 04-99'!G1377</f>
        <v>0</v>
      </c>
      <c r="F9" s="580">
        <f>+'[2]ALP 04-99'!H1377</f>
        <v>0</v>
      </c>
      <c r="G9" s="580">
        <f>+'[2]ALP 04-99'!I1377</f>
        <v>0</v>
      </c>
      <c r="H9" s="580">
        <f>+'[2]ALP 04-99'!J1377</f>
        <v>0</v>
      </c>
      <c r="I9" s="580">
        <f>+'[2]ALP 04-99'!K1377</f>
        <v>0</v>
      </c>
      <c r="J9" s="580">
        <f>+'[2]ALP 04-99'!L1377</f>
        <v>0</v>
      </c>
      <c r="K9" s="580">
        <f>+'[2]ALP 04-99'!M1377</f>
        <v>0</v>
      </c>
      <c r="L9" s="580">
        <f>+'[2]ALP 04-99'!N1377</f>
        <v>0</v>
      </c>
      <c r="M9" s="580">
        <f>+'[2]ALP 04-99'!O1377</f>
        <v>0</v>
      </c>
      <c r="N9" s="580">
        <f>+'[2]ALP 04-99'!P1377</f>
        <v>0</v>
      </c>
    </row>
    <row r="10" spans="1:15" ht="12" customHeight="1">
      <c r="A10" s="280" t="s">
        <v>22</v>
      </c>
      <c r="B10" s="579">
        <f t="shared" si="0"/>
        <v>0</v>
      </c>
      <c r="C10" s="580">
        <f>+'[2]ALP 04-99'!E1380</f>
        <v>0</v>
      </c>
      <c r="D10" s="580">
        <f>+'[2]ALP 04-99'!F1380</f>
        <v>0</v>
      </c>
      <c r="E10" s="580">
        <f>+'[2]ALP 04-99'!G1380</f>
        <v>0</v>
      </c>
      <c r="F10" s="580">
        <f>+'[2]ALP 04-99'!H1380</f>
        <v>0</v>
      </c>
      <c r="G10" s="580">
        <f>+'[2]ALP 04-99'!I1380</f>
        <v>0</v>
      </c>
      <c r="H10" s="580">
        <f>+'[2]ALP 04-99'!J1380</f>
        <v>0</v>
      </c>
      <c r="I10" s="580">
        <f>+'[2]ALP 04-99'!K1380</f>
        <v>0</v>
      </c>
      <c r="J10" s="580">
        <f>+'[2]ALP 04-99'!L1380</f>
        <v>0</v>
      </c>
      <c r="K10" s="580">
        <f>+'[2]ALP 04-99'!M1380</f>
        <v>0</v>
      </c>
      <c r="L10" s="580">
        <f>+'[2]ALP 04-99'!N1380</f>
        <v>0</v>
      </c>
      <c r="M10" s="580">
        <f>+'[2]ALP 04-99'!O1380</f>
        <v>0</v>
      </c>
      <c r="N10" s="580">
        <f>+'[2]ALP 04-99'!P1380</f>
        <v>0</v>
      </c>
    </row>
    <row r="11" spans="1:15" ht="12" customHeight="1">
      <c r="A11" s="280" t="s">
        <v>23</v>
      </c>
      <c r="B11" s="579">
        <f t="shared" si="0"/>
        <v>0</v>
      </c>
      <c r="C11" s="580">
        <f>+'[2]ALP 04-99'!E1383</f>
        <v>0</v>
      </c>
      <c r="D11" s="580">
        <f>+'[2]ALP 04-99'!F1383</f>
        <v>0</v>
      </c>
      <c r="E11" s="580">
        <f>+'[2]ALP 04-99'!G1383</f>
        <v>0</v>
      </c>
      <c r="F11" s="580">
        <f>+'[2]ALP 04-99'!H1383</f>
        <v>0</v>
      </c>
      <c r="G11" s="580">
        <f>+'[2]ALP 04-99'!I1383</f>
        <v>0</v>
      </c>
      <c r="H11" s="580">
        <f>+'[2]ALP 04-99'!J1383</f>
        <v>0</v>
      </c>
      <c r="I11" s="580">
        <f>+'[2]ALP 04-99'!K1383</f>
        <v>0</v>
      </c>
      <c r="J11" s="580">
        <f>+'[2]ALP 04-99'!L1383</f>
        <v>0</v>
      </c>
      <c r="K11" s="580">
        <f>+'[2]ALP 04-99'!M1383</f>
        <v>0</v>
      </c>
      <c r="L11" s="580">
        <f>+'[2]ALP 04-99'!N1383</f>
        <v>0</v>
      </c>
      <c r="M11" s="580">
        <f>+'[2]ALP 04-99'!O1383</f>
        <v>0</v>
      </c>
      <c r="N11" s="580">
        <f>+'[2]ALP 04-99'!P1383</f>
        <v>0</v>
      </c>
    </row>
    <row r="12" spans="1:15" ht="12" customHeight="1">
      <c r="A12" s="191" t="s">
        <v>24</v>
      </c>
      <c r="B12" s="579">
        <f t="shared" si="0"/>
        <v>42.890215500000004</v>
      </c>
      <c r="C12" s="580">
        <f>+'[2]ALP 04-99'!E1386</f>
        <v>0.71046450000000005</v>
      </c>
      <c r="D12" s="580">
        <f>+'[2]ALP 04-99'!F1386</f>
        <v>0</v>
      </c>
      <c r="E12" s="580">
        <f>+'[2]ALP 04-99'!G1386</f>
        <v>0</v>
      </c>
      <c r="F12" s="580">
        <f>+'[2]ALP 04-99'!H1386</f>
        <v>2.6311815000000003</v>
      </c>
      <c r="G12" s="580">
        <f>+'[2]ALP 04-99'!I1386</f>
        <v>8.467330500000001</v>
      </c>
      <c r="H12" s="580">
        <f>+'[2]ALP 04-99'!J1386</f>
        <v>5.7259260000000003</v>
      </c>
      <c r="I12" s="580">
        <f>+'[2]ALP 04-99'!K1386</f>
        <v>9.5551560000000002</v>
      </c>
      <c r="J12" s="580">
        <f>+'[2]ALP 04-99'!L1386</f>
        <v>7.0659809999999998</v>
      </c>
      <c r="K12" s="580">
        <f>+'[2]ALP 04-99'!M1386</f>
        <v>3.2725980000000003</v>
      </c>
      <c r="L12" s="580">
        <f>+'[2]ALP 04-99'!N1386</f>
        <v>1.0869120000000001</v>
      </c>
      <c r="M12" s="580">
        <f>+'[2]ALP 04-99'!O1386</f>
        <v>1.1194155000000001</v>
      </c>
      <c r="N12" s="580">
        <f>+'[2]ALP 04-99'!P1386</f>
        <v>3.2552505000000003</v>
      </c>
    </row>
    <row r="13" spans="1:15" ht="12" customHeight="1">
      <c r="A13" s="191" t="s">
        <v>25</v>
      </c>
      <c r="B13" s="579">
        <f t="shared" si="0"/>
        <v>0</v>
      </c>
      <c r="C13" s="580">
        <f>+'[2]ALP 04-99'!E1389</f>
        <v>0</v>
      </c>
      <c r="D13" s="580">
        <f>+'[2]ALP 04-99'!F1389</f>
        <v>0</v>
      </c>
      <c r="E13" s="580">
        <f>+'[2]ALP 04-99'!G1389</f>
        <v>0</v>
      </c>
      <c r="F13" s="580">
        <f>+'[2]ALP 04-99'!H1389</f>
        <v>0</v>
      </c>
      <c r="G13" s="580">
        <f>+'[2]ALP 04-99'!I1389</f>
        <v>0</v>
      </c>
      <c r="H13" s="580">
        <f>+'[2]ALP 04-99'!J1389</f>
        <v>0</v>
      </c>
      <c r="I13" s="580">
        <f>+'[2]ALP 04-99'!K1389</f>
        <v>0</v>
      </c>
      <c r="J13" s="580">
        <f>+'[2]ALP 04-99'!L1389</f>
        <v>0</v>
      </c>
      <c r="K13" s="580">
        <f>+'[2]ALP 04-99'!M1389</f>
        <v>0</v>
      </c>
      <c r="L13" s="580">
        <f>+'[2]ALP 04-99'!N1389</f>
        <v>0</v>
      </c>
      <c r="M13" s="580">
        <f>+'[2]ALP 04-99'!O1389</f>
        <v>0</v>
      </c>
      <c r="N13" s="580">
        <f>+'[2]ALP 04-99'!P1389</f>
        <v>0</v>
      </c>
    </row>
    <row r="14" spans="1:15" ht="12" customHeight="1">
      <c r="A14" s="281" t="s">
        <v>107</v>
      </c>
      <c r="B14" s="579">
        <f t="shared" si="0"/>
        <v>0</v>
      </c>
      <c r="C14" s="580">
        <f>+'[2]ALP 04-99'!E1392</f>
        <v>0</v>
      </c>
      <c r="D14" s="580">
        <f>+'[2]ALP 04-99'!F1392</f>
        <v>0</v>
      </c>
      <c r="E14" s="580">
        <f>+'[2]ALP 04-99'!G1392</f>
        <v>0</v>
      </c>
      <c r="F14" s="580">
        <f>+'[2]ALP 04-99'!H1392</f>
        <v>0</v>
      </c>
      <c r="G14" s="580">
        <f>+'[2]ALP 04-99'!I1392</f>
        <v>0</v>
      </c>
      <c r="H14" s="580">
        <f>+'[2]ALP 04-99'!J1392</f>
        <v>0</v>
      </c>
      <c r="I14" s="580">
        <f>+'[2]ALP 04-99'!K1392</f>
        <v>0</v>
      </c>
      <c r="J14" s="580">
        <f>+'[2]ALP 04-99'!L1392</f>
        <v>0</v>
      </c>
      <c r="K14" s="580">
        <f>+'[2]ALP 04-99'!M1392</f>
        <v>0</v>
      </c>
      <c r="L14" s="580">
        <f>+'[2]ALP 04-99'!N1392</f>
        <v>0</v>
      </c>
      <c r="M14" s="580">
        <f>+'[2]ALP 04-99'!O1392</f>
        <v>0</v>
      </c>
      <c r="N14" s="580">
        <f>+'[2]ALP 04-99'!P1392</f>
        <v>0</v>
      </c>
    </row>
    <row r="15" spans="1:15" ht="12" customHeight="1">
      <c r="A15" s="281" t="s">
        <v>108</v>
      </c>
      <c r="B15" s="579">
        <f t="shared" si="0"/>
        <v>0</v>
      </c>
      <c r="C15" s="580">
        <f>+'[2]ALP 04-99'!E1395</f>
        <v>0</v>
      </c>
      <c r="D15" s="580">
        <f>+'[2]ALP 04-99'!F1395</f>
        <v>0</v>
      </c>
      <c r="E15" s="580">
        <f>+'[2]ALP 04-99'!G1395</f>
        <v>0</v>
      </c>
      <c r="F15" s="580">
        <f>+'[2]ALP 04-99'!H1395</f>
        <v>0</v>
      </c>
      <c r="G15" s="580">
        <f>+'[2]ALP 04-99'!I1395</f>
        <v>0</v>
      </c>
      <c r="H15" s="580">
        <f>+'[2]ALP 04-99'!J1395</f>
        <v>0</v>
      </c>
      <c r="I15" s="580">
        <f>+'[2]ALP 04-99'!K1395</f>
        <v>0</v>
      </c>
      <c r="J15" s="580">
        <f>+'[2]ALP 04-99'!L1395</f>
        <v>0</v>
      </c>
      <c r="K15" s="580">
        <f>+'[2]ALP 04-99'!M1395</f>
        <v>0</v>
      </c>
      <c r="L15" s="580">
        <f>+'[2]ALP 04-99'!N1395</f>
        <v>0</v>
      </c>
      <c r="M15" s="580">
        <f>+'[2]ALP 04-99'!O1395</f>
        <v>0</v>
      </c>
      <c r="N15" s="580">
        <f>+'[2]ALP 04-99'!P1395</f>
        <v>0</v>
      </c>
    </row>
    <row r="16" spans="1:15" ht="12" customHeight="1">
      <c r="A16" s="281" t="s">
        <v>109</v>
      </c>
      <c r="B16" s="579">
        <f t="shared" si="0"/>
        <v>0</v>
      </c>
      <c r="C16" s="580">
        <f>+'[2]ALP 04-99'!E1398</f>
        <v>0</v>
      </c>
      <c r="D16" s="580">
        <f>+'[2]ALP 04-99'!F1398</f>
        <v>0</v>
      </c>
      <c r="E16" s="580">
        <f>+'[2]ALP 04-99'!G1398</f>
        <v>0</v>
      </c>
      <c r="F16" s="580">
        <f>+'[2]ALP 04-99'!H1398</f>
        <v>0</v>
      </c>
      <c r="G16" s="580">
        <f>+'[2]ALP 04-99'!I1398</f>
        <v>0</v>
      </c>
      <c r="H16" s="580">
        <f>+'[2]ALP 04-99'!J1398</f>
        <v>0</v>
      </c>
      <c r="I16" s="580">
        <f>+'[2]ALP 04-99'!K1398</f>
        <v>0</v>
      </c>
      <c r="J16" s="580">
        <f>+'[2]ALP 04-99'!L1398</f>
        <v>0</v>
      </c>
      <c r="K16" s="580">
        <f>+'[2]ALP 04-99'!M1398</f>
        <v>0</v>
      </c>
      <c r="L16" s="580">
        <f>+'[2]ALP 04-99'!N1398</f>
        <v>0</v>
      </c>
      <c r="M16" s="580">
        <f>+'[2]ALP 04-99'!O1398</f>
        <v>0</v>
      </c>
      <c r="N16" s="580">
        <f>+'[2]ALP 04-99'!P1398</f>
        <v>0</v>
      </c>
    </row>
    <row r="17" spans="1:14" ht="12" customHeight="1">
      <c r="A17" s="280" t="s">
        <v>29</v>
      </c>
      <c r="B17" s="579">
        <f t="shared" si="0"/>
        <v>0</v>
      </c>
      <c r="C17" s="580">
        <f>+'[2]ALP 04-99'!E1401</f>
        <v>0</v>
      </c>
      <c r="D17" s="580">
        <f>+'[2]ALP 04-99'!F1401</f>
        <v>0</v>
      </c>
      <c r="E17" s="580">
        <f>+'[2]ALP 04-99'!G1401</f>
        <v>0</v>
      </c>
      <c r="F17" s="580">
        <f>+'[2]ALP 04-99'!H1401</f>
        <v>0</v>
      </c>
      <c r="G17" s="580">
        <f>+'[2]ALP 04-99'!I1401</f>
        <v>0</v>
      </c>
      <c r="H17" s="580">
        <f>+'[2]ALP 04-99'!J1401</f>
        <v>0</v>
      </c>
      <c r="I17" s="580">
        <f>+'[2]ALP 04-99'!K1401</f>
        <v>0</v>
      </c>
      <c r="J17" s="580">
        <f>+'[2]ALP 04-99'!L1401</f>
        <v>0</v>
      </c>
      <c r="K17" s="580">
        <f>+'[2]ALP 04-99'!M1401</f>
        <v>0</v>
      </c>
      <c r="L17" s="580">
        <f>+'[2]ALP 04-99'!N1401</f>
        <v>0</v>
      </c>
      <c r="M17" s="580">
        <f>+'[2]ALP 04-99'!O1401</f>
        <v>0</v>
      </c>
      <c r="N17" s="580">
        <f>+'[2]ALP 04-99'!P1401</f>
        <v>0</v>
      </c>
    </row>
    <row r="18" spans="1:14" ht="12" customHeight="1">
      <c r="A18" s="191" t="s">
        <v>30</v>
      </c>
      <c r="B18" s="579">
        <f t="shared" si="0"/>
        <v>11.004786444444441</v>
      </c>
      <c r="C18" s="580">
        <f>+'[2]ALP 04-99'!E1404</f>
        <v>0.92400000000000004</v>
      </c>
      <c r="D18" s="580">
        <f>+'[2]ALP 04-99'!F1404</f>
        <v>1.01</v>
      </c>
      <c r="E18" s="580">
        <f>+'[2]ALP 04-99'!G1404</f>
        <v>0.94821</v>
      </c>
      <c r="F18" s="580">
        <f>+'[2]ALP 04-99'!H1404</f>
        <v>0.97319999999999995</v>
      </c>
      <c r="G18" s="580">
        <f>+'[2]ALP 04-99'!I1404</f>
        <v>0.99701444444444398</v>
      </c>
      <c r="H18" s="580">
        <f>+'[2]ALP 04-99'!J1404</f>
        <v>0.83379199999999998</v>
      </c>
      <c r="I18" s="580">
        <f>+'[2]ALP 04-99'!K1404</f>
        <v>0.86499999999999999</v>
      </c>
      <c r="J18" s="580">
        <f>+'[2]ALP 04-99'!L1404</f>
        <v>0.86904999999999999</v>
      </c>
      <c r="K18" s="580">
        <f>+'[2]ALP 04-99'!M1404</f>
        <v>0.89049999999999996</v>
      </c>
      <c r="L18" s="580">
        <f>+'[2]ALP 04-99'!N1404</f>
        <v>0.78</v>
      </c>
      <c r="M18" s="580">
        <f>+'[2]ALP 04-99'!O1404</f>
        <v>0.998</v>
      </c>
      <c r="N18" s="580">
        <f>+'[2]ALP 04-99'!P1404</f>
        <v>0.91601999999999995</v>
      </c>
    </row>
    <row r="19" spans="1:14" ht="12" customHeight="1">
      <c r="A19" s="191" t="s">
        <v>31</v>
      </c>
      <c r="B19" s="579">
        <f t="shared" si="0"/>
        <v>76.023719999999997</v>
      </c>
      <c r="C19" s="580">
        <f>+'[2]ALP 04-99'!E1407</f>
        <v>5.5179</v>
      </c>
      <c r="D19" s="580">
        <f>+'[2]ALP 04-99'!F1407</f>
        <v>4.3929</v>
      </c>
      <c r="E19" s="580">
        <f>+'[2]ALP 04-99'!G1407</f>
        <v>5.2505999999999995</v>
      </c>
      <c r="F19" s="580">
        <f>+'[2]ALP 04-99'!H1407</f>
        <v>6.3567</v>
      </c>
      <c r="G19" s="580">
        <f>+'[2]ALP 04-99'!I1407</f>
        <v>5.4558</v>
      </c>
      <c r="H19" s="580">
        <f>+'[2]ALP 04-99'!J1407</f>
        <v>7.4818350000000002</v>
      </c>
      <c r="I19" s="580">
        <f>+'[2]ALP 04-99'!K1407</f>
        <v>8.8746200000000002</v>
      </c>
      <c r="J19" s="580">
        <f>+'[2]ALP 04-99'!L1407</f>
        <v>6.5179</v>
      </c>
      <c r="K19" s="580">
        <f>+'[2]ALP 04-99'!M1407</f>
        <v>7.7754600000000007</v>
      </c>
      <c r="L19" s="580">
        <f>+'[2]ALP 04-99'!N1407</f>
        <v>7.1435599999999999</v>
      </c>
      <c r="M19" s="580">
        <f>+'[2]ALP 04-99'!O1407</f>
        <v>5.3969950000000004</v>
      </c>
      <c r="N19" s="580">
        <f>+'[2]ALP 04-99'!P1407</f>
        <v>5.8594500000000007</v>
      </c>
    </row>
    <row r="20" spans="1:14" ht="12" customHeight="1">
      <c r="A20" s="280" t="s">
        <v>32</v>
      </c>
      <c r="B20" s="579">
        <f t="shared" si="0"/>
        <v>0</v>
      </c>
      <c r="C20" s="580">
        <f>+'[2]ALP 04-99'!E1410</f>
        <v>0</v>
      </c>
      <c r="D20" s="580">
        <f>+'[2]ALP 04-99'!F1410</f>
        <v>0</v>
      </c>
      <c r="E20" s="580">
        <f>+'[2]ALP 04-99'!G1410</f>
        <v>0</v>
      </c>
      <c r="F20" s="580">
        <f>+'[2]ALP 04-99'!H1410</f>
        <v>0</v>
      </c>
      <c r="G20" s="580">
        <f>+'[2]ALP 04-99'!I1410</f>
        <v>0</v>
      </c>
      <c r="H20" s="580">
        <f>+'[2]ALP 04-99'!J1410</f>
        <v>0</v>
      </c>
      <c r="I20" s="580">
        <f>+'[2]ALP 04-99'!K1410</f>
        <v>0</v>
      </c>
      <c r="J20" s="580">
        <f>+'[2]ALP 04-99'!L1410</f>
        <v>0</v>
      </c>
      <c r="K20" s="580">
        <f>+'[2]ALP 04-99'!M1410</f>
        <v>0</v>
      </c>
      <c r="L20" s="580">
        <f>+'[2]ALP 04-99'!N1410</f>
        <v>0</v>
      </c>
      <c r="M20" s="580">
        <f>+'[2]ALP 04-99'!O1410</f>
        <v>0</v>
      </c>
      <c r="N20" s="580">
        <f>+'[2]ALP 04-99'!P1410</f>
        <v>0</v>
      </c>
    </row>
    <row r="21" spans="1:14" ht="12" customHeight="1">
      <c r="A21" s="280" t="s">
        <v>33</v>
      </c>
      <c r="B21" s="579">
        <f t="shared" si="0"/>
        <v>34.265975000000005</v>
      </c>
      <c r="C21" s="580">
        <f>+'[2]ALP 04-99'!E1413</f>
        <v>2.0587500000000003</v>
      </c>
      <c r="D21" s="580">
        <f>+'[2]ALP 04-99'!F1413</f>
        <v>1.6263000000000001</v>
      </c>
      <c r="E21" s="580">
        <f>+'[2]ALP 04-99'!G1413</f>
        <v>2.3854499999999996</v>
      </c>
      <c r="F21" s="580">
        <f>+'[2]ALP 04-99'!H1413</f>
        <v>3.0307500000000003</v>
      </c>
      <c r="G21" s="580">
        <f>+'[2]ALP 04-99'!I1413</f>
        <v>3.4290000000000007</v>
      </c>
      <c r="H21" s="580">
        <f>+'[2]ALP 04-99'!J1413</f>
        <v>3.1589999999999998</v>
      </c>
      <c r="I21" s="580">
        <f>+'[2]ALP 04-99'!K1413</f>
        <v>3.07925</v>
      </c>
      <c r="J21" s="580">
        <f>+'[2]ALP 04-99'!L1413</f>
        <v>3.2284250000000001</v>
      </c>
      <c r="K21" s="580">
        <f>+'[2]ALP 04-99'!M1413</f>
        <v>3.2219000000000002</v>
      </c>
      <c r="L21" s="580">
        <f>+'[2]ALP 04-99'!N1413</f>
        <v>2.6981000000000002</v>
      </c>
      <c r="M21" s="580">
        <f>+'[2]ALP 04-99'!O1413</f>
        <v>3.1819500000000009</v>
      </c>
      <c r="N21" s="580">
        <f>+'[2]ALP 04-99'!P1413</f>
        <v>3.1670999999999996</v>
      </c>
    </row>
    <row r="22" spans="1:14" ht="12" customHeight="1">
      <c r="A22" s="280" t="s">
        <v>34</v>
      </c>
      <c r="B22" s="579">
        <f t="shared" si="0"/>
        <v>361.20303214999996</v>
      </c>
      <c r="C22" s="580">
        <f>+'[2]ALP 04-99'!E1416</f>
        <v>17.971172999999997</v>
      </c>
      <c r="D22" s="580">
        <f>+'[2]ALP 04-99'!F1416</f>
        <v>20.474081999999996</v>
      </c>
      <c r="E22" s="580">
        <f>+'[2]ALP 04-99'!G1416</f>
        <v>28.182325499999997</v>
      </c>
      <c r="F22" s="580">
        <f>+'[2]ALP 04-99'!H1416</f>
        <v>33.524468999999996</v>
      </c>
      <c r="G22" s="580">
        <f>+'[2]ALP 04-99'!I1416</f>
        <v>36.64162799999999</v>
      </c>
      <c r="H22" s="580">
        <f>+'[2]ALP 04-99'!J1416</f>
        <v>43.507858499999998</v>
      </c>
      <c r="I22" s="580">
        <f>+'[2]ALP 04-99'!K1416</f>
        <v>42.553097999999999</v>
      </c>
      <c r="J22" s="580">
        <f>+'[2]ALP 04-99'!L1416</f>
        <v>31.686648649999999</v>
      </c>
      <c r="K22" s="580">
        <f>+'[2]ALP 04-99'!M1416</f>
        <v>17.929449000000002</v>
      </c>
      <c r="L22" s="580">
        <f>+'[2]ALP 04-99'!N1416</f>
        <v>20.987361000000003</v>
      </c>
      <c r="M22" s="580">
        <f>+'[2]ALP 04-99'!O1416</f>
        <v>28.420479000000004</v>
      </c>
      <c r="N22" s="580">
        <f>+'[2]ALP 04-99'!P1416</f>
        <v>39.324460499999994</v>
      </c>
    </row>
    <row r="23" spans="1:14" ht="12" customHeight="1">
      <c r="A23" s="280" t="s">
        <v>35</v>
      </c>
      <c r="B23" s="579">
        <f t="shared" si="0"/>
        <v>280.9548668945024</v>
      </c>
      <c r="C23" s="580">
        <f>+'[2]ALP 04-99'!E1419</f>
        <v>23.931450000000002</v>
      </c>
      <c r="D23" s="580">
        <f>+'[2]ALP 04-99'!F1419</f>
        <v>23.832900000000002</v>
      </c>
      <c r="E23" s="580">
        <f>+'[2]ALP 04-99'!G1419</f>
        <v>24.235199999999999</v>
      </c>
      <c r="F23" s="580">
        <f>+'[2]ALP 04-99'!H1419</f>
        <v>22.226850000000002</v>
      </c>
      <c r="G23" s="580">
        <f>+'[2]ALP 04-99'!I1419</f>
        <v>22.0032</v>
      </c>
      <c r="H23" s="580">
        <f>+'[2]ALP 04-99'!J1419</f>
        <v>22.963950000000004</v>
      </c>
      <c r="I23" s="580">
        <f>+'[2]ALP 04-99'!K1419</f>
        <v>23.711849999999998</v>
      </c>
      <c r="J23" s="580">
        <f>+'[2]ALP 04-99'!L1419</f>
        <v>23.86665</v>
      </c>
      <c r="K23" s="580">
        <f>+'[2]ALP 04-99'!M1419</f>
        <v>22.334399999999999</v>
      </c>
      <c r="L23" s="580">
        <f>+'[2]ALP 04-99'!N1419</f>
        <v>22.037849999999999</v>
      </c>
      <c r="M23" s="580">
        <f>+'[2]ALP 04-99'!O1419</f>
        <v>21.8034</v>
      </c>
      <c r="N23" s="580">
        <f>+'[2]ALP 04-99'!P1419</f>
        <v>28.007166894502401</v>
      </c>
    </row>
    <row r="24" spans="1:14" ht="12" customHeight="1">
      <c r="A24" s="280" t="s">
        <v>36</v>
      </c>
      <c r="B24" s="579">
        <f t="shared" si="0"/>
        <v>564.17325299999993</v>
      </c>
      <c r="C24" s="580">
        <f>+'[2]ALP 04-99'!E1422</f>
        <v>43.817985</v>
      </c>
      <c r="D24" s="580">
        <f>+'[2]ALP 04-99'!F1422</f>
        <v>41.526288000000008</v>
      </c>
      <c r="E24" s="580">
        <f>+'[2]ALP 04-99'!G1422</f>
        <v>43.53953400000001</v>
      </c>
      <c r="F24" s="580">
        <f>+'[2]ALP 04-99'!H1422</f>
        <v>47.747781000000003</v>
      </c>
      <c r="G24" s="580">
        <f>+'[2]ALP 04-99'!I1422</f>
        <v>52.721559000000006</v>
      </c>
      <c r="H24" s="580">
        <f>+'[2]ALP 04-99'!J1422</f>
        <v>53.265001500000004</v>
      </c>
      <c r="I24" s="580">
        <f>+'[2]ALP 04-99'!K1422</f>
        <v>45.035603999999999</v>
      </c>
      <c r="J24" s="580">
        <f>+'[2]ALP 04-99'!L1422</f>
        <v>43.263985500000004</v>
      </c>
      <c r="K24" s="580">
        <f>+'[2]ALP 04-99'!M1422</f>
        <v>48.510656999999988</v>
      </c>
      <c r="L24" s="580">
        <f>+'[2]ALP 04-99'!N1422</f>
        <v>49.124065499999993</v>
      </c>
      <c r="M24" s="580">
        <f>+'[2]ALP 04-99'!O1422</f>
        <v>49.085235000000004</v>
      </c>
      <c r="N24" s="580">
        <f>+'[2]ALP 04-99'!P1422</f>
        <v>46.535557499999989</v>
      </c>
    </row>
    <row r="25" spans="1:14" ht="12" customHeight="1">
      <c r="A25" s="191" t="s">
        <v>37</v>
      </c>
      <c r="B25" s="579">
        <f t="shared" si="0"/>
        <v>926.13909999999998</v>
      </c>
      <c r="C25" s="580">
        <f>+'[2]ALP 04-99'!E1425</f>
        <v>77.286200000000008</v>
      </c>
      <c r="D25" s="580">
        <f>+'[2]ALP 04-99'!F1425</f>
        <v>85.330200000000005</v>
      </c>
      <c r="E25" s="580">
        <f>+'[2]ALP 04-99'!G1425</f>
        <v>86.988500000000002</v>
      </c>
      <c r="F25" s="580">
        <f>+'[2]ALP 04-99'!H1425</f>
        <v>75.893100000000004</v>
      </c>
      <c r="G25" s="580">
        <f>+'[2]ALP 04-99'!I1425</f>
        <v>79.875</v>
      </c>
      <c r="H25" s="580">
        <f>+'[2]ALP 04-99'!J1425</f>
        <v>83.025000000000006</v>
      </c>
      <c r="I25" s="580">
        <f>+'[2]ALP 04-99'!K1425</f>
        <v>77.025000000000006</v>
      </c>
      <c r="J25" s="580">
        <f>+'[2]ALP 04-99'!L1425</f>
        <v>75.363899999999987</v>
      </c>
      <c r="K25" s="580">
        <f>+'[2]ALP 04-99'!M1425</f>
        <v>70.935500000000005</v>
      </c>
      <c r="L25" s="580">
        <f>+'[2]ALP 04-99'!N1425</f>
        <v>69.190300000000008</v>
      </c>
      <c r="M25" s="580">
        <f>+'[2]ALP 04-99'!O1425</f>
        <v>70.558399999999992</v>
      </c>
      <c r="N25" s="580">
        <f>+'[2]ALP 04-99'!P1425</f>
        <v>74.667999999999992</v>
      </c>
    </row>
    <row r="26" spans="1:14" ht="12" customHeight="1">
      <c r="A26" s="280" t="s">
        <v>38</v>
      </c>
      <c r="B26" s="579">
        <f t="shared" si="0"/>
        <v>127.08630000000002</v>
      </c>
      <c r="C26" s="580">
        <f>+'[2]ALP 04-99'!E1428</f>
        <v>11.4345</v>
      </c>
      <c r="D26" s="580">
        <f>+'[2]ALP 04-99'!F1428</f>
        <v>9.1687500000000011</v>
      </c>
      <c r="E26" s="580">
        <f>+'[2]ALP 04-99'!G1428</f>
        <v>9.2493000000000016</v>
      </c>
      <c r="F26" s="580">
        <f>+'[2]ALP 04-99'!H1428</f>
        <v>9.1521000000000008</v>
      </c>
      <c r="G26" s="580">
        <f>+'[2]ALP 04-99'!I1428</f>
        <v>8.4784500000000005</v>
      </c>
      <c r="H26" s="580">
        <f>+'[2]ALP 04-99'!J1428</f>
        <v>10.787850000000002</v>
      </c>
      <c r="I26" s="580">
        <f>+'[2]ALP 04-99'!K1428</f>
        <v>14.23395</v>
      </c>
      <c r="J26" s="580">
        <f>+'[2]ALP 04-99'!L1428</f>
        <v>11.301299999999999</v>
      </c>
      <c r="K26" s="580">
        <f>+'[2]ALP 04-99'!M1428</f>
        <v>9.7546499999999998</v>
      </c>
      <c r="L26" s="580">
        <f>+'[2]ALP 04-99'!N1428</f>
        <v>11.877300000000002</v>
      </c>
      <c r="M26" s="580">
        <f>+'[2]ALP 04-99'!O1428</f>
        <v>10.925549999999999</v>
      </c>
      <c r="N26" s="580">
        <f>+'[2]ALP 04-99'!P1428</f>
        <v>10.7226</v>
      </c>
    </row>
    <row r="27" spans="1:14" ht="12" customHeight="1">
      <c r="A27" s="280" t="s">
        <v>39</v>
      </c>
      <c r="B27" s="579">
        <f t="shared" si="0"/>
        <v>226.02644999999998</v>
      </c>
      <c r="C27" s="580">
        <f>+'[2]ALP 04-99'!E1431</f>
        <v>14.319000000000003</v>
      </c>
      <c r="D27" s="580">
        <f>+'[2]ALP 04-99'!F1431</f>
        <v>14.4945</v>
      </c>
      <c r="E27" s="580">
        <f>+'[2]ALP 04-99'!G1431</f>
        <v>14.935499999999999</v>
      </c>
      <c r="F27" s="580">
        <f>+'[2]ALP 04-99'!H1431</f>
        <v>15.794999999999998</v>
      </c>
      <c r="G27" s="580">
        <f>+'[2]ALP 04-99'!I1431</f>
        <v>18.715500000000002</v>
      </c>
      <c r="H27" s="580">
        <f>+'[2]ALP 04-99'!J1431</f>
        <v>20.997</v>
      </c>
      <c r="I27" s="580">
        <f>+'[2]ALP 04-99'!K1431</f>
        <v>22.837500000000002</v>
      </c>
      <c r="J27" s="580">
        <f>+'[2]ALP 04-99'!L1431</f>
        <v>23.926499999999997</v>
      </c>
      <c r="K27" s="580">
        <f>+'[2]ALP 04-99'!M1431</f>
        <v>20.835000000000001</v>
      </c>
      <c r="L27" s="580">
        <f>+'[2]ALP 04-99'!N1431</f>
        <v>17.941500000000001</v>
      </c>
      <c r="M27" s="580">
        <f>+'[2]ALP 04-99'!O1431</f>
        <v>19.926449999999999</v>
      </c>
      <c r="N27" s="580">
        <f>+'[2]ALP 04-99'!P1431</f>
        <v>21.303000000000001</v>
      </c>
    </row>
    <row r="28" spans="1:14" ht="12" customHeight="1">
      <c r="A28" s="280" t="s">
        <v>40</v>
      </c>
      <c r="B28" s="579">
        <f t="shared" si="0"/>
        <v>1192.92975</v>
      </c>
      <c r="C28" s="580">
        <f>+'[2]ALP 04-99'!E1434</f>
        <v>61.252649999999996</v>
      </c>
      <c r="D28" s="580">
        <f>+'[2]ALP 04-99'!F1434</f>
        <v>87.415649999999999</v>
      </c>
      <c r="E28" s="580">
        <f>+'[2]ALP 04-99'!G1434</f>
        <v>110.38275000000002</v>
      </c>
      <c r="F28" s="580">
        <f>+'[2]ALP 04-99'!H1434</f>
        <v>123.14205</v>
      </c>
      <c r="G28" s="580">
        <f>+'[2]ALP 04-99'!I1434</f>
        <v>106.73460000000001</v>
      </c>
      <c r="H28" s="580">
        <f>+'[2]ALP 04-99'!J1434</f>
        <v>106.23375000000001</v>
      </c>
      <c r="I28" s="580">
        <f>+'[2]ALP 04-99'!K1434</f>
        <v>102.28905</v>
      </c>
      <c r="J28" s="580">
        <f>+'[2]ALP 04-99'!L1434</f>
        <v>104.44455000000001</v>
      </c>
      <c r="K28" s="580">
        <f>+'[2]ALP 04-99'!M1434</f>
        <v>84.278700000000001</v>
      </c>
      <c r="L28" s="580">
        <f>+'[2]ALP 04-99'!N1434</f>
        <v>74.075850000000003</v>
      </c>
      <c r="M28" s="580">
        <f>+'[2]ALP 04-99'!O1434</f>
        <v>105.5484</v>
      </c>
      <c r="N28" s="580">
        <f>+'[2]ALP 04-99'!P1434</f>
        <v>127.13175</v>
      </c>
    </row>
    <row r="29" spans="1:14" ht="12" customHeight="1">
      <c r="A29" s="191" t="s">
        <v>41</v>
      </c>
      <c r="B29" s="579">
        <f t="shared" si="0"/>
        <v>555.68700000000001</v>
      </c>
      <c r="C29" s="580">
        <f>+'[2]ALP 04-99'!E1437</f>
        <v>47.064999999999998</v>
      </c>
      <c r="D29" s="580">
        <f>+'[2]ALP 04-99'!F1437</f>
        <v>51.17</v>
      </c>
      <c r="E29" s="580">
        <f>+'[2]ALP 04-99'!G1437</f>
        <v>51.959999999999994</v>
      </c>
      <c r="F29" s="580">
        <f>+'[2]ALP 04-99'!H1437</f>
        <v>47.009</v>
      </c>
      <c r="G29" s="580">
        <f>+'[2]ALP 04-99'!I1437</f>
        <v>47.091000000000001</v>
      </c>
      <c r="H29" s="580">
        <f>+'[2]ALP 04-99'!J1437</f>
        <v>45.92</v>
      </c>
      <c r="I29" s="580">
        <f>+'[2]ALP 04-99'!K1437</f>
        <v>46.16</v>
      </c>
      <c r="J29" s="580">
        <f>+'[2]ALP 04-99'!L1437</f>
        <v>45.54</v>
      </c>
      <c r="K29" s="580">
        <f>+'[2]ALP 04-99'!M1437</f>
        <v>44.024999999999999</v>
      </c>
      <c r="L29" s="580">
        <f>+'[2]ALP 04-99'!N1437</f>
        <v>43.104999999999997</v>
      </c>
      <c r="M29" s="580">
        <f>+'[2]ALP 04-99'!O1437</f>
        <v>41.765999999999998</v>
      </c>
      <c r="N29" s="580">
        <f>+'[2]ALP 04-99'!P1437</f>
        <v>44.876000000000005</v>
      </c>
    </row>
    <row r="30" spans="1:14" ht="12" customHeight="1">
      <c r="A30" s="281" t="s">
        <v>111</v>
      </c>
      <c r="B30" s="579">
        <f t="shared" si="0"/>
        <v>385.18800000000005</v>
      </c>
      <c r="C30" s="580">
        <f>+'[2]ALP 04-99'!E1440</f>
        <v>30.285</v>
      </c>
      <c r="D30" s="580">
        <f>+'[2]ALP 04-99'!F1440</f>
        <v>34.549999999999997</v>
      </c>
      <c r="E30" s="580">
        <f>+'[2]ALP 04-99'!G1440</f>
        <v>35.22</v>
      </c>
      <c r="F30" s="580">
        <f>+'[2]ALP 04-99'!H1440</f>
        <v>31.331</v>
      </c>
      <c r="G30" s="580">
        <f>+'[2]ALP 04-99'!I1440</f>
        <v>31.35</v>
      </c>
      <c r="H30" s="580">
        <f>+'[2]ALP 04-99'!J1440</f>
        <v>30.5</v>
      </c>
      <c r="I30" s="580">
        <f>+'[2]ALP 04-99'!K1440</f>
        <v>30.62</v>
      </c>
      <c r="J30" s="580">
        <f>+'[2]ALP 04-99'!L1440</f>
        <v>30.52</v>
      </c>
      <c r="K30" s="580">
        <f>+'[2]ALP 04-99'!M1440</f>
        <v>29.456</v>
      </c>
      <c r="L30" s="580">
        <f>+'[2]ALP 04-99'!N1440</f>
        <v>29.04</v>
      </c>
      <c r="M30" s="580">
        <f>+'[2]ALP 04-99'!O1440</f>
        <v>33.896000000000001</v>
      </c>
      <c r="N30" s="580">
        <f>+'[2]ALP 04-99'!P1440</f>
        <v>38.42</v>
      </c>
    </row>
    <row r="31" spans="1:14" ht="12" customHeight="1">
      <c r="A31" s="281" t="s">
        <v>112</v>
      </c>
      <c r="B31" s="579">
        <f t="shared" si="0"/>
        <v>170.499</v>
      </c>
      <c r="C31" s="580">
        <f>+'[2]ALP 04-99'!E1443</f>
        <v>16.78</v>
      </c>
      <c r="D31" s="580">
        <f>+'[2]ALP 04-99'!F1443</f>
        <v>16.62</v>
      </c>
      <c r="E31" s="580">
        <f>+'[2]ALP 04-99'!G1443</f>
        <v>16.739999999999998</v>
      </c>
      <c r="F31" s="580">
        <f>+'[2]ALP 04-99'!H1443</f>
        <v>15.678000000000001</v>
      </c>
      <c r="G31" s="580">
        <f>+'[2]ALP 04-99'!I1443</f>
        <v>15.741</v>
      </c>
      <c r="H31" s="580">
        <f>+'[2]ALP 04-99'!J1443</f>
        <v>15.42</v>
      </c>
      <c r="I31" s="580">
        <f>+'[2]ALP 04-99'!K1443</f>
        <v>15.54</v>
      </c>
      <c r="J31" s="580">
        <f>+'[2]ALP 04-99'!L1443</f>
        <v>15.02</v>
      </c>
      <c r="K31" s="580">
        <f>+'[2]ALP 04-99'!M1443</f>
        <v>14.569000000000001</v>
      </c>
      <c r="L31" s="580">
        <f>+'[2]ALP 04-99'!N1443</f>
        <v>14.065</v>
      </c>
      <c r="M31" s="580">
        <f>+'[2]ALP 04-99'!O1443</f>
        <v>7.87</v>
      </c>
      <c r="N31" s="580">
        <f>+'[2]ALP 04-99'!P1443</f>
        <v>6.4560000000000004</v>
      </c>
    </row>
    <row r="32" spans="1:14" ht="12" customHeight="1">
      <c r="A32" s="280" t="s">
        <v>44</v>
      </c>
      <c r="B32" s="579">
        <f t="shared" si="0"/>
        <v>2396.9286000000002</v>
      </c>
      <c r="C32" s="580">
        <f>+'[2]ALP 04-99'!E1446</f>
        <v>176.33430000000001</v>
      </c>
      <c r="D32" s="580">
        <f>+'[2]ALP 04-99'!F1446</f>
        <v>186.0111</v>
      </c>
      <c r="E32" s="580">
        <f>+'[2]ALP 04-99'!G1446</f>
        <v>196.37460000000007</v>
      </c>
      <c r="F32" s="580">
        <f>+'[2]ALP 04-99'!H1446</f>
        <v>215.09009999999995</v>
      </c>
      <c r="G32" s="580">
        <f>+'[2]ALP 04-99'!I1446</f>
        <v>225.18</v>
      </c>
      <c r="H32" s="580">
        <f>+'[2]ALP 04-99'!J1446</f>
        <v>236.27699999999999</v>
      </c>
      <c r="I32" s="580">
        <f>+'[2]ALP 04-99'!K1446</f>
        <v>236.06099999999998</v>
      </c>
      <c r="J32" s="580">
        <f>+'[2]ALP 04-99'!L1446</f>
        <v>223.04700000000003</v>
      </c>
      <c r="K32" s="580">
        <f>+'[2]ALP 04-99'!M1446</f>
        <v>204.14879999999997</v>
      </c>
      <c r="L32" s="580">
        <f>+'[2]ALP 04-99'!N1446</f>
        <v>177.74100000000004</v>
      </c>
      <c r="M32" s="580">
        <f>+'[2]ALP 04-99'!O1446</f>
        <v>163.25550000000004</v>
      </c>
      <c r="N32" s="580">
        <f>+'[2]ALP 04-99'!P1446</f>
        <v>157.40820000000002</v>
      </c>
    </row>
    <row r="33" spans="1:14" ht="12" customHeight="1">
      <c r="A33" s="280" t="s">
        <v>45</v>
      </c>
      <c r="B33" s="579">
        <f t="shared" si="0"/>
        <v>5784.3249999999998</v>
      </c>
      <c r="C33" s="580">
        <f>+'[2]ALP 04-99'!E1449</f>
        <v>338.05999999999995</v>
      </c>
      <c r="D33" s="580">
        <f>+'[2]ALP 04-99'!F1449</f>
        <v>463.15849999999989</v>
      </c>
      <c r="E33" s="580">
        <f>+'[2]ALP 04-99'!G1449</f>
        <v>513.38199999999995</v>
      </c>
      <c r="F33" s="580">
        <f>+'[2]ALP 04-99'!H1449</f>
        <v>703.20150000000024</v>
      </c>
      <c r="G33" s="580">
        <f>+'[2]ALP 04-99'!I1449</f>
        <v>649.15</v>
      </c>
      <c r="H33" s="580">
        <f>+'[2]ALP 04-99'!J1449</f>
        <v>624.94499999999994</v>
      </c>
      <c r="I33" s="580">
        <f>+'[2]ALP 04-99'!K1449</f>
        <v>603.27300000000002</v>
      </c>
      <c r="J33" s="580">
        <f>+'[2]ALP 04-99'!L1449</f>
        <v>514.71</v>
      </c>
      <c r="K33" s="580">
        <f>+'[2]ALP 04-99'!M1449</f>
        <v>414.47500000000002</v>
      </c>
      <c r="L33" s="580">
        <f>+'[2]ALP 04-99'!N1449</f>
        <v>370.81499999999994</v>
      </c>
      <c r="M33" s="580">
        <f>+'[2]ALP 04-99'!O1449</f>
        <v>343.93499999999995</v>
      </c>
      <c r="N33" s="580">
        <f>+'[2]ALP 04-99'!P1449</f>
        <v>245.22000000000006</v>
      </c>
    </row>
    <row r="34" spans="1:14" ht="12" customHeight="1">
      <c r="A34" s="191" t="s">
        <v>46</v>
      </c>
      <c r="B34" s="579">
        <f t="shared" si="0"/>
        <v>0</v>
      </c>
      <c r="C34" s="580">
        <f>+'[2]ALP 04-99'!E1452</f>
        <v>0</v>
      </c>
      <c r="D34" s="580">
        <f>+'[2]ALP 04-99'!F1452</f>
        <v>0</v>
      </c>
      <c r="E34" s="580">
        <f>+'[2]ALP 04-99'!G1452</f>
        <v>0</v>
      </c>
      <c r="F34" s="580">
        <f>+'[2]ALP 04-99'!H1452</f>
        <v>0</v>
      </c>
      <c r="G34" s="580">
        <f>+'[2]ALP 04-99'!I1452</f>
        <v>0</v>
      </c>
      <c r="H34" s="580">
        <f>+'[2]ALP 04-99'!J1452</f>
        <v>0</v>
      </c>
      <c r="I34" s="580">
        <f>+'[2]ALP 04-99'!K1452</f>
        <v>0</v>
      </c>
      <c r="J34" s="580">
        <f>+'[2]ALP 04-99'!L1452</f>
        <v>0</v>
      </c>
      <c r="K34" s="580">
        <f>+'[2]ALP 04-99'!M1452</f>
        <v>0</v>
      </c>
      <c r="L34" s="580">
        <f>+'[2]ALP 04-99'!N1452</f>
        <v>0</v>
      </c>
      <c r="M34" s="580">
        <f>+'[2]ALP 04-99'!O1452</f>
        <v>0</v>
      </c>
      <c r="N34" s="580">
        <f>+'[2]ALP 04-99'!P1452</f>
        <v>0</v>
      </c>
    </row>
    <row r="35" spans="1:14" ht="12" customHeight="1">
      <c r="A35" s="191" t="s">
        <v>47</v>
      </c>
      <c r="B35" s="579">
        <f t="shared" si="0"/>
        <v>0</v>
      </c>
      <c r="C35" s="580">
        <f>+'[2]ALP 04-99'!E1455</f>
        <v>0</v>
      </c>
      <c r="D35" s="580">
        <f>+'[2]ALP 04-99'!F1455</f>
        <v>0</v>
      </c>
      <c r="E35" s="580">
        <f>+'[2]ALP 04-99'!G1455</f>
        <v>0</v>
      </c>
      <c r="F35" s="580">
        <f>+'[2]ALP 04-99'!H1455</f>
        <v>0</v>
      </c>
      <c r="G35" s="580">
        <f>+'[2]ALP 04-99'!I1455</f>
        <v>0</v>
      </c>
      <c r="H35" s="580">
        <f>+'[2]ALP 04-99'!J1455</f>
        <v>0</v>
      </c>
      <c r="I35" s="580">
        <f>+'[2]ALP 04-99'!K1455</f>
        <v>0</v>
      </c>
      <c r="J35" s="580">
        <f>+'[2]ALP 04-99'!L1455</f>
        <v>0</v>
      </c>
      <c r="K35" s="580">
        <f>+'[2]ALP 04-99'!M1455</f>
        <v>0</v>
      </c>
      <c r="L35" s="580">
        <f>+'[2]ALP 04-99'!N1455</f>
        <v>0</v>
      </c>
      <c r="M35" s="580">
        <f>+'[2]ALP 04-99'!O1455</f>
        <v>0</v>
      </c>
      <c r="N35" s="580">
        <f>+'[2]ALP 04-99'!P1455</f>
        <v>0</v>
      </c>
    </row>
    <row r="36" spans="1:14" ht="12" customHeight="1">
      <c r="A36" s="191" t="s">
        <v>48</v>
      </c>
      <c r="B36" s="579">
        <f t="shared" si="0"/>
        <v>0</v>
      </c>
      <c r="C36" s="580">
        <f>+'[2]ALP 04-99'!E1458</f>
        <v>0</v>
      </c>
      <c r="D36" s="580">
        <f>+'[2]ALP 04-99'!F1458</f>
        <v>0</v>
      </c>
      <c r="E36" s="580">
        <f>+'[2]ALP 04-99'!G1458</f>
        <v>0</v>
      </c>
      <c r="F36" s="580">
        <f>+'[2]ALP 04-99'!H1458</f>
        <v>0</v>
      </c>
      <c r="G36" s="580">
        <f>+'[2]ALP 04-99'!I1458</f>
        <v>0</v>
      </c>
      <c r="H36" s="580">
        <f>+'[2]ALP 04-99'!J1458</f>
        <v>0</v>
      </c>
      <c r="I36" s="580">
        <f>+'[2]ALP 04-99'!K1458</f>
        <v>0</v>
      </c>
      <c r="J36" s="580">
        <f>+'[2]ALP 04-99'!L1458</f>
        <v>0</v>
      </c>
      <c r="K36" s="580">
        <f>+'[2]ALP 04-99'!M1458</f>
        <v>0</v>
      </c>
      <c r="L36" s="580">
        <f>+'[2]ALP 04-99'!N1458</f>
        <v>0</v>
      </c>
      <c r="M36" s="580">
        <f>+'[2]ALP 04-99'!O1458</f>
        <v>0</v>
      </c>
      <c r="N36" s="580">
        <f>+'[2]ALP 04-99'!P1458</f>
        <v>0</v>
      </c>
    </row>
    <row r="37" spans="1:14" ht="12" customHeight="1" thickBot="1">
      <c r="A37" s="272" t="s">
        <v>49</v>
      </c>
      <c r="B37" s="581">
        <f t="shared" si="0"/>
        <v>0</v>
      </c>
      <c r="C37" s="582">
        <f>+'[2]ALP 04-99'!E1461</f>
        <v>0</v>
      </c>
      <c r="D37" s="582">
        <f>+'[2]ALP 04-99'!F1461</f>
        <v>0</v>
      </c>
      <c r="E37" s="582">
        <f>+'[2]ALP 04-99'!G1461</f>
        <v>0</v>
      </c>
      <c r="F37" s="582">
        <f>+'[2]ALP 04-99'!H1461</f>
        <v>0</v>
      </c>
      <c r="G37" s="582">
        <f>+'[2]ALP 04-99'!I1461</f>
        <v>0</v>
      </c>
      <c r="H37" s="582">
        <f>+'[2]ALP 04-99'!J1461</f>
        <v>0</v>
      </c>
      <c r="I37" s="582">
        <f>+'[2]ALP 04-99'!K1461</f>
        <v>0</v>
      </c>
      <c r="J37" s="582">
        <f>+'[2]ALP 04-99'!L1461</f>
        <v>0</v>
      </c>
      <c r="K37" s="582">
        <f>+'[2]ALP 04-99'!M1461</f>
        <v>0</v>
      </c>
      <c r="L37" s="582">
        <f>+'[2]ALP 04-99'!N1461</f>
        <v>0</v>
      </c>
      <c r="M37" s="582">
        <f>+'[2]ALP 04-99'!O1461</f>
        <v>0</v>
      </c>
      <c r="N37" s="582">
        <f>+'[2]ALP 04-99'!P1461</f>
        <v>0</v>
      </c>
    </row>
    <row r="38" spans="1:14" ht="10" customHeight="1">
      <c r="A38" s="28" t="s">
        <v>238</v>
      </c>
      <c r="B38" s="540"/>
      <c r="C38" s="540"/>
      <c r="D38" s="540"/>
      <c r="E38" s="540"/>
      <c r="F38" s="540"/>
      <c r="G38" s="283"/>
      <c r="H38" s="283"/>
      <c r="I38" s="283"/>
      <c r="J38" s="283"/>
      <c r="K38" s="283"/>
      <c r="L38" s="283"/>
      <c r="M38" s="283"/>
      <c r="N38" s="283"/>
    </row>
    <row r="39" spans="1:14" ht="10" customHeight="1">
      <c r="A39" s="28" t="s">
        <v>192</v>
      </c>
      <c r="B39" s="540"/>
      <c r="C39" s="540"/>
      <c r="D39" s="540"/>
      <c r="E39" s="540"/>
      <c r="F39" s="540"/>
      <c r="G39" s="283"/>
      <c r="H39" s="283"/>
      <c r="I39" s="283"/>
      <c r="J39" s="283"/>
      <c r="K39" s="283"/>
      <c r="L39" s="283"/>
      <c r="M39" s="283"/>
      <c r="N39" s="283"/>
    </row>
    <row r="40" spans="1:14" ht="10" customHeight="1">
      <c r="A40" s="40" t="s">
        <v>261</v>
      </c>
      <c r="B40" s="540"/>
      <c r="C40" s="540"/>
      <c r="D40" s="540"/>
      <c r="E40" s="540"/>
      <c r="F40" s="540"/>
      <c r="G40" s="283"/>
      <c r="H40" s="283"/>
      <c r="I40" s="283"/>
      <c r="J40" s="283"/>
      <c r="K40" s="283"/>
      <c r="L40" s="283"/>
      <c r="M40" s="283"/>
      <c r="N40" s="283"/>
    </row>
    <row r="41" spans="1:14" ht="13" customHeight="1">
      <c r="A41" s="12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Hoja68">
    <tabColor theme="9" tint="0.59999389629810485"/>
  </sheetPr>
  <dimension ref="A4:N46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141" customWidth="1"/>
    <col min="2" max="2" width="8" style="141" customWidth="1"/>
    <col min="3" max="14" width="8.59765625" style="141" customWidth="1"/>
    <col min="15" max="16384" width="7" style="141"/>
  </cols>
  <sheetData>
    <row r="4" spans="1:14" ht="13" customHeight="1">
      <c r="A4" s="512" t="s">
        <v>403</v>
      </c>
      <c r="B4" s="508"/>
    </row>
    <row r="5" spans="1:14" ht="13" customHeight="1">
      <c r="A5" s="514" t="s">
        <v>595</v>
      </c>
      <c r="B5" s="507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</row>
    <row r="6" spans="1:14" ht="5" customHeight="1" thickBot="1">
      <c r="A6" s="213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</row>
    <row r="7" spans="1:14" ht="15" customHeight="1">
      <c r="A7" s="525" t="s">
        <v>18</v>
      </c>
      <c r="B7" s="526" t="s">
        <v>118</v>
      </c>
      <c r="C7" s="525" t="s">
        <v>57</v>
      </c>
      <c r="D7" s="525" t="s">
        <v>58</v>
      </c>
      <c r="E7" s="525" t="s">
        <v>59</v>
      </c>
      <c r="F7" s="525" t="s">
        <v>60</v>
      </c>
      <c r="G7" s="525" t="s">
        <v>61</v>
      </c>
      <c r="H7" s="525" t="s">
        <v>62</v>
      </c>
      <c r="I7" s="525" t="s">
        <v>63</v>
      </c>
      <c r="J7" s="525" t="s">
        <v>64</v>
      </c>
      <c r="K7" s="525" t="s">
        <v>65</v>
      </c>
      <c r="L7" s="525" t="s">
        <v>66</v>
      </c>
      <c r="M7" s="525" t="s">
        <v>67</v>
      </c>
      <c r="N7" s="525" t="s">
        <v>68</v>
      </c>
    </row>
    <row r="8" spans="1:14" ht="15" customHeight="1">
      <c r="A8" s="532" t="s">
        <v>106</v>
      </c>
      <c r="B8" s="583">
        <f>('C-66'!B8/'C-65'!B8)*1000</f>
        <v>26.57952651793736</v>
      </c>
      <c r="C8" s="583">
        <f>('C-66'!C8/'C-65'!C8)*1000</f>
        <v>26.182273807624821</v>
      </c>
      <c r="D8" s="583">
        <f>('C-66'!D8/'C-65'!D8)*1000</f>
        <v>26.499870661953725</v>
      </c>
      <c r="E8" s="583">
        <f>('C-66'!E8/'C-65'!E8)*1000</f>
        <v>26.567687617535718</v>
      </c>
      <c r="F8" s="583">
        <f>('C-66'!F8/'C-65'!F8)*1000</f>
        <v>27.220065904400577</v>
      </c>
      <c r="G8" s="583">
        <f>('C-66'!G8/'C-65'!G8)*1000</f>
        <v>27.099277645667009</v>
      </c>
      <c r="H8" s="583">
        <f>('C-66'!H8/'C-65'!H8)*1000</f>
        <v>26.848959316638368</v>
      </c>
      <c r="I8" s="583">
        <f>('C-66'!I8/'C-65'!I8)*1000</f>
        <v>26.914871215091711</v>
      </c>
      <c r="J8" s="583">
        <f>('C-66'!J8/'C-65'!J8)*1000</f>
        <v>26.571453192630379</v>
      </c>
      <c r="K8" s="583">
        <f>('C-66'!K8/'C-65'!K8)*1000</f>
        <v>26.346896481133118</v>
      </c>
      <c r="L8" s="583">
        <f>('C-66'!L8/'C-65'!L8)*1000</f>
        <v>25.904500268408341</v>
      </c>
      <c r="M8" s="583">
        <f>('C-66'!M8/'C-65'!M8)*1000</f>
        <v>25.972428749250149</v>
      </c>
      <c r="N8" s="583">
        <f>('C-66'!N8/'C-65'!N8)*1000</f>
        <v>26.07808495095011</v>
      </c>
    </row>
    <row r="9" spans="1:14" ht="12" customHeight="1">
      <c r="A9" s="280" t="s">
        <v>21</v>
      </c>
      <c r="B9" s="584">
        <v>0</v>
      </c>
      <c r="C9" s="585">
        <v>0</v>
      </c>
      <c r="D9" s="585">
        <v>0</v>
      </c>
      <c r="E9" s="585">
        <v>0</v>
      </c>
      <c r="F9" s="585">
        <v>0</v>
      </c>
      <c r="G9" s="585">
        <v>0</v>
      </c>
      <c r="H9" s="585">
        <v>0</v>
      </c>
      <c r="I9" s="585">
        <v>0</v>
      </c>
      <c r="J9" s="585">
        <v>0</v>
      </c>
      <c r="K9" s="585">
        <v>0</v>
      </c>
      <c r="L9" s="585">
        <v>0</v>
      </c>
      <c r="M9" s="585">
        <v>0</v>
      </c>
      <c r="N9" s="585">
        <v>0</v>
      </c>
    </row>
    <row r="10" spans="1:14" ht="12" customHeight="1">
      <c r="A10" s="280" t="s">
        <v>22</v>
      </c>
      <c r="B10" s="584">
        <v>0</v>
      </c>
      <c r="C10" s="585">
        <v>0</v>
      </c>
      <c r="D10" s="585">
        <v>0</v>
      </c>
      <c r="E10" s="585">
        <v>0</v>
      </c>
      <c r="F10" s="585">
        <v>0</v>
      </c>
      <c r="G10" s="585">
        <v>0</v>
      </c>
      <c r="H10" s="585">
        <v>0</v>
      </c>
      <c r="I10" s="585">
        <v>0</v>
      </c>
      <c r="J10" s="585">
        <v>0</v>
      </c>
      <c r="K10" s="585">
        <v>0</v>
      </c>
      <c r="L10" s="585">
        <v>0</v>
      </c>
      <c r="M10" s="585">
        <v>0</v>
      </c>
      <c r="N10" s="585">
        <v>0</v>
      </c>
    </row>
    <row r="11" spans="1:14" ht="12" customHeight="1">
      <c r="A11" s="280" t="s">
        <v>23</v>
      </c>
      <c r="B11" s="584">
        <v>0</v>
      </c>
      <c r="C11" s="585">
        <v>0</v>
      </c>
      <c r="D11" s="585">
        <v>0</v>
      </c>
      <c r="E11" s="585">
        <v>0</v>
      </c>
      <c r="F11" s="585">
        <v>0</v>
      </c>
      <c r="G11" s="585">
        <v>0</v>
      </c>
      <c r="H11" s="585">
        <v>0</v>
      </c>
      <c r="I11" s="585">
        <v>0</v>
      </c>
      <c r="J11" s="585">
        <v>0</v>
      </c>
      <c r="K11" s="585">
        <v>0</v>
      </c>
      <c r="L11" s="585">
        <v>0</v>
      </c>
      <c r="M11" s="585">
        <v>0</v>
      </c>
      <c r="N11" s="585">
        <v>0</v>
      </c>
    </row>
    <row r="12" spans="1:14" ht="12" customHeight="1">
      <c r="A12" s="191" t="s">
        <v>24</v>
      </c>
      <c r="B12" s="584">
        <f>('C-66'!B12/'C-65'!B12)*1000</f>
        <v>31.147578431372551</v>
      </c>
      <c r="C12" s="585">
        <f>('C-66'!C12/'C-65'!C12)*1000</f>
        <v>29.602687500000002</v>
      </c>
      <c r="D12" s="585">
        <v>0</v>
      </c>
      <c r="E12" s="585">
        <v>0</v>
      </c>
      <c r="F12" s="585">
        <f>('C-66'!F12/'C-65'!F12)*1000</f>
        <v>29.563837078651687</v>
      </c>
      <c r="G12" s="585">
        <f>('C-66'!G12/'C-65'!G12)*1000</f>
        <v>28.898738907849832</v>
      </c>
      <c r="H12" s="585">
        <f>('C-66'!H12/'C-65'!H12)*1000</f>
        <v>30.61992513368984</v>
      </c>
      <c r="I12" s="585">
        <f>('C-66'!I12/'C-65'!I12)*1000</f>
        <v>31.744704318936876</v>
      </c>
      <c r="J12" s="585">
        <f>('C-66'!J12/'C-65'!J12)*1000</f>
        <v>32.712875000000004</v>
      </c>
      <c r="K12" s="585">
        <f>('C-66'!K12/'C-65'!K12)*1000</f>
        <v>32.72598</v>
      </c>
      <c r="L12" s="585">
        <f>('C-66'!L12/'C-65'!L12)*1000</f>
        <v>33.966000000000001</v>
      </c>
      <c r="M12" s="585">
        <f>('C-66'!M12/'C-65'!M12)*1000</f>
        <v>32.923985294117649</v>
      </c>
      <c r="N12" s="585">
        <f>('C-66'!N12/'C-65'!N12)*1000</f>
        <v>32.230202970297029</v>
      </c>
    </row>
    <row r="13" spans="1:14" ht="12" customHeight="1">
      <c r="A13" s="191" t="s">
        <v>25</v>
      </c>
      <c r="B13" s="584">
        <v>0</v>
      </c>
      <c r="C13" s="585">
        <v>0</v>
      </c>
      <c r="D13" s="585">
        <v>0</v>
      </c>
      <c r="E13" s="585">
        <v>0</v>
      </c>
      <c r="F13" s="585">
        <v>0</v>
      </c>
      <c r="G13" s="585">
        <v>0</v>
      </c>
      <c r="H13" s="585">
        <v>0</v>
      </c>
      <c r="I13" s="585">
        <v>0</v>
      </c>
      <c r="J13" s="585">
        <v>0</v>
      </c>
      <c r="K13" s="585">
        <v>0</v>
      </c>
      <c r="L13" s="585">
        <v>0</v>
      </c>
      <c r="M13" s="585">
        <v>0</v>
      </c>
      <c r="N13" s="585">
        <v>0</v>
      </c>
    </row>
    <row r="14" spans="1:14" ht="12" customHeight="1">
      <c r="A14" s="281" t="s">
        <v>107</v>
      </c>
      <c r="B14" s="584">
        <v>0</v>
      </c>
      <c r="C14" s="585">
        <v>0</v>
      </c>
      <c r="D14" s="585">
        <v>0</v>
      </c>
      <c r="E14" s="585">
        <v>0</v>
      </c>
      <c r="F14" s="585">
        <v>0</v>
      </c>
      <c r="G14" s="585">
        <v>0</v>
      </c>
      <c r="H14" s="585">
        <v>0</v>
      </c>
      <c r="I14" s="585">
        <v>0</v>
      </c>
      <c r="J14" s="585">
        <v>0</v>
      </c>
      <c r="K14" s="585">
        <v>0</v>
      </c>
      <c r="L14" s="585">
        <v>0</v>
      </c>
      <c r="M14" s="585">
        <v>0</v>
      </c>
      <c r="N14" s="585">
        <v>0</v>
      </c>
    </row>
    <row r="15" spans="1:14" ht="12" customHeight="1">
      <c r="A15" s="281" t="s">
        <v>108</v>
      </c>
      <c r="B15" s="584">
        <v>0</v>
      </c>
      <c r="C15" s="585">
        <v>0</v>
      </c>
      <c r="D15" s="585">
        <v>0</v>
      </c>
      <c r="E15" s="585">
        <v>0</v>
      </c>
      <c r="F15" s="585">
        <v>0</v>
      </c>
      <c r="G15" s="585">
        <v>0</v>
      </c>
      <c r="H15" s="585">
        <v>0</v>
      </c>
      <c r="I15" s="585">
        <v>0</v>
      </c>
      <c r="J15" s="585">
        <v>0</v>
      </c>
      <c r="K15" s="585">
        <v>0</v>
      </c>
      <c r="L15" s="585">
        <v>0</v>
      </c>
      <c r="M15" s="585">
        <v>0</v>
      </c>
      <c r="N15" s="585">
        <v>0</v>
      </c>
    </row>
    <row r="16" spans="1:14" ht="12" customHeight="1">
      <c r="A16" s="281" t="s">
        <v>109</v>
      </c>
      <c r="B16" s="584">
        <v>0</v>
      </c>
      <c r="C16" s="585">
        <v>0</v>
      </c>
      <c r="D16" s="585">
        <v>0</v>
      </c>
      <c r="E16" s="585">
        <v>0</v>
      </c>
      <c r="F16" s="585">
        <v>0</v>
      </c>
      <c r="G16" s="585">
        <v>0</v>
      </c>
      <c r="H16" s="585">
        <v>0</v>
      </c>
      <c r="I16" s="585">
        <v>0</v>
      </c>
      <c r="J16" s="585">
        <v>0</v>
      </c>
      <c r="K16" s="585">
        <v>0</v>
      </c>
      <c r="L16" s="585">
        <v>0</v>
      </c>
      <c r="M16" s="585">
        <v>0</v>
      </c>
      <c r="N16" s="585">
        <v>0</v>
      </c>
    </row>
    <row r="17" spans="1:14" ht="12" customHeight="1">
      <c r="A17" s="280" t="s">
        <v>29</v>
      </c>
      <c r="B17" s="584">
        <v>0</v>
      </c>
      <c r="C17" s="585">
        <v>0</v>
      </c>
      <c r="D17" s="585">
        <v>0</v>
      </c>
      <c r="E17" s="585">
        <v>0</v>
      </c>
      <c r="F17" s="585">
        <v>0</v>
      </c>
      <c r="G17" s="585">
        <v>0</v>
      </c>
      <c r="H17" s="585">
        <v>0</v>
      </c>
      <c r="I17" s="585">
        <v>0</v>
      </c>
      <c r="J17" s="585">
        <v>0</v>
      </c>
      <c r="K17" s="585">
        <v>0</v>
      </c>
      <c r="L17" s="585">
        <v>0</v>
      </c>
      <c r="M17" s="585">
        <v>0</v>
      </c>
      <c r="N17" s="585">
        <v>0</v>
      </c>
    </row>
    <row r="18" spans="1:14" ht="12" customHeight="1">
      <c r="A18" s="191" t="s">
        <v>30</v>
      </c>
      <c r="B18" s="584">
        <f>('C-66'!B18/'C-65'!B18)*1000</f>
        <v>28.217401139601133</v>
      </c>
      <c r="C18" s="585">
        <f>('C-66'!C18/'C-65'!C18)*1000</f>
        <v>24.315789473684212</v>
      </c>
      <c r="D18" s="585">
        <f>('C-66'!D18/'C-65'!D18)*1000</f>
        <v>28.857142857142858</v>
      </c>
      <c r="E18" s="585">
        <f>('C-66'!E18/'C-65'!E18)*1000</f>
        <v>28.733636363636364</v>
      </c>
      <c r="F18" s="585">
        <f>('C-66'!F18/'C-65'!F18)*1000</f>
        <v>27.805714285714284</v>
      </c>
      <c r="G18" s="585">
        <f>('C-66'!G18/'C-65'!G18)*1000</f>
        <v>28.486126984126972</v>
      </c>
      <c r="H18" s="585">
        <f>('C-66'!H18/'C-65'!H18)*1000</f>
        <v>27.793066666666665</v>
      </c>
      <c r="I18" s="585">
        <f>('C-66'!I18/'C-65'!I18)*1000</f>
        <v>25.441176470588236</v>
      </c>
      <c r="J18" s="585">
        <f>('C-66'!J18/'C-65'!J18)*1000</f>
        <v>28.033870967741933</v>
      </c>
      <c r="K18" s="585">
        <f>('C-66'!K18/'C-65'!K18)*1000</f>
        <v>30.706896551724135</v>
      </c>
      <c r="L18" s="585">
        <f>('C-66'!L18/'C-65'!L18)*1000</f>
        <v>32.5</v>
      </c>
      <c r="M18" s="585">
        <f>('C-66'!M18/'C-65'!M18)*1000</f>
        <v>31.1875</v>
      </c>
      <c r="N18" s="585">
        <f>('C-66'!N18/'C-65'!N18)*1000</f>
        <v>26.941764705882353</v>
      </c>
    </row>
    <row r="19" spans="1:14" ht="12" customHeight="1">
      <c r="A19" s="191" t="s">
        <v>31</v>
      </c>
      <c r="B19" s="584">
        <f>('C-66'!B19/'C-65'!B19)*1000</f>
        <v>26.854016248675379</v>
      </c>
      <c r="C19" s="585">
        <f>('C-66'!C19/'C-65'!C19)*1000</f>
        <v>25.664651162790697</v>
      </c>
      <c r="D19" s="585">
        <f>('C-66'!D19/'C-65'!D19)*1000</f>
        <v>24.541340782122905</v>
      </c>
      <c r="E19" s="585">
        <f>('C-66'!E19/'C-65'!E19)*1000</f>
        <v>24.535514018691586</v>
      </c>
      <c r="F19" s="585">
        <f>('C-66'!F19/'C-65'!F19)*1000</f>
        <v>28.894090909090906</v>
      </c>
      <c r="G19" s="585">
        <f>('C-66'!G19/'C-65'!G19)*1000</f>
        <v>26.613658536585366</v>
      </c>
      <c r="H19" s="585">
        <f>('C-66'!H19/'C-65'!H19)*1000</f>
        <v>30.168689516129035</v>
      </c>
      <c r="I19" s="585">
        <f>('C-66'!I19/'C-65'!I19)*1000</f>
        <v>26.570718562874251</v>
      </c>
      <c r="J19" s="585">
        <f>('C-66'!J19/'C-65'!J19)*1000</f>
        <v>30.315813953488373</v>
      </c>
      <c r="K19" s="585">
        <f>('C-66'!K19/'C-65'!K19)*1000</f>
        <v>28.2744</v>
      </c>
      <c r="L19" s="585">
        <f>('C-66'!L19/'C-65'!L19)*1000</f>
        <v>25.696258992805753</v>
      </c>
      <c r="M19" s="585">
        <f>('C-66'!M19/'C-65'!M19)*1000</f>
        <v>24.986087962962962</v>
      </c>
      <c r="N19" s="585">
        <f>('C-66'!N19/'C-65'!N19)*1000</f>
        <v>25.256250000000005</v>
      </c>
    </row>
    <row r="20" spans="1:14" ht="12" customHeight="1">
      <c r="A20" s="280" t="s">
        <v>32</v>
      </c>
      <c r="B20" s="584">
        <v>0</v>
      </c>
      <c r="C20" s="585">
        <v>0</v>
      </c>
      <c r="D20" s="585">
        <v>0</v>
      </c>
      <c r="E20" s="585">
        <v>0</v>
      </c>
      <c r="F20" s="585">
        <v>0</v>
      </c>
      <c r="G20" s="585">
        <v>0</v>
      </c>
      <c r="H20" s="585">
        <v>0</v>
      </c>
      <c r="I20" s="585">
        <v>0</v>
      </c>
      <c r="J20" s="585">
        <v>0</v>
      </c>
      <c r="K20" s="585">
        <v>0</v>
      </c>
      <c r="L20" s="585">
        <v>0</v>
      </c>
      <c r="M20" s="585">
        <v>0</v>
      </c>
      <c r="N20" s="585">
        <v>0</v>
      </c>
    </row>
    <row r="21" spans="1:14" ht="12" customHeight="1">
      <c r="A21" s="280" t="s">
        <v>33</v>
      </c>
      <c r="B21" s="584">
        <f>('C-66'!B21/'C-65'!B21)*1000</f>
        <v>27.281827229299367</v>
      </c>
      <c r="C21" s="585">
        <f>('C-66'!C21/'C-65'!C21)*1000</f>
        <v>25.734375000000004</v>
      </c>
      <c r="D21" s="585">
        <f>('C-66'!D21/'C-65'!D21)*1000</f>
        <v>24.273134328358211</v>
      </c>
      <c r="E21" s="585">
        <f>('C-66'!E21/'C-65'!E21)*1000</f>
        <v>24.592268041237109</v>
      </c>
      <c r="F21" s="585">
        <f>('C-66'!F21/'C-65'!F21)*1000</f>
        <v>26.820796460176993</v>
      </c>
      <c r="G21" s="585">
        <f>('C-66'!G21/'C-65'!G21)*1000</f>
        <v>26.789062500000007</v>
      </c>
      <c r="H21" s="585">
        <f>('C-66'!H21/'C-65'!H21)*1000</f>
        <v>27.232758620689655</v>
      </c>
      <c r="I21" s="585">
        <f>('C-66'!I21/'C-65'!I21)*1000</f>
        <v>26.776086956521738</v>
      </c>
      <c r="J21" s="585">
        <f>('C-66'!J21/'C-65'!J21)*1000</f>
        <v>26.035685483870967</v>
      </c>
      <c r="K21" s="585">
        <f>('C-66'!K21/'C-65'!K21)*1000</f>
        <v>27.537606837606841</v>
      </c>
      <c r="L21" s="585">
        <f>('C-66'!L21/'C-65'!L21)*1000</f>
        <v>29.978888888888893</v>
      </c>
      <c r="M21" s="585">
        <f>('C-66'!M21/'C-65'!M21)*1000</f>
        <v>36.158522727272739</v>
      </c>
      <c r="N21" s="585">
        <f>('C-66'!N21/'C-65'!N21)*1000</f>
        <v>26.17438016528925</v>
      </c>
    </row>
    <row r="22" spans="1:14" ht="12" customHeight="1">
      <c r="A22" s="280" t="s">
        <v>34</v>
      </c>
      <c r="B22" s="584">
        <f>('C-66'!B22/'C-65'!B22)*1000</f>
        <v>23.005097264505444</v>
      </c>
      <c r="C22" s="585">
        <f>('C-66'!C22/'C-65'!C22)*1000</f>
        <v>23.708671503957778</v>
      </c>
      <c r="D22" s="585">
        <f>('C-66'!D22/'C-65'!D22)*1000</f>
        <v>23.669458959537568</v>
      </c>
      <c r="E22" s="585">
        <f>('C-66'!E22/'C-65'!E22)*1000</f>
        <v>23.465716486261446</v>
      </c>
      <c r="F22" s="585">
        <f>('C-66'!F22/'C-65'!F22)*1000</f>
        <v>23.280881249999997</v>
      </c>
      <c r="G22" s="585">
        <f>('C-66'!G22/'C-65'!G22)*1000</f>
        <v>23.14695388502842</v>
      </c>
      <c r="H22" s="585">
        <f>('C-66'!H22/'C-65'!H22)*1000</f>
        <v>22.947182753164554</v>
      </c>
      <c r="I22" s="585">
        <f>('C-66'!I22/'C-65'!I22)*1000</f>
        <v>23.01411465657112</v>
      </c>
      <c r="J22" s="585">
        <f>('C-66'!J22/'C-65'!J22)*1000</f>
        <v>23.095224963556849</v>
      </c>
      <c r="K22" s="585">
        <f>('C-66'!K22/'C-65'!K22)*1000</f>
        <v>22.355921446384041</v>
      </c>
      <c r="L22" s="585">
        <f>('C-66'!L22/'C-65'!L22)*1000</f>
        <v>22.446375401069524</v>
      </c>
      <c r="M22" s="585">
        <f>('C-66'!M22/'C-65'!M22)*1000</f>
        <v>22.360723052714402</v>
      </c>
      <c r="N22" s="585">
        <f>('C-66'!N22/'C-65'!N22)*1000</f>
        <v>22.74404887218045</v>
      </c>
    </row>
    <row r="23" spans="1:14" ht="12" customHeight="1">
      <c r="A23" s="280" t="s">
        <v>35</v>
      </c>
      <c r="B23" s="584">
        <f>('C-66'!B23/'C-65'!B23)*1000</f>
        <v>22.033947682103552</v>
      </c>
      <c r="C23" s="585">
        <f>('C-66'!C23/'C-65'!C23)*1000</f>
        <v>21.77565969062784</v>
      </c>
      <c r="D23" s="585">
        <f>('C-66'!D23/'C-65'!D23)*1000</f>
        <v>21.568235294117649</v>
      </c>
      <c r="E23" s="585">
        <f>('C-66'!E23/'C-65'!E23)*1000</f>
        <v>21.657908847184984</v>
      </c>
      <c r="F23" s="585">
        <f>('C-66'!F23/'C-65'!F23)*1000</f>
        <v>21.855309734513281</v>
      </c>
      <c r="G23" s="585">
        <f>('C-66'!G23/'C-65'!G23)*1000</f>
        <v>21.850248262164843</v>
      </c>
      <c r="H23" s="585">
        <f>('C-66'!H23/'C-65'!H23)*1000</f>
        <v>21.787428842504749</v>
      </c>
      <c r="I23" s="585">
        <f>('C-66'!I23/'C-65'!I23)*1000</f>
        <v>21.814029438822441</v>
      </c>
      <c r="J23" s="585">
        <f>('C-66'!J23/'C-65'!J23)*1000</f>
        <v>21.855906593406594</v>
      </c>
      <c r="K23" s="585">
        <f>('C-66'!K23/'C-65'!K23)*1000</f>
        <v>21.704956268221576</v>
      </c>
      <c r="L23" s="585">
        <f>('C-66'!L23/'C-65'!L23)*1000</f>
        <v>21.90641153081511</v>
      </c>
      <c r="M23" s="585">
        <f>('C-66'!M23/'C-65'!M23)*1000</f>
        <v>21.912964824120603</v>
      </c>
      <c r="N23" s="585">
        <f>('C-66'!N23/'C-65'!N23)*1000</f>
        <v>24.546158540317617</v>
      </c>
    </row>
    <row r="24" spans="1:14" ht="12" customHeight="1">
      <c r="A24" s="280" t="s">
        <v>36</v>
      </c>
      <c r="B24" s="584">
        <f>('C-66'!B24/'C-65'!B24)*1000</f>
        <v>25.243780616582391</v>
      </c>
      <c r="C24" s="585">
        <f>('C-66'!C24/'C-65'!C24)*1000</f>
        <v>25.211728998849253</v>
      </c>
      <c r="D24" s="585">
        <f>('C-66'!D24/'C-65'!D24)*1000</f>
        <v>25.554638769230774</v>
      </c>
      <c r="E24" s="585">
        <f>('C-66'!E24/'C-65'!E24)*1000</f>
        <v>25.402295215869316</v>
      </c>
      <c r="F24" s="585">
        <f>('C-66'!F24/'C-65'!F24)*1000</f>
        <v>25.236670718816068</v>
      </c>
      <c r="G24" s="585">
        <f>('C-66'!G24/'C-65'!G24)*1000</f>
        <v>25.605419621175329</v>
      </c>
      <c r="H24" s="585">
        <f>('C-66'!H24/'C-65'!H24)*1000</f>
        <v>25.794189588377726</v>
      </c>
      <c r="I24" s="585">
        <f>('C-66'!I24/'C-65'!I24)*1000</f>
        <v>25.061549248747912</v>
      </c>
      <c r="J24" s="585">
        <f>('C-66'!J24/'C-65'!J24)*1000</f>
        <v>24.553907775255393</v>
      </c>
      <c r="K24" s="585">
        <f>('C-66'!K24/'C-65'!K24)*1000</f>
        <v>26.552083743842356</v>
      </c>
      <c r="L24" s="585">
        <f>('C-66'!L24/'C-65'!L24)*1000</f>
        <v>24.76011365927419</v>
      </c>
      <c r="M24" s="585">
        <f>('C-66'!M24/'C-65'!M24)*1000</f>
        <v>24.554894947473738</v>
      </c>
      <c r="N24" s="585">
        <f>('C-66'!N24/'C-65'!N24)*1000</f>
        <v>24.661132750397453</v>
      </c>
    </row>
    <row r="25" spans="1:14" ht="12" customHeight="1">
      <c r="A25" s="191" t="s">
        <v>37</v>
      </c>
      <c r="B25" s="584">
        <f>('C-66'!B25/'C-65'!B25)*1000</f>
        <v>24.639222624241778</v>
      </c>
      <c r="C25" s="585">
        <f>('C-66'!C25/'C-65'!C25)*1000</f>
        <v>24.024308361827792</v>
      </c>
      <c r="D25" s="585">
        <f>('C-66'!D25/'C-65'!D25)*1000</f>
        <v>24.016380523501265</v>
      </c>
      <c r="E25" s="585">
        <f>('C-66'!E25/'C-65'!E25)*1000</f>
        <v>24.510707241476474</v>
      </c>
      <c r="F25" s="585">
        <f>('C-66'!F25/'C-65'!F25)*1000</f>
        <v>24.973050345508394</v>
      </c>
      <c r="G25" s="585">
        <f>('C-66'!G25/'C-65'!G25)*1000</f>
        <v>25</v>
      </c>
      <c r="H25" s="585">
        <f>('C-66'!H25/'C-65'!H25)*1000</f>
        <v>25</v>
      </c>
      <c r="I25" s="585">
        <f>('C-66'!I25/'C-65'!I25)*1000</f>
        <v>25</v>
      </c>
      <c r="J25" s="585">
        <f>('C-66'!J25/'C-65'!J25)*1000</f>
        <v>24.807077024358126</v>
      </c>
      <c r="K25" s="585">
        <f>('C-66'!K25/'C-65'!K25)*1000</f>
        <v>24.570661586421895</v>
      </c>
      <c r="L25" s="585">
        <f>('C-66'!L25/'C-65'!L25)*1000</f>
        <v>24.328516174402253</v>
      </c>
      <c r="M25" s="585">
        <f>('C-66'!M25/'C-65'!M25)*1000</f>
        <v>24.023970037453182</v>
      </c>
      <c r="N25" s="585">
        <f>('C-66'!N25/'C-65'!N25)*1000</f>
        <v>25.510078578749571</v>
      </c>
    </row>
    <row r="26" spans="1:14" ht="12" customHeight="1">
      <c r="A26" s="280" t="s">
        <v>38</v>
      </c>
      <c r="B26" s="584">
        <f>('C-66'!B26/'C-65'!B26)*1000</f>
        <v>30.868666504736463</v>
      </c>
      <c r="C26" s="585">
        <f>('C-66'!C26/'C-65'!C26)*1000</f>
        <v>31.156675749318801</v>
      </c>
      <c r="D26" s="585">
        <f>('C-66'!D26/'C-65'!D26)*1000</f>
        <v>30.061475409836067</v>
      </c>
      <c r="E26" s="585">
        <f>('C-66'!E26/'C-65'!E26)*1000</f>
        <v>30.93411371237459</v>
      </c>
      <c r="F26" s="585">
        <f>('C-66'!F26/'C-65'!F26)*1000</f>
        <v>31.342808219178085</v>
      </c>
      <c r="G26" s="585">
        <f>('C-66'!G26/'C-65'!G26)*1000</f>
        <v>31.170772058823534</v>
      </c>
      <c r="H26" s="585">
        <f>('C-66'!H26/'C-65'!H26)*1000</f>
        <v>31.088904899135454</v>
      </c>
      <c r="I26" s="585">
        <f>('C-66'!I26/'C-65'!I26)*1000</f>
        <v>30.742872570194386</v>
      </c>
      <c r="J26" s="585">
        <f>('C-66'!J26/'C-65'!J26)*1000</f>
        <v>31.834647887323943</v>
      </c>
      <c r="K26" s="585">
        <f>('C-66'!K26/'C-65'!K26)*1000</f>
        <v>30.967142857142857</v>
      </c>
      <c r="L26" s="585">
        <f>('C-66'!L26/'C-65'!L26)*1000</f>
        <v>29.917632241813607</v>
      </c>
      <c r="M26" s="585">
        <f>('C-66'!M26/'C-65'!M26)*1000</f>
        <v>30.518296089385473</v>
      </c>
      <c r="N26" s="585">
        <f>('C-66'!N26/'C-65'!N26)*1000</f>
        <v>30.900864553314122</v>
      </c>
    </row>
    <row r="27" spans="1:14" ht="12" customHeight="1">
      <c r="A27" s="280" t="s">
        <v>39</v>
      </c>
      <c r="B27" s="584">
        <f>('C-66'!B27/'C-65'!B27)*1000</f>
        <v>28.409558823529409</v>
      </c>
      <c r="C27" s="585">
        <f>('C-66'!C27/'C-65'!C27)*1000</f>
        <v>28.810865191146888</v>
      </c>
      <c r="D27" s="585">
        <f>('C-66'!D27/'C-65'!D27)*1000</f>
        <v>28.588757396449704</v>
      </c>
      <c r="E27" s="585">
        <f>('C-66'!E27/'C-65'!E27)*1000</f>
        <v>28.777456647398843</v>
      </c>
      <c r="F27" s="585">
        <f>('C-66'!F27/'C-65'!F27)*1000</f>
        <v>28.822992700729923</v>
      </c>
      <c r="G27" s="585">
        <f>('C-66'!G27/'C-65'!G27)*1000</f>
        <v>28.748847926267285</v>
      </c>
      <c r="H27" s="585">
        <f>('C-66'!H27/'C-65'!H27)*1000</f>
        <v>26.018587360594797</v>
      </c>
      <c r="I27" s="585">
        <f>('C-66'!I27/'C-65'!I27)*1000</f>
        <v>28.618421052631582</v>
      </c>
      <c r="J27" s="585">
        <f>('C-66'!J27/'C-65'!J27)*1000</f>
        <v>28.723289315726287</v>
      </c>
      <c r="K27" s="585">
        <f>('C-66'!K27/'C-65'!K27)*1000</f>
        <v>28.658872077028889</v>
      </c>
      <c r="L27" s="585">
        <f>('C-66'!L27/'C-65'!L27)*1000</f>
        <v>28.752403846153847</v>
      </c>
      <c r="M27" s="585">
        <f>('C-66'!M27/'C-65'!M27)*1000</f>
        <v>28.466357142857142</v>
      </c>
      <c r="N27" s="585">
        <f>('C-66'!N27/'C-65'!N27)*1000</f>
        <v>28.594630872483226</v>
      </c>
    </row>
    <row r="28" spans="1:14" ht="12" customHeight="1">
      <c r="A28" s="280" t="s">
        <v>40</v>
      </c>
      <c r="B28" s="584">
        <f>('C-66'!B28/'C-65'!B28)*1000</f>
        <v>26.639194077845517</v>
      </c>
      <c r="C28" s="585">
        <f>('C-66'!C28/'C-65'!C28)*1000</f>
        <v>27.12694862710363</v>
      </c>
      <c r="D28" s="585">
        <f>('C-66'!D28/'C-65'!D28)*1000</f>
        <v>26.610547945205479</v>
      </c>
      <c r="E28" s="585">
        <f>('C-66'!E28/'C-65'!E28)*1000</f>
        <v>26.922621951219519</v>
      </c>
      <c r="F28" s="585">
        <f>('C-66'!F28/'C-65'!F28)*1000</f>
        <v>27.364900000000002</v>
      </c>
      <c r="G28" s="585">
        <f>('C-66'!G28/'C-65'!G28)*1000</f>
        <v>26.59058295964126</v>
      </c>
      <c r="H28" s="585">
        <f>('C-66'!H28/'C-65'!H28)*1000</f>
        <v>25.778633826741089</v>
      </c>
      <c r="I28" s="585">
        <f>('C-66'!I28/'C-65'!I28)*1000</f>
        <v>26.763226059654635</v>
      </c>
      <c r="J28" s="585">
        <f>('C-66'!J28/'C-65'!J28)*1000</f>
        <v>26.596524064171124</v>
      </c>
      <c r="K28" s="585">
        <f>('C-66'!K28/'C-65'!K28)*1000</f>
        <v>26.746651856553473</v>
      </c>
      <c r="L28" s="585">
        <f>('C-66'!L28/'C-65'!L28)*1000</f>
        <v>26.202989034311994</v>
      </c>
      <c r="M28" s="585">
        <f>('C-66'!M28/'C-65'!M28)*1000</f>
        <v>26.966888094021463</v>
      </c>
      <c r="N28" s="585">
        <f>('C-66'!N28/'C-65'!N28)*1000</f>
        <v>26.148035787741669</v>
      </c>
    </row>
    <row r="29" spans="1:14" ht="12" customHeight="1">
      <c r="A29" s="191" t="s">
        <v>41</v>
      </c>
      <c r="B29" s="584">
        <f>('C-66'!B29/'C-65'!B29)*1000</f>
        <v>24.308267716535433</v>
      </c>
      <c r="C29" s="585">
        <f>('C-66'!C29/'C-65'!C29)*1000</f>
        <v>23.322596630327055</v>
      </c>
      <c r="D29" s="585">
        <f>('C-66'!D29/'C-65'!D29)*1000</f>
        <v>24.719806763285025</v>
      </c>
      <c r="E29" s="585">
        <f>('C-66'!E29/'C-65'!E29)*1000</f>
        <v>24.394366197183096</v>
      </c>
      <c r="F29" s="585">
        <f>('C-66'!F29/'C-65'!F29)*1000</f>
        <v>24.243940175348115</v>
      </c>
      <c r="G29" s="585">
        <f>('C-66'!G29/'C-65'!G29)*1000</f>
        <v>23.916201117318437</v>
      </c>
      <c r="H29" s="585">
        <f>('C-66'!H29/'C-65'!H29)*1000</f>
        <v>23.464486458865611</v>
      </c>
      <c r="I29" s="585">
        <f>('C-66'!I29/'C-65'!I29)*1000</f>
        <v>24.333157617290457</v>
      </c>
      <c r="J29" s="585">
        <f>('C-66'!J29/'C-65'!J29)*1000</f>
        <v>24.352941176470587</v>
      </c>
      <c r="K29" s="585">
        <f>('C-66'!K29/'C-65'!K29)*1000</f>
        <v>23.835950189496479</v>
      </c>
      <c r="L29" s="585">
        <f>('C-66'!L29/'C-65'!L29)*1000</f>
        <v>24.216292134831459</v>
      </c>
      <c r="M29" s="585">
        <f>('C-66'!M29/'C-65'!M29)*1000</f>
        <v>25.451553930530164</v>
      </c>
      <c r="N29" s="585">
        <f>('C-66'!N29/'C-65'!N29)*1000</f>
        <v>25.761194029850749</v>
      </c>
    </row>
    <row r="30" spans="1:14" ht="12" customHeight="1">
      <c r="A30" s="281" t="s">
        <v>111</v>
      </c>
      <c r="B30" s="584">
        <f>('C-66'!B30/'C-65'!B30)*1000</f>
        <v>24.902249806051206</v>
      </c>
      <c r="C30" s="585">
        <f>('C-66'!C30/'C-65'!C30)*1000</f>
        <v>22.943181818181817</v>
      </c>
      <c r="D30" s="585">
        <f>('C-66'!D30/'C-65'!D30)*1000</f>
        <v>25.036231884057969</v>
      </c>
      <c r="E30" s="585">
        <f>('C-66'!E30/'C-65'!E30)*1000</f>
        <v>24.802816901408448</v>
      </c>
      <c r="F30" s="585">
        <f>('C-66'!F30/'C-65'!F30)*1000</f>
        <v>25.064799999999998</v>
      </c>
      <c r="G30" s="585">
        <f>('C-66'!G30/'C-65'!G30)*1000</f>
        <v>24.782608695652176</v>
      </c>
      <c r="H30" s="585">
        <f>('C-66'!H30/'C-65'!H30)*1000</f>
        <v>23.828125</v>
      </c>
      <c r="I30" s="585">
        <f>('C-66'!I30/'C-65'!I30)*1000</f>
        <v>24.793522267206477</v>
      </c>
      <c r="J30" s="585">
        <f>('C-66'!J30/'C-65'!J30)*1000</f>
        <v>25.223140495867767</v>
      </c>
      <c r="K30" s="585">
        <f>('C-66'!K30/'C-65'!K30)*1000</f>
        <v>24.587646076794659</v>
      </c>
      <c r="L30" s="585">
        <f>('C-66'!L30/'C-65'!L30)*1000</f>
        <v>24.820512820512821</v>
      </c>
      <c r="M30" s="585">
        <f>('C-66'!M30/'C-65'!M30)*1000</f>
        <v>26.27596899224806</v>
      </c>
      <c r="N30" s="585">
        <f>('C-66'!N30/'C-65'!N30)*1000</f>
        <v>26.496551724137934</v>
      </c>
    </row>
    <row r="31" spans="1:14" ht="12" customHeight="1">
      <c r="A31" s="281" t="s">
        <v>112</v>
      </c>
      <c r="B31" s="584">
        <f>('C-66'!B31/'C-65'!B31)*1000</f>
        <v>23.065340909090907</v>
      </c>
      <c r="C31" s="585">
        <f>('C-66'!C31/'C-65'!C31)*1000</f>
        <v>24.040114613180517</v>
      </c>
      <c r="D31" s="585">
        <f>('C-66'!D31/'C-65'!D31)*1000</f>
        <v>24.086956521739129</v>
      </c>
      <c r="E31" s="585">
        <f>('C-66'!E31/'C-65'!E31)*1000</f>
        <v>23.577464788732392</v>
      </c>
      <c r="F31" s="585">
        <f>('C-66'!F31/'C-65'!F31)*1000</f>
        <v>22.754716981132077</v>
      </c>
      <c r="G31" s="585">
        <f>('C-66'!G31/'C-65'!G31)*1000</f>
        <v>22.359375</v>
      </c>
      <c r="H31" s="585">
        <f>('C-66'!H31/'C-65'!H31)*1000</f>
        <v>22.776957163958642</v>
      </c>
      <c r="I31" s="585">
        <f>('C-66'!I31/'C-65'!I31)*1000</f>
        <v>23.474320241691839</v>
      </c>
      <c r="J31" s="585">
        <f>('C-66'!J31/'C-65'!J31)*1000</f>
        <v>22.757575757575758</v>
      </c>
      <c r="K31" s="585">
        <f>('C-66'!K31/'C-65'!K31)*1000</f>
        <v>22.448382126348228</v>
      </c>
      <c r="L31" s="585">
        <f>('C-66'!L31/'C-65'!L31)*1000</f>
        <v>23.057377049180328</v>
      </c>
      <c r="M31" s="585">
        <f>('C-66'!M31/'C-65'!M31)*1000</f>
        <v>22.421652421652421</v>
      </c>
      <c r="N31" s="585">
        <f>('C-66'!N31/'C-65'!N31)*1000</f>
        <v>22.109589041095894</v>
      </c>
    </row>
    <row r="32" spans="1:14" ht="12" customHeight="1">
      <c r="A32" s="280" t="s">
        <v>44</v>
      </c>
      <c r="B32" s="584">
        <f>('C-66'!B32/'C-65'!B32)*1000</f>
        <v>26.595011483795094</v>
      </c>
      <c r="C32" s="585">
        <f>('C-66'!C32/'C-65'!C32)*1000</f>
        <v>26.314624682883153</v>
      </c>
      <c r="D32" s="585">
        <f>('C-66'!D32/'C-65'!D32)*1000</f>
        <v>26.114151340727222</v>
      </c>
      <c r="E32" s="585">
        <f>('C-66'!E32/'C-65'!E32)*1000</f>
        <v>26.103230094377253</v>
      </c>
      <c r="F32" s="585">
        <f>('C-66'!F32/'C-65'!F32)*1000</f>
        <v>26.987465495608525</v>
      </c>
      <c r="G32" s="585">
        <f>('C-66'!G32/'C-65'!G32)*1000</f>
        <v>27.009715725080966</v>
      </c>
      <c r="H32" s="585">
        <f>('C-66'!H32/'C-65'!H32)*1000</f>
        <v>27</v>
      </c>
      <c r="I32" s="585">
        <f>('C-66'!I32/'C-65'!I32)*1000</f>
        <v>26.999999999999996</v>
      </c>
      <c r="J32" s="585">
        <f>('C-66'!J32/'C-65'!J32)*1000</f>
        <v>26.709016884205489</v>
      </c>
      <c r="K32" s="585">
        <f>('C-66'!K32/'C-65'!K32)*1000</f>
        <v>26.996667548267649</v>
      </c>
      <c r="L32" s="585">
        <f>('C-66'!L32/'C-65'!L32)*1000</f>
        <v>26.100000000000005</v>
      </c>
      <c r="M32" s="585">
        <f>('C-66'!M32/'C-65'!M32)*1000</f>
        <v>26.100000000000005</v>
      </c>
      <c r="N32" s="585">
        <f>('C-66'!N32/'C-65'!N32)*1000</f>
        <v>26.230328278620235</v>
      </c>
    </row>
    <row r="33" spans="1:14" ht="12" customHeight="1">
      <c r="A33" s="280" t="s">
        <v>45</v>
      </c>
      <c r="B33" s="584">
        <f>('C-66'!B33/'C-65'!B33)*1000</f>
        <v>27.649869263237395</v>
      </c>
      <c r="C33" s="585">
        <f>('C-66'!C33/'C-65'!C33)*1000</f>
        <v>27.406566680178351</v>
      </c>
      <c r="D33" s="585">
        <f>('C-66'!D33/'C-65'!D33)*1000</f>
        <v>27.859157894736835</v>
      </c>
      <c r="E33" s="585">
        <f>('C-66'!E33/'C-65'!E33)*1000</f>
        <v>27.830107876619504</v>
      </c>
      <c r="F33" s="585">
        <f>('C-66'!F33/'C-65'!F33)*1000</f>
        <v>28.267134300759746</v>
      </c>
      <c r="G33" s="585">
        <f>('C-66'!G33/'C-65'!G33)*1000</f>
        <v>28.31007413868295</v>
      </c>
      <c r="H33" s="585">
        <f>('C-66'!H33/'C-65'!H33)*1000</f>
        <v>28.12533753375337</v>
      </c>
      <c r="I33" s="585">
        <f>('C-66'!I33/'C-65'!I33)*1000</f>
        <v>27.948714384989579</v>
      </c>
      <c r="J33" s="585">
        <f>('C-66'!J33/'C-65'!J33)*1000</f>
        <v>27.421949920085247</v>
      </c>
      <c r="K33" s="585">
        <f>('C-66'!K33/'C-65'!K33)*1000</f>
        <v>26.774870801033593</v>
      </c>
      <c r="L33" s="585">
        <f>('C-66'!L33/'C-65'!L33)*1000</f>
        <v>26.677338129496398</v>
      </c>
      <c r="M33" s="585">
        <f>('C-66'!M33/'C-65'!M33)*1000</f>
        <v>26.66162790697674</v>
      </c>
      <c r="N33" s="585">
        <f>('C-66'!N33/'C-65'!N33)*1000</f>
        <v>26.858707557502743</v>
      </c>
    </row>
    <row r="34" spans="1:14" ht="12" customHeight="1">
      <c r="A34" s="191" t="s">
        <v>46</v>
      </c>
      <c r="B34" s="584">
        <v>0</v>
      </c>
      <c r="C34" s="585">
        <v>0</v>
      </c>
      <c r="D34" s="585">
        <v>0</v>
      </c>
      <c r="E34" s="585">
        <v>0</v>
      </c>
      <c r="F34" s="585">
        <v>0</v>
      </c>
      <c r="G34" s="585">
        <v>0</v>
      </c>
      <c r="H34" s="585">
        <v>0</v>
      </c>
      <c r="I34" s="585">
        <v>0</v>
      </c>
      <c r="J34" s="585">
        <v>0</v>
      </c>
      <c r="K34" s="585">
        <v>0</v>
      </c>
      <c r="L34" s="585">
        <v>0</v>
      </c>
      <c r="M34" s="585">
        <v>0</v>
      </c>
      <c r="N34" s="585">
        <v>0</v>
      </c>
    </row>
    <row r="35" spans="1:14" ht="12" customHeight="1">
      <c r="A35" s="191" t="s">
        <v>47</v>
      </c>
      <c r="B35" s="584">
        <v>0</v>
      </c>
      <c r="C35" s="585">
        <v>0</v>
      </c>
      <c r="D35" s="585">
        <v>0</v>
      </c>
      <c r="E35" s="585">
        <v>0</v>
      </c>
      <c r="F35" s="585">
        <v>0</v>
      </c>
      <c r="G35" s="585">
        <v>0</v>
      </c>
      <c r="H35" s="585">
        <v>0</v>
      </c>
      <c r="I35" s="585">
        <v>0</v>
      </c>
      <c r="J35" s="585">
        <v>0</v>
      </c>
      <c r="K35" s="585">
        <v>0</v>
      </c>
      <c r="L35" s="585">
        <v>0</v>
      </c>
      <c r="M35" s="585">
        <v>0</v>
      </c>
      <c r="N35" s="585">
        <v>0</v>
      </c>
    </row>
    <row r="36" spans="1:14" ht="12" customHeight="1">
      <c r="A36" s="191" t="s">
        <v>48</v>
      </c>
      <c r="B36" s="584">
        <v>0</v>
      </c>
      <c r="C36" s="585">
        <v>0</v>
      </c>
      <c r="D36" s="585">
        <v>0</v>
      </c>
      <c r="E36" s="585">
        <v>0</v>
      </c>
      <c r="F36" s="585">
        <v>0</v>
      </c>
      <c r="G36" s="585">
        <v>0</v>
      </c>
      <c r="H36" s="585">
        <v>0</v>
      </c>
      <c r="I36" s="585">
        <v>0</v>
      </c>
      <c r="J36" s="585">
        <v>0</v>
      </c>
      <c r="K36" s="585">
        <v>0</v>
      </c>
      <c r="L36" s="585">
        <v>0</v>
      </c>
      <c r="M36" s="585">
        <v>0</v>
      </c>
      <c r="N36" s="585">
        <v>0</v>
      </c>
    </row>
    <row r="37" spans="1:14" ht="12" customHeight="1" thickBot="1">
      <c r="A37" s="272" t="s">
        <v>49</v>
      </c>
      <c r="B37" s="586">
        <v>0</v>
      </c>
      <c r="C37" s="587">
        <v>0</v>
      </c>
      <c r="D37" s="587">
        <v>0</v>
      </c>
      <c r="E37" s="587">
        <v>0</v>
      </c>
      <c r="F37" s="587">
        <v>0</v>
      </c>
      <c r="G37" s="587">
        <v>0</v>
      </c>
      <c r="H37" s="587">
        <v>0</v>
      </c>
      <c r="I37" s="587">
        <v>0</v>
      </c>
      <c r="J37" s="587">
        <v>0</v>
      </c>
      <c r="K37" s="587">
        <v>0</v>
      </c>
      <c r="L37" s="587">
        <v>0</v>
      </c>
      <c r="M37" s="587">
        <v>0</v>
      </c>
      <c r="N37" s="587">
        <v>0</v>
      </c>
    </row>
    <row r="38" spans="1:14" ht="10" customHeight="1">
      <c r="A38" s="28" t="s">
        <v>238</v>
      </c>
      <c r="B38" s="365"/>
      <c r="C38" s="365"/>
      <c r="D38" s="365"/>
      <c r="E38" s="365"/>
      <c r="F38" s="365"/>
    </row>
    <row r="39" spans="1:14" ht="10" customHeight="1">
      <c r="A39" s="28" t="s">
        <v>192</v>
      </c>
      <c r="B39" s="365"/>
      <c r="C39" s="365"/>
      <c r="D39" s="365"/>
      <c r="E39" s="365"/>
      <c r="F39" s="365"/>
    </row>
    <row r="40" spans="1:14" ht="10" customHeight="1">
      <c r="A40" s="40" t="s">
        <v>261</v>
      </c>
      <c r="B40" s="365"/>
      <c r="C40" s="365"/>
      <c r="D40" s="365"/>
      <c r="E40" s="365"/>
      <c r="F40" s="365"/>
    </row>
    <row r="41" spans="1:14" ht="13" customHeight="1">
      <c r="A41" s="12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Hoja69">
    <tabColor theme="9" tint="0.59999389629810485"/>
  </sheetPr>
  <dimension ref="A4:N5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14" ht="13" customHeight="1">
      <c r="A4" s="511" t="s">
        <v>404</v>
      </c>
      <c r="B4" s="507"/>
    </row>
    <row r="5" spans="1:14" ht="13" customHeight="1">
      <c r="A5" s="515" t="s">
        <v>325</v>
      </c>
      <c r="B5" s="508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</row>
    <row r="6" spans="1:14" ht="5" customHeight="1" thickBot="1">
      <c r="A6" s="141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</row>
    <row r="7" spans="1:14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</row>
    <row r="8" spans="1:14" ht="15" customHeight="1">
      <c r="A8" s="530" t="s">
        <v>100</v>
      </c>
      <c r="B8" s="559">
        <f t="shared" ref="B8:B37" si="0">SUM(C8:N8)</f>
        <v>115790.0344341668</v>
      </c>
      <c r="C8" s="559">
        <f t="shared" ref="C8:N8" si="1">(C9+C10+C11+C12+C13+C17+C18+C19+C20+C21+C22+C23+C24+C25+C26+C27+C28+C29+C32+C33+C34+C35+C36+C37)</f>
        <v>7838</v>
      </c>
      <c r="D8" s="559">
        <f t="shared" si="1"/>
        <v>9132</v>
      </c>
      <c r="E8" s="559">
        <f t="shared" si="1"/>
        <v>9654</v>
      </c>
      <c r="F8" s="559">
        <f t="shared" si="1"/>
        <v>10848</v>
      </c>
      <c r="G8" s="559">
        <f t="shared" si="1"/>
        <v>10828.034434166788</v>
      </c>
      <c r="H8" s="559">
        <f t="shared" si="1"/>
        <v>11282</v>
      </c>
      <c r="I8" s="559">
        <f t="shared" si="1"/>
        <v>10677</v>
      </c>
      <c r="J8" s="559">
        <f t="shared" si="1"/>
        <v>9934</v>
      </c>
      <c r="K8" s="559">
        <f t="shared" si="1"/>
        <v>9126</v>
      </c>
      <c r="L8" s="559">
        <f t="shared" si="1"/>
        <v>8321</v>
      </c>
      <c r="M8" s="559">
        <f t="shared" si="1"/>
        <v>8415</v>
      </c>
      <c r="N8" s="559">
        <f t="shared" si="1"/>
        <v>9735</v>
      </c>
    </row>
    <row r="9" spans="1:14" ht="12" customHeight="1">
      <c r="A9" s="269" t="s">
        <v>21</v>
      </c>
      <c r="B9" s="550">
        <f t="shared" si="0"/>
        <v>0</v>
      </c>
      <c r="C9" s="551">
        <f>+'[2]LLA 04-99'!E1376</f>
        <v>0</v>
      </c>
      <c r="D9" s="551">
        <f>+'[2]LLA 04-99'!F1376</f>
        <v>0</v>
      </c>
      <c r="E9" s="551">
        <f>+'[2]LLA 04-99'!G1376</f>
        <v>0</v>
      </c>
      <c r="F9" s="551">
        <f>+'[2]LLA 04-99'!H1376</f>
        <v>0</v>
      </c>
      <c r="G9" s="551">
        <f>+'[2]LLA 04-99'!I1376</f>
        <v>0</v>
      </c>
      <c r="H9" s="551">
        <f>+'[2]LLA 04-99'!J1376</f>
        <v>0</v>
      </c>
      <c r="I9" s="551">
        <f>+'[2]LLA 04-99'!K1376</f>
        <v>0</v>
      </c>
      <c r="J9" s="551">
        <f>+'[2]LLA 04-99'!L1376</f>
        <v>0</v>
      </c>
      <c r="K9" s="551">
        <f>+'[2]LLA 04-99'!M1376</f>
        <v>0</v>
      </c>
      <c r="L9" s="551">
        <f>+'[2]LLA 04-99'!N1376</f>
        <v>0</v>
      </c>
      <c r="M9" s="551">
        <f>+'[2]LLA 04-99'!O1376</f>
        <v>0</v>
      </c>
      <c r="N9" s="551">
        <f>+'[2]LLA 04-99'!P1376</f>
        <v>0</v>
      </c>
    </row>
    <row r="10" spans="1:14" ht="12" customHeight="1">
      <c r="A10" s="269" t="s">
        <v>22</v>
      </c>
      <c r="B10" s="550">
        <f t="shared" si="0"/>
        <v>0</v>
      </c>
      <c r="C10" s="551">
        <f>+'[2]LLA 04-99'!E1379</f>
        <v>0</v>
      </c>
      <c r="D10" s="551">
        <f>+'[2]LLA 04-99'!F1379</f>
        <v>0</v>
      </c>
      <c r="E10" s="551">
        <f>+'[2]LLA 04-99'!G1379</f>
        <v>0</v>
      </c>
      <c r="F10" s="551">
        <f>+'[2]LLA 04-99'!H1379</f>
        <v>0</v>
      </c>
      <c r="G10" s="551">
        <f>+'[2]LLA 04-99'!I1379</f>
        <v>0</v>
      </c>
      <c r="H10" s="551">
        <f>+'[2]LLA 04-99'!J1379</f>
        <v>0</v>
      </c>
      <c r="I10" s="551">
        <f>+'[2]LLA 04-99'!K1379</f>
        <v>0</v>
      </c>
      <c r="J10" s="551">
        <f>+'[2]LLA 04-99'!L1379</f>
        <v>0</v>
      </c>
      <c r="K10" s="551">
        <f>+'[2]LLA 04-99'!M1379</f>
        <v>0</v>
      </c>
      <c r="L10" s="551">
        <f>+'[2]LLA 04-99'!N1379</f>
        <v>0</v>
      </c>
      <c r="M10" s="551">
        <f>+'[2]LLA 04-99'!O1379</f>
        <v>0</v>
      </c>
      <c r="N10" s="551">
        <f>+'[2]LLA 04-99'!P1379</f>
        <v>0</v>
      </c>
    </row>
    <row r="11" spans="1:14" ht="12" customHeight="1">
      <c r="A11" s="269" t="s">
        <v>23</v>
      </c>
      <c r="B11" s="550">
        <f t="shared" si="0"/>
        <v>0</v>
      </c>
      <c r="C11" s="551">
        <f>+'[2]LLA 04-99'!E1382</f>
        <v>0</v>
      </c>
      <c r="D11" s="551">
        <f>+'[2]LLA 04-99'!F1382</f>
        <v>0</v>
      </c>
      <c r="E11" s="551">
        <f>+'[2]LLA 04-99'!G1382</f>
        <v>0</v>
      </c>
      <c r="F11" s="551">
        <f>+'[2]LLA 04-99'!H1382</f>
        <v>0</v>
      </c>
      <c r="G11" s="551">
        <f>+'[2]LLA 04-99'!I1382</f>
        <v>0</v>
      </c>
      <c r="H11" s="551">
        <f>+'[2]LLA 04-99'!J1382</f>
        <v>0</v>
      </c>
      <c r="I11" s="551">
        <f>+'[2]LLA 04-99'!K1382</f>
        <v>0</v>
      </c>
      <c r="J11" s="551">
        <f>+'[2]LLA 04-99'!L1382</f>
        <v>0</v>
      </c>
      <c r="K11" s="551">
        <f>+'[2]LLA 04-99'!M1382</f>
        <v>0</v>
      </c>
      <c r="L11" s="551">
        <f>+'[2]LLA 04-99'!N1382</f>
        <v>0</v>
      </c>
      <c r="M11" s="551">
        <f>+'[2]LLA 04-99'!O1382</f>
        <v>0</v>
      </c>
      <c r="N11" s="551">
        <f>+'[2]LLA 04-99'!P1382</f>
        <v>0</v>
      </c>
    </row>
    <row r="12" spans="1:14" ht="12" customHeight="1">
      <c r="A12" s="217" t="s">
        <v>24</v>
      </c>
      <c r="B12" s="550">
        <f t="shared" si="0"/>
        <v>0</v>
      </c>
      <c r="C12" s="551">
        <f>+'[2]LLA 04-99'!E1385</f>
        <v>0</v>
      </c>
      <c r="D12" s="551">
        <f>+'[2]LLA 04-99'!F1385</f>
        <v>0</v>
      </c>
      <c r="E12" s="551">
        <f>+'[2]LLA 04-99'!G1385</f>
        <v>0</v>
      </c>
      <c r="F12" s="551">
        <f>+'[2]LLA 04-99'!H1385</f>
        <v>0</v>
      </c>
      <c r="G12" s="551">
        <f>+'[2]LLA 04-99'!I1385</f>
        <v>0</v>
      </c>
      <c r="H12" s="551">
        <f>+'[2]LLA 04-99'!J1385</f>
        <v>0</v>
      </c>
      <c r="I12" s="551">
        <f>+'[2]LLA 04-99'!K1385</f>
        <v>0</v>
      </c>
      <c r="J12" s="551">
        <f>+'[2]LLA 04-99'!L1385</f>
        <v>0</v>
      </c>
      <c r="K12" s="551">
        <f>+'[2]LLA 04-99'!M1385</f>
        <v>0</v>
      </c>
      <c r="L12" s="551">
        <f>+'[2]LLA 04-99'!N1385</f>
        <v>0</v>
      </c>
      <c r="M12" s="551">
        <f>+'[2]LLA 04-99'!O1385</f>
        <v>0</v>
      </c>
      <c r="N12" s="551">
        <f>+'[2]LLA 04-99'!P1385</f>
        <v>0</v>
      </c>
    </row>
    <row r="13" spans="1:14" ht="12" customHeight="1">
      <c r="A13" s="217" t="s">
        <v>25</v>
      </c>
      <c r="B13" s="550">
        <f t="shared" si="0"/>
        <v>0</v>
      </c>
      <c r="C13" s="551">
        <f>+'[2]LLA 04-99'!E1388</f>
        <v>0</v>
      </c>
      <c r="D13" s="551">
        <f>+'[2]LLA 04-99'!F1388</f>
        <v>0</v>
      </c>
      <c r="E13" s="551">
        <f>+'[2]LLA 04-99'!G1388</f>
        <v>0</v>
      </c>
      <c r="F13" s="551">
        <f>+'[2]LLA 04-99'!H1388</f>
        <v>0</v>
      </c>
      <c r="G13" s="551">
        <f>+'[2]LLA 04-99'!I1388</f>
        <v>0</v>
      </c>
      <c r="H13" s="551">
        <f>+'[2]LLA 04-99'!J1388</f>
        <v>0</v>
      </c>
      <c r="I13" s="551">
        <f>+'[2]LLA 04-99'!K1388</f>
        <v>0</v>
      </c>
      <c r="J13" s="551">
        <f>+'[2]LLA 04-99'!L1388</f>
        <v>0</v>
      </c>
      <c r="K13" s="551">
        <f>+'[2]LLA 04-99'!M1388</f>
        <v>0</v>
      </c>
      <c r="L13" s="551">
        <f>+'[2]LLA 04-99'!N1388</f>
        <v>0</v>
      </c>
      <c r="M13" s="551">
        <f>+'[2]LLA 04-99'!O1388</f>
        <v>0</v>
      </c>
      <c r="N13" s="551">
        <f>+'[2]LLA 04-99'!P1388</f>
        <v>0</v>
      </c>
    </row>
    <row r="14" spans="1:14" ht="12" customHeight="1">
      <c r="A14" s="271" t="s">
        <v>107</v>
      </c>
      <c r="B14" s="550">
        <f t="shared" si="0"/>
        <v>0</v>
      </c>
      <c r="C14" s="551">
        <f>+'[2]LLA 04-99'!E1391</f>
        <v>0</v>
      </c>
      <c r="D14" s="551">
        <f>+'[2]LLA 04-99'!F1391</f>
        <v>0</v>
      </c>
      <c r="E14" s="551">
        <f>+'[2]LLA 04-99'!G1391</f>
        <v>0</v>
      </c>
      <c r="F14" s="551">
        <f>+'[2]LLA 04-99'!H1391</f>
        <v>0</v>
      </c>
      <c r="G14" s="551">
        <f>+'[2]LLA 04-99'!I1391</f>
        <v>0</v>
      </c>
      <c r="H14" s="551">
        <f>+'[2]LLA 04-99'!J1391</f>
        <v>0</v>
      </c>
      <c r="I14" s="551">
        <f>+'[2]LLA 04-99'!K1391</f>
        <v>0</v>
      </c>
      <c r="J14" s="551">
        <f>+'[2]LLA 04-99'!L1391</f>
        <v>0</v>
      </c>
      <c r="K14" s="551">
        <f>+'[2]LLA 04-99'!M1391</f>
        <v>0</v>
      </c>
      <c r="L14" s="551">
        <f>+'[2]LLA 04-99'!N1391</f>
        <v>0</v>
      </c>
      <c r="M14" s="551">
        <f>+'[2]LLA 04-99'!O1391</f>
        <v>0</v>
      </c>
      <c r="N14" s="551">
        <f>+'[2]LLA 04-99'!P1391</f>
        <v>0</v>
      </c>
    </row>
    <row r="15" spans="1:14" ht="12" customHeight="1">
      <c r="A15" s="271" t="s">
        <v>108</v>
      </c>
      <c r="B15" s="550">
        <f t="shared" si="0"/>
        <v>0</v>
      </c>
      <c r="C15" s="551">
        <f>+'[2]LLA 04-99'!E1394</f>
        <v>0</v>
      </c>
      <c r="D15" s="551">
        <f>+'[2]LLA 04-99'!F1394</f>
        <v>0</v>
      </c>
      <c r="E15" s="551">
        <f>+'[2]LLA 04-99'!G1394</f>
        <v>0</v>
      </c>
      <c r="F15" s="551">
        <f>+'[2]LLA 04-99'!H1394</f>
        <v>0</v>
      </c>
      <c r="G15" s="551">
        <f>+'[2]LLA 04-99'!I1394</f>
        <v>0</v>
      </c>
      <c r="H15" s="551">
        <f>+'[2]LLA 04-99'!J1394</f>
        <v>0</v>
      </c>
      <c r="I15" s="551">
        <f>+'[2]LLA 04-99'!K1394</f>
        <v>0</v>
      </c>
      <c r="J15" s="551">
        <f>+'[2]LLA 04-99'!L1394</f>
        <v>0</v>
      </c>
      <c r="K15" s="551">
        <f>+'[2]LLA 04-99'!M1394</f>
        <v>0</v>
      </c>
      <c r="L15" s="551">
        <f>+'[2]LLA 04-99'!N1394</f>
        <v>0</v>
      </c>
      <c r="M15" s="551">
        <f>+'[2]LLA 04-99'!O1394</f>
        <v>0</v>
      </c>
      <c r="N15" s="551">
        <f>+'[2]LLA 04-99'!P1394</f>
        <v>0</v>
      </c>
    </row>
    <row r="16" spans="1:14" ht="12" customHeight="1">
      <c r="A16" s="271" t="s">
        <v>109</v>
      </c>
      <c r="B16" s="550">
        <f t="shared" si="0"/>
        <v>0</v>
      </c>
      <c r="C16" s="551">
        <f>+'[2]LLA 04-99'!E1397</f>
        <v>0</v>
      </c>
      <c r="D16" s="551">
        <f>+'[2]LLA 04-99'!F1397</f>
        <v>0</v>
      </c>
      <c r="E16" s="551">
        <f>+'[2]LLA 04-99'!G1397</f>
        <v>0</v>
      </c>
      <c r="F16" s="551">
        <f>+'[2]LLA 04-99'!H1397</f>
        <v>0</v>
      </c>
      <c r="G16" s="551">
        <f>+'[2]LLA 04-99'!I1397</f>
        <v>0</v>
      </c>
      <c r="H16" s="551">
        <f>+'[2]LLA 04-99'!J1397</f>
        <v>0</v>
      </c>
      <c r="I16" s="551">
        <f>+'[2]LLA 04-99'!K1397</f>
        <v>0</v>
      </c>
      <c r="J16" s="551">
        <f>+'[2]LLA 04-99'!L1397</f>
        <v>0</v>
      </c>
      <c r="K16" s="551">
        <f>+'[2]LLA 04-99'!M1397</f>
        <v>0</v>
      </c>
      <c r="L16" s="551">
        <f>+'[2]LLA 04-99'!N1397</f>
        <v>0</v>
      </c>
      <c r="M16" s="551">
        <f>+'[2]LLA 04-99'!O1397</f>
        <v>0</v>
      </c>
      <c r="N16" s="551">
        <f>+'[2]LLA 04-99'!P1397</f>
        <v>0</v>
      </c>
    </row>
    <row r="17" spans="1:14" ht="12" customHeight="1">
      <c r="A17" s="269" t="s">
        <v>29</v>
      </c>
      <c r="B17" s="550">
        <f t="shared" si="0"/>
        <v>0</v>
      </c>
      <c r="C17" s="551">
        <f>+'[2]LLA 04-99'!E1400</f>
        <v>0</v>
      </c>
      <c r="D17" s="551">
        <f>+'[2]LLA 04-99'!F1400</f>
        <v>0</v>
      </c>
      <c r="E17" s="551">
        <f>+'[2]LLA 04-99'!G1400</f>
        <v>0</v>
      </c>
      <c r="F17" s="551">
        <f>+'[2]LLA 04-99'!H1400</f>
        <v>0</v>
      </c>
      <c r="G17" s="551">
        <f>+'[2]LLA 04-99'!I1400</f>
        <v>0</v>
      </c>
      <c r="H17" s="551">
        <f>+'[2]LLA 04-99'!J1400</f>
        <v>0</v>
      </c>
      <c r="I17" s="551">
        <f>+'[2]LLA 04-99'!K1400</f>
        <v>0</v>
      </c>
      <c r="J17" s="551">
        <f>+'[2]LLA 04-99'!L1400</f>
        <v>0</v>
      </c>
      <c r="K17" s="551">
        <f>+'[2]LLA 04-99'!M1400</f>
        <v>0</v>
      </c>
      <c r="L17" s="551">
        <f>+'[2]LLA 04-99'!N1400</f>
        <v>0</v>
      </c>
      <c r="M17" s="551">
        <f>+'[2]LLA 04-99'!O1400</f>
        <v>0</v>
      </c>
      <c r="N17" s="551">
        <f>+'[2]LLA 04-99'!P1400</f>
        <v>0</v>
      </c>
    </row>
    <row r="18" spans="1:14" ht="12" customHeight="1">
      <c r="A18" s="217" t="s">
        <v>30</v>
      </c>
      <c r="B18" s="550">
        <f t="shared" si="0"/>
        <v>0</v>
      </c>
      <c r="C18" s="551">
        <f>+'[2]LLA 04-99'!E1403</f>
        <v>0</v>
      </c>
      <c r="D18" s="551">
        <f>+'[2]LLA 04-99'!F1403</f>
        <v>0</v>
      </c>
      <c r="E18" s="551">
        <f>+'[2]LLA 04-99'!G1403</f>
        <v>0</v>
      </c>
      <c r="F18" s="551">
        <f>+'[2]LLA 04-99'!H1403</f>
        <v>0</v>
      </c>
      <c r="G18" s="551">
        <f>+'[2]LLA 04-99'!I1403</f>
        <v>0</v>
      </c>
      <c r="H18" s="551">
        <f>+'[2]LLA 04-99'!J1403</f>
        <v>0</v>
      </c>
      <c r="I18" s="551">
        <f>+'[2]LLA 04-99'!K1403</f>
        <v>0</v>
      </c>
      <c r="J18" s="551">
        <f>+'[2]LLA 04-99'!L1403</f>
        <v>0</v>
      </c>
      <c r="K18" s="551">
        <f>+'[2]LLA 04-99'!M1403</f>
        <v>0</v>
      </c>
      <c r="L18" s="551">
        <f>+'[2]LLA 04-99'!N1403</f>
        <v>0</v>
      </c>
      <c r="M18" s="551">
        <f>+'[2]LLA 04-99'!O1403</f>
        <v>0</v>
      </c>
      <c r="N18" s="551">
        <f>+'[2]LLA 04-99'!P1403</f>
        <v>0</v>
      </c>
    </row>
    <row r="19" spans="1:14" ht="12" customHeight="1">
      <c r="A19" s="217" t="s">
        <v>31</v>
      </c>
      <c r="B19" s="550">
        <f t="shared" si="0"/>
        <v>2030</v>
      </c>
      <c r="C19" s="551">
        <f>+'[2]LLA 04-99'!E1406</f>
        <v>123</v>
      </c>
      <c r="D19" s="551">
        <f>+'[2]LLA 04-99'!F1406</f>
        <v>169</v>
      </c>
      <c r="E19" s="551">
        <f>+'[2]LLA 04-99'!G1406</f>
        <v>191</v>
      </c>
      <c r="F19" s="551">
        <f>+'[2]LLA 04-99'!H1406</f>
        <v>223</v>
      </c>
      <c r="G19" s="551">
        <f>+'[2]LLA 04-99'!I1406</f>
        <v>215</v>
      </c>
      <c r="H19" s="551">
        <f>+'[2]LLA 04-99'!J1406</f>
        <v>167</v>
      </c>
      <c r="I19" s="551">
        <f>+'[2]LLA 04-99'!K1406</f>
        <v>177</v>
      </c>
      <c r="J19" s="551">
        <f>+'[2]LLA 04-99'!L1406</f>
        <v>161</v>
      </c>
      <c r="K19" s="551">
        <f>+'[2]LLA 04-99'!M1406</f>
        <v>157</v>
      </c>
      <c r="L19" s="551">
        <f>+'[2]LLA 04-99'!N1406</f>
        <v>139</v>
      </c>
      <c r="M19" s="551">
        <f>+'[2]LLA 04-99'!O1406</f>
        <v>135</v>
      </c>
      <c r="N19" s="551">
        <f>+'[2]LLA 04-99'!P1406</f>
        <v>173</v>
      </c>
    </row>
    <row r="20" spans="1:14" ht="12" customHeight="1">
      <c r="A20" s="269" t="s">
        <v>32</v>
      </c>
      <c r="B20" s="550">
        <f t="shared" si="0"/>
        <v>0</v>
      </c>
      <c r="C20" s="551">
        <f>+'[2]LLA 04-99'!E1409</f>
        <v>0</v>
      </c>
      <c r="D20" s="551">
        <f>+'[2]LLA 04-99'!F1409</f>
        <v>0</v>
      </c>
      <c r="E20" s="551">
        <f>+'[2]LLA 04-99'!G1409</f>
        <v>0</v>
      </c>
      <c r="F20" s="551">
        <f>+'[2]LLA 04-99'!H1409</f>
        <v>0</v>
      </c>
      <c r="G20" s="551">
        <f>+'[2]LLA 04-99'!I1409</f>
        <v>0</v>
      </c>
      <c r="H20" s="551">
        <f>+'[2]LLA 04-99'!J1409</f>
        <v>0</v>
      </c>
      <c r="I20" s="551">
        <f>+'[2]LLA 04-99'!K1409</f>
        <v>0</v>
      </c>
      <c r="J20" s="551">
        <f>+'[2]LLA 04-99'!L1409</f>
        <v>0</v>
      </c>
      <c r="K20" s="551">
        <f>+'[2]LLA 04-99'!M1409</f>
        <v>0</v>
      </c>
      <c r="L20" s="551">
        <f>+'[2]LLA 04-99'!N1409</f>
        <v>0</v>
      </c>
      <c r="M20" s="551">
        <f>+'[2]LLA 04-99'!O1409</f>
        <v>0</v>
      </c>
      <c r="N20" s="551">
        <f>+'[2]LLA 04-99'!P1409</f>
        <v>0</v>
      </c>
    </row>
    <row r="21" spans="1:14" ht="12" customHeight="1">
      <c r="A21" s="269" t="s">
        <v>33</v>
      </c>
      <c r="B21" s="550">
        <f t="shared" si="0"/>
        <v>0</v>
      </c>
      <c r="C21" s="551">
        <f>+'[2]LLA 04-99'!E1412</f>
        <v>0</v>
      </c>
      <c r="D21" s="551">
        <f>+'[2]LLA 04-99'!F1412</f>
        <v>0</v>
      </c>
      <c r="E21" s="551">
        <f>+'[2]LLA 04-99'!G1412</f>
        <v>0</v>
      </c>
      <c r="F21" s="551">
        <f>+'[2]LLA 04-99'!H1412</f>
        <v>0</v>
      </c>
      <c r="G21" s="551">
        <f>+'[2]LLA 04-99'!I1412</f>
        <v>0</v>
      </c>
      <c r="H21" s="551">
        <f>+'[2]LLA 04-99'!J1412</f>
        <v>0</v>
      </c>
      <c r="I21" s="551">
        <f>+'[2]LLA 04-99'!K1412</f>
        <v>0</v>
      </c>
      <c r="J21" s="551">
        <f>+'[2]LLA 04-99'!L1412</f>
        <v>0</v>
      </c>
      <c r="K21" s="551">
        <f>+'[2]LLA 04-99'!M1412</f>
        <v>0</v>
      </c>
      <c r="L21" s="551">
        <f>+'[2]LLA 04-99'!N1412</f>
        <v>0</v>
      </c>
      <c r="M21" s="551">
        <f>+'[2]LLA 04-99'!O1412</f>
        <v>0</v>
      </c>
      <c r="N21" s="551">
        <f>+'[2]LLA 04-99'!P1412</f>
        <v>0</v>
      </c>
    </row>
    <row r="22" spans="1:14" ht="12" customHeight="1">
      <c r="A22" s="269" t="s">
        <v>34</v>
      </c>
      <c r="B22" s="550">
        <f t="shared" si="0"/>
        <v>3832</v>
      </c>
      <c r="C22" s="551">
        <f>+'[2]LLA 04-99'!E1415</f>
        <v>184</v>
      </c>
      <c r="D22" s="551">
        <f>+'[2]LLA 04-99'!F1415</f>
        <v>215</v>
      </c>
      <c r="E22" s="551">
        <f>+'[2]LLA 04-99'!G1415</f>
        <v>250</v>
      </c>
      <c r="F22" s="551">
        <f>+'[2]LLA 04-99'!H1415</f>
        <v>352</v>
      </c>
      <c r="G22" s="551">
        <f>+'[2]LLA 04-99'!I1415</f>
        <v>401</v>
      </c>
      <c r="H22" s="551">
        <f>+'[2]LLA 04-99'!J1415</f>
        <v>476</v>
      </c>
      <c r="I22" s="551">
        <f>+'[2]LLA 04-99'!K1415</f>
        <v>464</v>
      </c>
      <c r="J22" s="551">
        <f>+'[2]LLA 04-99'!L1415</f>
        <v>361</v>
      </c>
      <c r="K22" s="551">
        <f>+'[2]LLA 04-99'!M1415</f>
        <v>219</v>
      </c>
      <c r="L22" s="551">
        <f>+'[2]LLA 04-99'!N1415</f>
        <v>239</v>
      </c>
      <c r="M22" s="551">
        <f>+'[2]LLA 04-99'!O1415</f>
        <v>299</v>
      </c>
      <c r="N22" s="551">
        <f>+'[2]LLA 04-99'!P1415</f>
        <v>372</v>
      </c>
    </row>
    <row r="23" spans="1:14" ht="12" customHeight="1">
      <c r="A23" s="269" t="s">
        <v>35</v>
      </c>
      <c r="B23" s="550">
        <f t="shared" si="0"/>
        <v>8636.0344341667878</v>
      </c>
      <c r="C23" s="551">
        <f>+'[2]LLA 04-99'!E1418</f>
        <v>690.00000000000011</v>
      </c>
      <c r="D23" s="551">
        <f>+'[2]LLA 04-99'!F1418</f>
        <v>701.00000000000011</v>
      </c>
      <c r="E23" s="551">
        <f>+'[2]LLA 04-99'!G1418</f>
        <v>726</v>
      </c>
      <c r="F23" s="551">
        <f>+'[2]LLA 04-99'!H1418</f>
        <v>680</v>
      </c>
      <c r="G23" s="551">
        <f>+'[2]LLA 04-99'!I1418</f>
        <v>719.03443416678715</v>
      </c>
      <c r="H23" s="551">
        <f>+'[2]LLA 04-99'!J1418</f>
        <v>705.00000000000011</v>
      </c>
      <c r="I23" s="551">
        <f>+'[2]LLA 04-99'!K1418</f>
        <v>744</v>
      </c>
      <c r="J23" s="551">
        <f>+'[2]LLA 04-99'!L1418</f>
        <v>726</v>
      </c>
      <c r="K23" s="551">
        <f>+'[2]LLA 04-99'!M1418</f>
        <v>686</v>
      </c>
      <c r="L23" s="551">
        <f>+'[2]LLA 04-99'!N1418</f>
        <v>677</v>
      </c>
      <c r="M23" s="551">
        <f>+'[2]LLA 04-99'!O1418</f>
        <v>697.00000000000011</v>
      </c>
      <c r="N23" s="551">
        <f>+'[2]LLA 04-99'!P1418</f>
        <v>885</v>
      </c>
    </row>
    <row r="24" spans="1:14" ht="12" customHeight="1">
      <c r="A24" s="269" t="s">
        <v>36</v>
      </c>
      <c r="B24" s="550">
        <f t="shared" si="0"/>
        <v>7899</v>
      </c>
      <c r="C24" s="551">
        <f>+'[2]LLA 04-99'!E1421</f>
        <v>506</v>
      </c>
      <c r="D24" s="551">
        <f>+'[2]LLA 04-99'!F1421</f>
        <v>621</v>
      </c>
      <c r="E24" s="551">
        <f>+'[2]LLA 04-99'!G1421</f>
        <v>610</v>
      </c>
      <c r="F24" s="551">
        <f>+'[2]LLA 04-99'!H1421</f>
        <v>620</v>
      </c>
      <c r="G24" s="551">
        <f>+'[2]LLA 04-99'!I1421</f>
        <v>652</v>
      </c>
      <c r="H24" s="551">
        <f>+'[2]LLA 04-99'!J1421</f>
        <v>702</v>
      </c>
      <c r="I24" s="551">
        <f>+'[2]LLA 04-99'!K1421</f>
        <v>630</v>
      </c>
      <c r="J24" s="551">
        <f>+'[2]LLA 04-99'!L1421</f>
        <v>582</v>
      </c>
      <c r="K24" s="551">
        <f>+'[2]LLA 04-99'!M1421</f>
        <v>642</v>
      </c>
      <c r="L24" s="551">
        <f>+'[2]LLA 04-99'!N1421</f>
        <v>755</v>
      </c>
      <c r="M24" s="551">
        <f>+'[2]LLA 04-99'!O1421</f>
        <v>776</v>
      </c>
      <c r="N24" s="551">
        <f>+'[2]LLA 04-99'!P1421</f>
        <v>803</v>
      </c>
    </row>
    <row r="25" spans="1:14" ht="12" customHeight="1">
      <c r="A25" s="217" t="s">
        <v>37</v>
      </c>
      <c r="B25" s="550">
        <f t="shared" si="0"/>
        <v>9379</v>
      </c>
      <c r="C25" s="551">
        <f>+'[2]LLA 04-99'!E1424</f>
        <v>728</v>
      </c>
      <c r="D25" s="551">
        <f>+'[2]LLA 04-99'!F1424</f>
        <v>892</v>
      </c>
      <c r="E25" s="551">
        <f>+'[2]LLA 04-99'!G1424</f>
        <v>860</v>
      </c>
      <c r="F25" s="551">
        <f>+'[2]LLA 04-99'!H1424</f>
        <v>616</v>
      </c>
      <c r="G25" s="551">
        <f>+'[2]LLA 04-99'!I1424</f>
        <v>783</v>
      </c>
      <c r="H25" s="551">
        <f>+'[2]LLA 04-99'!J1424</f>
        <v>820</v>
      </c>
      <c r="I25" s="551">
        <f>+'[2]LLA 04-99'!K1424</f>
        <v>780</v>
      </c>
      <c r="J25" s="551">
        <f>+'[2]LLA 04-99'!L1424</f>
        <v>793</v>
      </c>
      <c r="K25" s="551">
        <f>+'[2]LLA 04-99'!M1424</f>
        <v>746</v>
      </c>
      <c r="L25" s="551">
        <f>+'[2]LLA 04-99'!N1424</f>
        <v>763</v>
      </c>
      <c r="M25" s="551">
        <f>+'[2]LLA 04-99'!O1424</f>
        <v>765</v>
      </c>
      <c r="N25" s="551">
        <f>+'[2]LLA 04-99'!P1424</f>
        <v>833</v>
      </c>
    </row>
    <row r="26" spans="1:14" ht="12" customHeight="1">
      <c r="A26" s="269" t="s">
        <v>38</v>
      </c>
      <c r="B26" s="550">
        <f t="shared" si="0"/>
        <v>1353</v>
      </c>
      <c r="C26" s="551">
        <f>+'[2]LLA 04-99'!E1427</f>
        <v>110</v>
      </c>
      <c r="D26" s="551">
        <f>+'[2]LLA 04-99'!F1427</f>
        <v>90</v>
      </c>
      <c r="E26" s="551">
        <f>+'[2]LLA 04-99'!G1427</f>
        <v>90</v>
      </c>
      <c r="F26" s="551">
        <f>+'[2]LLA 04-99'!H1427</f>
        <v>111</v>
      </c>
      <c r="G26" s="551">
        <f>+'[2]LLA 04-99'!I1427</f>
        <v>100</v>
      </c>
      <c r="H26" s="551">
        <f>+'[2]LLA 04-99'!J1427</f>
        <v>131</v>
      </c>
      <c r="I26" s="551">
        <f>+'[2]LLA 04-99'!K1427</f>
        <v>136</v>
      </c>
      <c r="J26" s="551">
        <f>+'[2]LLA 04-99'!L1427</f>
        <v>126</v>
      </c>
      <c r="K26" s="551">
        <f>+'[2]LLA 04-99'!M1427</f>
        <v>120</v>
      </c>
      <c r="L26" s="551">
        <f>+'[2]LLA 04-99'!N1427</f>
        <v>92</v>
      </c>
      <c r="M26" s="551">
        <f>+'[2]LLA 04-99'!O1427</f>
        <v>106</v>
      </c>
      <c r="N26" s="551">
        <f>+'[2]LLA 04-99'!P1427</f>
        <v>141</v>
      </c>
    </row>
    <row r="27" spans="1:14" ht="12" customHeight="1">
      <c r="A27" s="269" t="s">
        <v>39</v>
      </c>
      <c r="B27" s="550">
        <f t="shared" si="0"/>
        <v>4650</v>
      </c>
      <c r="C27" s="551">
        <f>+'[2]LLA 04-99'!E1430</f>
        <v>307</v>
      </c>
      <c r="D27" s="551">
        <f>+'[2]LLA 04-99'!F1430</f>
        <v>312</v>
      </c>
      <c r="E27" s="551">
        <f>+'[2]LLA 04-99'!G1430</f>
        <v>330</v>
      </c>
      <c r="F27" s="551">
        <f>+'[2]LLA 04-99'!H1430</f>
        <v>338</v>
      </c>
      <c r="G27" s="551">
        <f>+'[2]LLA 04-99'!I1430</f>
        <v>368</v>
      </c>
      <c r="H27" s="551">
        <f>+'[2]LLA 04-99'!J1430</f>
        <v>419</v>
      </c>
      <c r="I27" s="551">
        <f>+'[2]LLA 04-99'!K1430</f>
        <v>418</v>
      </c>
      <c r="J27" s="551">
        <f>+'[2]LLA 04-99'!L1430</f>
        <v>417</v>
      </c>
      <c r="K27" s="551">
        <f>+'[2]LLA 04-99'!M1430</f>
        <v>425</v>
      </c>
      <c r="L27" s="551">
        <f>+'[2]LLA 04-99'!N1430</f>
        <v>426</v>
      </c>
      <c r="M27" s="551">
        <f>+'[2]LLA 04-99'!O1430</f>
        <v>419</v>
      </c>
      <c r="N27" s="551">
        <f>+'[2]LLA 04-99'!P1430</f>
        <v>471</v>
      </c>
    </row>
    <row r="28" spans="1:14" ht="12" customHeight="1">
      <c r="A28" s="269" t="s">
        <v>40</v>
      </c>
      <c r="B28" s="550">
        <f t="shared" si="0"/>
        <v>8451</v>
      </c>
      <c r="C28" s="551">
        <f>+'[2]LLA 04-99'!E1433</f>
        <v>367</v>
      </c>
      <c r="D28" s="551">
        <f>+'[2]LLA 04-99'!F1433</f>
        <v>598</v>
      </c>
      <c r="E28" s="551">
        <f>+'[2]LLA 04-99'!G1433</f>
        <v>759</v>
      </c>
      <c r="F28" s="551">
        <f>+'[2]LLA 04-99'!H1433</f>
        <v>702</v>
      </c>
      <c r="G28" s="551">
        <f>+'[2]LLA 04-99'!I1433</f>
        <v>586</v>
      </c>
      <c r="H28" s="551">
        <f>+'[2]LLA 04-99'!J1433</f>
        <v>729</v>
      </c>
      <c r="I28" s="551">
        <f>+'[2]LLA 04-99'!K1433</f>
        <v>797</v>
      </c>
      <c r="J28" s="551">
        <f>+'[2]LLA 04-99'!L1433</f>
        <v>762</v>
      </c>
      <c r="K28" s="551">
        <f>+'[2]LLA 04-99'!M1433</f>
        <v>505</v>
      </c>
      <c r="L28" s="551">
        <f>+'[2]LLA 04-99'!N1433</f>
        <v>411</v>
      </c>
      <c r="M28" s="551">
        <f>+'[2]LLA 04-99'!O1433</f>
        <v>811</v>
      </c>
      <c r="N28" s="551">
        <f>+'[2]LLA 04-99'!P1433</f>
        <v>1424</v>
      </c>
    </row>
    <row r="29" spans="1:14" ht="12" customHeight="1">
      <c r="A29" s="217" t="s">
        <v>41</v>
      </c>
      <c r="B29" s="550">
        <f t="shared" si="0"/>
        <v>9923</v>
      </c>
      <c r="C29" s="551">
        <f>+'[2]LLA 04-99'!E1436</f>
        <v>835</v>
      </c>
      <c r="D29" s="551">
        <f>+'[2]LLA 04-99'!F1436</f>
        <v>810</v>
      </c>
      <c r="E29" s="551">
        <f>+'[2]LLA 04-99'!G1436</f>
        <v>833</v>
      </c>
      <c r="F29" s="551">
        <f>+'[2]LLA 04-99'!H1436</f>
        <v>851</v>
      </c>
      <c r="G29" s="551">
        <f>+'[2]LLA 04-99'!I1436</f>
        <v>853</v>
      </c>
      <c r="H29" s="551">
        <f>+'[2]LLA 04-99'!J1436</f>
        <v>870</v>
      </c>
      <c r="I29" s="551">
        <f>+'[2]LLA 04-99'!K1436</f>
        <v>888</v>
      </c>
      <c r="J29" s="551">
        <f>+'[2]LLA 04-99'!L1436</f>
        <v>861</v>
      </c>
      <c r="K29" s="551">
        <f>+'[2]LLA 04-99'!M1436</f>
        <v>833</v>
      </c>
      <c r="L29" s="551">
        <f>+'[2]LLA 04-99'!N1436</f>
        <v>770</v>
      </c>
      <c r="M29" s="551">
        <f>+'[2]LLA 04-99'!O1436</f>
        <v>749</v>
      </c>
      <c r="N29" s="551">
        <f>+'[2]LLA 04-99'!P1436</f>
        <v>770</v>
      </c>
    </row>
    <row r="30" spans="1:14" ht="12" customHeight="1">
      <c r="A30" s="271" t="s">
        <v>111</v>
      </c>
      <c r="B30" s="550">
        <f t="shared" si="0"/>
        <v>4745</v>
      </c>
      <c r="C30" s="551">
        <f>+'[2]LLA 04-99'!E1439</f>
        <v>395</v>
      </c>
      <c r="D30" s="551">
        <f>+'[2]LLA 04-99'!F1439</f>
        <v>390</v>
      </c>
      <c r="E30" s="551">
        <f>+'[2]LLA 04-99'!G1439</f>
        <v>381</v>
      </c>
      <c r="F30" s="551">
        <f>+'[2]LLA 04-99'!H1439</f>
        <v>390</v>
      </c>
      <c r="G30" s="551">
        <f>+'[2]LLA 04-99'!I1439</f>
        <v>398</v>
      </c>
      <c r="H30" s="551">
        <f>+'[2]LLA 04-99'!J1439</f>
        <v>410</v>
      </c>
      <c r="I30" s="551">
        <f>+'[2]LLA 04-99'!K1439</f>
        <v>416</v>
      </c>
      <c r="J30" s="551">
        <f>+'[2]LLA 04-99'!L1439</f>
        <v>401</v>
      </c>
      <c r="K30" s="551">
        <f>+'[2]LLA 04-99'!M1439</f>
        <v>395</v>
      </c>
      <c r="L30" s="551">
        <f>+'[2]LLA 04-99'!N1439</f>
        <v>360</v>
      </c>
      <c r="M30" s="551">
        <f>+'[2]LLA 04-99'!O1439</f>
        <v>399</v>
      </c>
      <c r="N30" s="551">
        <f>+'[2]LLA 04-99'!P1439</f>
        <v>410</v>
      </c>
    </row>
    <row r="31" spans="1:14" ht="12" customHeight="1">
      <c r="A31" s="271" t="s">
        <v>112</v>
      </c>
      <c r="B31" s="550">
        <f t="shared" si="0"/>
        <v>5178</v>
      </c>
      <c r="C31" s="551">
        <f>+'[2]LLA 04-99'!E1442</f>
        <v>440</v>
      </c>
      <c r="D31" s="551">
        <f>+'[2]LLA 04-99'!F1442</f>
        <v>420</v>
      </c>
      <c r="E31" s="551">
        <f>+'[2]LLA 04-99'!G1442</f>
        <v>452</v>
      </c>
      <c r="F31" s="551">
        <f>+'[2]LLA 04-99'!H1442</f>
        <v>461</v>
      </c>
      <c r="G31" s="551">
        <f>+'[2]LLA 04-99'!I1442</f>
        <v>455</v>
      </c>
      <c r="H31" s="551">
        <f>+'[2]LLA 04-99'!J1442</f>
        <v>460</v>
      </c>
      <c r="I31" s="551">
        <f>+'[2]LLA 04-99'!K1442</f>
        <v>472</v>
      </c>
      <c r="J31" s="551">
        <f>+'[2]LLA 04-99'!L1442</f>
        <v>460</v>
      </c>
      <c r="K31" s="551">
        <f>+'[2]LLA 04-99'!M1442</f>
        <v>438</v>
      </c>
      <c r="L31" s="551">
        <f>+'[2]LLA 04-99'!N1442</f>
        <v>410</v>
      </c>
      <c r="M31" s="551">
        <f>+'[2]LLA 04-99'!O1442</f>
        <v>350</v>
      </c>
      <c r="N31" s="551">
        <f>+'[2]LLA 04-99'!P1442</f>
        <v>360</v>
      </c>
    </row>
    <row r="32" spans="1:14" ht="12" customHeight="1">
      <c r="A32" s="269" t="s">
        <v>44</v>
      </c>
      <c r="B32" s="550">
        <f t="shared" si="0"/>
        <v>19710</v>
      </c>
      <c r="C32" s="551">
        <f>+'[2]LLA 04-99'!E1445</f>
        <v>1396</v>
      </c>
      <c r="D32" s="551">
        <f>+'[2]LLA 04-99'!F1445</f>
        <v>1509</v>
      </c>
      <c r="E32" s="551">
        <f>+'[2]LLA 04-99'!G1445</f>
        <v>1605</v>
      </c>
      <c r="F32" s="551">
        <f>+'[2]LLA 04-99'!H1445</f>
        <v>1735</v>
      </c>
      <c r="G32" s="551">
        <f>+'[2]LLA 04-99'!I1445</f>
        <v>1851</v>
      </c>
      <c r="H32" s="551">
        <f>+'[2]LLA 04-99'!J1445</f>
        <v>1988</v>
      </c>
      <c r="I32" s="551">
        <f>+'[2]LLA 04-99'!K1445</f>
        <v>1988</v>
      </c>
      <c r="J32" s="551">
        <f>+'[2]LLA 04-99'!L1445</f>
        <v>1850</v>
      </c>
      <c r="K32" s="551">
        <f>+'[2]LLA 04-99'!M1445</f>
        <v>1688</v>
      </c>
      <c r="L32" s="551">
        <f>+'[2]LLA 04-99'!N1445</f>
        <v>1514</v>
      </c>
      <c r="M32" s="551">
        <f>+'[2]LLA 04-99'!O1445</f>
        <v>1358</v>
      </c>
      <c r="N32" s="551">
        <f>+'[2]LLA 04-99'!P1445</f>
        <v>1228</v>
      </c>
    </row>
    <row r="33" spans="1:14" ht="12" customHeight="1">
      <c r="A33" s="269" t="s">
        <v>45</v>
      </c>
      <c r="B33" s="550">
        <f t="shared" si="0"/>
        <v>39927</v>
      </c>
      <c r="C33" s="551">
        <f>+'[2]LLA 04-99'!E1448</f>
        <v>2592</v>
      </c>
      <c r="D33" s="551">
        <f>+'[2]LLA 04-99'!F1448</f>
        <v>3215</v>
      </c>
      <c r="E33" s="551">
        <f>+'[2]LLA 04-99'!G1448</f>
        <v>3400</v>
      </c>
      <c r="F33" s="551">
        <f>+'[2]LLA 04-99'!H1448</f>
        <v>4620</v>
      </c>
      <c r="G33" s="551">
        <f>+'[2]LLA 04-99'!I1448</f>
        <v>4300</v>
      </c>
      <c r="H33" s="551">
        <f>+'[2]LLA 04-99'!J1448</f>
        <v>4275</v>
      </c>
      <c r="I33" s="551">
        <f>+'[2]LLA 04-99'!K1448</f>
        <v>3655</v>
      </c>
      <c r="J33" s="551">
        <f>+'[2]LLA 04-99'!L1448</f>
        <v>3295</v>
      </c>
      <c r="K33" s="551">
        <f>+'[2]LLA 04-99'!M1448</f>
        <v>3105</v>
      </c>
      <c r="L33" s="551">
        <f>+'[2]LLA 04-99'!N1448</f>
        <v>2535</v>
      </c>
      <c r="M33" s="551">
        <f>+'[2]LLA 04-99'!O1448</f>
        <v>2300</v>
      </c>
      <c r="N33" s="551">
        <f>+'[2]LLA 04-99'!P1448</f>
        <v>2635</v>
      </c>
    </row>
    <row r="34" spans="1:14" ht="12" customHeight="1">
      <c r="A34" s="217" t="s">
        <v>46</v>
      </c>
      <c r="B34" s="550">
        <f t="shared" si="0"/>
        <v>0</v>
      </c>
      <c r="C34" s="551">
        <f>+'[2]LLA 04-99'!E1451</f>
        <v>0</v>
      </c>
      <c r="D34" s="551">
        <f>+'[2]LLA 04-99'!F1451</f>
        <v>0</v>
      </c>
      <c r="E34" s="551">
        <f>+'[2]LLA 04-99'!G1451</f>
        <v>0</v>
      </c>
      <c r="F34" s="551">
        <f>+'[2]LLA 04-99'!H1451</f>
        <v>0</v>
      </c>
      <c r="G34" s="551">
        <f>+'[2]LLA 04-99'!I1451</f>
        <v>0</v>
      </c>
      <c r="H34" s="551">
        <f>+'[2]LLA 04-99'!J1451</f>
        <v>0</v>
      </c>
      <c r="I34" s="551">
        <f>+'[2]LLA 04-99'!K1451</f>
        <v>0</v>
      </c>
      <c r="J34" s="551">
        <f>+'[2]LLA 04-99'!L1451</f>
        <v>0</v>
      </c>
      <c r="K34" s="551">
        <f>+'[2]LLA 04-99'!M1451</f>
        <v>0</v>
      </c>
      <c r="L34" s="551">
        <f>+'[2]LLA 04-99'!N1451</f>
        <v>0</v>
      </c>
      <c r="M34" s="551">
        <f>+'[2]LLA 04-99'!O1451</f>
        <v>0</v>
      </c>
      <c r="N34" s="551">
        <f>+'[2]LLA 04-99'!P1451</f>
        <v>0</v>
      </c>
    </row>
    <row r="35" spans="1:14" ht="12" customHeight="1">
      <c r="A35" s="217" t="s">
        <v>47</v>
      </c>
      <c r="B35" s="550">
        <f t="shared" si="0"/>
        <v>0</v>
      </c>
      <c r="C35" s="551">
        <f>+'[2]LLA 04-99'!E1454</f>
        <v>0</v>
      </c>
      <c r="D35" s="551">
        <f>+'[2]LLA 04-99'!F1454</f>
        <v>0</v>
      </c>
      <c r="E35" s="551">
        <f>+'[2]LLA 04-99'!G1454</f>
        <v>0</v>
      </c>
      <c r="F35" s="551">
        <f>+'[2]LLA 04-99'!H1454</f>
        <v>0</v>
      </c>
      <c r="G35" s="551">
        <f>+'[2]LLA 04-99'!I1454</f>
        <v>0</v>
      </c>
      <c r="H35" s="551">
        <f>+'[2]LLA 04-99'!J1454</f>
        <v>0</v>
      </c>
      <c r="I35" s="551">
        <f>+'[2]LLA 04-99'!K1454</f>
        <v>0</v>
      </c>
      <c r="J35" s="551">
        <f>+'[2]LLA 04-99'!L1454</f>
        <v>0</v>
      </c>
      <c r="K35" s="551">
        <f>+'[2]LLA 04-99'!M1454</f>
        <v>0</v>
      </c>
      <c r="L35" s="551">
        <f>+'[2]LLA 04-99'!N1454</f>
        <v>0</v>
      </c>
      <c r="M35" s="551">
        <f>+'[2]LLA 04-99'!O1454</f>
        <v>0</v>
      </c>
      <c r="N35" s="551">
        <f>+'[2]LLA 04-99'!P1454</f>
        <v>0</v>
      </c>
    </row>
    <row r="36" spans="1:14" ht="12" customHeight="1">
      <c r="A36" s="217" t="s">
        <v>48</v>
      </c>
      <c r="B36" s="550">
        <f t="shared" si="0"/>
        <v>0</v>
      </c>
      <c r="C36" s="551">
        <f>+'[2]LLA 04-99'!E1457</f>
        <v>0</v>
      </c>
      <c r="D36" s="551">
        <f>+'[2]LLA 04-99'!F1457</f>
        <v>0</v>
      </c>
      <c r="E36" s="551">
        <f>+'[2]LLA 04-99'!G1457</f>
        <v>0</v>
      </c>
      <c r="F36" s="551">
        <f>+'[2]LLA 04-99'!H1457</f>
        <v>0</v>
      </c>
      <c r="G36" s="551">
        <f>+'[2]LLA 04-99'!I1457</f>
        <v>0</v>
      </c>
      <c r="H36" s="551">
        <f>+'[2]LLA 04-99'!J1457</f>
        <v>0</v>
      </c>
      <c r="I36" s="551">
        <f>+'[2]LLA 04-99'!K1457</f>
        <v>0</v>
      </c>
      <c r="J36" s="551">
        <f>+'[2]LLA 04-99'!L1457</f>
        <v>0</v>
      </c>
      <c r="K36" s="551">
        <f>+'[2]LLA 04-99'!M1457</f>
        <v>0</v>
      </c>
      <c r="L36" s="551">
        <f>+'[2]LLA 04-99'!N1457</f>
        <v>0</v>
      </c>
      <c r="M36" s="551">
        <f>+'[2]LLA 04-99'!O1457</f>
        <v>0</v>
      </c>
      <c r="N36" s="551">
        <f>+'[2]LLA 04-99'!P1457</f>
        <v>0</v>
      </c>
    </row>
    <row r="37" spans="1:14" ht="12" customHeight="1" thickBot="1">
      <c r="A37" s="272" t="s">
        <v>49</v>
      </c>
      <c r="B37" s="552">
        <f t="shared" si="0"/>
        <v>0</v>
      </c>
      <c r="C37" s="553">
        <f>+'[2]LLA 04-99'!E1460</f>
        <v>0</v>
      </c>
      <c r="D37" s="553">
        <f>+'[2]LLA 04-99'!F1460</f>
        <v>0</v>
      </c>
      <c r="E37" s="553">
        <f>+'[2]LLA 04-99'!G1460</f>
        <v>0</v>
      </c>
      <c r="F37" s="553">
        <f>+'[2]LLA 04-99'!H1460</f>
        <v>0</v>
      </c>
      <c r="G37" s="553">
        <f>+'[2]LLA 04-99'!I1460</f>
        <v>0</v>
      </c>
      <c r="H37" s="553">
        <f>+'[2]LLA 04-99'!J1460</f>
        <v>0</v>
      </c>
      <c r="I37" s="553">
        <f>+'[2]LLA 04-99'!K1460</f>
        <v>0</v>
      </c>
      <c r="J37" s="553">
        <f>+'[2]LLA 04-99'!L1460</f>
        <v>0</v>
      </c>
      <c r="K37" s="553">
        <f>+'[2]LLA 04-99'!M1460</f>
        <v>0</v>
      </c>
      <c r="L37" s="553">
        <f>+'[2]LLA 04-99'!N1460</f>
        <v>0</v>
      </c>
      <c r="M37" s="553">
        <f>+'[2]LLA 04-99'!O1460</f>
        <v>0</v>
      </c>
      <c r="N37" s="553">
        <f>+'[2]LLA 04-99'!P1460</f>
        <v>0</v>
      </c>
    </row>
    <row r="38" spans="1:14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14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14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Hoja70">
    <tabColor theme="9" tint="0.59999389629810485"/>
  </sheetPr>
  <dimension ref="A4:P5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16" ht="13" customHeight="1">
      <c r="A4" s="511" t="s">
        <v>405</v>
      </c>
      <c r="B4" s="507"/>
    </row>
    <row r="5" spans="1:16" ht="13" customHeight="1">
      <c r="A5" s="515" t="s">
        <v>319</v>
      </c>
      <c r="B5" s="508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</row>
    <row r="6" spans="1:16" ht="5" customHeight="1" thickBot="1">
      <c r="A6" s="141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</row>
    <row r="7" spans="1:16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  <c r="O7" s="274"/>
      <c r="P7" s="274"/>
    </row>
    <row r="8" spans="1:16" ht="15" customHeight="1">
      <c r="A8" s="530" t="s">
        <v>100</v>
      </c>
      <c r="B8" s="560">
        <f t="shared" ref="B8:B37" si="0">SUM(C8:N8)</f>
        <v>3847.5920562423489</v>
      </c>
      <c r="C8" s="560">
        <f t="shared" ref="C8:N8" si="1">(C9+C10+C11+C12+C13+C17+C18+C19+C20+C21+C22+C23+C24+C25+C26+C27+C28+C29+C32+C33+C34+C35+C36+C37)</f>
        <v>258.76642249999998</v>
      </c>
      <c r="D8" s="560">
        <f t="shared" si="1"/>
        <v>301.86676499999999</v>
      </c>
      <c r="E8" s="560">
        <f t="shared" si="1"/>
        <v>321.96491650000002</v>
      </c>
      <c r="F8" s="560">
        <f t="shared" si="1"/>
        <v>373.23970200000002</v>
      </c>
      <c r="G8" s="560">
        <f t="shared" si="1"/>
        <v>369.65697873240612</v>
      </c>
      <c r="H8" s="560">
        <f t="shared" si="1"/>
        <v>381.10909949999996</v>
      </c>
      <c r="I8" s="560">
        <f t="shared" si="1"/>
        <v>354.52280449999989</v>
      </c>
      <c r="J8" s="560">
        <f t="shared" si="1"/>
        <v>326.92534050000006</v>
      </c>
      <c r="K8" s="560">
        <f t="shared" si="1"/>
        <v>297.66603449999997</v>
      </c>
      <c r="L8" s="560">
        <f t="shared" si="1"/>
        <v>271.28931829999999</v>
      </c>
      <c r="M8" s="560">
        <f t="shared" si="1"/>
        <v>271.86349899999993</v>
      </c>
      <c r="N8" s="560">
        <f t="shared" si="1"/>
        <v>318.72117520994266</v>
      </c>
    </row>
    <row r="9" spans="1:16" ht="12" customHeight="1">
      <c r="A9" s="269" t="s">
        <v>21</v>
      </c>
      <c r="B9" s="561">
        <f t="shared" si="0"/>
        <v>0</v>
      </c>
      <c r="C9" s="562">
        <f>+'[2]LLA 04-99'!E1377</f>
        <v>0</v>
      </c>
      <c r="D9" s="562">
        <f>+'[2]LLA 04-99'!F1377</f>
        <v>0</v>
      </c>
      <c r="E9" s="562">
        <f>+'[2]LLA 04-99'!G1377</f>
        <v>0</v>
      </c>
      <c r="F9" s="562">
        <f>+'[2]LLA 04-99'!H1377</f>
        <v>0</v>
      </c>
      <c r="G9" s="562">
        <f>+'[2]LLA 04-99'!I1377</f>
        <v>0</v>
      </c>
      <c r="H9" s="562">
        <f>+'[2]LLA 04-99'!J1377</f>
        <v>0</v>
      </c>
      <c r="I9" s="562">
        <f>+'[2]LLA 04-99'!K1377</f>
        <v>0</v>
      </c>
      <c r="J9" s="562">
        <f>+'[2]LLA 04-99'!L1377</f>
        <v>0</v>
      </c>
      <c r="K9" s="562">
        <f>+'[2]LLA 04-99'!M1377</f>
        <v>0</v>
      </c>
      <c r="L9" s="562">
        <f>+'[2]LLA 04-99'!N1377</f>
        <v>0</v>
      </c>
      <c r="M9" s="562">
        <f>+'[2]LLA 04-99'!O1377</f>
        <v>0</v>
      </c>
      <c r="N9" s="562">
        <f>+'[2]LLA 04-99'!P1377</f>
        <v>0</v>
      </c>
    </row>
    <row r="10" spans="1:16" ht="12" customHeight="1">
      <c r="A10" s="269" t="s">
        <v>22</v>
      </c>
      <c r="B10" s="561">
        <f t="shared" si="0"/>
        <v>0</v>
      </c>
      <c r="C10" s="562">
        <f>+'[2]LLA 04-99'!E1380</f>
        <v>0</v>
      </c>
      <c r="D10" s="562">
        <f>+'[2]LLA 04-99'!F1380</f>
        <v>0</v>
      </c>
      <c r="E10" s="562">
        <f>+'[2]LLA 04-99'!G1380</f>
        <v>0</v>
      </c>
      <c r="F10" s="562">
        <f>+'[2]LLA 04-99'!H1380</f>
        <v>0</v>
      </c>
      <c r="G10" s="562">
        <f>+'[2]LLA 04-99'!I1380</f>
        <v>0</v>
      </c>
      <c r="H10" s="562">
        <f>+'[2]LLA 04-99'!J1380</f>
        <v>0</v>
      </c>
      <c r="I10" s="562">
        <f>+'[2]LLA 04-99'!K1380</f>
        <v>0</v>
      </c>
      <c r="J10" s="562">
        <f>+'[2]LLA 04-99'!L1380</f>
        <v>0</v>
      </c>
      <c r="K10" s="562">
        <f>+'[2]LLA 04-99'!M1380</f>
        <v>0</v>
      </c>
      <c r="L10" s="562">
        <f>+'[2]LLA 04-99'!N1380</f>
        <v>0</v>
      </c>
      <c r="M10" s="562">
        <f>+'[2]LLA 04-99'!O1380</f>
        <v>0</v>
      </c>
      <c r="N10" s="562">
        <f>+'[2]LLA 04-99'!P1380</f>
        <v>0</v>
      </c>
    </row>
    <row r="11" spans="1:16" ht="12" customHeight="1">
      <c r="A11" s="269" t="s">
        <v>23</v>
      </c>
      <c r="B11" s="561">
        <f t="shared" si="0"/>
        <v>0</v>
      </c>
      <c r="C11" s="562">
        <f>+'[2]LLA 04-99'!E1383</f>
        <v>0</v>
      </c>
      <c r="D11" s="562">
        <f>+'[2]LLA 04-99'!F1383</f>
        <v>0</v>
      </c>
      <c r="E11" s="562">
        <f>+'[2]LLA 04-99'!G1383</f>
        <v>0</v>
      </c>
      <c r="F11" s="562">
        <f>+'[2]LLA 04-99'!H1383</f>
        <v>0</v>
      </c>
      <c r="G11" s="562">
        <f>+'[2]LLA 04-99'!I1383</f>
        <v>0</v>
      </c>
      <c r="H11" s="562">
        <f>+'[2]LLA 04-99'!J1383</f>
        <v>0</v>
      </c>
      <c r="I11" s="562">
        <f>+'[2]LLA 04-99'!K1383</f>
        <v>0</v>
      </c>
      <c r="J11" s="562">
        <f>+'[2]LLA 04-99'!L1383</f>
        <v>0</v>
      </c>
      <c r="K11" s="562">
        <f>+'[2]LLA 04-99'!M1383</f>
        <v>0</v>
      </c>
      <c r="L11" s="562">
        <f>+'[2]LLA 04-99'!N1383</f>
        <v>0</v>
      </c>
      <c r="M11" s="562">
        <f>+'[2]LLA 04-99'!O1383</f>
        <v>0</v>
      </c>
      <c r="N11" s="562">
        <f>+'[2]LLA 04-99'!P1383</f>
        <v>0</v>
      </c>
    </row>
    <row r="12" spans="1:16" ht="12" customHeight="1">
      <c r="A12" s="217" t="s">
        <v>24</v>
      </c>
      <c r="B12" s="561">
        <f t="shared" si="0"/>
        <v>0</v>
      </c>
      <c r="C12" s="562">
        <f>+'[2]LLA 04-99'!E1386</f>
        <v>0</v>
      </c>
      <c r="D12" s="562">
        <f>+'[2]LLA 04-99'!F1386</f>
        <v>0</v>
      </c>
      <c r="E12" s="562">
        <f>+'[2]LLA 04-99'!G1386</f>
        <v>0</v>
      </c>
      <c r="F12" s="562">
        <f>+'[2]LLA 04-99'!H1386</f>
        <v>0</v>
      </c>
      <c r="G12" s="562">
        <f>+'[2]LLA 04-99'!I1386</f>
        <v>0</v>
      </c>
      <c r="H12" s="562">
        <f>+'[2]LLA 04-99'!J1386</f>
        <v>0</v>
      </c>
      <c r="I12" s="562">
        <f>+'[2]LLA 04-99'!K1386</f>
        <v>0</v>
      </c>
      <c r="J12" s="562">
        <f>+'[2]LLA 04-99'!L1386</f>
        <v>0</v>
      </c>
      <c r="K12" s="562">
        <f>+'[2]LLA 04-99'!M1386</f>
        <v>0</v>
      </c>
      <c r="L12" s="562">
        <f>+'[2]LLA 04-99'!N1386</f>
        <v>0</v>
      </c>
      <c r="M12" s="562">
        <f>+'[2]LLA 04-99'!O1386</f>
        <v>0</v>
      </c>
      <c r="N12" s="562">
        <f>+'[2]LLA 04-99'!P1386</f>
        <v>0</v>
      </c>
    </row>
    <row r="13" spans="1:16" ht="12" customHeight="1">
      <c r="A13" s="217" t="s">
        <v>25</v>
      </c>
      <c r="B13" s="561">
        <f t="shared" si="0"/>
        <v>0</v>
      </c>
      <c r="C13" s="562">
        <f>+'[2]LLA 04-99'!E1389</f>
        <v>0</v>
      </c>
      <c r="D13" s="562">
        <f>+'[2]LLA 04-99'!F1389</f>
        <v>0</v>
      </c>
      <c r="E13" s="562">
        <f>+'[2]LLA 04-99'!G1389</f>
        <v>0</v>
      </c>
      <c r="F13" s="562">
        <f>+'[2]LLA 04-99'!H1389</f>
        <v>0</v>
      </c>
      <c r="G13" s="562">
        <f>+'[2]LLA 04-99'!I1389</f>
        <v>0</v>
      </c>
      <c r="H13" s="562">
        <f>+'[2]LLA 04-99'!J1389</f>
        <v>0</v>
      </c>
      <c r="I13" s="562">
        <f>+'[2]LLA 04-99'!K1389</f>
        <v>0</v>
      </c>
      <c r="J13" s="562">
        <f>+'[2]LLA 04-99'!L1389</f>
        <v>0</v>
      </c>
      <c r="K13" s="562">
        <f>+'[2]LLA 04-99'!M1389</f>
        <v>0</v>
      </c>
      <c r="L13" s="562">
        <f>+'[2]LLA 04-99'!N1389</f>
        <v>0</v>
      </c>
      <c r="M13" s="562">
        <f>+'[2]LLA 04-99'!O1389</f>
        <v>0</v>
      </c>
      <c r="N13" s="562">
        <f>+'[2]LLA 04-99'!P1389</f>
        <v>0</v>
      </c>
    </row>
    <row r="14" spans="1:16" ht="12" customHeight="1">
      <c r="A14" s="271" t="s">
        <v>107</v>
      </c>
      <c r="B14" s="561">
        <f t="shared" si="0"/>
        <v>0</v>
      </c>
      <c r="C14" s="562">
        <f>+'[2]LLA 04-99'!E1392</f>
        <v>0</v>
      </c>
      <c r="D14" s="562">
        <f>+'[2]LLA 04-99'!F1392</f>
        <v>0</v>
      </c>
      <c r="E14" s="562">
        <f>+'[2]LLA 04-99'!G1392</f>
        <v>0</v>
      </c>
      <c r="F14" s="562">
        <f>+'[2]LLA 04-99'!H1392</f>
        <v>0</v>
      </c>
      <c r="G14" s="562">
        <f>+'[2]LLA 04-99'!I1392</f>
        <v>0</v>
      </c>
      <c r="H14" s="562">
        <f>+'[2]LLA 04-99'!J1392</f>
        <v>0</v>
      </c>
      <c r="I14" s="562">
        <f>+'[2]LLA 04-99'!K1392</f>
        <v>0</v>
      </c>
      <c r="J14" s="562">
        <f>+'[2]LLA 04-99'!L1392</f>
        <v>0</v>
      </c>
      <c r="K14" s="562">
        <f>+'[2]LLA 04-99'!M1392</f>
        <v>0</v>
      </c>
      <c r="L14" s="562">
        <f>+'[2]LLA 04-99'!N1392</f>
        <v>0</v>
      </c>
      <c r="M14" s="562">
        <f>+'[2]LLA 04-99'!O1392</f>
        <v>0</v>
      </c>
      <c r="N14" s="562">
        <f>+'[2]LLA 04-99'!P1392</f>
        <v>0</v>
      </c>
    </row>
    <row r="15" spans="1:16" ht="12" customHeight="1">
      <c r="A15" s="271" t="s">
        <v>108</v>
      </c>
      <c r="B15" s="561">
        <f t="shared" si="0"/>
        <v>0</v>
      </c>
      <c r="C15" s="562">
        <f>+'[2]LLA 04-99'!E1395</f>
        <v>0</v>
      </c>
      <c r="D15" s="562">
        <f>+'[2]LLA 04-99'!F1395</f>
        <v>0</v>
      </c>
      <c r="E15" s="562">
        <f>+'[2]LLA 04-99'!G1395</f>
        <v>0</v>
      </c>
      <c r="F15" s="562">
        <f>+'[2]LLA 04-99'!H1395</f>
        <v>0</v>
      </c>
      <c r="G15" s="562">
        <f>+'[2]LLA 04-99'!I1395</f>
        <v>0</v>
      </c>
      <c r="H15" s="562">
        <f>+'[2]LLA 04-99'!J1395</f>
        <v>0</v>
      </c>
      <c r="I15" s="562">
        <f>+'[2]LLA 04-99'!K1395</f>
        <v>0</v>
      </c>
      <c r="J15" s="562">
        <f>+'[2]LLA 04-99'!L1395</f>
        <v>0</v>
      </c>
      <c r="K15" s="562">
        <f>+'[2]LLA 04-99'!M1395</f>
        <v>0</v>
      </c>
      <c r="L15" s="562">
        <f>+'[2]LLA 04-99'!N1395</f>
        <v>0</v>
      </c>
      <c r="M15" s="562">
        <f>+'[2]LLA 04-99'!O1395</f>
        <v>0</v>
      </c>
      <c r="N15" s="562">
        <f>+'[2]LLA 04-99'!P1395</f>
        <v>0</v>
      </c>
    </row>
    <row r="16" spans="1:16" ht="12" customHeight="1">
      <c r="A16" s="271" t="s">
        <v>109</v>
      </c>
      <c r="B16" s="561">
        <f t="shared" si="0"/>
        <v>0</v>
      </c>
      <c r="C16" s="562">
        <f>+'[2]LLA 04-99'!E1398</f>
        <v>0</v>
      </c>
      <c r="D16" s="562">
        <f>+'[2]LLA 04-99'!F1398</f>
        <v>0</v>
      </c>
      <c r="E16" s="562">
        <f>+'[2]LLA 04-99'!G1398</f>
        <v>0</v>
      </c>
      <c r="F16" s="562">
        <f>+'[2]LLA 04-99'!H1398</f>
        <v>0</v>
      </c>
      <c r="G16" s="562">
        <f>+'[2]LLA 04-99'!I1398</f>
        <v>0</v>
      </c>
      <c r="H16" s="562">
        <f>+'[2]LLA 04-99'!J1398</f>
        <v>0</v>
      </c>
      <c r="I16" s="562">
        <f>+'[2]LLA 04-99'!K1398</f>
        <v>0</v>
      </c>
      <c r="J16" s="562">
        <f>+'[2]LLA 04-99'!L1398</f>
        <v>0</v>
      </c>
      <c r="K16" s="562">
        <f>+'[2]LLA 04-99'!M1398</f>
        <v>0</v>
      </c>
      <c r="L16" s="562">
        <f>+'[2]LLA 04-99'!N1398</f>
        <v>0</v>
      </c>
      <c r="M16" s="562">
        <f>+'[2]LLA 04-99'!O1398</f>
        <v>0</v>
      </c>
      <c r="N16" s="562">
        <f>+'[2]LLA 04-99'!P1398</f>
        <v>0</v>
      </c>
    </row>
    <row r="17" spans="1:14" ht="12" customHeight="1">
      <c r="A17" s="269" t="s">
        <v>29</v>
      </c>
      <c r="B17" s="561">
        <f t="shared" si="0"/>
        <v>0</v>
      </c>
      <c r="C17" s="562">
        <f>+'[2]LLA 04-99'!E1401</f>
        <v>0</v>
      </c>
      <c r="D17" s="562">
        <f>+'[2]LLA 04-99'!F1401</f>
        <v>0</v>
      </c>
      <c r="E17" s="562">
        <f>+'[2]LLA 04-99'!G1401</f>
        <v>0</v>
      </c>
      <c r="F17" s="562">
        <f>+'[2]LLA 04-99'!H1401</f>
        <v>0</v>
      </c>
      <c r="G17" s="562">
        <f>+'[2]LLA 04-99'!I1401</f>
        <v>0</v>
      </c>
      <c r="H17" s="562">
        <f>+'[2]LLA 04-99'!J1401</f>
        <v>0</v>
      </c>
      <c r="I17" s="562">
        <f>+'[2]LLA 04-99'!K1401</f>
        <v>0</v>
      </c>
      <c r="J17" s="562">
        <f>+'[2]LLA 04-99'!L1401</f>
        <v>0</v>
      </c>
      <c r="K17" s="562">
        <f>+'[2]LLA 04-99'!M1401</f>
        <v>0</v>
      </c>
      <c r="L17" s="562">
        <f>+'[2]LLA 04-99'!N1401</f>
        <v>0</v>
      </c>
      <c r="M17" s="562">
        <f>+'[2]LLA 04-99'!O1401</f>
        <v>0</v>
      </c>
      <c r="N17" s="562">
        <f>+'[2]LLA 04-99'!P1401</f>
        <v>0</v>
      </c>
    </row>
    <row r="18" spans="1:14" ht="12" customHeight="1">
      <c r="A18" s="217" t="s">
        <v>30</v>
      </c>
      <c r="B18" s="561">
        <f t="shared" si="0"/>
        <v>0</v>
      </c>
      <c r="C18" s="562">
        <f>+'[2]LLA 04-99'!E1404</f>
        <v>0</v>
      </c>
      <c r="D18" s="562">
        <f>+'[2]LLA 04-99'!F1404</f>
        <v>0</v>
      </c>
      <c r="E18" s="562">
        <f>+'[2]LLA 04-99'!G1404</f>
        <v>0</v>
      </c>
      <c r="F18" s="562">
        <f>+'[2]LLA 04-99'!H1404</f>
        <v>0</v>
      </c>
      <c r="G18" s="562">
        <f>+'[2]LLA 04-99'!I1404</f>
        <v>0</v>
      </c>
      <c r="H18" s="562">
        <f>+'[2]LLA 04-99'!J1404</f>
        <v>0</v>
      </c>
      <c r="I18" s="562">
        <f>+'[2]LLA 04-99'!K1404</f>
        <v>0</v>
      </c>
      <c r="J18" s="562">
        <f>+'[2]LLA 04-99'!L1404</f>
        <v>0</v>
      </c>
      <c r="K18" s="562">
        <f>+'[2]LLA 04-99'!M1404</f>
        <v>0</v>
      </c>
      <c r="L18" s="562">
        <f>+'[2]LLA 04-99'!N1404</f>
        <v>0</v>
      </c>
      <c r="M18" s="562">
        <f>+'[2]LLA 04-99'!O1404</f>
        <v>0</v>
      </c>
      <c r="N18" s="562">
        <f>+'[2]LLA 04-99'!P1404</f>
        <v>0</v>
      </c>
    </row>
    <row r="19" spans="1:14" ht="12" customHeight="1">
      <c r="A19" s="217" t="s">
        <v>31</v>
      </c>
      <c r="B19" s="561">
        <f t="shared" si="0"/>
        <v>63.168410000000002</v>
      </c>
      <c r="C19" s="562">
        <f>+'[2]LLA 04-99'!E1407</f>
        <v>4.1476500000000005</v>
      </c>
      <c r="D19" s="562">
        <f>+'[2]LLA 04-99'!F1407</f>
        <v>4.4323499999999996</v>
      </c>
      <c r="E19" s="562">
        <f>+'[2]LLA 04-99'!G1407</f>
        <v>5.8797899999999998</v>
      </c>
      <c r="F19" s="562">
        <f>+'[2]LLA 04-99'!H1407</f>
        <v>6.3083150000000003</v>
      </c>
      <c r="G19" s="562">
        <f>+'[2]LLA 04-99'!I1407</f>
        <v>6.5520899999999997</v>
      </c>
      <c r="H19" s="562">
        <f>+'[2]LLA 04-99'!J1407</f>
        <v>5.0153849999999993</v>
      </c>
      <c r="I19" s="562">
        <f>+'[2]LLA 04-99'!K1407</f>
        <v>5.781555</v>
      </c>
      <c r="J19" s="562">
        <f>+'[2]LLA 04-99'!L1407</f>
        <v>5.3797500000000005</v>
      </c>
      <c r="K19" s="562">
        <f>+'[2]LLA 04-99'!M1407</f>
        <v>5.0370400000000002</v>
      </c>
      <c r="L19" s="562">
        <f>+'[2]LLA 04-99'!N1407</f>
        <v>4.7976000000000001</v>
      </c>
      <c r="M19" s="562">
        <f>+'[2]LLA 04-99'!O1407</f>
        <v>4.4404849999999998</v>
      </c>
      <c r="N19" s="562">
        <f>+'[2]LLA 04-99'!P1407</f>
        <v>5.3964000000000008</v>
      </c>
    </row>
    <row r="20" spans="1:14" ht="12" customHeight="1">
      <c r="A20" s="269" t="s">
        <v>32</v>
      </c>
      <c r="B20" s="561">
        <f t="shared" si="0"/>
        <v>0</v>
      </c>
      <c r="C20" s="562">
        <f>+'[2]LLA 04-99'!E1410</f>
        <v>0</v>
      </c>
      <c r="D20" s="562">
        <f>+'[2]LLA 04-99'!F1410</f>
        <v>0</v>
      </c>
      <c r="E20" s="562">
        <f>+'[2]LLA 04-99'!G1410</f>
        <v>0</v>
      </c>
      <c r="F20" s="562">
        <f>+'[2]LLA 04-99'!H1410</f>
        <v>0</v>
      </c>
      <c r="G20" s="562">
        <f>+'[2]LLA 04-99'!I1410</f>
        <v>0</v>
      </c>
      <c r="H20" s="562">
        <f>+'[2]LLA 04-99'!J1410</f>
        <v>0</v>
      </c>
      <c r="I20" s="562">
        <f>+'[2]LLA 04-99'!K1410</f>
        <v>0</v>
      </c>
      <c r="J20" s="562">
        <f>+'[2]LLA 04-99'!L1410</f>
        <v>0</v>
      </c>
      <c r="K20" s="562">
        <f>+'[2]LLA 04-99'!M1410</f>
        <v>0</v>
      </c>
      <c r="L20" s="562">
        <f>+'[2]LLA 04-99'!N1410</f>
        <v>0</v>
      </c>
      <c r="M20" s="562">
        <f>+'[2]LLA 04-99'!O1410</f>
        <v>0</v>
      </c>
      <c r="N20" s="562">
        <f>+'[2]LLA 04-99'!P1410</f>
        <v>0</v>
      </c>
    </row>
    <row r="21" spans="1:14" ht="12" customHeight="1">
      <c r="A21" s="269" t="s">
        <v>33</v>
      </c>
      <c r="B21" s="561">
        <f t="shared" si="0"/>
        <v>0</v>
      </c>
      <c r="C21" s="562">
        <f>+'[2]LLA 04-99'!E1413</f>
        <v>0</v>
      </c>
      <c r="D21" s="562">
        <f>+'[2]LLA 04-99'!F1413</f>
        <v>0</v>
      </c>
      <c r="E21" s="562">
        <f>+'[2]LLA 04-99'!G1413</f>
        <v>0</v>
      </c>
      <c r="F21" s="562">
        <f>+'[2]LLA 04-99'!H1413</f>
        <v>0</v>
      </c>
      <c r="G21" s="562">
        <f>+'[2]LLA 04-99'!I1413</f>
        <v>0</v>
      </c>
      <c r="H21" s="562">
        <f>+'[2]LLA 04-99'!J1413</f>
        <v>0</v>
      </c>
      <c r="I21" s="562">
        <f>+'[2]LLA 04-99'!K1413</f>
        <v>0</v>
      </c>
      <c r="J21" s="562">
        <f>+'[2]LLA 04-99'!L1413</f>
        <v>0</v>
      </c>
      <c r="K21" s="562">
        <f>+'[2]LLA 04-99'!M1413</f>
        <v>0</v>
      </c>
      <c r="L21" s="562">
        <f>+'[2]LLA 04-99'!N1413</f>
        <v>0</v>
      </c>
      <c r="M21" s="562">
        <f>+'[2]LLA 04-99'!O1413</f>
        <v>0</v>
      </c>
      <c r="N21" s="562">
        <f>+'[2]LLA 04-99'!P1413</f>
        <v>0</v>
      </c>
    </row>
    <row r="22" spans="1:14" ht="12" customHeight="1">
      <c r="A22" s="269" t="s">
        <v>34</v>
      </c>
      <c r="B22" s="561">
        <f t="shared" si="0"/>
        <v>110.83387950000001</v>
      </c>
      <c r="C22" s="562">
        <f>+'[2]LLA 04-99'!E1416</f>
        <v>5.2773840000000005</v>
      </c>
      <c r="D22" s="562">
        <f>+'[2]LLA 04-99'!F1416</f>
        <v>6.1633845000000003</v>
      </c>
      <c r="E22" s="562">
        <f>+'[2]LLA 04-99'!G1416</f>
        <v>7.1385479999999992</v>
      </c>
      <c r="F22" s="562">
        <f>+'[2]LLA 04-99'!H1416</f>
        <v>10.165536000000001</v>
      </c>
      <c r="G22" s="562">
        <f>+'[2]LLA 04-99'!I1416</f>
        <v>11.5314525</v>
      </c>
      <c r="H22" s="562">
        <f>+'[2]LLA 04-99'!J1416</f>
        <v>13.6926495</v>
      </c>
      <c r="I22" s="562">
        <f>+'[2]LLA 04-99'!K1416</f>
        <v>13.490387999999998</v>
      </c>
      <c r="J22" s="562">
        <f>+'[2]LLA 04-99'!L1416</f>
        <v>10.471365</v>
      </c>
      <c r="K22" s="562">
        <f>+'[2]LLA 04-99'!M1416</f>
        <v>6.3030105000000001</v>
      </c>
      <c r="L22" s="562">
        <f>+'[2]LLA 04-99'!N1416</f>
        <v>6.9556455000000001</v>
      </c>
      <c r="M22" s="562">
        <f>+'[2]LLA 04-99'!O1416</f>
        <v>8.8731765000000014</v>
      </c>
      <c r="N22" s="562">
        <f>+'[2]LLA 04-99'!P1416</f>
        <v>10.7713395</v>
      </c>
    </row>
    <row r="23" spans="1:14" ht="12" customHeight="1">
      <c r="A23" s="269" t="s">
        <v>35</v>
      </c>
      <c r="B23" s="561">
        <f t="shared" si="0"/>
        <v>239.59307044234887</v>
      </c>
      <c r="C23" s="562">
        <f>+'[2]LLA 04-99'!E1419</f>
        <v>19.177199999999999</v>
      </c>
      <c r="D23" s="562">
        <f>+'[2]LLA 04-99'!F1419</f>
        <v>18.980100000000004</v>
      </c>
      <c r="E23" s="562">
        <f>+'[2]LLA 04-99'!G1419</f>
        <v>19.844100000000001</v>
      </c>
      <c r="F23" s="562">
        <f>+'[2]LLA 04-99'!H1419</f>
        <v>19.354050000000001</v>
      </c>
      <c r="G23" s="562">
        <f>+'[2]LLA 04-99'!I1419</f>
        <v>20.059332232406131</v>
      </c>
      <c r="H23" s="562">
        <f>+'[2]LLA 04-99'!J1419</f>
        <v>18.917099999999998</v>
      </c>
      <c r="I23" s="562">
        <f>+'[2]LLA 04-99'!K1419</f>
        <v>20.151899999999998</v>
      </c>
      <c r="J23" s="562">
        <f>+'[2]LLA 04-99'!L1419</f>
        <v>19.545300000000001</v>
      </c>
      <c r="K23" s="562">
        <f>+'[2]LLA 04-99'!M1419</f>
        <v>18.51615</v>
      </c>
      <c r="L23" s="562">
        <f>+'[2]LLA 04-99'!N1419</f>
        <v>18.14265</v>
      </c>
      <c r="M23" s="562">
        <f>+'[2]LLA 04-99'!O1419</f>
        <v>18.670499999999997</v>
      </c>
      <c r="N23" s="562">
        <f>+'[2]LLA 04-99'!P1419</f>
        <v>28.2346882099427</v>
      </c>
    </row>
    <row r="24" spans="1:14" ht="12" customHeight="1">
      <c r="A24" s="269" t="s">
        <v>36</v>
      </c>
      <c r="B24" s="561">
        <f t="shared" si="0"/>
        <v>269.06139630000001</v>
      </c>
      <c r="C24" s="562">
        <f>+'[2]LLA 04-99'!E1422</f>
        <v>17.484988500000007</v>
      </c>
      <c r="D24" s="562">
        <f>+'[2]LLA 04-99'!F1422</f>
        <v>19.577830499999997</v>
      </c>
      <c r="E24" s="562">
        <f>+'[2]LLA 04-99'!G1422</f>
        <v>20.782678500000014</v>
      </c>
      <c r="F24" s="562">
        <f>+'[2]LLA 04-99'!H1422</f>
        <v>21.498201000000005</v>
      </c>
      <c r="G24" s="562">
        <f>+'[2]LLA 04-99'!I1422</f>
        <v>22.45100399999999</v>
      </c>
      <c r="H24" s="562">
        <f>+'[2]LLA 04-99'!J1422</f>
        <v>24.252614999999992</v>
      </c>
      <c r="I24" s="562">
        <f>+'[2]LLA 04-99'!K1422</f>
        <v>21.687061499999999</v>
      </c>
      <c r="J24" s="562">
        <f>+'[2]LLA 04-99'!L1422</f>
        <v>19.937875500000001</v>
      </c>
      <c r="K24" s="562">
        <f>+'[2]LLA 04-99'!M1422</f>
        <v>21.761334000000002</v>
      </c>
      <c r="L24" s="562">
        <f>+'[2]LLA 04-99'!N1422</f>
        <v>25.670422800000001</v>
      </c>
      <c r="M24" s="562">
        <f>+'[2]LLA 04-99'!O1422</f>
        <v>26.556187499999997</v>
      </c>
      <c r="N24" s="562">
        <f>+'[2]LLA 04-99'!P1422</f>
        <v>27.401197500000006</v>
      </c>
    </row>
    <row r="25" spans="1:14" ht="12" customHeight="1">
      <c r="A25" s="217" t="s">
        <v>37</v>
      </c>
      <c r="B25" s="561">
        <f t="shared" si="0"/>
        <v>323.74130000000002</v>
      </c>
      <c r="C25" s="562">
        <f>+'[2]LLA 04-99'!E1425</f>
        <v>24.462700000000002</v>
      </c>
      <c r="D25" s="562">
        <f>+'[2]LLA 04-99'!F1425</f>
        <v>30.351300000000002</v>
      </c>
      <c r="E25" s="562">
        <f>+'[2]LLA 04-99'!G1425</f>
        <v>29.67</v>
      </c>
      <c r="F25" s="562">
        <f>+'[2]LLA 04-99'!H1425</f>
        <v>21.558</v>
      </c>
      <c r="G25" s="562">
        <f>+'[2]LLA 04-99'!I1425</f>
        <v>27.405000000000001</v>
      </c>
      <c r="H25" s="562">
        <f>+'[2]LLA 04-99'!J1425</f>
        <v>28.315000000000005</v>
      </c>
      <c r="I25" s="562">
        <f>+'[2]LLA 04-99'!K1425</f>
        <v>27.300000000000004</v>
      </c>
      <c r="J25" s="562">
        <f>+'[2]LLA 04-99'!L1425</f>
        <v>27.618999999999996</v>
      </c>
      <c r="K25" s="562">
        <f>+'[2]LLA 04-99'!M1425</f>
        <v>25.768099999999997</v>
      </c>
      <c r="L25" s="562">
        <f>+'[2]LLA 04-99'!N1425</f>
        <v>26.212800000000001</v>
      </c>
      <c r="M25" s="562">
        <f>+'[2]LLA 04-99'!O1425</f>
        <v>26.0749</v>
      </c>
      <c r="N25" s="562">
        <f>+'[2]LLA 04-99'!P1425</f>
        <v>29.004500000000004</v>
      </c>
    </row>
    <row r="26" spans="1:14" ht="12" customHeight="1">
      <c r="A26" s="269" t="s">
        <v>38</v>
      </c>
      <c r="B26" s="561">
        <f t="shared" si="0"/>
        <v>58.949550000000002</v>
      </c>
      <c r="C26" s="562">
        <f>+'[2]LLA 04-99'!E1428</f>
        <v>4.4910000000000005</v>
      </c>
      <c r="D26" s="562">
        <f>+'[2]LLA 04-99'!F1428</f>
        <v>3.7561499999999999</v>
      </c>
      <c r="E26" s="562">
        <f>+'[2]LLA 04-99'!G1428</f>
        <v>3.8596500000000002</v>
      </c>
      <c r="F26" s="562">
        <f>+'[2]LLA 04-99'!H1428</f>
        <v>4.7519999999999998</v>
      </c>
      <c r="G26" s="562">
        <f>+'[2]LLA 04-99'!I1428</f>
        <v>4.347900000000001</v>
      </c>
      <c r="H26" s="562">
        <f>+'[2]LLA 04-99'!J1428</f>
        <v>5.8072500000000007</v>
      </c>
      <c r="I26" s="562">
        <f>+'[2]LLA 04-99'!K1428</f>
        <v>5.9553000000000011</v>
      </c>
      <c r="J26" s="562">
        <f>+'[2]LLA 04-99'!L1428</f>
        <v>5.6137499999999996</v>
      </c>
      <c r="K26" s="562">
        <f>+'[2]LLA 04-99'!M1428</f>
        <v>5.2829999999999995</v>
      </c>
      <c r="L26" s="562">
        <f>+'[2]LLA 04-99'!N1428</f>
        <v>4.0571999999999999</v>
      </c>
      <c r="M26" s="562">
        <f>+'[2]LLA 04-99'!O1428</f>
        <v>4.7317499999999999</v>
      </c>
      <c r="N26" s="562">
        <f>+'[2]LLA 04-99'!P1428</f>
        <v>6.2946000000000009</v>
      </c>
    </row>
    <row r="27" spans="1:14" ht="12" customHeight="1">
      <c r="A27" s="269" t="s">
        <v>39</v>
      </c>
      <c r="B27" s="561">
        <f t="shared" si="0"/>
        <v>136.8954</v>
      </c>
      <c r="C27" s="562">
        <f>+'[2]LLA 04-99'!E1431</f>
        <v>9.1349999999999998</v>
      </c>
      <c r="D27" s="562">
        <f>+'[2]LLA 04-99'!F1431</f>
        <v>9.2385000000000002</v>
      </c>
      <c r="E27" s="562">
        <f>+'[2]LLA 04-99'!G1431</f>
        <v>9.8685000000000009</v>
      </c>
      <c r="F27" s="562">
        <f>+'[2]LLA 04-99'!H1431</f>
        <v>9.9225000000000012</v>
      </c>
      <c r="G27" s="562">
        <f>+'[2]LLA 04-99'!I1431</f>
        <v>10.804500000000001</v>
      </c>
      <c r="H27" s="562">
        <f>+'[2]LLA 04-99'!J1431</f>
        <v>12.307499999999999</v>
      </c>
      <c r="I27" s="562">
        <f>+'[2]LLA 04-99'!K1431</f>
        <v>12.29895</v>
      </c>
      <c r="J27" s="562">
        <f>+'[2]LLA 04-99'!L1431</f>
        <v>12.284999999999998</v>
      </c>
      <c r="K27" s="562">
        <f>+'[2]LLA 04-99'!M1431</f>
        <v>12.388949999999999</v>
      </c>
      <c r="L27" s="562">
        <f>+'[2]LLA 04-99'!N1431</f>
        <v>12.455999999999998</v>
      </c>
      <c r="M27" s="562">
        <f>+'[2]LLA 04-99'!O1431</f>
        <v>12.307500000000001</v>
      </c>
      <c r="N27" s="562">
        <f>+'[2]LLA 04-99'!P1431</f>
        <v>13.8825</v>
      </c>
    </row>
    <row r="28" spans="1:14" ht="12" customHeight="1">
      <c r="A28" s="269" t="s">
        <v>40</v>
      </c>
      <c r="B28" s="561">
        <f t="shared" si="0"/>
        <v>252.23175000000001</v>
      </c>
      <c r="C28" s="562">
        <f>+'[2]LLA 04-99'!E1434</f>
        <v>10.016550000000001</v>
      </c>
      <c r="D28" s="562">
        <f>+'[2]LLA 04-99'!F1434</f>
        <v>17.3124</v>
      </c>
      <c r="E28" s="562">
        <f>+'[2]LLA 04-99'!G1434</f>
        <v>22.723649999999999</v>
      </c>
      <c r="F28" s="562">
        <f>+'[2]LLA 04-99'!H1434</f>
        <v>21.406500000000001</v>
      </c>
      <c r="G28" s="562">
        <f>+'[2]LLA 04-99'!I1434</f>
        <v>17.833950000000002</v>
      </c>
      <c r="H28" s="562">
        <f>+'[2]LLA 04-99'!J1434</f>
        <v>21.83625</v>
      </c>
      <c r="I28" s="562">
        <f>+'[2]LLA 04-99'!K1434</f>
        <v>24.1173</v>
      </c>
      <c r="J28" s="562">
        <f>+'[2]LLA 04-99'!L1434</f>
        <v>22.375800000000002</v>
      </c>
      <c r="K28" s="562">
        <f>+'[2]LLA 04-99'!M1434</f>
        <v>15.479100000000003</v>
      </c>
      <c r="L28" s="562">
        <f>+'[2]LLA 04-99'!N1434</f>
        <v>12.7098</v>
      </c>
      <c r="M28" s="562">
        <f>+'[2]LLA 04-99'!O1434</f>
        <v>24.282900000000001</v>
      </c>
      <c r="N28" s="562">
        <f>+'[2]LLA 04-99'!P1434</f>
        <v>42.137549999999997</v>
      </c>
    </row>
    <row r="29" spans="1:14" ht="12" customHeight="1">
      <c r="A29" s="217" t="s">
        <v>41</v>
      </c>
      <c r="B29" s="561">
        <f t="shared" si="0"/>
        <v>283.64649999999995</v>
      </c>
      <c r="C29" s="562">
        <f>+'[2]LLA 04-99'!E1437</f>
        <v>25.46</v>
      </c>
      <c r="D29" s="562">
        <f>+'[2]LLA 04-99'!F1437</f>
        <v>24.43</v>
      </c>
      <c r="E29" s="562">
        <f>+'[2]LLA 04-99'!G1437</f>
        <v>24.62</v>
      </c>
      <c r="F29" s="562">
        <f>+'[2]LLA 04-99'!H1437</f>
        <v>24.856999999999999</v>
      </c>
      <c r="G29" s="562">
        <f>+'[2]LLA 04-99'!I1437</f>
        <v>24.46</v>
      </c>
      <c r="H29" s="562">
        <f>+'[2]LLA 04-99'!J1437</f>
        <v>24.588999999999999</v>
      </c>
      <c r="I29" s="562">
        <f>+'[2]LLA 04-99'!K1437</f>
        <v>24.853999999999999</v>
      </c>
      <c r="J29" s="562">
        <f>+'[2]LLA 04-99'!L1437</f>
        <v>23.515000000000001</v>
      </c>
      <c r="K29" s="562">
        <f>+'[2]LLA 04-99'!M1437</f>
        <v>22.125</v>
      </c>
      <c r="L29" s="562">
        <f>+'[2]LLA 04-99'!N1437</f>
        <v>22.443999999999999</v>
      </c>
      <c r="M29" s="562">
        <f>+'[2]LLA 04-99'!O1437</f>
        <v>21.020499999999998</v>
      </c>
      <c r="N29" s="562">
        <f>+'[2]LLA 04-99'!P1437</f>
        <v>21.271999999999998</v>
      </c>
    </row>
    <row r="30" spans="1:14" ht="12" customHeight="1">
      <c r="A30" s="271" t="s">
        <v>111</v>
      </c>
      <c r="B30" s="561">
        <f t="shared" si="0"/>
        <v>144.06899999999999</v>
      </c>
      <c r="C30" s="562">
        <f>+'[2]LLA 04-99'!E1440</f>
        <v>11.68</v>
      </c>
      <c r="D30" s="562">
        <f>+'[2]LLA 04-99'!F1440</f>
        <v>11.95</v>
      </c>
      <c r="E30" s="562">
        <f>+'[2]LLA 04-99'!G1440</f>
        <v>12.24</v>
      </c>
      <c r="F30" s="562">
        <f>+'[2]LLA 04-99'!H1440</f>
        <v>12.287000000000001</v>
      </c>
      <c r="G30" s="562">
        <f>+'[2]LLA 04-99'!I1440</f>
        <v>12.401999999999999</v>
      </c>
      <c r="H30" s="562">
        <f>+'[2]LLA 04-99'!J1440</f>
        <v>12.500999999999999</v>
      </c>
      <c r="I30" s="562">
        <f>+'[2]LLA 04-99'!K1440</f>
        <v>12.62</v>
      </c>
      <c r="J30" s="562">
        <f>+'[2]LLA 04-99'!L1440</f>
        <v>11.705</v>
      </c>
      <c r="K30" s="562">
        <f>+'[2]LLA 04-99'!M1440</f>
        <v>10.58</v>
      </c>
      <c r="L30" s="562">
        <f>+'[2]LLA 04-99'!N1440</f>
        <v>11.023999999999999</v>
      </c>
      <c r="M30" s="562">
        <f>+'[2]LLA 04-99'!O1440</f>
        <v>12.456</v>
      </c>
      <c r="N30" s="562">
        <f>+'[2]LLA 04-99'!P1440</f>
        <v>12.624000000000001</v>
      </c>
    </row>
    <row r="31" spans="1:14" ht="12" customHeight="1">
      <c r="A31" s="271" t="s">
        <v>112</v>
      </c>
      <c r="B31" s="561">
        <f t="shared" si="0"/>
        <v>139.57749999999999</v>
      </c>
      <c r="C31" s="562">
        <f>+'[2]LLA 04-99'!E1443</f>
        <v>13.78</v>
      </c>
      <c r="D31" s="562">
        <f>+'[2]LLA 04-99'!F1443</f>
        <v>12.48</v>
      </c>
      <c r="E31" s="562">
        <f>+'[2]LLA 04-99'!G1443</f>
        <v>12.38</v>
      </c>
      <c r="F31" s="562">
        <f>+'[2]LLA 04-99'!H1443</f>
        <v>12.57</v>
      </c>
      <c r="G31" s="562">
        <f>+'[2]LLA 04-99'!I1443</f>
        <v>12.058</v>
      </c>
      <c r="H31" s="562">
        <f>+'[2]LLA 04-99'!J1443</f>
        <v>12.087999999999999</v>
      </c>
      <c r="I31" s="562">
        <f>+'[2]LLA 04-99'!K1443</f>
        <v>12.234</v>
      </c>
      <c r="J31" s="562">
        <f>+'[2]LLA 04-99'!L1443</f>
        <v>11.81</v>
      </c>
      <c r="K31" s="562">
        <f>+'[2]LLA 04-99'!M1443</f>
        <v>11.545</v>
      </c>
      <c r="L31" s="562">
        <f>+'[2]LLA 04-99'!N1443</f>
        <v>11.42</v>
      </c>
      <c r="M31" s="562">
        <f>+'[2]LLA 04-99'!O1443</f>
        <v>8.5645000000000007</v>
      </c>
      <c r="N31" s="562">
        <f>+'[2]LLA 04-99'!P1443</f>
        <v>8.6479999999999997</v>
      </c>
    </row>
    <row r="32" spans="1:14" ht="12" customHeight="1">
      <c r="A32" s="269" t="s">
        <v>44</v>
      </c>
      <c r="B32" s="561">
        <f t="shared" si="0"/>
        <v>572.79329999999982</v>
      </c>
      <c r="C32" s="562">
        <f>+'[2]LLA 04-99'!E1446</f>
        <v>40.297949999999986</v>
      </c>
      <c r="D32" s="562">
        <f>+'[2]LLA 04-99'!F1446</f>
        <v>43.472249999999981</v>
      </c>
      <c r="E32" s="562">
        <f>+'[2]LLA 04-99'!G1446</f>
        <v>46.22399999999999</v>
      </c>
      <c r="F32" s="562">
        <f>+'[2]LLA 04-99'!H1446</f>
        <v>50.727599999999988</v>
      </c>
      <c r="G32" s="562">
        <f>+'[2]LLA 04-99'!I1446</f>
        <v>54.141750000000002</v>
      </c>
      <c r="H32" s="562">
        <f>+'[2]LLA 04-99'!J1446</f>
        <v>58.141349999999989</v>
      </c>
      <c r="I32" s="562">
        <f>+'[2]LLA 04-99'!K1446</f>
        <v>58.141349999999989</v>
      </c>
      <c r="J32" s="562">
        <f>+'[2]LLA 04-99'!L1446</f>
        <v>54.112500000000004</v>
      </c>
      <c r="K32" s="562">
        <f>+'[2]LLA 04-99'!M1446</f>
        <v>49.069349999999993</v>
      </c>
      <c r="L32" s="562">
        <f>+'[2]LLA 04-99'!N1446</f>
        <v>43.603199999999973</v>
      </c>
      <c r="M32" s="562">
        <f>+'[2]LLA 04-99'!O1446</f>
        <v>39.495599999999975</v>
      </c>
      <c r="N32" s="562">
        <f>+'[2]LLA 04-99'!P1446</f>
        <v>35.366399999999977</v>
      </c>
    </row>
    <row r="33" spans="1:14" ht="12" customHeight="1">
      <c r="A33" s="269" t="s">
        <v>45</v>
      </c>
      <c r="B33" s="561">
        <f t="shared" si="0"/>
        <v>1536.6775</v>
      </c>
      <c r="C33" s="562">
        <f>+'[2]LLA 04-99'!E1449</f>
        <v>98.816000000000003</v>
      </c>
      <c r="D33" s="562">
        <f>+'[2]LLA 04-99'!F1449</f>
        <v>124.15249999999999</v>
      </c>
      <c r="E33" s="562">
        <f>+'[2]LLA 04-99'!G1449</f>
        <v>131.35400000000001</v>
      </c>
      <c r="F33" s="562">
        <f>+'[2]LLA 04-99'!H1449</f>
        <v>182.69000000000003</v>
      </c>
      <c r="G33" s="562">
        <f>+'[2]LLA 04-99'!I1449</f>
        <v>170.07</v>
      </c>
      <c r="H33" s="562">
        <f>+'[2]LLA 04-99'!J1449</f>
        <v>168.23499999999999</v>
      </c>
      <c r="I33" s="562">
        <f>+'[2]LLA 04-99'!K1449</f>
        <v>140.74499999999998</v>
      </c>
      <c r="J33" s="562">
        <f>+'[2]LLA 04-99'!L1449</f>
        <v>126.07000000000002</v>
      </c>
      <c r="K33" s="562">
        <f>+'[2]LLA 04-99'!M1449</f>
        <v>115.93499999999999</v>
      </c>
      <c r="L33" s="562">
        <f>+'[2]LLA 04-99'!N1449</f>
        <v>94.24</v>
      </c>
      <c r="M33" s="562">
        <f>+'[2]LLA 04-99'!O1449</f>
        <v>85.409999999999982</v>
      </c>
      <c r="N33" s="562">
        <f>+'[2]LLA 04-99'!P1449</f>
        <v>98.96</v>
      </c>
    </row>
    <row r="34" spans="1:14" ht="12" customHeight="1">
      <c r="A34" s="217" t="s">
        <v>46</v>
      </c>
      <c r="B34" s="561">
        <f t="shared" si="0"/>
        <v>0</v>
      </c>
      <c r="C34" s="562">
        <f>+'[2]LLA 04-99'!E1452</f>
        <v>0</v>
      </c>
      <c r="D34" s="562">
        <f>+'[2]LLA 04-99'!F1452</f>
        <v>0</v>
      </c>
      <c r="E34" s="562">
        <f>+'[2]LLA 04-99'!G1452</f>
        <v>0</v>
      </c>
      <c r="F34" s="562">
        <f>+'[2]LLA 04-99'!H1452</f>
        <v>0</v>
      </c>
      <c r="G34" s="562">
        <f>+'[2]LLA 04-99'!I1452</f>
        <v>0</v>
      </c>
      <c r="H34" s="562">
        <f>+'[2]LLA 04-99'!J1452</f>
        <v>0</v>
      </c>
      <c r="I34" s="562">
        <f>+'[2]LLA 04-99'!K1452</f>
        <v>0</v>
      </c>
      <c r="J34" s="562">
        <f>+'[2]LLA 04-99'!L1452</f>
        <v>0</v>
      </c>
      <c r="K34" s="562">
        <f>+'[2]LLA 04-99'!M1452</f>
        <v>0</v>
      </c>
      <c r="L34" s="562">
        <f>+'[2]LLA 04-99'!N1452</f>
        <v>0</v>
      </c>
      <c r="M34" s="562">
        <f>+'[2]LLA 04-99'!O1452</f>
        <v>0</v>
      </c>
      <c r="N34" s="562">
        <f>+'[2]LLA 04-99'!P1452</f>
        <v>0</v>
      </c>
    </row>
    <row r="35" spans="1:14" ht="12" customHeight="1">
      <c r="A35" s="217" t="s">
        <v>47</v>
      </c>
      <c r="B35" s="561">
        <f t="shared" si="0"/>
        <v>0</v>
      </c>
      <c r="C35" s="562">
        <f>+'[2]LLA 04-99'!E1455</f>
        <v>0</v>
      </c>
      <c r="D35" s="562">
        <f>+'[2]LLA 04-99'!F1455</f>
        <v>0</v>
      </c>
      <c r="E35" s="562">
        <f>+'[2]LLA 04-99'!G1455</f>
        <v>0</v>
      </c>
      <c r="F35" s="562">
        <f>+'[2]LLA 04-99'!H1455</f>
        <v>0</v>
      </c>
      <c r="G35" s="562">
        <f>+'[2]LLA 04-99'!I1455</f>
        <v>0</v>
      </c>
      <c r="H35" s="562">
        <f>+'[2]LLA 04-99'!J1455</f>
        <v>0</v>
      </c>
      <c r="I35" s="562">
        <f>+'[2]LLA 04-99'!K1455</f>
        <v>0</v>
      </c>
      <c r="J35" s="562">
        <f>+'[2]LLA 04-99'!L1455</f>
        <v>0</v>
      </c>
      <c r="K35" s="562">
        <f>+'[2]LLA 04-99'!M1455</f>
        <v>0</v>
      </c>
      <c r="L35" s="562">
        <f>+'[2]LLA 04-99'!N1455</f>
        <v>0</v>
      </c>
      <c r="M35" s="562">
        <f>+'[2]LLA 04-99'!O1455</f>
        <v>0</v>
      </c>
      <c r="N35" s="562">
        <f>+'[2]LLA 04-99'!P1455</f>
        <v>0</v>
      </c>
    </row>
    <row r="36" spans="1:14" ht="12" customHeight="1">
      <c r="A36" s="217" t="s">
        <v>48</v>
      </c>
      <c r="B36" s="561">
        <f t="shared" si="0"/>
        <v>0</v>
      </c>
      <c r="C36" s="562">
        <f>+'[2]LLA 04-99'!E1458</f>
        <v>0</v>
      </c>
      <c r="D36" s="562">
        <f>+'[2]LLA 04-99'!F1458</f>
        <v>0</v>
      </c>
      <c r="E36" s="562">
        <f>+'[2]LLA 04-99'!G1458</f>
        <v>0</v>
      </c>
      <c r="F36" s="562">
        <f>+'[2]LLA 04-99'!H1458</f>
        <v>0</v>
      </c>
      <c r="G36" s="562">
        <f>+'[2]LLA 04-99'!I1458</f>
        <v>0</v>
      </c>
      <c r="H36" s="562">
        <f>+'[2]LLA 04-99'!J1458</f>
        <v>0</v>
      </c>
      <c r="I36" s="562">
        <f>+'[2]LLA 04-99'!K1458</f>
        <v>0</v>
      </c>
      <c r="J36" s="562">
        <f>+'[2]LLA 04-99'!L1458</f>
        <v>0</v>
      </c>
      <c r="K36" s="562">
        <f>+'[2]LLA 04-99'!M1458</f>
        <v>0</v>
      </c>
      <c r="L36" s="562">
        <f>+'[2]LLA 04-99'!N1458</f>
        <v>0</v>
      </c>
      <c r="M36" s="562">
        <f>+'[2]LLA 04-99'!O1458</f>
        <v>0</v>
      </c>
      <c r="N36" s="562">
        <f>+'[2]LLA 04-99'!P1458</f>
        <v>0</v>
      </c>
    </row>
    <row r="37" spans="1:14" ht="12" customHeight="1" thickBot="1">
      <c r="A37" s="272" t="s">
        <v>49</v>
      </c>
      <c r="B37" s="563">
        <f t="shared" si="0"/>
        <v>0</v>
      </c>
      <c r="C37" s="564">
        <f>+'[2]LLA 04-99'!E1461</f>
        <v>0</v>
      </c>
      <c r="D37" s="564">
        <f>+'[2]LLA 04-99'!F1461</f>
        <v>0</v>
      </c>
      <c r="E37" s="564">
        <f>+'[2]LLA 04-99'!G1461</f>
        <v>0</v>
      </c>
      <c r="F37" s="564">
        <f>+'[2]LLA 04-99'!H1461</f>
        <v>0</v>
      </c>
      <c r="G37" s="564">
        <f>+'[2]LLA 04-99'!I1461</f>
        <v>0</v>
      </c>
      <c r="H37" s="564">
        <f>+'[2]LLA 04-99'!J1461</f>
        <v>0</v>
      </c>
      <c r="I37" s="564">
        <f>+'[2]LLA 04-99'!K1461</f>
        <v>0</v>
      </c>
      <c r="J37" s="564">
        <f>+'[2]LLA 04-99'!L1461</f>
        <v>0</v>
      </c>
      <c r="K37" s="564">
        <f>+'[2]LLA 04-99'!M1461</f>
        <v>0</v>
      </c>
      <c r="L37" s="564">
        <f>+'[2]LLA 04-99'!N1461</f>
        <v>0</v>
      </c>
      <c r="M37" s="564">
        <f>+'[2]LLA 04-99'!O1461</f>
        <v>0</v>
      </c>
      <c r="N37" s="564">
        <f>+'[2]LLA 04-99'!P1461</f>
        <v>0</v>
      </c>
    </row>
    <row r="38" spans="1:14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14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14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Hoja71">
    <tabColor theme="9" tint="0.59999389629810485"/>
  </sheetPr>
  <dimension ref="A4:O5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15" ht="13" customHeight="1">
      <c r="A4" s="511" t="s">
        <v>406</v>
      </c>
      <c r="B4" s="507"/>
    </row>
    <row r="5" spans="1:15" ht="13" customHeight="1">
      <c r="A5" s="514" t="s">
        <v>595</v>
      </c>
      <c r="B5" s="507"/>
    </row>
    <row r="6" spans="1:15" ht="5" customHeight="1" thickBot="1"/>
    <row r="7" spans="1:15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  <c r="O7" s="274"/>
    </row>
    <row r="8" spans="1:15" ht="15" customHeight="1">
      <c r="A8" s="530" t="s">
        <v>100</v>
      </c>
      <c r="B8" s="565">
        <f>'C-69'!B8/'C-68'!B8*1000</f>
        <v>33.229043199135788</v>
      </c>
      <c r="C8" s="565">
        <f>'C-69'!C8/'C-68'!C8*1000</f>
        <v>33.014343263587648</v>
      </c>
      <c r="D8" s="565">
        <f>('C-69'!D8/'C-68'!D8)*1000</f>
        <v>33.055931340341651</v>
      </c>
      <c r="E8" s="565">
        <f>('C-69'!E8/'C-68'!E8)*1000</f>
        <v>33.350416045162632</v>
      </c>
      <c r="F8" s="565">
        <f>('C-69'!F8/'C-68'!F8)*1000</f>
        <v>34.406314712389381</v>
      </c>
      <c r="G8" s="565">
        <f>('C-69'!G8/'C-68'!G8)*1000</f>
        <v>34.138880974185881</v>
      </c>
      <c r="H8" s="565">
        <f>('C-69'!H8/'C-68'!H8)*1000</f>
        <v>33.780278275128524</v>
      </c>
      <c r="I8" s="565">
        <f>('C-69'!I8/'C-68'!I8)*1000</f>
        <v>33.204346211482616</v>
      </c>
      <c r="J8" s="565">
        <f>('C-69'!J8/'C-68'!J8)*1000</f>
        <v>32.909738322931354</v>
      </c>
      <c r="K8" s="565">
        <f>('C-69'!K8/'C-68'!K8)*1000</f>
        <v>32.617360782380004</v>
      </c>
      <c r="L8" s="565">
        <f>('C-69'!L8/'C-68'!L8)*1000</f>
        <v>32.602970592476865</v>
      </c>
      <c r="M8" s="565">
        <f>('C-69'!M8/'C-68'!M8)*1000</f>
        <v>32.30701117052881</v>
      </c>
      <c r="N8" s="565">
        <f>('C-69'!N8/'C-68'!N8)*1000</f>
        <v>32.739720103743466</v>
      </c>
    </row>
    <row r="9" spans="1:15" ht="12" customHeight="1">
      <c r="A9" s="269" t="s">
        <v>21</v>
      </c>
      <c r="B9" s="566">
        <v>0</v>
      </c>
      <c r="C9" s="567">
        <v>0</v>
      </c>
      <c r="D9" s="567">
        <v>0</v>
      </c>
      <c r="E9" s="567">
        <v>0</v>
      </c>
      <c r="F9" s="567">
        <v>0</v>
      </c>
      <c r="G9" s="567">
        <v>0</v>
      </c>
      <c r="H9" s="567">
        <v>0</v>
      </c>
      <c r="I9" s="567">
        <v>0</v>
      </c>
      <c r="J9" s="567">
        <v>0</v>
      </c>
      <c r="K9" s="567">
        <v>0</v>
      </c>
      <c r="L9" s="567">
        <v>0</v>
      </c>
      <c r="M9" s="567">
        <v>0</v>
      </c>
      <c r="N9" s="567">
        <v>0</v>
      </c>
    </row>
    <row r="10" spans="1:15" ht="12" customHeight="1">
      <c r="A10" s="269" t="s">
        <v>22</v>
      </c>
      <c r="B10" s="566">
        <v>0</v>
      </c>
      <c r="C10" s="567">
        <v>0</v>
      </c>
      <c r="D10" s="567">
        <v>0</v>
      </c>
      <c r="E10" s="567">
        <v>0</v>
      </c>
      <c r="F10" s="567">
        <v>0</v>
      </c>
      <c r="G10" s="567">
        <v>0</v>
      </c>
      <c r="H10" s="567">
        <v>0</v>
      </c>
      <c r="I10" s="567">
        <v>0</v>
      </c>
      <c r="J10" s="567">
        <v>0</v>
      </c>
      <c r="K10" s="567">
        <v>0</v>
      </c>
      <c r="L10" s="567">
        <v>0</v>
      </c>
      <c r="M10" s="567">
        <v>0</v>
      </c>
      <c r="N10" s="567">
        <v>0</v>
      </c>
    </row>
    <row r="11" spans="1:15" ht="12" customHeight="1">
      <c r="A11" s="269" t="s">
        <v>23</v>
      </c>
      <c r="B11" s="566">
        <v>0</v>
      </c>
      <c r="C11" s="567">
        <v>0</v>
      </c>
      <c r="D11" s="567">
        <v>0</v>
      </c>
      <c r="E11" s="567">
        <v>0</v>
      </c>
      <c r="F11" s="567">
        <v>0</v>
      </c>
      <c r="G11" s="567">
        <v>0</v>
      </c>
      <c r="H11" s="567">
        <v>0</v>
      </c>
      <c r="I11" s="567">
        <v>0</v>
      </c>
      <c r="J11" s="567">
        <v>0</v>
      </c>
      <c r="K11" s="567">
        <v>0</v>
      </c>
      <c r="L11" s="567">
        <v>0</v>
      </c>
      <c r="M11" s="567">
        <v>0</v>
      </c>
      <c r="N11" s="567">
        <v>0</v>
      </c>
    </row>
    <row r="12" spans="1:15" ht="12" customHeight="1">
      <c r="A12" s="217" t="s">
        <v>24</v>
      </c>
      <c r="B12" s="566">
        <v>0</v>
      </c>
      <c r="C12" s="567">
        <v>0</v>
      </c>
      <c r="D12" s="567">
        <v>0</v>
      </c>
      <c r="E12" s="567">
        <v>0</v>
      </c>
      <c r="F12" s="567">
        <v>0</v>
      </c>
      <c r="G12" s="567">
        <v>0</v>
      </c>
      <c r="H12" s="567">
        <v>0</v>
      </c>
      <c r="I12" s="567">
        <v>0</v>
      </c>
      <c r="J12" s="567">
        <v>0</v>
      </c>
      <c r="K12" s="567">
        <v>0</v>
      </c>
      <c r="L12" s="567">
        <v>0</v>
      </c>
      <c r="M12" s="567">
        <v>0</v>
      </c>
      <c r="N12" s="567">
        <v>0</v>
      </c>
    </row>
    <row r="13" spans="1:15" ht="12" customHeight="1">
      <c r="A13" s="217" t="s">
        <v>25</v>
      </c>
      <c r="B13" s="566">
        <v>0</v>
      </c>
      <c r="C13" s="567">
        <v>0</v>
      </c>
      <c r="D13" s="567">
        <v>0</v>
      </c>
      <c r="E13" s="567">
        <v>0</v>
      </c>
      <c r="F13" s="567">
        <v>0</v>
      </c>
      <c r="G13" s="567">
        <v>0</v>
      </c>
      <c r="H13" s="567">
        <v>0</v>
      </c>
      <c r="I13" s="567">
        <v>0</v>
      </c>
      <c r="J13" s="567">
        <v>0</v>
      </c>
      <c r="K13" s="567">
        <v>0</v>
      </c>
      <c r="L13" s="567">
        <v>0</v>
      </c>
      <c r="M13" s="567">
        <v>0</v>
      </c>
      <c r="N13" s="567">
        <v>0</v>
      </c>
    </row>
    <row r="14" spans="1:15" ht="12" customHeight="1">
      <c r="A14" s="271" t="s">
        <v>107</v>
      </c>
      <c r="B14" s="566">
        <v>0</v>
      </c>
      <c r="C14" s="567">
        <v>0</v>
      </c>
      <c r="D14" s="567">
        <v>0</v>
      </c>
      <c r="E14" s="567">
        <v>0</v>
      </c>
      <c r="F14" s="567">
        <v>0</v>
      </c>
      <c r="G14" s="567">
        <v>0</v>
      </c>
      <c r="H14" s="567">
        <v>0</v>
      </c>
      <c r="I14" s="567">
        <v>0</v>
      </c>
      <c r="J14" s="567">
        <v>0</v>
      </c>
      <c r="K14" s="567">
        <v>0</v>
      </c>
      <c r="L14" s="567">
        <v>0</v>
      </c>
      <c r="M14" s="567">
        <v>0</v>
      </c>
      <c r="N14" s="567">
        <v>0</v>
      </c>
    </row>
    <row r="15" spans="1:15" ht="12" customHeight="1">
      <c r="A15" s="271" t="s">
        <v>108</v>
      </c>
      <c r="B15" s="566">
        <v>0</v>
      </c>
      <c r="C15" s="567">
        <v>0</v>
      </c>
      <c r="D15" s="567">
        <v>0</v>
      </c>
      <c r="E15" s="567">
        <v>0</v>
      </c>
      <c r="F15" s="567">
        <v>0</v>
      </c>
      <c r="G15" s="567">
        <v>0</v>
      </c>
      <c r="H15" s="567">
        <v>0</v>
      </c>
      <c r="I15" s="567">
        <v>0</v>
      </c>
      <c r="J15" s="567">
        <v>0</v>
      </c>
      <c r="K15" s="567">
        <v>0</v>
      </c>
      <c r="L15" s="567">
        <v>0</v>
      </c>
      <c r="M15" s="567">
        <v>0</v>
      </c>
      <c r="N15" s="567">
        <v>0</v>
      </c>
    </row>
    <row r="16" spans="1:15" ht="12" customHeight="1">
      <c r="A16" s="271" t="s">
        <v>109</v>
      </c>
      <c r="B16" s="566">
        <v>0</v>
      </c>
      <c r="C16" s="567">
        <v>0</v>
      </c>
      <c r="D16" s="567">
        <v>0</v>
      </c>
      <c r="E16" s="567">
        <v>0</v>
      </c>
      <c r="F16" s="567">
        <v>0</v>
      </c>
      <c r="G16" s="567">
        <v>0</v>
      </c>
      <c r="H16" s="567">
        <v>0</v>
      </c>
      <c r="I16" s="567">
        <v>0</v>
      </c>
      <c r="J16" s="567">
        <v>0</v>
      </c>
      <c r="K16" s="567">
        <v>0</v>
      </c>
      <c r="L16" s="567">
        <v>0</v>
      </c>
      <c r="M16" s="567">
        <v>0</v>
      </c>
      <c r="N16" s="567">
        <v>0</v>
      </c>
    </row>
    <row r="17" spans="1:14" ht="12" customHeight="1">
      <c r="A17" s="269" t="s">
        <v>29</v>
      </c>
      <c r="B17" s="566">
        <v>0</v>
      </c>
      <c r="C17" s="567">
        <v>0</v>
      </c>
      <c r="D17" s="567">
        <v>0</v>
      </c>
      <c r="E17" s="567">
        <v>0</v>
      </c>
      <c r="F17" s="567">
        <v>0</v>
      </c>
      <c r="G17" s="567">
        <v>0</v>
      </c>
      <c r="H17" s="567">
        <v>0</v>
      </c>
      <c r="I17" s="567">
        <v>0</v>
      </c>
      <c r="J17" s="567">
        <v>0</v>
      </c>
      <c r="K17" s="567">
        <v>0</v>
      </c>
      <c r="L17" s="567">
        <v>0</v>
      </c>
      <c r="M17" s="567">
        <v>0</v>
      </c>
      <c r="N17" s="567">
        <v>0</v>
      </c>
    </row>
    <row r="18" spans="1:14" ht="12" customHeight="1">
      <c r="A18" s="217" t="s">
        <v>30</v>
      </c>
      <c r="B18" s="566">
        <v>0</v>
      </c>
      <c r="C18" s="567">
        <v>0</v>
      </c>
      <c r="D18" s="567">
        <v>0</v>
      </c>
      <c r="E18" s="567">
        <v>0</v>
      </c>
      <c r="F18" s="567">
        <v>0</v>
      </c>
      <c r="G18" s="567">
        <v>0</v>
      </c>
      <c r="H18" s="567">
        <v>0</v>
      </c>
      <c r="I18" s="567">
        <v>0</v>
      </c>
      <c r="J18" s="567">
        <v>0</v>
      </c>
      <c r="K18" s="567">
        <v>0</v>
      </c>
      <c r="L18" s="567">
        <v>0</v>
      </c>
      <c r="M18" s="567">
        <v>0</v>
      </c>
      <c r="N18" s="567">
        <v>0</v>
      </c>
    </row>
    <row r="19" spans="1:14" ht="12" customHeight="1">
      <c r="A19" s="217" t="s">
        <v>31</v>
      </c>
      <c r="B19" s="566">
        <f>('C-69'!B19/'C-68'!B19)*1000</f>
        <v>31.117443349753696</v>
      </c>
      <c r="C19" s="567">
        <f>('C-69'!C19/'C-68'!C19)*1000</f>
        <v>33.720731707317078</v>
      </c>
      <c r="D19" s="567">
        <f>('C-69'!D19/'C-68'!D19)*1000</f>
        <v>26.226923076923075</v>
      </c>
      <c r="E19" s="567">
        <f>('C-69'!E19/'C-68'!E19)*1000</f>
        <v>30.784240837696334</v>
      </c>
      <c r="F19" s="567">
        <f>('C-69'!F19/'C-68'!F19)*1000</f>
        <v>28.288408071748883</v>
      </c>
      <c r="G19" s="567">
        <f>('C-69'!G19/'C-68'!G19)*1000</f>
        <v>30.474837209302322</v>
      </c>
      <c r="H19" s="567">
        <f>('C-69'!H19/'C-68'!H19)*1000</f>
        <v>30.032245508982033</v>
      </c>
      <c r="I19" s="567">
        <f>('C-69'!I19/'C-68'!I19)*1000</f>
        <v>32.664152542372882</v>
      </c>
      <c r="J19" s="567">
        <f>('C-69'!J19/'C-68'!J19)*1000</f>
        <v>33.414596273291927</v>
      </c>
      <c r="K19" s="567">
        <f>('C-69'!K19/'C-68'!K19)*1000</f>
        <v>32.083057324840766</v>
      </c>
      <c r="L19" s="567">
        <f>('C-69'!L19/'C-68'!L19)*1000</f>
        <v>34.51510791366907</v>
      </c>
      <c r="M19" s="567">
        <f>('C-69'!M19/'C-68'!M19)*1000</f>
        <v>32.892481481481482</v>
      </c>
      <c r="N19" s="567">
        <f>('C-69'!N19/'C-68'!N19)*1000</f>
        <v>31.193063583815036</v>
      </c>
    </row>
    <row r="20" spans="1:14" ht="12" customHeight="1">
      <c r="A20" s="269" t="s">
        <v>32</v>
      </c>
      <c r="B20" s="566">
        <v>0</v>
      </c>
      <c r="C20" s="567">
        <v>0</v>
      </c>
      <c r="D20" s="567">
        <v>0</v>
      </c>
      <c r="E20" s="567">
        <v>0</v>
      </c>
      <c r="F20" s="567">
        <v>0</v>
      </c>
      <c r="G20" s="567">
        <v>0</v>
      </c>
      <c r="H20" s="567">
        <v>0</v>
      </c>
      <c r="I20" s="567">
        <v>0</v>
      </c>
      <c r="J20" s="567">
        <v>0</v>
      </c>
      <c r="K20" s="567">
        <v>0</v>
      </c>
      <c r="L20" s="567">
        <v>0</v>
      </c>
      <c r="M20" s="567">
        <v>0</v>
      </c>
      <c r="N20" s="567">
        <v>0</v>
      </c>
    </row>
    <row r="21" spans="1:14" ht="12" customHeight="1">
      <c r="A21" s="269" t="s">
        <v>33</v>
      </c>
      <c r="B21" s="566">
        <v>0</v>
      </c>
      <c r="C21" s="567">
        <v>0</v>
      </c>
      <c r="D21" s="567">
        <v>0</v>
      </c>
      <c r="E21" s="567">
        <v>0</v>
      </c>
      <c r="F21" s="567">
        <v>0</v>
      </c>
      <c r="G21" s="567">
        <v>0</v>
      </c>
      <c r="H21" s="567">
        <v>0</v>
      </c>
      <c r="I21" s="567">
        <v>0</v>
      </c>
      <c r="J21" s="567">
        <v>0</v>
      </c>
      <c r="K21" s="567">
        <v>0</v>
      </c>
      <c r="L21" s="567">
        <v>0</v>
      </c>
      <c r="M21" s="567">
        <v>0</v>
      </c>
      <c r="N21" s="567">
        <v>0</v>
      </c>
    </row>
    <row r="22" spans="1:14" ht="12" customHeight="1">
      <c r="A22" s="269" t="s">
        <v>34</v>
      </c>
      <c r="B22" s="566">
        <f>('C-69'!B22/'C-68'!B22)*1000</f>
        <v>28.923246216075157</v>
      </c>
      <c r="C22" s="567">
        <f>('C-69'!C22/'C-68'!C22)*1000</f>
        <v>28.681434782608697</v>
      </c>
      <c r="D22" s="567">
        <f>('C-69'!D22/'C-68'!D22)*1000</f>
        <v>28.666904651162792</v>
      </c>
      <c r="E22" s="567">
        <f>('C-69'!E22/'C-68'!E22)*1000</f>
        <v>28.554191999999997</v>
      </c>
      <c r="F22" s="567">
        <f>('C-69'!F22/'C-68'!F22)*1000</f>
        <v>28.879363636363639</v>
      </c>
      <c r="G22" s="567">
        <f>('C-69'!G22/'C-68'!G22)*1000</f>
        <v>28.756739401496258</v>
      </c>
      <c r="H22" s="567">
        <f>('C-69'!H22/'C-68'!H22)*1000</f>
        <v>28.766070378151262</v>
      </c>
      <c r="I22" s="567">
        <f>('C-69'!I22/'C-68'!I22)*1000</f>
        <v>29.074112068965512</v>
      </c>
      <c r="J22" s="567">
        <f>('C-69'!J22/'C-68'!J22)*1000</f>
        <v>29.006551246537395</v>
      </c>
      <c r="K22" s="567">
        <f>('C-69'!K22/'C-68'!K22)*1000</f>
        <v>28.780869863013699</v>
      </c>
      <c r="L22" s="567">
        <f>('C-69'!L22/'C-68'!L22)*1000</f>
        <v>29.103119246861926</v>
      </c>
      <c r="M22" s="567">
        <f>('C-69'!M22/'C-68'!M22)*1000</f>
        <v>29.676175585284284</v>
      </c>
      <c r="N22" s="567">
        <f>('C-69'!N22/'C-68'!N22)*1000</f>
        <v>28.95521370967742</v>
      </c>
    </row>
    <row r="23" spans="1:14" ht="12" customHeight="1">
      <c r="A23" s="269" t="s">
        <v>35</v>
      </c>
      <c r="B23" s="566">
        <f>('C-69'!B23/'C-68'!B23)*1000</f>
        <v>27.743413052459072</v>
      </c>
      <c r="C23" s="567">
        <f>('C-69'!C23/'C-68'!C23)*1000</f>
        <v>27.793043478260866</v>
      </c>
      <c r="D23" s="567">
        <f>('C-69'!D23/'C-68'!D23)*1000</f>
        <v>27.075748930099859</v>
      </c>
      <c r="E23" s="567">
        <f>('C-69'!E23/'C-68'!E23)*1000</f>
        <v>27.333471074380167</v>
      </c>
      <c r="F23" s="567">
        <f>('C-69'!F23/'C-68'!F23)*1000</f>
        <v>28.461838235294117</v>
      </c>
      <c r="G23" s="567">
        <f>('C-69'!G23/'C-68'!G23)*1000</f>
        <v>27.897596108384942</v>
      </c>
      <c r="H23" s="567">
        <f>('C-69'!H23/'C-68'!H23)*1000</f>
        <v>26.832765957446799</v>
      </c>
      <c r="I23" s="567">
        <f>('C-69'!I23/'C-68'!I23)*1000</f>
        <v>27.08588709677419</v>
      </c>
      <c r="J23" s="567">
        <f>('C-69'!J23/'C-68'!J23)*1000</f>
        <v>26.921900826446283</v>
      </c>
      <c r="K23" s="567">
        <f>('C-69'!K23/'C-68'!K23)*1000</f>
        <v>26.991472303206997</v>
      </c>
      <c r="L23" s="567">
        <f>('C-69'!L23/'C-68'!L23)*1000</f>
        <v>26.798596750369274</v>
      </c>
      <c r="M23" s="567">
        <f>('C-69'!M23/'C-68'!M23)*1000</f>
        <v>26.786944045911039</v>
      </c>
      <c r="N23" s="567">
        <f>('C-69'!N23/'C-68'!N23)*1000</f>
        <v>31.903602497110398</v>
      </c>
    </row>
    <row r="24" spans="1:14" ht="12" customHeight="1">
      <c r="A24" s="269" t="s">
        <v>36</v>
      </c>
      <c r="B24" s="566">
        <f>('C-69'!B24/'C-68'!B24)*1000</f>
        <v>34.062716331181164</v>
      </c>
      <c r="C24" s="567">
        <f>('C-69'!C24/'C-68'!C24)*1000</f>
        <v>34.555313241106738</v>
      </c>
      <c r="D24" s="567">
        <f>('C-69'!D24/'C-68'!D24)*1000</f>
        <v>31.526297101449273</v>
      </c>
      <c r="E24" s="567">
        <f>('C-69'!E24/'C-68'!E24)*1000</f>
        <v>34.069964754098379</v>
      </c>
      <c r="F24" s="567">
        <f>('C-69'!F24/'C-68'!F24)*1000</f>
        <v>34.674517741935496</v>
      </c>
      <c r="G24" s="567">
        <f>('C-69'!G24/'C-68'!G24)*1000</f>
        <v>34.434055214723912</v>
      </c>
      <c r="H24" s="567">
        <f>('C-69'!H24/'C-68'!H24)*1000</f>
        <v>34.547884615384604</v>
      </c>
      <c r="I24" s="567">
        <f>('C-69'!I24/'C-68'!I24)*1000</f>
        <v>34.423907142857139</v>
      </c>
      <c r="J24" s="567">
        <f>('C-69'!J24/'C-68'!J24)*1000</f>
        <v>34.257518041237113</v>
      </c>
      <c r="K24" s="567">
        <f>('C-69'!K24/'C-68'!K24)*1000</f>
        <v>33.896158878504671</v>
      </c>
      <c r="L24" s="567">
        <f>('C-69'!L24/'C-68'!L24)*1000</f>
        <v>34.00056</v>
      </c>
      <c r="M24" s="567">
        <f>('C-69'!M24/'C-68'!M24)*1000</f>
        <v>34.221891108247412</v>
      </c>
      <c r="N24" s="567">
        <f>('C-69'!N24/'C-68'!N24)*1000</f>
        <v>34.123533623910348</v>
      </c>
    </row>
    <row r="25" spans="1:14" ht="12" customHeight="1">
      <c r="A25" s="217" t="s">
        <v>37</v>
      </c>
      <c r="B25" s="566">
        <f>('C-69'!B25/'C-68'!B25)*1000</f>
        <v>34.517677790809252</v>
      </c>
      <c r="C25" s="567">
        <f>('C-69'!C25/'C-68'!C25)*1000</f>
        <v>33.602609890109896</v>
      </c>
      <c r="D25" s="567">
        <f>('C-69'!D25/'C-68'!D25)*1000</f>
        <v>34.026121076233188</v>
      </c>
      <c r="E25" s="567">
        <f>('C-69'!E25/'C-68'!E25)*1000</f>
        <v>34.5</v>
      </c>
      <c r="F25" s="567">
        <f>('C-69'!F25/'C-68'!F25)*1000</f>
        <v>34.996753246753251</v>
      </c>
      <c r="G25" s="567">
        <f>('C-69'!G25/'C-68'!G25)*1000</f>
        <v>35</v>
      </c>
      <c r="H25" s="567">
        <f>('C-69'!H25/'C-68'!H25)*1000</f>
        <v>34.530487804878049</v>
      </c>
      <c r="I25" s="567">
        <f>('C-69'!I25/'C-68'!I25)*1000</f>
        <v>35</v>
      </c>
      <c r="J25" s="567">
        <f>('C-69'!J25/'C-68'!J25)*1000</f>
        <v>34.828499369482969</v>
      </c>
      <c r="K25" s="567">
        <f>('C-69'!K25/'C-68'!K25)*1000</f>
        <v>34.541689008042894</v>
      </c>
      <c r="L25" s="567">
        <f>('C-69'!L25/'C-68'!L25)*1000</f>
        <v>34.354914809960682</v>
      </c>
      <c r="M25" s="567">
        <f>('C-69'!M25/'C-68'!M25)*1000</f>
        <v>34.084836601307195</v>
      </c>
      <c r="N25" s="567">
        <f>('C-69'!N25/'C-68'!N25)*1000</f>
        <v>34.819327731092443</v>
      </c>
    </row>
    <row r="26" spans="1:14" ht="12" customHeight="1">
      <c r="A26" s="269" t="s">
        <v>38</v>
      </c>
      <c r="B26" s="566">
        <f>('C-69'!B26/'C-68'!B26)*1000</f>
        <v>43.569512195121952</v>
      </c>
      <c r="C26" s="567">
        <f>('C-69'!C26/'C-68'!C26)*1000</f>
        <v>40.827272727272735</v>
      </c>
      <c r="D26" s="567">
        <f>('C-69'!D26/'C-68'!D26)*1000</f>
        <v>41.734999999999999</v>
      </c>
      <c r="E26" s="567">
        <f>('C-69'!E26/'C-68'!E26)*1000</f>
        <v>42.884999999999998</v>
      </c>
      <c r="F26" s="567">
        <f>('C-69'!F26/'C-68'!F26)*1000</f>
        <v>42.810810810810814</v>
      </c>
      <c r="G26" s="567">
        <f>('C-69'!G26/'C-68'!G26)*1000</f>
        <v>43.479000000000013</v>
      </c>
      <c r="H26" s="567">
        <f>('C-69'!H26/'C-68'!H26)*1000</f>
        <v>44.330152671755734</v>
      </c>
      <c r="I26" s="567">
        <f>('C-69'!I26/'C-68'!I26)*1000</f>
        <v>43.788970588235301</v>
      </c>
      <c r="J26" s="567">
        <f>('C-69'!J26/'C-68'!J26)*1000</f>
        <v>44.553571428571431</v>
      </c>
      <c r="K26" s="567">
        <f>('C-69'!K26/'C-68'!K26)*1000</f>
        <v>44.024999999999991</v>
      </c>
      <c r="L26" s="567">
        <f>('C-69'!L26/'C-68'!L26)*1000</f>
        <v>44.1</v>
      </c>
      <c r="M26" s="567">
        <f>('C-69'!M26/'C-68'!M26)*1000</f>
        <v>44.639150943396224</v>
      </c>
      <c r="N26" s="567">
        <f>('C-69'!N26/'C-68'!N26)*1000</f>
        <v>44.64255319148937</v>
      </c>
    </row>
    <row r="27" spans="1:14" ht="12" customHeight="1">
      <c r="A27" s="269" t="s">
        <v>39</v>
      </c>
      <c r="B27" s="566">
        <f>('C-69'!B27/'C-68'!B27)*1000</f>
        <v>29.439870967741935</v>
      </c>
      <c r="C27" s="567">
        <f>('C-69'!C27/'C-68'!C27)*1000</f>
        <v>29.755700325732899</v>
      </c>
      <c r="D27" s="567">
        <f>('C-69'!D27/'C-68'!D27)*1000</f>
        <v>29.610576923076923</v>
      </c>
      <c r="E27" s="567">
        <f>('C-69'!E27/'C-68'!E27)*1000</f>
        <v>29.90454545454546</v>
      </c>
      <c r="F27" s="567">
        <f>('C-69'!F27/'C-68'!F27)*1000</f>
        <v>29.356508875739646</v>
      </c>
      <c r="G27" s="567">
        <f>('C-69'!G27/'C-68'!G27)*1000</f>
        <v>29.36005434782609</v>
      </c>
      <c r="H27" s="567">
        <f>('C-69'!H27/'C-68'!H27)*1000</f>
        <v>29.373508353221954</v>
      </c>
      <c r="I27" s="567">
        <f>('C-69'!I27/'C-68'!I27)*1000</f>
        <v>29.423325358851674</v>
      </c>
      <c r="J27" s="567">
        <f>('C-69'!J27/'C-68'!J27)*1000</f>
        <v>29.460431654676256</v>
      </c>
      <c r="K27" s="567">
        <f>('C-69'!K27/'C-68'!K27)*1000</f>
        <v>29.15047058823529</v>
      </c>
      <c r="L27" s="567">
        <f>('C-69'!L27/'C-68'!L27)*1000</f>
        <v>29.239436619718305</v>
      </c>
      <c r="M27" s="567">
        <f>('C-69'!M27/'C-68'!M27)*1000</f>
        <v>29.373508353221958</v>
      </c>
      <c r="N27" s="567">
        <f>('C-69'!N27/'C-68'!N27)*1000</f>
        <v>29.474522292993633</v>
      </c>
    </row>
    <row r="28" spans="1:14" ht="12" customHeight="1">
      <c r="A28" s="269" t="s">
        <v>40</v>
      </c>
      <c r="B28" s="566">
        <f>('C-69'!B28/'C-68'!B28)*1000</f>
        <v>29.846379126730568</v>
      </c>
      <c r="C28" s="567">
        <f>('C-69'!C28/'C-68'!C28)*1000</f>
        <v>27.29305177111717</v>
      </c>
      <c r="D28" s="567">
        <f>('C-69'!D28/'C-68'!D28)*1000</f>
        <v>28.950501672240804</v>
      </c>
      <c r="E28" s="567">
        <f>('C-69'!E28/'C-68'!E28)*1000</f>
        <v>29.938932806324111</v>
      </c>
      <c r="F28" s="567">
        <f>('C-69'!F28/'C-68'!F28)*1000</f>
        <v>30.493589743589748</v>
      </c>
      <c r="G28" s="567">
        <f>('C-69'!G28/'C-68'!G28)*1000</f>
        <v>30.433361774744029</v>
      </c>
      <c r="H28" s="567">
        <f>('C-69'!H28/'C-68'!H28)*1000</f>
        <v>29.953703703703706</v>
      </c>
      <c r="I28" s="567">
        <f>('C-69'!I28/'C-68'!I28)*1000</f>
        <v>30.260100376411543</v>
      </c>
      <c r="J28" s="567">
        <f>('C-69'!J28/'C-68'!J28)*1000</f>
        <v>29.364566929133861</v>
      </c>
      <c r="K28" s="567">
        <f>('C-69'!K28/'C-68'!K28)*1000</f>
        <v>30.651683168316836</v>
      </c>
      <c r="L28" s="567">
        <f>('C-69'!L28/'C-68'!L28)*1000</f>
        <v>30.924087591240877</v>
      </c>
      <c r="M28" s="567">
        <f>('C-69'!M28/'C-68'!M28)*1000</f>
        <v>29.941923551171396</v>
      </c>
      <c r="N28" s="567">
        <f>('C-69'!N28/'C-68'!N28)*1000</f>
        <v>29.590976123595503</v>
      </c>
    </row>
    <row r="29" spans="1:14" ht="12" customHeight="1">
      <c r="A29" s="217" t="s">
        <v>41</v>
      </c>
      <c r="B29" s="566">
        <f>('C-69'!B29/'C-68'!B29)*1000</f>
        <v>28.584752594981349</v>
      </c>
      <c r="C29" s="567">
        <f>('C-69'!C29/'C-68'!C29)*1000</f>
        <v>30.491017964071855</v>
      </c>
      <c r="D29" s="567">
        <f>('C-69'!D29/'C-68'!D29)*1000</f>
        <v>30.160493827160494</v>
      </c>
      <c r="E29" s="567">
        <f>('C-69'!E29/'C-68'!E29)*1000</f>
        <v>29.555822328931576</v>
      </c>
      <c r="F29" s="567">
        <f>('C-69'!F29/'C-68'!F29)*1000</f>
        <v>29.209165687426555</v>
      </c>
      <c r="G29" s="567">
        <f>('C-69'!G29/'C-68'!G29)*1000</f>
        <v>28.675263774912075</v>
      </c>
      <c r="H29" s="567">
        <f>('C-69'!H29/'C-68'!H29)*1000</f>
        <v>28.263218390804596</v>
      </c>
      <c r="I29" s="567">
        <f>('C-69'!I29/'C-68'!I29)*1000</f>
        <v>27.988738738738739</v>
      </c>
      <c r="J29" s="567">
        <f>('C-69'!J29/'C-68'!J29)*1000</f>
        <v>27.311265969802555</v>
      </c>
      <c r="K29" s="567">
        <f>('C-69'!K29/'C-68'!K29)*1000</f>
        <v>26.560624249699881</v>
      </c>
      <c r="L29" s="567">
        <f>('C-69'!L29/'C-68'!L29)*1000</f>
        <v>29.148051948051947</v>
      </c>
      <c r="M29" s="567">
        <f>('C-69'!M29/'C-68'!M29)*1000</f>
        <v>28.06475300400534</v>
      </c>
      <c r="N29" s="567">
        <f>('C-69'!N29/'C-68'!N29)*1000</f>
        <v>27.625974025974024</v>
      </c>
    </row>
    <row r="30" spans="1:14" ht="12" customHeight="1">
      <c r="A30" s="271" t="s">
        <v>111</v>
      </c>
      <c r="B30" s="566">
        <f>('C-69'!B30/'C-68'!B30)*1000</f>
        <v>30.362276080084296</v>
      </c>
      <c r="C30" s="567">
        <f>('C-69'!C30/'C-68'!C30)*1000</f>
        <v>29.569620253164558</v>
      </c>
      <c r="D30" s="567">
        <f>('C-69'!D30/'C-68'!D30)*1000</f>
        <v>30.641025641025639</v>
      </c>
      <c r="E30" s="567">
        <f>('C-69'!E30/'C-68'!E30)*1000</f>
        <v>32.125984251968504</v>
      </c>
      <c r="F30" s="567">
        <f>('C-69'!F30/'C-68'!F30)*1000</f>
        <v>31.505128205128205</v>
      </c>
      <c r="G30" s="567">
        <f>('C-69'!G30/'C-68'!G30)*1000</f>
        <v>31.1608040201005</v>
      </c>
      <c r="H30" s="567">
        <f>('C-69'!H30/'C-68'!H30)*1000</f>
        <v>30.490243902439023</v>
      </c>
      <c r="I30" s="567">
        <f>('C-69'!I30/'C-68'!I30)*1000</f>
        <v>30.33653846153846</v>
      </c>
      <c r="J30" s="567">
        <f>('C-69'!J30/'C-68'!J30)*1000</f>
        <v>29.189526184538654</v>
      </c>
      <c r="K30" s="567">
        <f>('C-69'!K30/'C-68'!K30)*1000</f>
        <v>26.784810126582279</v>
      </c>
      <c r="L30" s="567">
        <f>('C-69'!L30/'C-68'!L30)*1000</f>
        <v>30.62222222222222</v>
      </c>
      <c r="M30" s="567">
        <f>('C-69'!M30/'C-68'!M30)*1000</f>
        <v>31.218045112781954</v>
      </c>
      <c r="N30" s="567">
        <f>('C-69'!N30/'C-68'!N30)*1000</f>
        <v>30.790243902439023</v>
      </c>
    </row>
    <row r="31" spans="1:14" ht="12" customHeight="1">
      <c r="A31" s="271" t="s">
        <v>112</v>
      </c>
      <c r="B31" s="566">
        <f>('C-69'!B31/'C-68'!B31)*1000</f>
        <v>26.955870992661254</v>
      </c>
      <c r="C31" s="567">
        <f>('C-69'!C31/'C-68'!C31)*1000</f>
        <v>31.318181818181813</v>
      </c>
      <c r="D31" s="567">
        <f>('C-69'!D31/'C-68'!D31)*1000</f>
        <v>29.714285714285715</v>
      </c>
      <c r="E31" s="567">
        <f>('C-69'!E31/'C-68'!E31)*1000</f>
        <v>27.389380530973455</v>
      </c>
      <c r="F31" s="567">
        <f>('C-69'!F31/'C-68'!F31)*1000</f>
        <v>27.266811279826467</v>
      </c>
      <c r="G31" s="567">
        <f>('C-69'!G31/'C-68'!G31)*1000</f>
        <v>26.501098901098899</v>
      </c>
      <c r="H31" s="567">
        <f>('C-69'!H31/'C-68'!H31)*1000</f>
        <v>26.278260869565216</v>
      </c>
      <c r="I31" s="567">
        <f>('C-69'!I31/'C-68'!I31)*1000</f>
        <v>25.919491525423727</v>
      </c>
      <c r="J31" s="567">
        <f>('C-69'!J31/'C-68'!J31)*1000</f>
        <v>25.673913043478262</v>
      </c>
      <c r="K31" s="567">
        <f>('C-69'!K31/'C-68'!K31)*1000</f>
        <v>26.358447488584474</v>
      </c>
      <c r="L31" s="567">
        <f>('C-69'!L31/'C-68'!L31)*1000</f>
        <v>27.853658536585368</v>
      </c>
      <c r="M31" s="567">
        <f>('C-69'!M31/'C-68'!M31)*1000</f>
        <v>24.470000000000002</v>
      </c>
      <c r="N31" s="567">
        <f>('C-69'!N31/'C-68'!N31)*1000</f>
        <v>24.022222222222222</v>
      </c>
    </row>
    <row r="32" spans="1:14" ht="12" customHeight="1">
      <c r="A32" s="269" t="s">
        <v>44</v>
      </c>
      <c r="B32" s="566">
        <f>('C-69'!B32/'C-68'!B32)*1000</f>
        <v>29.061050228310492</v>
      </c>
      <c r="C32" s="567">
        <f>('C-69'!C32/'C-68'!C32)*1000</f>
        <v>28.86672636103151</v>
      </c>
      <c r="D32" s="567">
        <f>('C-69'!D32/'C-68'!D32)*1000</f>
        <v>28.808648111331994</v>
      </c>
      <c r="E32" s="567">
        <f>('C-69'!E32/'C-68'!E32)*1000</f>
        <v>28.799999999999994</v>
      </c>
      <c r="F32" s="567">
        <f>('C-69'!F32/'C-68'!F32)*1000</f>
        <v>29.237809798270888</v>
      </c>
      <c r="G32" s="567">
        <f>('C-69'!G32/'C-68'!G32)*1000</f>
        <v>29.25</v>
      </c>
      <c r="H32" s="567">
        <f>('C-69'!H32/'C-68'!H32)*1000</f>
        <v>29.246151911468807</v>
      </c>
      <c r="I32" s="567">
        <f>('C-69'!I32/'C-68'!I32)*1000</f>
        <v>29.246151911468807</v>
      </c>
      <c r="J32" s="567">
        <f>('C-69'!J32/'C-68'!J32)*1000</f>
        <v>29.25</v>
      </c>
      <c r="K32" s="567">
        <f>('C-69'!K32/'C-68'!K32)*1000</f>
        <v>29.069520142180092</v>
      </c>
      <c r="L32" s="567">
        <f>('C-69'!L32/'C-68'!L32)*1000</f>
        <v>28.799999999999983</v>
      </c>
      <c r="M32" s="567">
        <f>('C-69'!M32/'C-68'!M32)*1000</f>
        <v>29.083652430044165</v>
      </c>
      <c r="N32" s="567">
        <f>('C-69'!N32/'C-68'!N32)*1000</f>
        <v>28.799999999999983</v>
      </c>
    </row>
    <row r="33" spans="1:14" ht="12" customHeight="1">
      <c r="A33" s="269" t="s">
        <v>45</v>
      </c>
      <c r="B33" s="566">
        <f>('C-69'!B33/'C-68'!B33)*1000</f>
        <v>38.487176597290059</v>
      </c>
      <c r="C33" s="567">
        <f>('C-69'!C33/'C-68'!C33)*1000</f>
        <v>38.123456790123463</v>
      </c>
      <c r="D33" s="567">
        <f>('C-69'!D33/'C-68'!D33)*1000</f>
        <v>38.616640746500771</v>
      </c>
      <c r="E33" s="567">
        <f>('C-69'!E33/'C-68'!E33)*1000</f>
        <v>38.633529411764712</v>
      </c>
      <c r="F33" s="567">
        <f>('C-69'!F33/'C-68'!F33)*1000</f>
        <v>39.54329004329005</v>
      </c>
      <c r="G33" s="567">
        <f>('C-69'!G33/'C-68'!G33)*1000</f>
        <v>39.551162790697674</v>
      </c>
      <c r="H33" s="567">
        <f>('C-69'!H33/'C-68'!H33)*1000</f>
        <v>39.353216374269003</v>
      </c>
      <c r="I33" s="567">
        <f>('C-69'!I33/'C-68'!I33)*1000</f>
        <v>38.507523939808479</v>
      </c>
      <c r="J33" s="567">
        <f>('C-69'!J33/'C-68'!J33)*1000</f>
        <v>38.261001517450687</v>
      </c>
      <c r="K33" s="567">
        <f>('C-69'!K33/'C-68'!K33)*1000</f>
        <v>37.338164251207729</v>
      </c>
      <c r="L33" s="567">
        <f>('C-69'!L33/'C-68'!L33)*1000</f>
        <v>37.175542406311635</v>
      </c>
      <c r="M33" s="567">
        <f>('C-69'!M33/'C-68'!M33)*1000</f>
        <v>37.134782608695645</v>
      </c>
      <c r="N33" s="567">
        <f>('C-69'!N33/'C-68'!N33)*1000</f>
        <v>37.555977229601517</v>
      </c>
    </row>
    <row r="34" spans="1:14" ht="12" customHeight="1">
      <c r="A34" s="217" t="s">
        <v>46</v>
      </c>
      <c r="B34" s="566">
        <v>0</v>
      </c>
      <c r="C34" s="567">
        <v>0</v>
      </c>
      <c r="D34" s="567">
        <v>0</v>
      </c>
      <c r="E34" s="567">
        <v>0</v>
      </c>
      <c r="F34" s="567">
        <v>0</v>
      </c>
      <c r="G34" s="567">
        <v>0</v>
      </c>
      <c r="H34" s="567">
        <v>0</v>
      </c>
      <c r="I34" s="567">
        <v>0</v>
      </c>
      <c r="J34" s="567">
        <v>0</v>
      </c>
      <c r="K34" s="567">
        <v>0</v>
      </c>
      <c r="L34" s="567">
        <v>0</v>
      </c>
      <c r="M34" s="567">
        <v>0</v>
      </c>
      <c r="N34" s="567">
        <v>0</v>
      </c>
    </row>
    <row r="35" spans="1:14" ht="12" customHeight="1">
      <c r="A35" s="217" t="s">
        <v>47</v>
      </c>
      <c r="B35" s="566">
        <v>0</v>
      </c>
      <c r="C35" s="567">
        <v>0</v>
      </c>
      <c r="D35" s="567">
        <v>0</v>
      </c>
      <c r="E35" s="567">
        <v>0</v>
      </c>
      <c r="F35" s="567">
        <v>0</v>
      </c>
      <c r="G35" s="567">
        <v>0</v>
      </c>
      <c r="H35" s="567">
        <v>0</v>
      </c>
      <c r="I35" s="567">
        <v>0</v>
      </c>
      <c r="J35" s="567">
        <v>0</v>
      </c>
      <c r="K35" s="567">
        <v>0</v>
      </c>
      <c r="L35" s="567">
        <v>0</v>
      </c>
      <c r="M35" s="567">
        <v>0</v>
      </c>
      <c r="N35" s="567">
        <v>0</v>
      </c>
    </row>
    <row r="36" spans="1:14" ht="12" customHeight="1">
      <c r="A36" s="217" t="s">
        <v>48</v>
      </c>
      <c r="B36" s="566">
        <v>0</v>
      </c>
      <c r="C36" s="567">
        <v>0</v>
      </c>
      <c r="D36" s="567">
        <v>0</v>
      </c>
      <c r="E36" s="567">
        <v>0</v>
      </c>
      <c r="F36" s="567">
        <v>0</v>
      </c>
      <c r="G36" s="567">
        <v>0</v>
      </c>
      <c r="H36" s="567">
        <v>0</v>
      </c>
      <c r="I36" s="567">
        <v>0</v>
      </c>
      <c r="J36" s="567">
        <v>0</v>
      </c>
      <c r="K36" s="567">
        <v>0</v>
      </c>
      <c r="L36" s="567">
        <v>0</v>
      </c>
      <c r="M36" s="567">
        <v>0</v>
      </c>
      <c r="N36" s="567">
        <v>0</v>
      </c>
    </row>
    <row r="37" spans="1:14" ht="12" customHeight="1" thickBot="1">
      <c r="A37" s="272" t="s">
        <v>49</v>
      </c>
      <c r="B37" s="568">
        <v>0</v>
      </c>
      <c r="C37" s="569">
        <v>0</v>
      </c>
      <c r="D37" s="569">
        <v>0</v>
      </c>
      <c r="E37" s="569">
        <v>0</v>
      </c>
      <c r="F37" s="569">
        <v>0</v>
      </c>
      <c r="G37" s="569">
        <v>0</v>
      </c>
      <c r="H37" s="569">
        <v>0</v>
      </c>
      <c r="I37" s="569">
        <v>0</v>
      </c>
      <c r="J37" s="569">
        <v>0</v>
      </c>
      <c r="K37" s="569">
        <v>0</v>
      </c>
      <c r="L37" s="569">
        <v>0</v>
      </c>
      <c r="M37" s="569">
        <v>0</v>
      </c>
      <c r="N37" s="569">
        <v>0</v>
      </c>
    </row>
    <row r="38" spans="1:14" ht="10" customHeight="1">
      <c r="A38" s="28" t="s">
        <v>238</v>
      </c>
      <c r="B38" s="536"/>
      <c r="C38" s="536"/>
      <c r="D38" s="536"/>
      <c r="E38" s="536"/>
      <c r="F38" s="536"/>
    </row>
    <row r="39" spans="1:14" ht="10" customHeight="1">
      <c r="A39" s="28" t="s">
        <v>192</v>
      </c>
      <c r="B39" s="536"/>
      <c r="C39" s="536"/>
      <c r="D39" s="536"/>
      <c r="E39" s="536"/>
      <c r="F39" s="536"/>
    </row>
    <row r="40" spans="1:14" ht="10" customHeight="1">
      <c r="A40" s="40" t="s">
        <v>261</v>
      </c>
      <c r="B40" s="536"/>
      <c r="C40" s="536"/>
      <c r="D40" s="536"/>
      <c r="E40" s="536"/>
      <c r="F40" s="536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Hoja72">
    <tabColor theme="9" tint="0.59999389629810485"/>
  </sheetPr>
  <dimension ref="A4:N5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14" ht="13" customHeight="1">
      <c r="A4" s="511" t="s">
        <v>407</v>
      </c>
      <c r="B4" s="507"/>
    </row>
    <row r="5" spans="1:14" ht="13" customHeight="1">
      <c r="A5" s="515" t="s">
        <v>325</v>
      </c>
      <c r="B5" s="508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</row>
    <row r="6" spans="1:14" ht="5" customHeight="1" thickBot="1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</row>
    <row r="7" spans="1:14" ht="15" customHeight="1">
      <c r="A7" s="524" t="s">
        <v>18</v>
      </c>
      <c r="B7" s="521" t="s">
        <v>118</v>
      </c>
      <c r="C7" s="524" t="s">
        <v>57</v>
      </c>
      <c r="D7" s="524" t="s">
        <v>58</v>
      </c>
      <c r="E7" s="524" t="s">
        <v>59</v>
      </c>
      <c r="F7" s="524" t="s">
        <v>60</v>
      </c>
      <c r="G7" s="524" t="s">
        <v>61</v>
      </c>
      <c r="H7" s="524" t="s">
        <v>62</v>
      </c>
      <c r="I7" s="524" t="s">
        <v>63</v>
      </c>
      <c r="J7" s="524" t="s">
        <v>64</v>
      </c>
      <c r="K7" s="524" t="s">
        <v>65</v>
      </c>
      <c r="L7" s="524" t="s">
        <v>66</v>
      </c>
      <c r="M7" s="524" t="s">
        <v>67</v>
      </c>
      <c r="N7" s="524" t="s">
        <v>68</v>
      </c>
    </row>
    <row r="8" spans="1:14" ht="15" customHeight="1">
      <c r="A8" s="530" t="s">
        <v>100</v>
      </c>
      <c r="B8" s="531">
        <f>(B9+B10+B11+B12+B13+B17+B18+B19+B20+B21+B22+B23+B24+B25+B26+B27+B28+B29+B32+B33+B34+B35+B36+B37)</f>
        <v>29468986.058393769</v>
      </c>
      <c r="C8" s="531">
        <f>(C9+C10+C11+C12+C13+C17+C18+C19+C20+C21+C22+C23+C24+C25+C26+C27+C28+C29+C32+C33+C34+C35+C36+C37)</f>
        <v>29182528.352734149</v>
      </c>
      <c r="D8" s="531">
        <f>(D9+D10+D11+D12+D13+D17+D18+D19+D20+D21+D22+D23+D24+D25+D26+D27+D28+D29+D32+D33+D34+D35+D36+D37)</f>
        <v>29544813.6938692</v>
      </c>
      <c r="E8" s="531">
        <f t="shared" ref="E8:N8" si="0">(E9+E10+E11+E12+E13+E17+E18+E19+E20+E21+E22+E23+E24+E25+E26+E27+E28+E29+E32+E33+E34+E35+E36+E37)</f>
        <v>29011079.18641758</v>
      </c>
      <c r="F8" s="531">
        <f t="shared" si="0"/>
        <v>29411919.163488884</v>
      </c>
      <c r="G8" s="531">
        <f t="shared" si="0"/>
        <v>29700028.246672053</v>
      </c>
      <c r="H8" s="531">
        <f t="shared" si="0"/>
        <v>29607390.2382093</v>
      </c>
      <c r="I8" s="531">
        <f t="shared" si="0"/>
        <v>29507060.356899772</v>
      </c>
      <c r="J8" s="531">
        <f t="shared" si="0"/>
        <v>29318524.702775389</v>
      </c>
      <c r="K8" s="531">
        <f t="shared" si="0"/>
        <v>29119687.350566257</v>
      </c>
      <c r="L8" s="531">
        <f t="shared" si="0"/>
        <v>29500507.770620178</v>
      </c>
      <c r="M8" s="531">
        <f t="shared" si="0"/>
        <v>29719704.099255074</v>
      </c>
      <c r="N8" s="531">
        <f t="shared" si="0"/>
        <v>30004589.539217412</v>
      </c>
    </row>
    <row r="9" spans="1:14" ht="12" customHeight="1">
      <c r="A9" s="269" t="s">
        <v>21</v>
      </c>
      <c r="B9" s="544">
        <f t="shared" ref="B9:B37" si="1">AVERAGE(C9:N9)</f>
        <v>15503.013038275783</v>
      </c>
      <c r="C9" s="242">
        <f>+'[2]HUE 04-99'!E1376</f>
        <v>14850</v>
      </c>
      <c r="D9" s="242">
        <f>+'[2]HUE 04-99'!F1376</f>
        <v>13053.4423840362</v>
      </c>
      <c r="E9" s="242">
        <f>+'[2]HUE 04-99'!G1376</f>
        <v>14252.277576318527</v>
      </c>
      <c r="F9" s="242">
        <f>+'[2]HUE 04-99'!H1376</f>
        <v>13888.425313487809</v>
      </c>
      <c r="G9" s="242">
        <f>+'[2]HUE 04-99'!I1376</f>
        <v>14550.389168340322</v>
      </c>
      <c r="H9" s="242">
        <f>+'[2]HUE 04-99'!J1376</f>
        <v>20840.98407910017</v>
      </c>
      <c r="I9" s="242">
        <f>+'[2]HUE 04-99'!K1376</f>
        <v>15986.707499203199</v>
      </c>
      <c r="J9" s="242">
        <f>+'[2]HUE 04-99'!L1376</f>
        <v>15382.913811173001</v>
      </c>
      <c r="K9" s="242">
        <f>+'[2]HUE 04-99'!M1376</f>
        <v>16098.105821385758</v>
      </c>
      <c r="L9" s="242">
        <f>+'[2]HUE 04-99'!N1376</f>
        <v>15734.845819307568</v>
      </c>
      <c r="M9" s="242">
        <f>+'[2]HUE 04-99'!O1376</f>
        <v>15371.61926982208</v>
      </c>
      <c r="N9" s="242">
        <f>+'[2]HUE 04-99'!P1376</f>
        <v>16026.445717134755</v>
      </c>
    </row>
    <row r="10" spans="1:14" ht="12" customHeight="1">
      <c r="A10" s="269" t="s">
        <v>22</v>
      </c>
      <c r="B10" s="544">
        <f t="shared" si="1"/>
        <v>394728.69294304214</v>
      </c>
      <c r="C10" s="242">
        <f>+'[2]HUE 04-99'!E1379</f>
        <v>350390.53764455201</v>
      </c>
      <c r="D10" s="242">
        <f>+'[2]HUE 04-99'!F1379</f>
        <v>412055.92552500369</v>
      </c>
      <c r="E10" s="242">
        <f>+'[2]HUE 04-99'!G1379</f>
        <v>405713.60074059002</v>
      </c>
      <c r="F10" s="242">
        <f>+'[2]HUE 04-99'!H1379</f>
        <v>375070.63873911701</v>
      </c>
      <c r="G10" s="242">
        <f>+'[2]HUE 04-99'!I1379</f>
        <v>380668.52368464298</v>
      </c>
      <c r="H10" s="242">
        <f>+'[2]HUE 04-99'!J1379</f>
        <v>370317.09205558797</v>
      </c>
      <c r="I10" s="242">
        <f>+'[2]HUE 04-99'!K1379</f>
        <v>380835.519646973</v>
      </c>
      <c r="J10" s="242">
        <f>+'[2]HUE 04-99'!L1379</f>
        <v>401969.94964976702</v>
      </c>
      <c r="K10" s="242">
        <f>+'[2]HUE 04-99'!M1379</f>
        <v>408666.04772403202</v>
      </c>
      <c r="L10" s="242">
        <f>+'[2]HUE 04-99'!N1379</f>
        <v>430431.00106710102</v>
      </c>
      <c r="M10" s="242">
        <f>+'[2]HUE 04-99'!O1379</f>
        <v>417174.19822161447</v>
      </c>
      <c r="N10" s="242">
        <f>+'[2]HUE 04-99'!P1379</f>
        <v>403451.28061752499</v>
      </c>
    </row>
    <row r="11" spans="1:14" ht="12" customHeight="1">
      <c r="A11" s="269" t="s">
        <v>23</v>
      </c>
      <c r="B11" s="544">
        <f t="shared" si="1"/>
        <v>498471.55665609211</v>
      </c>
      <c r="C11" s="242">
        <f>+'[2]HUE 04-99'!E1382</f>
        <v>485793.20946611598</v>
      </c>
      <c r="D11" s="242">
        <f>+'[2]HUE 04-99'!F1382</f>
        <v>463083.166524072</v>
      </c>
      <c r="E11" s="242">
        <f>+'[2]HUE 04-99'!G1382</f>
        <v>475578.63114715501</v>
      </c>
      <c r="F11" s="242">
        <f>+'[2]HUE 04-99'!H1382</f>
        <v>449246.56193638901</v>
      </c>
      <c r="G11" s="242">
        <f>+'[2]HUE 04-99'!I1382</f>
        <v>498985.566852107</v>
      </c>
      <c r="H11" s="242">
        <f>+'[2]HUE 04-99'!J1382</f>
        <v>520775.39765579603</v>
      </c>
      <c r="I11" s="242">
        <f>+'[2]HUE 04-99'!K1382</f>
        <v>443271.33343194902</v>
      </c>
      <c r="J11" s="242">
        <f>+'[2]HUE 04-99'!L1382</f>
        <v>507322.36574898334</v>
      </c>
      <c r="K11" s="242">
        <f>+'[2]HUE 04-99'!M1382</f>
        <v>507783.77380759502</v>
      </c>
      <c r="L11" s="242">
        <f>+'[2]HUE 04-99'!N1382</f>
        <v>498838.47834702599</v>
      </c>
      <c r="M11" s="242">
        <f>+'[2]HUE 04-99'!O1382</f>
        <v>516580.35940502997</v>
      </c>
      <c r="N11" s="242">
        <f>+'[2]HUE 04-99'!P1382</f>
        <v>614399.83555088704</v>
      </c>
    </row>
    <row r="12" spans="1:14" ht="12" customHeight="1">
      <c r="A12" s="217" t="s">
        <v>24</v>
      </c>
      <c r="B12" s="544">
        <f t="shared" si="1"/>
        <v>4838790.3880135566</v>
      </c>
      <c r="C12" s="242">
        <f>+'[2]HUE 04-99'!E1385</f>
        <v>4646693.4990694597</v>
      </c>
      <c r="D12" s="242">
        <f>+'[2]HUE 04-99'!F1385</f>
        <v>4668181.4891145099</v>
      </c>
      <c r="E12" s="242">
        <f>+'[2]HUE 04-99'!G1385</f>
        <v>4466520.3234140202</v>
      </c>
      <c r="F12" s="242">
        <f>+'[2]HUE 04-99'!H1385</f>
        <v>4174730.3566973899</v>
      </c>
      <c r="G12" s="242">
        <f>+'[2]HUE 04-99'!I1385</f>
        <v>4682659.0569536705</v>
      </c>
      <c r="H12" s="242">
        <f>+'[2]HUE 04-99'!J1385</f>
        <v>4733035.1020422801</v>
      </c>
      <c r="I12" s="242">
        <f>+'[2]HUE 04-99'!K1385</f>
        <v>4885792.05647601</v>
      </c>
      <c r="J12" s="242">
        <f>+'[2]HUE 04-99'!L1385</f>
        <v>5061226.8614201397</v>
      </c>
      <c r="K12" s="242">
        <f>+'[2]HUE 04-99'!M1385</f>
        <v>4742693.1185588669</v>
      </c>
      <c r="L12" s="242">
        <f>+'[2]HUE 04-99'!N1385</f>
        <v>5160852.3687899699</v>
      </c>
      <c r="M12" s="242">
        <f>+'[2]HUE 04-99'!O1385</f>
        <v>5411737.5255199596</v>
      </c>
      <c r="N12" s="242">
        <f>+'[2]HUE 04-99'!P1385</f>
        <v>5431362.8981063999</v>
      </c>
    </row>
    <row r="13" spans="1:14" ht="12" customHeight="1">
      <c r="A13" s="217" t="s">
        <v>25</v>
      </c>
      <c r="B13" s="544">
        <f t="shared" si="1"/>
        <v>429009.57130282809</v>
      </c>
      <c r="C13" s="242">
        <f>+'[2]HUE 04-99'!E1388</f>
        <v>393649.45250585373</v>
      </c>
      <c r="D13" s="242">
        <f>+'[2]HUE 04-99'!F1388</f>
        <v>416216.42080451892</v>
      </c>
      <c r="E13" s="242">
        <f>+'[2]HUE 04-99'!G1388</f>
        <v>455398.18545210996</v>
      </c>
      <c r="F13" s="242">
        <f>+'[2]HUE 04-99'!H1388</f>
        <v>450544.87763746106</v>
      </c>
      <c r="G13" s="242">
        <f>+'[2]HUE 04-99'!I1388</f>
        <v>458592.94628128712</v>
      </c>
      <c r="H13" s="242">
        <f>+'[2]HUE 04-99'!J1388</f>
        <v>469239.97180675546</v>
      </c>
      <c r="I13" s="242">
        <f>+'[2]HUE 04-99'!K1388</f>
        <v>437665.48774037004</v>
      </c>
      <c r="J13" s="242">
        <f>+'[2]HUE 04-99'!L1388</f>
        <v>428132.37372376287</v>
      </c>
      <c r="K13" s="242">
        <f>+'[2]HUE 04-99'!M1388</f>
        <v>440381.09585120948</v>
      </c>
      <c r="L13" s="242">
        <f>+'[2]HUE 04-99'!N1388</f>
        <v>398137.28942782246</v>
      </c>
      <c r="M13" s="242">
        <f>+'[2]HUE 04-99'!O1388</f>
        <v>412032.85552438651</v>
      </c>
      <c r="N13" s="242">
        <f>+'[2]HUE 04-99'!P1388</f>
        <v>388123.89887839905</v>
      </c>
    </row>
    <row r="14" spans="1:14" ht="12" customHeight="1">
      <c r="A14" s="271" t="s">
        <v>107</v>
      </c>
      <c r="B14" s="544">
        <f t="shared" si="1"/>
        <v>209562.52405503081</v>
      </c>
      <c r="C14" s="242">
        <f>+'[2]HUE 04-99'!E1391</f>
        <v>192860.43809975401</v>
      </c>
      <c r="D14" s="242">
        <f>+'[2]HUE 04-99'!F1391</f>
        <v>202434.22379726701</v>
      </c>
      <c r="E14" s="242">
        <f>+'[2]HUE 04-99'!G1391</f>
        <v>231678.48908854928</v>
      </c>
      <c r="F14" s="242">
        <f>+'[2]HUE 04-99'!H1391</f>
        <v>225479.21514998644</v>
      </c>
      <c r="G14" s="242">
        <f>+'[2]HUE 04-99'!I1391</f>
        <v>224284.0147739767</v>
      </c>
      <c r="H14" s="242">
        <f>+'[2]HUE 04-99'!J1391</f>
        <v>226813.11873233231</v>
      </c>
      <c r="I14" s="242">
        <f>+'[2]HUE 04-99'!K1391</f>
        <v>192604.50519608101</v>
      </c>
      <c r="J14" s="242">
        <f>+'[2]HUE 04-99'!L1391</f>
        <v>192828.422971917</v>
      </c>
      <c r="K14" s="242">
        <f>+'[2]HUE 04-99'!M1391</f>
        <v>225861.52657213685</v>
      </c>
      <c r="L14" s="242">
        <f>+'[2]HUE 04-99'!N1391</f>
        <v>194518.50821358099</v>
      </c>
      <c r="M14" s="242">
        <f>+'[2]HUE 04-99'!O1391</f>
        <v>212291.42564767424</v>
      </c>
      <c r="N14" s="242">
        <f>+'[2]HUE 04-99'!P1391</f>
        <v>193096.40041711426</v>
      </c>
    </row>
    <row r="15" spans="1:14" ht="12" customHeight="1">
      <c r="A15" s="271" t="s">
        <v>108</v>
      </c>
      <c r="B15" s="544">
        <f t="shared" si="1"/>
        <v>145200.63156947042</v>
      </c>
      <c r="C15" s="242">
        <f>+'[2]HUE 04-99'!E1394</f>
        <v>125319.859589849</v>
      </c>
      <c r="D15" s="242">
        <f>+'[2]HUE 04-99'!F1394</f>
        <v>140001.48320992442</v>
      </c>
      <c r="E15" s="242">
        <f>+'[2]HUE 04-99'!G1394</f>
        <v>149849.11567975648</v>
      </c>
      <c r="F15" s="242">
        <f>+'[2]HUE 04-99'!H1394</f>
        <v>150973.45247455224</v>
      </c>
      <c r="G15" s="242">
        <f>+'[2]HUE 04-99'!I1394</f>
        <v>160143.098482792</v>
      </c>
      <c r="H15" s="242">
        <f>+'[2]HUE 04-99'!J1394</f>
        <v>168253.57823243499</v>
      </c>
      <c r="I15" s="242">
        <f>+'[2]HUE 04-99'!K1394</f>
        <v>170919.36821494027</v>
      </c>
      <c r="J15" s="242">
        <f>+'[2]HUE 04-99'!L1394</f>
        <v>161095.53622000519</v>
      </c>
      <c r="K15" s="242">
        <f>+'[2]HUE 04-99'!M1394</f>
        <v>140311.15474723198</v>
      </c>
      <c r="L15" s="242">
        <f>+'[2]HUE 04-99'!N1394</f>
        <v>129400.36668240077</v>
      </c>
      <c r="M15" s="242">
        <f>+'[2]HUE 04-99'!O1394</f>
        <v>125505.52984488795</v>
      </c>
      <c r="N15" s="242">
        <f>+'[2]HUE 04-99'!P1394</f>
        <v>120635.03545487</v>
      </c>
    </row>
    <row r="16" spans="1:14" ht="12" customHeight="1">
      <c r="A16" s="271" t="s">
        <v>109</v>
      </c>
      <c r="B16" s="544">
        <f t="shared" si="1"/>
        <v>74246.415678326783</v>
      </c>
      <c r="C16" s="242">
        <f>+'[2]HUE 04-99'!E1397</f>
        <v>75469.154816250695</v>
      </c>
      <c r="D16" s="242">
        <f>+'[2]HUE 04-99'!F1397</f>
        <v>73780.713797327495</v>
      </c>
      <c r="E16" s="242">
        <f>+'[2]HUE 04-99'!G1397</f>
        <v>73870.580683804161</v>
      </c>
      <c r="F16" s="242">
        <f>+'[2]HUE 04-99'!H1397</f>
        <v>74092.210012922398</v>
      </c>
      <c r="G16" s="242">
        <f>+'[2]HUE 04-99'!I1397</f>
        <v>74165.833024518477</v>
      </c>
      <c r="H16" s="242">
        <f>+'[2]HUE 04-99'!J1397</f>
        <v>74173.274841988168</v>
      </c>
      <c r="I16" s="242">
        <f>+'[2]HUE 04-99'!K1397</f>
        <v>74141.61432934874</v>
      </c>
      <c r="J16" s="242">
        <f>+'[2]HUE 04-99'!L1397</f>
        <v>74208.414531840666</v>
      </c>
      <c r="K16" s="242">
        <f>+'[2]HUE 04-99'!M1397</f>
        <v>74208.414531840666</v>
      </c>
      <c r="L16" s="242">
        <f>+'[2]HUE 04-99'!N1397</f>
        <v>74218.414531840695</v>
      </c>
      <c r="M16" s="242">
        <f>+'[2]HUE 04-99'!O1397</f>
        <v>74235.900031824334</v>
      </c>
      <c r="N16" s="242">
        <f>+'[2]HUE 04-99'!P1397</f>
        <v>74392.463006414851</v>
      </c>
    </row>
    <row r="17" spans="1:14" ht="12" customHeight="1">
      <c r="A17" s="269" t="s">
        <v>29</v>
      </c>
      <c r="B17" s="544">
        <f t="shared" si="1"/>
        <v>137753.04690710787</v>
      </c>
      <c r="C17" s="242">
        <f>+'[2]HUE 04-99'!E1400</f>
        <v>164310.605887363</v>
      </c>
      <c r="D17" s="242">
        <f>+'[2]HUE 04-99'!F1400</f>
        <v>148711.49732875801</v>
      </c>
      <c r="E17" s="242">
        <f>+'[2]HUE 04-99'!G1400</f>
        <v>172704.216268747</v>
      </c>
      <c r="F17" s="242">
        <f>+'[2]HUE 04-99'!H1400</f>
        <v>151257.702680455</v>
      </c>
      <c r="G17" s="242">
        <f>+'[2]HUE 04-99'!I1400</f>
        <v>147010.46202742399</v>
      </c>
      <c r="H17" s="242">
        <f>+'[2]HUE 04-99'!J1400</f>
        <v>144696.371211052</v>
      </c>
      <c r="I17" s="242">
        <f>+'[2]HUE 04-99'!K1400</f>
        <v>147644.332492015</v>
      </c>
      <c r="J17" s="242">
        <f>+'[2]HUE 04-99'!L1400</f>
        <v>108902.896721115</v>
      </c>
      <c r="K17" s="242">
        <f>+'[2]HUE 04-99'!M1400</f>
        <v>116361.08671648811</v>
      </c>
      <c r="L17" s="242">
        <f>+'[2]HUE 04-99'!N1400</f>
        <v>115982.42496379078</v>
      </c>
      <c r="M17" s="242">
        <f>+'[2]HUE 04-99'!O1400</f>
        <v>116268.49748394862</v>
      </c>
      <c r="N17" s="242">
        <f>+'[2]HUE 04-99'!P1400</f>
        <v>119186.469104138</v>
      </c>
    </row>
    <row r="18" spans="1:14" ht="12" customHeight="1">
      <c r="A18" s="217" t="s">
        <v>30</v>
      </c>
      <c r="B18" s="544">
        <f t="shared" si="1"/>
        <v>206001.29383675498</v>
      </c>
      <c r="C18" s="242">
        <f>+'[2]HUE 04-99'!E1403</f>
        <v>205290.62863576427</v>
      </c>
      <c r="D18" s="242">
        <f>+'[2]HUE 04-99'!F1403</f>
        <v>206739.61523962652</v>
      </c>
      <c r="E18" s="242">
        <f>+'[2]HUE 04-99'!G1403</f>
        <v>209554.40353692992</v>
      </c>
      <c r="F18" s="242">
        <f>+'[2]HUE 04-99'!H1403</f>
        <v>209671.57705855498</v>
      </c>
      <c r="G18" s="242">
        <f>+'[2]HUE 04-99'!I1403</f>
        <v>213911.32890254332</v>
      </c>
      <c r="H18" s="242">
        <f>+'[2]HUE 04-99'!J1403</f>
        <v>211961.51802897497</v>
      </c>
      <c r="I18" s="242">
        <f>+'[2]HUE 04-99'!K1403</f>
        <v>200082.77364968692</v>
      </c>
      <c r="J18" s="242">
        <f>+'[2]HUE 04-99'!L1403</f>
        <v>200422.07918870778</v>
      </c>
      <c r="K18" s="242">
        <f>+'[2]HUE 04-99'!M1403</f>
        <v>201439.01702170499</v>
      </c>
      <c r="L18" s="242">
        <f>+'[2]HUE 04-99'!N1403</f>
        <v>201198.350259467</v>
      </c>
      <c r="M18" s="242">
        <f>+'[2]HUE 04-99'!O1403</f>
        <v>199565.18901626414</v>
      </c>
      <c r="N18" s="242">
        <f>+'[2]HUE 04-99'!P1403</f>
        <v>212179.04550283501</v>
      </c>
    </row>
    <row r="19" spans="1:14" ht="12" customHeight="1">
      <c r="A19" s="217" t="s">
        <v>31</v>
      </c>
      <c r="B19" s="544">
        <f t="shared" si="1"/>
        <v>7383050.6976473862</v>
      </c>
      <c r="C19" s="242">
        <f>+'[2]HUE 04-99'!E1406</f>
        <v>7663554.1529653883</v>
      </c>
      <c r="D19" s="242">
        <f>+'[2]HUE 04-99'!F1406</f>
        <v>7660120.6233323403</v>
      </c>
      <c r="E19" s="242">
        <f>+'[2]HUE 04-99'!G1406</f>
        <v>7506166.8975362601</v>
      </c>
      <c r="F19" s="242">
        <f>+'[2]HUE 04-99'!H1406</f>
        <v>7502206.6181131024</v>
      </c>
      <c r="G19" s="242">
        <f>+'[2]HUE 04-99'!I1406</f>
        <v>7391763.8103102185</v>
      </c>
      <c r="H19" s="242">
        <f>+'[2]HUE 04-99'!J1406</f>
        <v>7100542.1455342816</v>
      </c>
      <c r="I19" s="242">
        <f>+'[2]HUE 04-99'!K1406</f>
        <v>7286628.2043265523</v>
      </c>
      <c r="J19" s="242">
        <f>+'[2]HUE 04-99'!L1406</f>
        <v>7140103.6068110596</v>
      </c>
      <c r="K19" s="242">
        <f>+'[2]HUE 04-99'!M1406</f>
        <v>7096017.3479552902</v>
      </c>
      <c r="L19" s="242">
        <f>+'[2]HUE 04-99'!N1406</f>
        <v>7372510.9594255099</v>
      </c>
      <c r="M19" s="242">
        <f>+'[2]HUE 04-99'!O1406</f>
        <v>7460800.5145007102</v>
      </c>
      <c r="N19" s="242">
        <f>+'[2]HUE 04-99'!P1406</f>
        <v>7416193.4909579102</v>
      </c>
    </row>
    <row r="20" spans="1:14" ht="12" customHeight="1">
      <c r="A20" s="269" t="s">
        <v>32</v>
      </c>
      <c r="B20" s="544">
        <f t="shared" si="1"/>
        <v>10940573.284895597</v>
      </c>
      <c r="C20" s="242">
        <f>+'[2]HUE 04-99'!E1409</f>
        <v>10785119.812862601</v>
      </c>
      <c r="D20" s="242">
        <f>+'[2]HUE 04-99'!F1409</f>
        <v>11045237.241371041</v>
      </c>
      <c r="E20" s="242">
        <f>+'[2]HUE 04-99'!G1409</f>
        <v>10511432.027528301</v>
      </c>
      <c r="F20" s="242">
        <f>+'[2]HUE 04-99'!H1409</f>
        <v>11299587.9272826</v>
      </c>
      <c r="G20" s="242">
        <f>+'[2]HUE 04-99'!I1409</f>
        <v>11271983.918746723</v>
      </c>
      <c r="H20" s="242">
        <f>+'[2]HUE 04-99'!J1409</f>
        <v>11256792.429573551</v>
      </c>
      <c r="I20" s="242">
        <f>+'[2]HUE 04-99'!K1409</f>
        <v>11135222.551190848</v>
      </c>
      <c r="J20" s="242">
        <f>+'[2]HUE 04-99'!L1409</f>
        <v>10721179.619047601</v>
      </c>
      <c r="K20" s="242">
        <f>+'[2]HUE 04-99'!M1409</f>
        <v>10904207.5031194</v>
      </c>
      <c r="L20" s="242">
        <f>+'[2]HUE 04-99'!N1409</f>
        <v>10836304.2832438</v>
      </c>
      <c r="M20" s="242">
        <f>+'[2]HUE 04-99'!O1409</f>
        <v>10665464.0936739</v>
      </c>
      <c r="N20" s="242">
        <f>+'[2]HUE 04-99'!P1409</f>
        <v>10854348.0111068</v>
      </c>
    </row>
    <row r="21" spans="1:14" ht="12" customHeight="1">
      <c r="A21" s="269" t="s">
        <v>33</v>
      </c>
      <c r="B21" s="544">
        <f t="shared" si="1"/>
        <v>202675.97916531804</v>
      </c>
      <c r="C21" s="242">
        <f>+'[2]HUE 04-99'!E1412</f>
        <v>200380.04325518999</v>
      </c>
      <c r="D21" s="242">
        <f>+'[2]HUE 04-99'!F1412</f>
        <v>200525.29984100501</v>
      </c>
      <c r="E21" s="242">
        <f>+'[2]HUE 04-99'!G1412</f>
        <v>201832.03810916399</v>
      </c>
      <c r="F21" s="242">
        <f>+'[2]HUE 04-99'!H1412</f>
        <v>189296.884478402</v>
      </c>
      <c r="G21" s="242">
        <f>+'[2]HUE 04-99'!I1412</f>
        <v>194049.04767579399</v>
      </c>
      <c r="H21" s="242">
        <f>+'[2]HUE 04-99'!J1412</f>
        <v>195376.971491631</v>
      </c>
      <c r="I21" s="242">
        <f>+'[2]HUE 04-99'!K1412</f>
        <v>193333.10726893399</v>
      </c>
      <c r="J21" s="242">
        <f>+'[2]HUE 04-99'!L1412</f>
        <v>214648.92900658201</v>
      </c>
      <c r="K21" s="242">
        <f>+'[2]HUE 04-99'!M1412</f>
        <v>213668.86998257996</v>
      </c>
      <c r="L21" s="242">
        <f>+'[2]HUE 04-99'!N1412</f>
        <v>212836.51354743561</v>
      </c>
      <c r="M21" s="242">
        <f>+'[2]HUE 04-99'!O1412</f>
        <v>201115.80966274801</v>
      </c>
      <c r="N21" s="242">
        <f>+'[2]HUE 04-99'!P1412</f>
        <v>215048.23566435109</v>
      </c>
    </row>
    <row r="22" spans="1:14" ht="12" customHeight="1">
      <c r="A22" s="269" t="s">
        <v>34</v>
      </c>
      <c r="B22" s="544">
        <f t="shared" si="1"/>
        <v>38809.026033266608</v>
      </c>
      <c r="C22" s="242">
        <f>+'[2]HUE 04-99'!E1415</f>
        <v>33020</v>
      </c>
      <c r="D22" s="242">
        <f>+'[2]HUE 04-99'!F1415</f>
        <v>31791.401391682335</v>
      </c>
      <c r="E22" s="242">
        <f>+'[2]HUE 04-99'!G1415</f>
        <v>34266.545363949532</v>
      </c>
      <c r="F22" s="242">
        <f>+'[2]HUE 04-99'!H1415</f>
        <v>33346.489263879484</v>
      </c>
      <c r="G22" s="242">
        <f>+'[2]HUE 04-99'!I1415</f>
        <v>37051.835974327332</v>
      </c>
      <c r="H22" s="242">
        <f>+'[2]HUE 04-99'!J1415</f>
        <v>39799.854185469572</v>
      </c>
      <c r="I22" s="242">
        <f>+'[2]HUE 04-99'!K1415</f>
        <v>42278.166733553619</v>
      </c>
      <c r="J22" s="242">
        <f>+'[2]HUE 04-99'!L1415</f>
        <v>43124.903616833974</v>
      </c>
      <c r="K22" s="242">
        <f>+'[2]HUE 04-99'!M1415</f>
        <v>43430.28494179601</v>
      </c>
      <c r="L22" s="242">
        <f>+'[2]HUE 04-99'!N1415</f>
        <v>40807.157290555093</v>
      </c>
      <c r="M22" s="242">
        <f>+'[2]HUE 04-99'!O1415</f>
        <v>39235.07021270509</v>
      </c>
      <c r="N22" s="242">
        <f>+'[2]HUE 04-99'!P1415</f>
        <v>47556.603424447276</v>
      </c>
    </row>
    <row r="23" spans="1:14" ht="12" customHeight="1">
      <c r="A23" s="269" t="s">
        <v>35</v>
      </c>
      <c r="B23" s="544">
        <f t="shared" si="1"/>
        <v>170103.30527924327</v>
      </c>
      <c r="C23" s="242">
        <f>+'[2]HUE 04-99'!E1418</f>
        <v>175500.98626599999</v>
      </c>
      <c r="D23" s="242">
        <f>+'[2]HUE 04-99'!F1418</f>
        <v>156155.891634042</v>
      </c>
      <c r="E23" s="242">
        <f>+'[2]HUE 04-99'!G1418</f>
        <v>182111.91800772201</v>
      </c>
      <c r="F23" s="242">
        <f>+'[2]HUE 04-99'!H1418</f>
        <v>171303.1798593679</v>
      </c>
      <c r="G23" s="242">
        <f>+'[2]HUE 04-99'!I1418</f>
        <v>177250.85801111683</v>
      </c>
      <c r="H23" s="242">
        <f>+'[2]HUE 04-99'!J1418</f>
        <v>179847.72399356426</v>
      </c>
      <c r="I23" s="242">
        <f>+'[2]HUE 04-99'!K1418</f>
        <v>174246.20948790002</v>
      </c>
      <c r="J23" s="242">
        <f>+'[2]HUE 04-99'!L1418</f>
        <v>171680.50909400874</v>
      </c>
      <c r="K23" s="242">
        <f>+'[2]HUE 04-99'!M1418</f>
        <v>166803.28647054685</v>
      </c>
      <c r="L23" s="242">
        <f>+'[2]HUE 04-99'!N1418</f>
        <v>161252.64875357959</v>
      </c>
      <c r="M23" s="242">
        <f>+'[2]HUE 04-99'!O1418</f>
        <v>163066.50791220256</v>
      </c>
      <c r="N23" s="242">
        <f>+'[2]HUE 04-99'!P1418</f>
        <v>162019.94386086881</v>
      </c>
    </row>
    <row r="24" spans="1:14" ht="12" customHeight="1">
      <c r="A24" s="269" t="s">
        <v>36</v>
      </c>
      <c r="B24" s="544">
        <f t="shared" si="1"/>
        <v>142817.63263210896</v>
      </c>
      <c r="C24" s="242">
        <f>+'[2]HUE 04-99'!E1421</f>
        <v>140306.133218167</v>
      </c>
      <c r="D24" s="242">
        <f>+'[2]HUE 04-99'!F1421</f>
        <v>148455.04458355968</v>
      </c>
      <c r="E24" s="242">
        <f>+'[2]HUE 04-99'!G1421</f>
        <v>144496.08342079187</v>
      </c>
      <c r="F24" s="242">
        <f>+'[2]HUE 04-99'!H1421</f>
        <v>144653.9409523831</v>
      </c>
      <c r="G24" s="242">
        <f>+'[2]HUE 04-99'!I1421</f>
        <v>144989.24307843813</v>
      </c>
      <c r="H24" s="242">
        <f>+'[2]HUE 04-99'!J1421</f>
        <v>145643.99519748596</v>
      </c>
      <c r="I24" s="242">
        <f>+'[2]HUE 04-99'!K1421</f>
        <v>146196.44322030016</v>
      </c>
      <c r="J24" s="242">
        <f>+'[2]HUE 04-99'!L1421</f>
        <v>142649.48041540277</v>
      </c>
      <c r="K24" s="242">
        <f>+'[2]HUE 04-99'!M1421</f>
        <v>142044.82865619194</v>
      </c>
      <c r="L24" s="242">
        <f>+'[2]HUE 04-99'!N1421</f>
        <v>142859.7926720666</v>
      </c>
      <c r="M24" s="242">
        <f>+'[2]HUE 04-99'!O1421</f>
        <v>136575.55256433453</v>
      </c>
      <c r="N24" s="242">
        <f>+'[2]HUE 04-99'!P1421</f>
        <v>134941.05360618568</v>
      </c>
    </row>
    <row r="25" spans="1:14" ht="12" customHeight="1">
      <c r="A25" s="217" t="s">
        <v>37</v>
      </c>
      <c r="B25" s="544">
        <f t="shared" si="1"/>
        <v>1050334.1210303383</v>
      </c>
      <c r="C25" s="242">
        <f>+'[2]HUE 04-99'!E1424</f>
        <v>953613.92693777999</v>
      </c>
      <c r="D25" s="242">
        <f>+'[2]HUE 04-99'!F1424</f>
        <v>1029757.3122339266</v>
      </c>
      <c r="E25" s="242">
        <f>+'[2]HUE 04-99'!G1424</f>
        <v>1065425.3889028099</v>
      </c>
      <c r="F25" s="242">
        <f>+'[2]HUE 04-99'!H1424</f>
        <v>1060836.2186960804</v>
      </c>
      <c r="G25" s="242">
        <f>+'[2]HUE 04-99'!I1424</f>
        <v>1009006.17053607</v>
      </c>
      <c r="H25" s="242">
        <f>+'[2]HUE 04-99'!J1424</f>
        <v>1127759.4343543313</v>
      </c>
      <c r="I25" s="242">
        <f>+'[2]HUE 04-99'!K1424</f>
        <v>998249.47816639999</v>
      </c>
      <c r="J25" s="242">
        <f>+'[2]HUE 04-99'!L1424</f>
        <v>1080557.5809328735</v>
      </c>
      <c r="K25" s="242">
        <f>+'[2]HUE 04-99'!M1424</f>
        <v>1059583.3695678399</v>
      </c>
      <c r="L25" s="242">
        <f>+'[2]HUE 04-99'!N1424</f>
        <v>1016704.99346492</v>
      </c>
      <c r="M25" s="242">
        <f>+'[2]HUE 04-99'!O1424</f>
        <v>1094256.4786747999</v>
      </c>
      <c r="N25" s="242">
        <f>+'[2]HUE 04-99'!P1424</f>
        <v>1108259.09989623</v>
      </c>
    </row>
    <row r="26" spans="1:14" ht="12" customHeight="1">
      <c r="A26" s="269" t="s">
        <v>38</v>
      </c>
      <c r="B26" s="544">
        <f t="shared" si="1"/>
        <v>33139.525922072797</v>
      </c>
      <c r="C26" s="242">
        <f>+'[2]HUE 04-99'!E1427</f>
        <v>31700</v>
      </c>
      <c r="D26" s="242">
        <f>+'[2]HUE 04-99'!F1427</f>
        <v>27570.5757411632</v>
      </c>
      <c r="E26" s="242">
        <f>+'[2]HUE 04-99'!G1427</f>
        <v>34426.639033831801</v>
      </c>
      <c r="F26" s="242">
        <f>+'[2]HUE 04-99'!H1427</f>
        <v>31994.281863625329</v>
      </c>
      <c r="G26" s="242">
        <f>+'[2]HUE 04-99'!I1427</f>
        <v>31540.335277320901</v>
      </c>
      <c r="H26" s="242">
        <f>+'[2]HUE 04-99'!J1427</f>
        <v>28783.246894496304</v>
      </c>
      <c r="I26" s="242">
        <f>+'[2]HUE 04-99'!K1427</f>
        <v>28518.221967691999</v>
      </c>
      <c r="J26" s="242">
        <f>+'[2]HUE 04-99'!L1427</f>
        <v>29137.260225453701</v>
      </c>
      <c r="K26" s="242">
        <f>+'[2]HUE 04-99'!M1427</f>
        <v>32362.024968599471</v>
      </c>
      <c r="L26" s="242">
        <f>+'[2]HUE 04-99'!N1427</f>
        <v>47351.699395926902</v>
      </c>
      <c r="M26" s="242">
        <f>+'[2]HUE 04-99'!O1427</f>
        <v>38124.633107266134</v>
      </c>
      <c r="N26" s="242">
        <f>+'[2]HUE 04-99'!P1427</f>
        <v>36165.392589497802</v>
      </c>
    </row>
    <row r="27" spans="1:14" ht="12" customHeight="1">
      <c r="A27" s="269" t="s">
        <v>39</v>
      </c>
      <c r="B27" s="544">
        <f t="shared" si="1"/>
        <v>333268.25312409335</v>
      </c>
      <c r="C27" s="242">
        <f>+'[2]HUE 04-99'!E1430</f>
        <v>319706.92559936462</v>
      </c>
      <c r="D27" s="242">
        <f>+'[2]HUE 04-99'!F1430</f>
        <v>330579.23622312472</v>
      </c>
      <c r="E27" s="242">
        <f>+'[2]HUE 04-99'!G1430</f>
        <v>329420.40707119944</v>
      </c>
      <c r="F27" s="242">
        <f>+'[2]HUE 04-99'!H1430</f>
        <v>374268.42799134919</v>
      </c>
      <c r="G27" s="242">
        <f>+'[2]HUE 04-99'!I1430</f>
        <v>334449.325273233</v>
      </c>
      <c r="H27" s="242">
        <f>+'[2]HUE 04-99'!J1430</f>
        <v>351036.86130517238</v>
      </c>
      <c r="I27" s="242">
        <f>+'[2]HUE 04-99'!K1430</f>
        <v>340063.02126788115</v>
      </c>
      <c r="J27" s="242">
        <f>+'[2]HUE 04-99'!L1430</f>
        <v>323269.0566466616</v>
      </c>
      <c r="K27" s="242">
        <f>+'[2]HUE 04-99'!M1430</f>
        <v>321459.78679734003</v>
      </c>
      <c r="L27" s="242">
        <f>+'[2]HUE 04-99'!N1430</f>
        <v>334679.35215690703</v>
      </c>
      <c r="M27" s="242">
        <f>+'[2]HUE 04-99'!O1430</f>
        <v>314428.01794495498</v>
      </c>
      <c r="N27" s="242">
        <f>+'[2]HUE 04-99'!P1430</f>
        <v>325858.619211932</v>
      </c>
    </row>
    <row r="28" spans="1:14" ht="12" customHeight="1">
      <c r="A28" s="269" t="s">
        <v>40</v>
      </c>
      <c r="B28" s="544">
        <f t="shared" si="1"/>
        <v>162891.05577044922</v>
      </c>
      <c r="C28" s="242">
        <f>+'[2]HUE 04-99'!E1433</f>
        <v>92648.565956855993</v>
      </c>
      <c r="D28" s="242">
        <f>+'[2]HUE 04-99'!F1433</f>
        <v>106738.54512002479</v>
      </c>
      <c r="E28" s="242">
        <f>+'[2]HUE 04-99'!G1433</f>
        <v>186739.79305545578</v>
      </c>
      <c r="F28" s="242">
        <f>+'[2]HUE 04-99'!H1433</f>
        <v>184961.26945960344</v>
      </c>
      <c r="G28" s="242">
        <f>+'[2]HUE 04-99'!I1433</f>
        <v>216560.94118274024</v>
      </c>
      <c r="H28" s="242">
        <f>+'[2]HUE 04-99'!J1433</f>
        <v>219196.21822593076</v>
      </c>
      <c r="I28" s="242">
        <f>+'[2]HUE 04-99'!K1433</f>
        <v>193168.50814978278</v>
      </c>
      <c r="J28" s="242">
        <f>+'[2]HUE 04-99'!L1433</f>
        <v>182562.03302980986</v>
      </c>
      <c r="K28" s="242">
        <f>+'[2]HUE 04-99'!M1433</f>
        <v>142082.31793853123</v>
      </c>
      <c r="L28" s="242">
        <f>+'[2]HUE 04-99'!N1433</f>
        <v>139778.720047927</v>
      </c>
      <c r="M28" s="242">
        <f>+'[2]HUE 04-99'!O1433</f>
        <v>143416.504770567</v>
      </c>
      <c r="N28" s="242">
        <f>+'[2]HUE 04-99'!P1433</f>
        <v>146839.25230816199</v>
      </c>
    </row>
    <row r="29" spans="1:14" ht="12" customHeight="1">
      <c r="A29" s="217" t="s">
        <v>41</v>
      </c>
      <c r="B29" s="544">
        <f t="shared" si="1"/>
        <v>114809.98154392751</v>
      </c>
      <c r="C29" s="242">
        <f>+'[2]HUE 04-99'!E1436</f>
        <v>107820.742719</v>
      </c>
      <c r="D29" s="242">
        <f>+'[2]HUE 04-99'!F1436</f>
        <v>122880.62060173856</v>
      </c>
      <c r="E29" s="242">
        <f>+'[2]HUE 04-99'!G1436</f>
        <v>123664.31183041543</v>
      </c>
      <c r="F29" s="242">
        <f>+'[2]HUE 04-99'!H1436</f>
        <v>123646.1544757032</v>
      </c>
      <c r="G29" s="242">
        <f>+'[2]HUE 04-99'!I1436</f>
        <v>126432.77168139424</v>
      </c>
      <c r="H29" s="242">
        <f>+'[2]HUE 04-99'!J1436</f>
        <v>120119.26044103247</v>
      </c>
      <c r="I29" s="242">
        <f>+'[2]HUE 04-99'!K1436</f>
        <v>112331.9335574609</v>
      </c>
      <c r="J29" s="242">
        <f>+'[2]HUE 04-99'!L1436</f>
        <v>107433.31541074798</v>
      </c>
      <c r="K29" s="242">
        <f>+'[2]HUE 04-99'!M1436</f>
        <v>107414.97073901401</v>
      </c>
      <c r="L29" s="242">
        <f>+'[2]HUE 04-99'!N1436</f>
        <v>108674.03124177089</v>
      </c>
      <c r="M29" s="242">
        <f>+'[2]HUE 04-99'!O1436</f>
        <v>109355.60023048756</v>
      </c>
      <c r="N29" s="242">
        <f>+'[2]HUE 04-99'!P1436</f>
        <v>107946.06559836495</v>
      </c>
    </row>
    <row r="30" spans="1:14" ht="12" customHeight="1">
      <c r="A30" s="271" t="s">
        <v>111</v>
      </c>
      <c r="B30" s="544">
        <f t="shared" si="1"/>
        <v>57139.852741067654</v>
      </c>
      <c r="C30" s="242">
        <f>+'[2]HUE 04-99'!E1439</f>
        <v>49940</v>
      </c>
      <c r="D30" s="242">
        <f>+'[2]HUE 04-99'!F1439</f>
        <v>63593.274882164173</v>
      </c>
      <c r="E30" s="242">
        <f>+'[2]HUE 04-99'!G1439</f>
        <v>64376.966110841051</v>
      </c>
      <c r="F30" s="242">
        <f>+'[2]HUE 04-99'!H1439</f>
        <v>64358.808756128819</v>
      </c>
      <c r="G30" s="242">
        <f>+'[2]HUE 04-99'!I1439</f>
        <v>67145.425961819856</v>
      </c>
      <c r="H30" s="242">
        <f>+'[2]HUE 04-99'!J1439</f>
        <v>62831.914721458066</v>
      </c>
      <c r="I30" s="242">
        <f>+'[2]HUE 04-99'!K1439</f>
        <v>57044.587837886502</v>
      </c>
      <c r="J30" s="242">
        <f>+'[2]HUE 04-99'!L1439</f>
        <v>53145.969691173574</v>
      </c>
      <c r="K30" s="242">
        <f>+'[2]HUE 04-99'!M1439</f>
        <v>52127.625019439613</v>
      </c>
      <c r="L30" s="242">
        <f>+'[2]HUE 04-99'!N1439</f>
        <v>52386.685522196502</v>
      </c>
      <c r="M30" s="242">
        <f>+'[2]HUE 04-99'!O1439</f>
        <v>50068.254510913175</v>
      </c>
      <c r="N30" s="242">
        <f>+'[2]HUE 04-99'!P1439</f>
        <v>48658.719878790558</v>
      </c>
    </row>
    <row r="31" spans="1:14" ht="12" customHeight="1">
      <c r="A31" s="271" t="s">
        <v>112</v>
      </c>
      <c r="B31" s="544">
        <f t="shared" si="1"/>
        <v>57670.128802859843</v>
      </c>
      <c r="C31" s="242">
        <f>+'[2]HUE 04-99'!E1442</f>
        <v>57880.742719000002</v>
      </c>
      <c r="D31" s="242">
        <f>+'[2]HUE 04-99'!F1442</f>
        <v>59287.345719574383</v>
      </c>
      <c r="E31" s="242">
        <f>+'[2]HUE 04-99'!G1442</f>
        <v>59287.345719574383</v>
      </c>
      <c r="F31" s="242">
        <f>+'[2]HUE 04-99'!H1442</f>
        <v>59287.345719574383</v>
      </c>
      <c r="G31" s="242">
        <f>+'[2]HUE 04-99'!I1442</f>
        <v>59287.345719574383</v>
      </c>
      <c r="H31" s="242">
        <f>+'[2]HUE 04-99'!J1442</f>
        <v>57287.345719574398</v>
      </c>
      <c r="I31" s="242">
        <f>+'[2]HUE 04-99'!K1442</f>
        <v>55287.345719574398</v>
      </c>
      <c r="J31" s="242">
        <f>+'[2]HUE 04-99'!L1442</f>
        <v>54287.345719574398</v>
      </c>
      <c r="K31" s="242">
        <f>+'[2]HUE 04-99'!M1442</f>
        <v>55287.345719574398</v>
      </c>
      <c r="L31" s="242">
        <f>+'[2]HUE 04-99'!N1442</f>
        <v>56287.345719574398</v>
      </c>
      <c r="M31" s="242">
        <f>+'[2]HUE 04-99'!O1442</f>
        <v>59287.345719574383</v>
      </c>
      <c r="N31" s="242">
        <f>+'[2]HUE 04-99'!P1442</f>
        <v>59287.345719574383</v>
      </c>
    </row>
    <row r="32" spans="1:14" ht="12" customHeight="1">
      <c r="A32" s="269" t="s">
        <v>44</v>
      </c>
      <c r="B32" s="544">
        <f t="shared" si="1"/>
        <v>247386.79029700652</v>
      </c>
      <c r="C32" s="242">
        <f>+'[2]HUE 04-99'!E1445</f>
        <v>236820</v>
      </c>
      <c r="D32" s="242">
        <f>+'[2]HUE 04-99'!F1445</f>
        <v>230664.51199319301</v>
      </c>
      <c r="E32" s="242">
        <f>+'[2]HUE 04-99'!G1445</f>
        <v>272045.23496301839</v>
      </c>
      <c r="F32" s="242">
        <f>+'[2]HUE 04-99'!H1445</f>
        <v>276284.00246933318</v>
      </c>
      <c r="G32" s="242">
        <f>+'[2]HUE 04-99'!I1445</f>
        <v>266601.80763961258</v>
      </c>
      <c r="H32" s="242">
        <f>+'[2]HUE 04-99'!J1445</f>
        <v>260898.15138593968</v>
      </c>
      <c r="I32" s="242">
        <f>+'[2]HUE 04-99'!K1445</f>
        <v>264677.01352427067</v>
      </c>
      <c r="J32" s="242">
        <f>+'[2]HUE 04-99'!L1445</f>
        <v>250828.99903131914</v>
      </c>
      <c r="K32" s="242">
        <f>+'[2]HUE 04-99'!M1445</f>
        <v>240506.10313068717</v>
      </c>
      <c r="L32" s="242">
        <f>+'[2]HUE 04-99'!N1445</f>
        <v>221056.1756837666</v>
      </c>
      <c r="M32" s="242">
        <f>+'[2]HUE 04-99'!O1445</f>
        <v>226604.48973228017</v>
      </c>
      <c r="N32" s="242">
        <f>+'[2]HUE 04-99'!P1445</f>
        <v>221654.9940106576</v>
      </c>
    </row>
    <row r="33" spans="1:14" ht="12" customHeight="1">
      <c r="A33" s="269" t="s">
        <v>45</v>
      </c>
      <c r="B33" s="544">
        <f t="shared" si="1"/>
        <v>382349.93568614317</v>
      </c>
      <c r="C33" s="242">
        <f>+'[2]HUE 04-99'!E1448</f>
        <v>338509.96931025397</v>
      </c>
      <c r="D33" s="242">
        <f>+'[2]HUE 04-99'!F1448</f>
        <v>361010.20957505994</v>
      </c>
      <c r="E33" s="242">
        <f>+'[2]HUE 04-99'!G1448</f>
        <v>401145.89519650402</v>
      </c>
      <c r="F33" s="242">
        <f>+'[2]HUE 04-99'!H1448</f>
        <v>392591.25204595429</v>
      </c>
      <c r="G33" s="242">
        <f>+'[2]HUE 04-99'!I1448</f>
        <v>416850.812144458</v>
      </c>
      <c r="H33" s="242">
        <f>+'[2]HUE 04-99'!J1448</f>
        <v>447021.30661472358</v>
      </c>
      <c r="I33" s="242">
        <f>+'[2]HUE 04-99'!K1448</f>
        <v>412035.78855890891</v>
      </c>
      <c r="J33" s="242">
        <f>+'[2]HUE 04-99'!L1448</f>
        <v>411703.13276275457</v>
      </c>
      <c r="K33" s="242">
        <f>+'[2]HUE 04-99'!M1448</f>
        <v>390134.97531926684</v>
      </c>
      <c r="L33" s="242">
        <f>+'[2]HUE 04-99'!N1448</f>
        <v>327932.23429872136</v>
      </c>
      <c r="M33" s="242">
        <f>+'[2]HUE 04-99'!O1448</f>
        <v>341337.32988609502</v>
      </c>
      <c r="N33" s="242">
        <f>+'[2]HUE 04-99'!P1448</f>
        <v>347926.32252101757</v>
      </c>
    </row>
    <row r="34" spans="1:14" ht="12" customHeight="1">
      <c r="A34" s="217" t="s">
        <v>46</v>
      </c>
      <c r="B34" s="544">
        <f t="shared" si="1"/>
        <v>880527.28389272513</v>
      </c>
      <c r="C34" s="242">
        <f>+'[2]HUE 04-99'!E1451</f>
        <v>897354.01282611501</v>
      </c>
      <c r="D34" s="242">
        <f>+'[2]HUE 04-99'!F1451</f>
        <v>878628.63444900303</v>
      </c>
      <c r="E34" s="242">
        <f>+'[2]HUE 04-99'!G1451</f>
        <v>935174.602206846</v>
      </c>
      <c r="F34" s="242">
        <f>+'[2]HUE 04-99'!H1451</f>
        <v>918403.40766977798</v>
      </c>
      <c r="G34" s="242">
        <f>+'[2]HUE 04-99'!I1451</f>
        <v>812342.1945653396</v>
      </c>
      <c r="H34" s="242">
        <f>+'[2]HUE 04-99'!J1451</f>
        <v>756222.85152158479</v>
      </c>
      <c r="I34" s="242">
        <f>+'[2]HUE 04-99'!K1451</f>
        <v>806151.19051039498</v>
      </c>
      <c r="J34" s="242">
        <f>+'[2]HUE 04-99'!L1451</f>
        <v>862350.59220652306</v>
      </c>
      <c r="K34" s="242">
        <f>+'[2]HUE 04-99'!M1451</f>
        <v>961602.908290972</v>
      </c>
      <c r="L34" s="242">
        <f>+'[2]HUE 04-99'!N1451</f>
        <v>901771.67485418404</v>
      </c>
      <c r="M34" s="242">
        <f>+'[2]HUE 04-99'!O1451</f>
        <v>922364.11811943306</v>
      </c>
      <c r="N34" s="242">
        <f>+'[2]HUE 04-99'!P1451</f>
        <v>913961.21949252696</v>
      </c>
    </row>
    <row r="35" spans="1:14" ht="12" customHeight="1">
      <c r="A35" s="217" t="s">
        <v>47</v>
      </c>
      <c r="B35" s="544">
        <f t="shared" si="1"/>
        <v>399743.78129952401</v>
      </c>
      <c r="C35" s="242">
        <f>+'[2]HUE 04-99'!E1454</f>
        <v>442653.3131976804</v>
      </c>
      <c r="D35" s="242">
        <f>+'[2]HUE 04-99'!F1454</f>
        <v>412796.93225294497</v>
      </c>
      <c r="E35" s="242">
        <f>+'[2]HUE 04-99'!G1454</f>
        <v>426813.5724507398</v>
      </c>
      <c r="F35" s="242">
        <f>+'[2]HUE 04-99'!H1454</f>
        <v>412217.00177498901</v>
      </c>
      <c r="G35" s="242">
        <f>+'[2]HUE 04-99'!I1454</f>
        <v>406642.09719419474</v>
      </c>
      <c r="H35" s="242">
        <f>+'[2]HUE 04-99'!J1454</f>
        <v>391924.842560836</v>
      </c>
      <c r="I35" s="242">
        <f>+'[2]HUE 04-99'!K1454</f>
        <v>371497.82494207402</v>
      </c>
      <c r="J35" s="242">
        <f>+'[2]HUE 04-99'!L1454</f>
        <v>393265.88054970058</v>
      </c>
      <c r="K35" s="242">
        <f>+'[2]HUE 04-99'!M1454</f>
        <v>384883.01328873198</v>
      </c>
      <c r="L35" s="242">
        <f>+'[2]HUE 04-99'!N1454</f>
        <v>391771.83793639502</v>
      </c>
      <c r="M35" s="242">
        <f>+'[2]HUE 04-99'!O1454</f>
        <v>375506.63497205498</v>
      </c>
      <c r="N35" s="242">
        <f>+'[2]HUE 04-99'!P1454</f>
        <v>386952.42447394697</v>
      </c>
    </row>
    <row r="36" spans="1:14" ht="12" customHeight="1">
      <c r="A36" s="217" t="s">
        <v>48</v>
      </c>
      <c r="B36" s="544">
        <f t="shared" si="1"/>
        <v>256341.70061262778</v>
      </c>
      <c r="C36" s="242">
        <f>+'[2]HUE 04-99'!E1457</f>
        <v>277791.48326148617</v>
      </c>
      <c r="D36" s="242">
        <f>+'[2]HUE 04-99'!F1457</f>
        <v>274603.91426469747</v>
      </c>
      <c r="E36" s="242">
        <f>+'[2]HUE 04-99'!G1457</f>
        <v>246302.07012640199</v>
      </c>
      <c r="F36" s="242">
        <f>+'[2]HUE 04-99'!H1457</f>
        <v>259346.02788761933</v>
      </c>
      <c r="G36" s="242">
        <f>+'[2]HUE 04-99'!I1457</f>
        <v>245226.36773644795</v>
      </c>
      <c r="H36" s="242">
        <f>+'[2]HUE 04-99'!J1457</f>
        <v>260699.68423007993</v>
      </c>
      <c r="I36" s="242">
        <f>+'[2]HUE 04-99'!K1457</f>
        <v>252957.94919277399</v>
      </c>
      <c r="J36" s="242">
        <f>+'[2]HUE 04-99'!L1457</f>
        <v>280966.83857823198</v>
      </c>
      <c r="K36" s="242">
        <f>+'[2]HUE 04-99'!M1457</f>
        <v>271244.347393459</v>
      </c>
      <c r="L36" s="242">
        <f>+'[2]HUE 04-99'!N1457</f>
        <v>248612.97753081401</v>
      </c>
      <c r="M36" s="242">
        <f>+'[2]HUE 04-99'!O1457</f>
        <v>229951.29318104999</v>
      </c>
      <c r="N36" s="242">
        <f>+'[2]HUE 04-99'!P1457</f>
        <v>228397.453968471</v>
      </c>
    </row>
    <row r="37" spans="1:14" ht="12" customHeight="1" thickBot="1">
      <c r="A37" s="272" t="s">
        <v>49</v>
      </c>
      <c r="B37" s="545">
        <f t="shared" si="1"/>
        <v>209906.14086428352</v>
      </c>
      <c r="C37" s="278">
        <f>+'[2]HUE 04-99'!E1460</f>
        <v>225050.35114916199</v>
      </c>
      <c r="D37" s="278">
        <f>+'[2]HUE 04-99'!F1460</f>
        <v>199256.14234013099</v>
      </c>
      <c r="E37" s="278">
        <f>+'[2]HUE 04-99'!G1460</f>
        <v>209894.1234783</v>
      </c>
      <c r="F37" s="278">
        <f>+'[2]HUE 04-99'!H1460</f>
        <v>212565.939142252</v>
      </c>
      <c r="G37" s="278">
        <f>+'[2]HUE 04-99'!I1460</f>
        <v>220908.43577460601</v>
      </c>
      <c r="H37" s="278">
        <f>+'[2]HUE 04-99'!J1460</f>
        <v>254858.82381963701</v>
      </c>
      <c r="I37" s="278">
        <f>+'[2]HUE 04-99'!K1460</f>
        <v>238226.53389783399</v>
      </c>
      <c r="J37" s="278">
        <f>+'[2]HUE 04-99'!L1460</f>
        <v>239703.525146178</v>
      </c>
      <c r="K37" s="278">
        <f>+'[2]HUE 04-99'!M1460</f>
        <v>208819.16650471801</v>
      </c>
      <c r="L37" s="278">
        <f>+'[2]HUE 04-99'!N1460</f>
        <v>174427.96040141</v>
      </c>
      <c r="M37" s="278">
        <f>+'[2]HUE 04-99'!O1460</f>
        <v>169371.20566845799</v>
      </c>
      <c r="N37" s="278">
        <f>+'[2]HUE 04-99'!P1460</f>
        <v>165791.48304871601</v>
      </c>
    </row>
    <row r="38" spans="1:14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14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14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Hoja73">
    <tabColor theme="9" tint="0.59999389629810485"/>
  </sheetPr>
  <dimension ref="A4:N5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23" customWidth="1"/>
    <col min="3" max="14" width="8.59765625" style="223" customWidth="1"/>
    <col min="15" max="16384" width="7" style="213"/>
  </cols>
  <sheetData>
    <row r="4" spans="1:14" ht="13" customHeight="1">
      <c r="A4" s="511" t="s">
        <v>408</v>
      </c>
      <c r="B4" s="507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</row>
    <row r="5" spans="1:14" ht="13" customHeight="1">
      <c r="A5" s="515" t="s">
        <v>319</v>
      </c>
      <c r="B5" s="508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</row>
    <row r="6" spans="1:14" ht="5" customHeight="1" thickBot="1">
      <c r="A6" s="141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</row>
    <row r="7" spans="1:14" ht="15" customHeight="1">
      <c r="A7" s="519" t="s">
        <v>18</v>
      </c>
      <c r="B7" s="523" t="s">
        <v>118</v>
      </c>
      <c r="C7" s="547" t="s">
        <v>57</v>
      </c>
      <c r="D7" s="547" t="s">
        <v>58</v>
      </c>
      <c r="E7" s="547" t="s">
        <v>59</v>
      </c>
      <c r="F7" s="547" t="s">
        <v>60</v>
      </c>
      <c r="G7" s="547" t="s">
        <v>61</v>
      </c>
      <c r="H7" s="547" t="s">
        <v>62</v>
      </c>
      <c r="I7" s="547" t="s">
        <v>63</v>
      </c>
      <c r="J7" s="547" t="s">
        <v>64</v>
      </c>
      <c r="K7" s="547" t="s">
        <v>65</v>
      </c>
      <c r="L7" s="547" t="s">
        <v>66</v>
      </c>
      <c r="M7" s="547" t="s">
        <v>67</v>
      </c>
      <c r="N7" s="547" t="s">
        <v>68</v>
      </c>
    </row>
    <row r="8" spans="1:14" ht="15" customHeight="1">
      <c r="A8" s="530" t="s">
        <v>100</v>
      </c>
      <c r="B8" s="559">
        <f t="shared" ref="B8:B37" si="0">SUM(C8:N8)</f>
        <v>488484.43735854398</v>
      </c>
      <c r="C8" s="559">
        <f t="shared" ref="C8:N8" si="1">(C9+C10+C11+C12+C13+C17++C18+C19+C20+C21+C22+C23+C24+C25+C26+C27+C28+C29+C32+C33+C34+C35+C36+C37)</f>
        <v>40058.460631824273</v>
      </c>
      <c r="D8" s="559">
        <f t="shared" si="1"/>
        <v>40248.487523715638</v>
      </c>
      <c r="E8" s="559">
        <f t="shared" si="1"/>
        <v>40239.522456299324</v>
      </c>
      <c r="F8" s="559">
        <f t="shared" si="1"/>
        <v>40299.270675872009</v>
      </c>
      <c r="G8" s="559">
        <f t="shared" si="1"/>
        <v>40687.84146642765</v>
      </c>
      <c r="H8" s="559">
        <f t="shared" si="1"/>
        <v>40523.433096923807</v>
      </c>
      <c r="I8" s="559">
        <f t="shared" si="1"/>
        <v>40408.487816174624</v>
      </c>
      <c r="J8" s="559">
        <f t="shared" si="1"/>
        <v>40433.314136112363</v>
      </c>
      <c r="K8" s="559">
        <f t="shared" si="1"/>
        <v>40549.244601707251</v>
      </c>
      <c r="L8" s="559">
        <f t="shared" si="1"/>
        <v>41134.023047747723</v>
      </c>
      <c r="M8" s="559">
        <f t="shared" si="1"/>
        <v>41845.143512812465</v>
      </c>
      <c r="N8" s="559">
        <f t="shared" si="1"/>
        <v>42057.20839292687</v>
      </c>
    </row>
    <row r="9" spans="1:14" ht="12" customHeight="1">
      <c r="A9" s="269" t="s">
        <v>21</v>
      </c>
      <c r="B9" s="550">
        <f t="shared" si="0"/>
        <v>103.25045793142107</v>
      </c>
      <c r="C9" s="551">
        <f>+'[2]HUE 04-99'!E1377</f>
        <v>9.7669371280099995</v>
      </c>
      <c r="D9" s="551">
        <f>+'[2]HUE 04-99'!F1377</f>
        <v>7.177949146719814</v>
      </c>
      <c r="E9" s="551">
        <f>+'[2]HUE 04-99'!G1377</f>
        <v>7.4927714777162988</v>
      </c>
      <c r="F9" s="551">
        <f>+'[2]HUE 04-99'!H1377</f>
        <v>7.3014854294028364</v>
      </c>
      <c r="G9" s="551">
        <f>+'[2]HUE 04-99'!I1377</f>
        <v>7.7882489464514988</v>
      </c>
      <c r="H9" s="551">
        <f>+'[2]HUE 04-99'!J1377</f>
        <v>11.459923456663514</v>
      </c>
      <c r="I9" s="551">
        <f>+'[2]HUE 04-99'!K1377</f>
        <v>8.8461970517681117</v>
      </c>
      <c r="J9" s="551">
        <f>+'[2]HUE 04-99'!L1377</f>
        <v>8.1827270861761701</v>
      </c>
      <c r="K9" s="551">
        <f>+'[2]HUE 04-99'!M1377</f>
        <v>8.9903683959606617</v>
      </c>
      <c r="L9" s="551">
        <f>+'[2]HUE 04-99'!N1377</f>
        <v>8.7754278419299396</v>
      </c>
      <c r="M9" s="551">
        <f>+'[2]HUE 04-99'!O1377</f>
        <v>8.5700847142353638</v>
      </c>
      <c r="N9" s="551">
        <f>+'[2]HUE 04-99'!P1377</f>
        <v>8.8983372563868457</v>
      </c>
    </row>
    <row r="10" spans="1:14" ht="12" customHeight="1">
      <c r="A10" s="269" t="s">
        <v>22</v>
      </c>
      <c r="B10" s="550">
        <f t="shared" si="0"/>
        <v>4739.01448452163</v>
      </c>
      <c r="C10" s="551">
        <f>+'[2]HUE 04-99'!E1380</f>
        <v>441.76675733325072</v>
      </c>
      <c r="D10" s="551">
        <f>+'[2]HUE 04-99'!F1380</f>
        <v>427.75006740854985</v>
      </c>
      <c r="E10" s="551">
        <f>+'[2]HUE 04-99'!G1380</f>
        <v>378.63465459495802</v>
      </c>
      <c r="F10" s="551">
        <f>+'[2]HUE 04-99'!H1380</f>
        <v>353.56066285650002</v>
      </c>
      <c r="G10" s="551">
        <f>+'[2]HUE 04-99'!I1380</f>
        <v>358.26210558548098</v>
      </c>
      <c r="H10" s="551">
        <f>+'[2]HUE 04-99'!J1380</f>
        <v>354.63221069500503</v>
      </c>
      <c r="I10" s="551">
        <f>+'[2]HUE 04-99'!K1380</f>
        <v>367.02292824503002</v>
      </c>
      <c r="J10" s="551">
        <f>+'[2]HUE 04-99'!L1380</f>
        <v>382.34040810336398</v>
      </c>
      <c r="K10" s="551">
        <f>+'[2]HUE 04-99'!M1380</f>
        <v>385.42103485141001</v>
      </c>
      <c r="L10" s="551">
        <f>+'[2]HUE 04-99'!N1380</f>
        <v>417.49436351849101</v>
      </c>
      <c r="M10" s="551">
        <f>+'[2]HUE 04-99'!O1380</f>
        <v>462.0252041110175</v>
      </c>
      <c r="N10" s="551">
        <f>+'[2]HUE 04-99'!P1380</f>
        <v>410.10408721857198</v>
      </c>
    </row>
    <row r="11" spans="1:14" ht="12" customHeight="1">
      <c r="A11" s="269" t="s">
        <v>23</v>
      </c>
      <c r="B11" s="550">
        <f t="shared" si="0"/>
        <v>7662.6458476836351</v>
      </c>
      <c r="C11" s="551">
        <f>+'[2]HUE 04-99'!E1383</f>
        <v>638.10773956071796</v>
      </c>
      <c r="D11" s="551">
        <f>+'[2]HUE 04-99'!F1383</f>
        <v>608.70484299015004</v>
      </c>
      <c r="E11" s="551">
        <f>+'[2]HUE 04-99'!G1383</f>
        <v>575.72445517671099</v>
      </c>
      <c r="F11" s="551">
        <f>+'[2]HUE 04-99'!H1383</f>
        <v>554.69370737381303</v>
      </c>
      <c r="G11" s="551">
        <f>+'[2]HUE 04-99'!I1383</f>
        <v>610.14989738756299</v>
      </c>
      <c r="H11" s="551">
        <f>+'[2]HUE 04-99'!J1383</f>
        <v>646.10235499677697</v>
      </c>
      <c r="I11" s="551">
        <f>+'[2]HUE 04-99'!K1383</f>
        <v>587.83293911659598</v>
      </c>
      <c r="J11" s="551">
        <f>+'[2]HUE 04-99'!L1383</f>
        <v>673.1300209659089</v>
      </c>
      <c r="K11" s="551">
        <f>+'[2]HUE 04-99'!M1383</f>
        <v>678.71877862357303</v>
      </c>
      <c r="L11" s="551">
        <f>+'[2]HUE 04-99'!N1383</f>
        <v>655.033478762507</v>
      </c>
      <c r="M11" s="551">
        <f>+'[2]HUE 04-99'!O1383</f>
        <v>668.034718873305</v>
      </c>
      <c r="N11" s="551">
        <f>+'[2]HUE 04-99'!P1383</f>
        <v>766.41291385601301</v>
      </c>
    </row>
    <row r="12" spans="1:14" ht="12" customHeight="1">
      <c r="A12" s="217" t="s">
        <v>24</v>
      </c>
      <c r="B12" s="550">
        <f t="shared" si="0"/>
        <v>84437.769326173729</v>
      </c>
      <c r="C12" s="551">
        <f>+'[2]HUE 04-99'!E1386</f>
        <v>6666.9851302203097</v>
      </c>
      <c r="D12" s="551">
        <f>+'[2]HUE 04-99'!F1386</f>
        <v>6672.1810266860402</v>
      </c>
      <c r="E12" s="551">
        <f>+'[2]HUE 04-99'!G1386</f>
        <v>6291.69505440592</v>
      </c>
      <c r="F12" s="551">
        <f>+'[2]HUE 04-99'!H1386</f>
        <v>6087.2091209007804</v>
      </c>
      <c r="G12" s="551">
        <f>+'[2]HUE 04-99'!I1386</f>
        <v>6816.8496735784802</v>
      </c>
      <c r="H12" s="551">
        <f>+'[2]HUE 04-99'!J1386</f>
        <v>6973.1058344616404</v>
      </c>
      <c r="I12" s="551">
        <f>+'[2]HUE 04-99'!K1386</f>
        <v>7063.3461532841602</v>
      </c>
      <c r="J12" s="551">
        <f>+'[2]HUE 04-99'!L1386</f>
        <v>7447.783068769636</v>
      </c>
      <c r="K12" s="551">
        <f>+'[2]HUE 04-99'!M1386</f>
        <v>7080.685991570349</v>
      </c>
      <c r="L12" s="551">
        <f>+'[2]HUE 04-99'!N1386</f>
        <v>7568.1650119327696</v>
      </c>
      <c r="M12" s="551">
        <f>+'[2]HUE 04-99'!O1386</f>
        <v>7911</v>
      </c>
      <c r="N12" s="551">
        <f>+'[2]HUE 04-99'!P1386</f>
        <v>7858.7632603636503</v>
      </c>
    </row>
    <row r="13" spans="1:14" ht="12" customHeight="1">
      <c r="A13" s="217" t="s">
        <v>25</v>
      </c>
      <c r="B13" s="550">
        <f t="shared" si="0"/>
        <v>2391.9614806070613</v>
      </c>
      <c r="C13" s="551">
        <f>+'[2]HUE 04-99'!E1389</f>
        <v>184.71370896365508</v>
      </c>
      <c r="D13" s="551">
        <f>+'[2]HUE 04-99'!F1389</f>
        <v>189.70703903202542</v>
      </c>
      <c r="E13" s="551">
        <f>+'[2]HUE 04-99'!G1389</f>
        <v>209.03361029349497</v>
      </c>
      <c r="F13" s="551">
        <f>+'[2]HUE 04-99'!H1389</f>
        <v>208.38793614510766</v>
      </c>
      <c r="G13" s="551">
        <f>+'[2]HUE 04-99'!I1389</f>
        <v>213.73261795297017</v>
      </c>
      <c r="H13" s="551">
        <f>+'[2]HUE 04-99'!J1389</f>
        <v>217.84563256602993</v>
      </c>
      <c r="I13" s="551">
        <f>+'[2]HUE 04-99'!K1389</f>
        <v>196.38186856837331</v>
      </c>
      <c r="J13" s="551">
        <f>+'[2]HUE 04-99'!L1389</f>
        <v>191.58324659219454</v>
      </c>
      <c r="K13" s="551">
        <f>+'[2]HUE 04-99'!M1389</f>
        <v>201.65092440521184</v>
      </c>
      <c r="L13" s="551">
        <f>+'[2]HUE 04-99'!N1389</f>
        <v>191.38746988957459</v>
      </c>
      <c r="M13" s="551">
        <f>+'[2]HUE 04-99'!O1389</f>
        <v>195.00485368827924</v>
      </c>
      <c r="N13" s="551">
        <f>+'[2]HUE 04-99'!P1389</f>
        <v>192.53257251014492</v>
      </c>
    </row>
    <row r="14" spans="1:14" ht="12" customHeight="1">
      <c r="A14" s="271" t="s">
        <v>107</v>
      </c>
      <c r="B14" s="550">
        <f t="shared" si="0"/>
        <v>1363.5676472498455</v>
      </c>
      <c r="C14" s="551">
        <f>+'[2]HUE 04-99'!E1392</f>
        <v>100.844296523</v>
      </c>
      <c r="D14" s="551">
        <f>+'[2]HUE 04-99'!F1392</f>
        <v>106.694650661022</v>
      </c>
      <c r="E14" s="551">
        <f>+'[2]HUE 04-99'!G1392</f>
        <v>122.162711444696</v>
      </c>
      <c r="F14" s="551">
        <f>+'[2]HUE 04-99'!H1392</f>
        <v>120.99441246897899</v>
      </c>
      <c r="G14" s="551">
        <f>+'[2]HUE 04-99'!I1392</f>
        <v>122.750138796716</v>
      </c>
      <c r="H14" s="551">
        <f>+'[2]HUE 04-99'!J1392</f>
        <v>123.711149664377</v>
      </c>
      <c r="I14" s="551">
        <f>+'[2]HUE 04-99'!K1392</f>
        <v>101.22461589858899</v>
      </c>
      <c r="J14" s="551">
        <f>+'[2]HUE 04-99'!L1392</f>
        <v>100.21442097036299</v>
      </c>
      <c r="K14" s="551">
        <f>+'[2]HUE 04-99'!M1392</f>
        <v>118.352198482489</v>
      </c>
      <c r="L14" s="551">
        <f>+'[2]HUE 04-99'!N1392</f>
        <v>112.3251532915352</v>
      </c>
      <c r="M14" s="551">
        <f>+'[2]HUE 04-99'!O1392</f>
        <v>117.44413900862423</v>
      </c>
      <c r="N14" s="551">
        <f>+'[2]HUE 04-99'!P1392</f>
        <v>116.84976003945501</v>
      </c>
    </row>
    <row r="15" spans="1:14" ht="12" customHeight="1">
      <c r="A15" s="271" t="s">
        <v>108</v>
      </c>
      <c r="B15" s="550">
        <f t="shared" si="0"/>
        <v>679.26753182430662</v>
      </c>
      <c r="C15" s="551">
        <f>+'[2]HUE 04-99'!E1395</f>
        <v>51.436978152499996</v>
      </c>
      <c r="D15" s="551">
        <f>+'[2]HUE 04-99'!F1395</f>
        <v>54.359372156790855</v>
      </c>
      <c r="E15" s="551">
        <f>+'[2]HUE 04-99'!G1395</f>
        <v>58.182982493034409</v>
      </c>
      <c r="F15" s="551">
        <f>+'[2]HUE 04-99'!H1395</f>
        <v>58.619536741293579</v>
      </c>
      <c r="G15" s="551">
        <f>+'[2]HUE 04-99'!I1395</f>
        <v>62.179900449444659</v>
      </c>
      <c r="H15" s="551">
        <f>+'[2]HUE 04-99'!J1395</f>
        <v>65.329014137189532</v>
      </c>
      <c r="I15" s="551">
        <f>+'[2]HUE 04-99'!K1395</f>
        <v>66.364079383845265</v>
      </c>
      <c r="J15" s="551">
        <f>+'[2]HUE 04-99'!L1395</f>
        <v>62.549710227357586</v>
      </c>
      <c r="K15" s="551">
        <f>+'[2]HUE 04-99'!M1395</f>
        <v>54.479610528248877</v>
      </c>
      <c r="L15" s="551">
        <f>+'[2]HUE 04-99'!N1395</f>
        <v>50.243201203565441</v>
      </c>
      <c r="M15" s="551">
        <f>+'[2]HUE 04-99'!O1395</f>
        <v>48.730925188440125</v>
      </c>
      <c r="N15" s="551">
        <f>+'[2]HUE 04-99'!P1395</f>
        <v>46.792221162596299</v>
      </c>
    </row>
    <row r="16" spans="1:14" ht="12" customHeight="1">
      <c r="A16" s="271" t="s">
        <v>109</v>
      </c>
      <c r="B16" s="550">
        <f t="shared" si="0"/>
        <v>349.12630153290968</v>
      </c>
      <c r="C16" s="551">
        <f>+'[2]HUE 04-99'!E1398</f>
        <v>32.4324342881551</v>
      </c>
      <c r="D16" s="551">
        <f>+'[2]HUE 04-99'!F1398</f>
        <v>28.65301621421257</v>
      </c>
      <c r="E16" s="551">
        <f>+'[2]HUE 04-99'!G1398</f>
        <v>28.687916355764585</v>
      </c>
      <c r="F16" s="551">
        <f>+'[2]HUE 04-99'!H1398</f>
        <v>28.773986934835087</v>
      </c>
      <c r="G16" s="551">
        <f>+'[2]HUE 04-99'!I1398</f>
        <v>28.802578706809488</v>
      </c>
      <c r="H16" s="551">
        <f>+'[2]HUE 04-99'!J1398</f>
        <v>28.805468764463406</v>
      </c>
      <c r="I16" s="551">
        <f>+'[2]HUE 04-99'!K1398</f>
        <v>28.793173285939037</v>
      </c>
      <c r="J16" s="551">
        <f>+'[2]HUE 04-99'!L1398</f>
        <v>28.819115394473965</v>
      </c>
      <c r="K16" s="551">
        <f>+'[2]HUE 04-99'!M1398</f>
        <v>28.819115394473965</v>
      </c>
      <c r="L16" s="551">
        <f>+'[2]HUE 04-99'!N1398</f>
        <v>28.819115394473965</v>
      </c>
      <c r="M16" s="551">
        <f>+'[2]HUE 04-99'!O1398</f>
        <v>28.829789491214889</v>
      </c>
      <c r="N16" s="551">
        <f>+'[2]HUE 04-99'!P1398</f>
        <v>28.890591308093619</v>
      </c>
    </row>
    <row r="17" spans="1:14" ht="12" customHeight="1">
      <c r="A17" s="269" t="s">
        <v>29</v>
      </c>
      <c r="B17" s="550">
        <f t="shared" si="0"/>
        <v>1457.9952113922002</v>
      </c>
      <c r="C17" s="551">
        <f>+'[2]HUE 04-99'!E1401</f>
        <v>166.94659691939</v>
      </c>
      <c r="D17" s="551">
        <f>+'[2]HUE 04-99'!F1401</f>
        <v>148.579902916767</v>
      </c>
      <c r="E17" s="551">
        <f>+'[2]HUE 04-99'!G1401</f>
        <v>168.64268828736201</v>
      </c>
      <c r="F17" s="551">
        <f>+'[2]HUE 04-99'!H1401</f>
        <v>149.212305709731</v>
      </c>
      <c r="G17" s="551">
        <f>+'[2]HUE 04-99'!I1401</f>
        <v>145.81923892149601</v>
      </c>
      <c r="H17" s="551">
        <f>+'[2]HUE 04-99'!J1401</f>
        <v>138.62950709153901</v>
      </c>
      <c r="I17" s="551">
        <f>+'[2]HUE 04-99'!K1401</f>
        <v>138.42839277432199</v>
      </c>
      <c r="J17" s="551">
        <f>+'[2]HUE 04-99'!L1401</f>
        <v>101.795422186324</v>
      </c>
      <c r="K17" s="551">
        <f>+'[2]HUE 04-99'!M1401</f>
        <v>79.567773540004936</v>
      </c>
      <c r="L17" s="551">
        <f>+'[2]HUE 04-99'!N1401</f>
        <v>78.186094658493488</v>
      </c>
      <c r="M17" s="551">
        <f>+'[2]HUE 04-99'!O1401</f>
        <v>76.800208498586954</v>
      </c>
      <c r="N17" s="551">
        <f>+'[2]HUE 04-99'!P1401</f>
        <v>65.387079888183905</v>
      </c>
    </row>
    <row r="18" spans="1:14" ht="12" customHeight="1">
      <c r="A18" s="217" t="s">
        <v>30</v>
      </c>
      <c r="B18" s="550">
        <f t="shared" si="0"/>
        <v>1323.7436507936391</v>
      </c>
      <c r="C18" s="551">
        <f>+'[2]HUE 04-99'!E1404</f>
        <v>111.87684648901281</v>
      </c>
      <c r="D18" s="551">
        <f>+'[2]HUE 04-99'!F1404</f>
        <v>112.32582655017451</v>
      </c>
      <c r="E18" s="551">
        <f>+'[2]HUE 04-99'!G1404</f>
        <v>102.30547060006199</v>
      </c>
      <c r="F18" s="551">
        <f>+'[2]HUE 04-99'!H1404</f>
        <v>100.851713629485</v>
      </c>
      <c r="G18" s="551">
        <f>+'[2]HUE 04-99'!I1404</f>
        <v>111.20787930447359</v>
      </c>
      <c r="H18" s="551">
        <f>+'[2]HUE 04-99'!J1404</f>
        <v>113.6841576211408</v>
      </c>
      <c r="I18" s="551">
        <f>+'[2]HUE 04-99'!K1404</f>
        <v>102.76893177041704</v>
      </c>
      <c r="J18" s="551">
        <f>+'[2]HUE 04-99'!L1404</f>
        <v>102.48837889590166</v>
      </c>
      <c r="K18" s="551">
        <f>+'[2]HUE 04-99'!M1404</f>
        <v>109.864010838459</v>
      </c>
      <c r="L18" s="551">
        <f>+'[2]HUE 04-99'!N1404</f>
        <v>110.753014830095</v>
      </c>
      <c r="M18" s="551">
        <f>+'[2]HUE 04-99'!O1404</f>
        <v>118.722737448461</v>
      </c>
      <c r="N18" s="551">
        <f>+'[2]HUE 04-99'!P1404</f>
        <v>126.894682815957</v>
      </c>
    </row>
    <row r="19" spans="1:14" ht="12" customHeight="1">
      <c r="A19" s="217" t="s">
        <v>31</v>
      </c>
      <c r="B19" s="550">
        <f t="shared" si="0"/>
        <v>131293.00942257795</v>
      </c>
      <c r="C19" s="551">
        <f>+'[2]HUE 04-99'!E1407</f>
        <v>11113.163509522312</v>
      </c>
      <c r="D19" s="551">
        <f>+'[2]HUE 04-99'!F1407</f>
        <v>11046.204579032999</v>
      </c>
      <c r="E19" s="551">
        <f>+'[2]HUE 04-99'!G1407</f>
        <v>10941.480182311399</v>
      </c>
      <c r="F19" s="551">
        <f>+'[2]HUE 04-99'!H1407</f>
        <v>11099.618974012004</v>
      </c>
      <c r="G19" s="551">
        <f>+'[2]HUE 04-99'!I1407</f>
        <v>10939.9612734322</v>
      </c>
      <c r="H19" s="551">
        <f>+'[2]HUE 04-99'!J1407</f>
        <v>10619.567347684158</v>
      </c>
      <c r="I19" s="551">
        <f>+'[2]HUE 04-99'!K1407</f>
        <v>10594.108010759255</v>
      </c>
      <c r="J19" s="551">
        <f>+'[2]HUE 04-99'!L1407</f>
        <v>10590.7033847395</v>
      </c>
      <c r="K19" s="551">
        <f>+'[2]HUE 04-99'!M1407</f>
        <v>10633.778387070601</v>
      </c>
      <c r="L19" s="551">
        <f>+'[2]HUE 04-99'!N1407</f>
        <v>11052.084688802501</v>
      </c>
      <c r="M19" s="551">
        <f>+'[2]HUE 04-99'!O1407</f>
        <v>11216.326352607601</v>
      </c>
      <c r="N19" s="551">
        <f>+'[2]HUE 04-99'!P1407</f>
        <v>11446.0127326034</v>
      </c>
    </row>
    <row r="20" spans="1:14" ht="12" customHeight="1">
      <c r="A20" s="269" t="s">
        <v>32</v>
      </c>
      <c r="B20" s="550">
        <f t="shared" si="0"/>
        <v>197407.17222878477</v>
      </c>
      <c r="C20" s="551">
        <f>+'[2]HUE 04-99'!E1410</f>
        <v>16041.8119838938</v>
      </c>
      <c r="D20" s="551">
        <f>+'[2]HUE 04-99'!F1410</f>
        <v>16319.669985014094</v>
      </c>
      <c r="E20" s="551">
        <f>+'[2]HUE 04-99'!G1410</f>
        <v>16706.501220176324</v>
      </c>
      <c r="F20" s="551">
        <f>+'[2]HUE 04-99'!H1410</f>
        <v>16766.422485234398</v>
      </c>
      <c r="G20" s="551">
        <f>+'[2]HUE 04-99'!I1410</f>
        <v>16774.744211834637</v>
      </c>
      <c r="H20" s="551">
        <f>+'[2]HUE 04-99'!J1410</f>
        <v>16628.564902079601</v>
      </c>
      <c r="I20" s="551">
        <f>+'[2]HUE 04-99'!K1410</f>
        <v>16648.393476750254</v>
      </c>
      <c r="J20" s="551">
        <f>+'[2]HUE 04-99'!L1410</f>
        <v>15988.679627019001</v>
      </c>
      <c r="K20" s="551">
        <f>+'[2]HUE 04-99'!M1410</f>
        <v>16472.805026423201</v>
      </c>
      <c r="L20" s="551">
        <f>+'[2]HUE 04-99'!N1410</f>
        <v>16353.9637317584</v>
      </c>
      <c r="M20" s="551">
        <f>+'[2]HUE 04-99'!O1410</f>
        <v>16446.113144519401</v>
      </c>
      <c r="N20" s="551">
        <f>+'[2]HUE 04-99'!P1410</f>
        <v>16259.5024340817</v>
      </c>
    </row>
    <row r="21" spans="1:14" ht="12" customHeight="1">
      <c r="A21" s="269" t="s">
        <v>33</v>
      </c>
      <c r="B21" s="550">
        <f t="shared" si="0"/>
        <v>1375.7728077620493</v>
      </c>
      <c r="C21" s="551">
        <f>+'[2]HUE 04-99'!E1413</f>
        <v>104.22256201296</v>
      </c>
      <c r="D21" s="551">
        <f>+'[2]HUE 04-99'!F1413</f>
        <v>105.359379476954</v>
      </c>
      <c r="E21" s="551">
        <f>+'[2]HUE 04-99'!G1413</f>
        <v>106.601331354149</v>
      </c>
      <c r="F21" s="551">
        <f>+'[2]HUE 04-99'!H1413</f>
        <v>100.9468630747</v>
      </c>
      <c r="G21" s="551">
        <f>+'[2]HUE 04-99'!I1413</f>
        <v>102.31126508681901</v>
      </c>
      <c r="H21" s="551">
        <f>+'[2]HUE 04-99'!J1413</f>
        <v>105.904002694638</v>
      </c>
      <c r="I21" s="551">
        <f>+'[2]HUE 04-99'!K1413</f>
        <v>104.277304535027</v>
      </c>
      <c r="J21" s="551">
        <f>+'[2]HUE 04-99'!L1413</f>
        <v>114.67712484850099</v>
      </c>
      <c r="K21" s="551">
        <f>+'[2]HUE 04-99'!M1413</f>
        <v>136.34425832927752</v>
      </c>
      <c r="L21" s="551">
        <f>+'[2]HUE 04-99'!N1413</f>
        <v>134.55265205810298</v>
      </c>
      <c r="M21" s="551">
        <f>+'[2]HUE 04-99'!O1413</f>
        <v>123.278555072722</v>
      </c>
      <c r="N21" s="551">
        <f>+'[2]HUE 04-99'!P1413</f>
        <v>137.297509218199</v>
      </c>
    </row>
    <row r="22" spans="1:14" ht="12" customHeight="1">
      <c r="A22" s="269" t="s">
        <v>34</v>
      </c>
      <c r="B22" s="550">
        <f t="shared" si="0"/>
        <v>182.95539604971864</v>
      </c>
      <c r="C22" s="551">
        <f>+'[2]HUE 04-99'!E1416</f>
        <v>13.610093390235701</v>
      </c>
      <c r="D22" s="551">
        <f>+'[2]HUE 04-99'!F1416</f>
        <v>12.562315720940711</v>
      </c>
      <c r="E22" s="551">
        <f>+'[2]HUE 04-99'!G1416</f>
        <v>13.516551428572907</v>
      </c>
      <c r="F22" s="551">
        <f>+'[2]HUE 04-99'!H1416</f>
        <v>13.153227117601688</v>
      </c>
      <c r="G22" s="551">
        <f>+'[2]HUE 04-99'!I1416</f>
        <v>14.578031308919636</v>
      </c>
      <c r="H22" s="551">
        <f>+'[2]HUE 04-99'!J1416</f>
        <v>15.637826906251709</v>
      </c>
      <c r="I22" s="551">
        <f>+'[2]HUE 04-99'!K1416</f>
        <v>16.591437458399135</v>
      </c>
      <c r="J22" s="551">
        <f>+'[2]HUE 04-99'!L1416</f>
        <v>16.912324614231949</v>
      </c>
      <c r="K22" s="551">
        <f>+'[2]HUE 04-99'!M1416</f>
        <v>16.859658281164428</v>
      </c>
      <c r="L22" s="551">
        <f>+'[2]HUE 04-99'!N1416</f>
        <v>15.841358818311154</v>
      </c>
      <c r="M22" s="551">
        <f>+'[2]HUE 04-99'!O1416</f>
        <v>15.231073830397621</v>
      </c>
      <c r="N22" s="551">
        <f>+'[2]HUE 04-99'!P1416</f>
        <v>18.461497174691988</v>
      </c>
    </row>
    <row r="23" spans="1:14" ht="12" customHeight="1">
      <c r="A23" s="269" t="s">
        <v>35</v>
      </c>
      <c r="B23" s="550">
        <f t="shared" si="0"/>
        <v>1111.7594582993893</v>
      </c>
      <c r="C23" s="551">
        <f>+'[2]HUE 04-99'!E1419</f>
        <v>100.43566130000001</v>
      </c>
      <c r="D23" s="551">
        <f>+'[2]HUE 04-99'!F1419</f>
        <v>86.669127948189256</v>
      </c>
      <c r="E23" s="551">
        <f>+'[2]HUE 04-99'!G1419</f>
        <v>103.703764960475</v>
      </c>
      <c r="F23" s="551">
        <f>+'[2]HUE 04-99'!H1419</f>
        <v>91.290327154067995</v>
      </c>
      <c r="G23" s="551">
        <f>+'[2]HUE 04-99'!I1419</f>
        <v>95.041265772973105</v>
      </c>
      <c r="H23" s="551">
        <f>+'[2]HUE 04-99'!J1419</f>
        <v>96.937326480704158</v>
      </c>
      <c r="I23" s="551">
        <f>+'[2]HUE 04-99'!K1419</f>
        <v>96.320705925179624</v>
      </c>
      <c r="J23" s="551">
        <f>+'[2]HUE 04-99'!L1419</f>
        <v>93.486106687383995</v>
      </c>
      <c r="K23" s="551">
        <f>+'[2]HUE 04-99'!M1419</f>
        <v>87.813318468934938</v>
      </c>
      <c r="L23" s="551">
        <f>+'[2]HUE 04-99'!N1419</f>
        <v>84.039283391558556</v>
      </c>
      <c r="M23" s="551">
        <f>+'[2]HUE 04-99'!O1419</f>
        <v>86.979367053352703</v>
      </c>
      <c r="N23" s="551">
        <f>+'[2]HUE 04-99'!P1419</f>
        <v>89.043203156570101</v>
      </c>
    </row>
    <row r="24" spans="1:14" ht="12" customHeight="1">
      <c r="A24" s="269" t="s">
        <v>36</v>
      </c>
      <c r="B24" s="550">
        <f t="shared" si="0"/>
        <v>669.6056988054205</v>
      </c>
      <c r="C24" s="551">
        <f>+'[2]HUE 04-99'!E1422</f>
        <v>58.649537191999997</v>
      </c>
      <c r="D24" s="551">
        <f>+'[2]HUE 04-99'!F1422</f>
        <v>57.64169658810183</v>
      </c>
      <c r="E24" s="551">
        <f>+'[2]HUE 04-99'!G1422</f>
        <v>56.104522564891752</v>
      </c>
      <c r="F24" s="551">
        <f>+'[2]HUE 04-99'!H1422</f>
        <v>56.165815032019772</v>
      </c>
      <c r="G24" s="551">
        <f>+'[2]HUE 04-99'!I1422</f>
        <v>56.296005174561806</v>
      </c>
      <c r="H24" s="551">
        <f>+'[2]HUE 04-99'!J1422</f>
        <v>56.550230439135596</v>
      </c>
      <c r="I24" s="551">
        <f>+'[2]HUE 04-99'!K1422</f>
        <v>56.764733364253985</v>
      </c>
      <c r="J24" s="551">
        <f>+'[2]HUE 04-99'!L1422</f>
        <v>55.387528875294379</v>
      </c>
      <c r="K24" s="551">
        <f>+'[2]HUE 04-99'!M1422</f>
        <v>55.152756433955894</v>
      </c>
      <c r="L24" s="551">
        <f>+'[2]HUE 04-99'!N1422</f>
        <v>55.469188311801759</v>
      </c>
      <c r="M24" s="551">
        <f>+'[2]HUE 04-99'!O1422</f>
        <v>53.029161685607974</v>
      </c>
      <c r="N24" s="551">
        <f>+'[2]HUE 04-99'!P1422</f>
        <v>52.394523143795695</v>
      </c>
    </row>
    <row r="25" spans="1:14" ht="12" customHeight="1">
      <c r="A25" s="217" t="s">
        <v>37</v>
      </c>
      <c r="B25" s="550">
        <f t="shared" si="0"/>
        <v>17890.262228267235</v>
      </c>
      <c r="C25" s="551">
        <f>+'[2]HUE 04-99'!E1425</f>
        <v>1342.2172462434901</v>
      </c>
      <c r="D25" s="551">
        <f>+'[2]HUE 04-99'!F1425</f>
        <v>1462.2417149618877</v>
      </c>
      <c r="E25" s="551">
        <f>+'[2]HUE 04-99'!G1425</f>
        <v>1404.7241581403264</v>
      </c>
      <c r="F25" s="551">
        <f>+'[2]HUE 04-99'!H1425</f>
        <v>1493.5603622650658</v>
      </c>
      <c r="G25" s="551">
        <f>+'[2]HUE 04-99'!I1425</f>
        <v>1427.3158132697099</v>
      </c>
      <c r="H25" s="551">
        <f>+'[2]HUE 04-99'!J1425</f>
        <v>1555.6063658230532</v>
      </c>
      <c r="I25" s="551">
        <f>+'[2]HUE 04-99'!K1425</f>
        <v>1440.63815843934</v>
      </c>
      <c r="J25" s="551">
        <f>+'[2]HUE 04-99'!L1425</f>
        <v>1578.6935955834042</v>
      </c>
      <c r="K25" s="551">
        <f>+'[2]HUE 04-99'!M1425</f>
        <v>1547.18700974325</v>
      </c>
      <c r="L25" s="551">
        <f>+'[2]HUE 04-99'!N1425</f>
        <v>1463.2604305960799</v>
      </c>
      <c r="M25" s="551">
        <f>+'[2]HUE 04-99'!O1425</f>
        <v>1574.34862839126</v>
      </c>
      <c r="N25" s="551">
        <f>+'[2]HUE 04-99'!P1425</f>
        <v>1600.46874481037</v>
      </c>
    </row>
    <row r="26" spans="1:14" ht="12" customHeight="1">
      <c r="A26" s="269" t="s">
        <v>38</v>
      </c>
      <c r="B26" s="550">
        <f t="shared" si="0"/>
        <v>354.67987046042583</v>
      </c>
      <c r="C26" s="551">
        <f>+'[2]HUE 04-99'!E1428</f>
        <v>27.055563781</v>
      </c>
      <c r="D26" s="551">
        <f>+'[2]HUE 04-99'!F1428</f>
        <v>27.919553870406901</v>
      </c>
      <c r="E26" s="551">
        <f>+'[2]HUE 04-99'!G1428</f>
        <v>33.871573173365</v>
      </c>
      <c r="F26" s="551">
        <f>+'[2]HUE 04-99'!H1428</f>
        <v>28.437093634897117</v>
      </c>
      <c r="G26" s="551">
        <f>+'[2]HUE 04-99'!I1428</f>
        <v>30.872685797539202</v>
      </c>
      <c r="H26" s="551">
        <f>+'[2]HUE 04-99'!J1428</f>
        <v>26.023875565013199</v>
      </c>
      <c r="I26" s="551">
        <f>+'[2]HUE 04-99'!K1428</f>
        <v>26.718767468731201</v>
      </c>
      <c r="J26" s="551">
        <f>+'[2]HUE 04-99'!L1428</f>
        <v>27.365516514766998</v>
      </c>
      <c r="K26" s="551">
        <f>+'[2]HUE 04-99'!M1428</f>
        <v>31.923205628695001</v>
      </c>
      <c r="L26" s="551">
        <f>+'[2]HUE 04-99'!N1428</f>
        <v>36.7161529569699</v>
      </c>
      <c r="M26" s="551">
        <f>+'[2]HUE 04-99'!O1428</f>
        <v>29.799745494370001</v>
      </c>
      <c r="N26" s="551">
        <f>+'[2]HUE 04-99'!P1428</f>
        <v>27.976136574671401</v>
      </c>
    </row>
    <row r="27" spans="1:14" ht="12" customHeight="1">
      <c r="A27" s="269" t="s">
        <v>39</v>
      </c>
      <c r="B27" s="550">
        <f t="shared" si="0"/>
        <v>5673.5468184988631</v>
      </c>
      <c r="C27" s="551">
        <f>+'[2]HUE 04-99'!E1431</f>
        <v>457.87507147712307</v>
      </c>
      <c r="D27" s="551">
        <f>+'[2]HUE 04-99'!F1431</f>
        <v>458.18317296162252</v>
      </c>
      <c r="E27" s="551">
        <f>+'[2]HUE 04-99'!G1431</f>
        <v>474.85477432066909</v>
      </c>
      <c r="F27" s="551">
        <f>+'[2]HUE 04-99'!H1431</f>
        <v>518.9928774580012</v>
      </c>
      <c r="G27" s="551">
        <f>+'[2]HUE 04-99'!I1431</f>
        <v>450.714889864854</v>
      </c>
      <c r="H27" s="551">
        <f>+'[2]HUE 04-99'!J1431</f>
        <v>509.35355964574069</v>
      </c>
      <c r="I27" s="551">
        <f>+'[2]HUE 04-99'!K1431</f>
        <v>487.94485033956636</v>
      </c>
      <c r="J27" s="551">
        <f>+'[2]HUE 04-99'!L1431</f>
        <v>469.37243421964268</v>
      </c>
      <c r="K27" s="551">
        <f>+'[2]HUE 04-99'!M1431</f>
        <v>462.23418954766601</v>
      </c>
      <c r="L27" s="551">
        <f>+'[2]HUE 04-99'!N1431</f>
        <v>474.895313347269</v>
      </c>
      <c r="M27" s="551">
        <f>+'[2]HUE 04-99'!O1431</f>
        <v>445.14377625537901</v>
      </c>
      <c r="N27" s="551">
        <f>+'[2]HUE 04-99'!P1431</f>
        <v>463.98190906132999</v>
      </c>
    </row>
    <row r="28" spans="1:14" ht="12" customHeight="1">
      <c r="A28" s="269" t="s">
        <v>40</v>
      </c>
      <c r="B28" s="550">
        <f t="shared" si="0"/>
        <v>894.61129822571593</v>
      </c>
      <c r="C28" s="551">
        <f>+'[2]HUE 04-99'!E1434</f>
        <v>47.551302106712498</v>
      </c>
      <c r="D28" s="551">
        <f>+'[2]HUE 04-99'!F1434</f>
        <v>53.961009275588722</v>
      </c>
      <c r="E28" s="551">
        <f>+'[2]HUE 04-99'!G1434</f>
        <v>83.815127463848142</v>
      </c>
      <c r="F28" s="551">
        <f>+'[2]HUE 04-99'!H1434</f>
        <v>82.878881372092081</v>
      </c>
      <c r="G28" s="551">
        <f>+'[2]HUE 04-99'!I1434</f>
        <v>94.276978968500998</v>
      </c>
      <c r="H28" s="551">
        <f>+'[2]HUE 04-99'!J1434</f>
        <v>94.418211694017998</v>
      </c>
      <c r="I28" s="551">
        <f>+'[2]HUE 04-99'!K1434</f>
        <v>89.920461549978597</v>
      </c>
      <c r="J28" s="551">
        <f>+'[2]HUE 04-99'!L1434</f>
        <v>85.611074770761405</v>
      </c>
      <c r="K28" s="551">
        <f>+'[2]HUE 04-99'!M1434</f>
        <v>62.58319218306687</v>
      </c>
      <c r="L28" s="551">
        <f>+'[2]HUE 04-99'!N1434</f>
        <v>63.916802228709997</v>
      </c>
      <c r="M28" s="551">
        <f>+'[2]HUE 04-99'!O1434</f>
        <v>65.702028993936494</v>
      </c>
      <c r="N28" s="551">
        <f>+'[2]HUE 04-99'!P1434</f>
        <v>69.976227618501994</v>
      </c>
    </row>
    <row r="29" spans="1:14" ht="12" customHeight="1">
      <c r="A29" s="217" t="s">
        <v>41</v>
      </c>
      <c r="B29" s="550">
        <f t="shared" si="0"/>
        <v>586.60076317579319</v>
      </c>
      <c r="C29" s="551">
        <f>+'[2]HUE 04-99'!E1437</f>
        <v>47.227621107391101</v>
      </c>
      <c r="D29" s="551">
        <f>+'[2]HUE 04-99'!F1437</f>
        <v>50.103306477565496</v>
      </c>
      <c r="E29" s="551">
        <f>+'[2]HUE 04-99'!G1437</f>
        <v>53.012812730644825</v>
      </c>
      <c r="F29" s="551">
        <f>+'[2]HUE 04-99'!H1437</f>
        <v>52.90835169779163</v>
      </c>
      <c r="G29" s="551">
        <f>+'[2]HUE 04-99'!I1437</f>
        <v>54.232472844768012</v>
      </c>
      <c r="H29" s="551">
        <f>+'[2]HUE 04-99'!J1437</f>
        <v>52.132760594754004</v>
      </c>
      <c r="I29" s="551">
        <f>+'[2]HUE 04-99'!K1437</f>
        <v>47.379184533994099</v>
      </c>
      <c r="J29" s="551">
        <f>+'[2]HUE 04-99'!L1437</f>
        <v>42.997805151871304</v>
      </c>
      <c r="K29" s="551">
        <f>+'[2]HUE 04-99'!M1437</f>
        <v>47.19571052568844</v>
      </c>
      <c r="L29" s="551">
        <f>+'[2]HUE 04-99'!N1437</f>
        <v>44.609481786334598</v>
      </c>
      <c r="M29" s="551">
        <f>+'[2]HUE 04-99'!O1437</f>
        <v>50.250411047694413</v>
      </c>
      <c r="N29" s="551">
        <f>+'[2]HUE 04-99'!P1437</f>
        <v>44.550844677295252</v>
      </c>
    </row>
    <row r="30" spans="1:14" ht="12" customHeight="1">
      <c r="A30" s="271" t="s">
        <v>111</v>
      </c>
      <c r="B30" s="550">
        <f t="shared" si="0"/>
        <v>308.12477538379574</v>
      </c>
      <c r="C30" s="551">
        <f>+'[2]HUE 04-99'!E1440</f>
        <v>24.361071698050001</v>
      </c>
      <c r="D30" s="551">
        <f>+'[2]HUE 04-99'!F1440</f>
        <v>27.446702114762857</v>
      </c>
      <c r="E30" s="551">
        <f>+'[2]HUE 04-99'!G1440</f>
        <v>27.67822323677921</v>
      </c>
      <c r="F30" s="551">
        <f>+'[2]HUE 04-99'!H1440</f>
        <v>27.573762203926016</v>
      </c>
      <c r="G30" s="551">
        <f>+'[2]HUE 04-99'!I1440</f>
        <v>29.816727946500318</v>
      </c>
      <c r="H30" s="551">
        <f>+'[2]HUE 04-99'!J1440</f>
        <v>28.2515865728144</v>
      </c>
      <c r="I30" s="551">
        <f>+'[2]HUE 04-99'!K1440</f>
        <v>25.098010512054501</v>
      </c>
      <c r="J30" s="551">
        <f>+'[2]HUE 04-99'!L1440</f>
        <v>22.460570235386001</v>
      </c>
      <c r="K30" s="551">
        <f>+'[2]HUE 04-99'!M1440</f>
        <v>25.911782387477743</v>
      </c>
      <c r="L30" s="551">
        <f>+'[2]HUE 04-99'!N1440</f>
        <v>23.382230582114701</v>
      </c>
      <c r="M30" s="551">
        <f>+'[2]HUE 04-99'!O1440</f>
        <v>24.037329076972156</v>
      </c>
      <c r="N30" s="551">
        <f>+'[2]HUE 04-99'!P1440</f>
        <v>22.106778816957927</v>
      </c>
    </row>
    <row r="31" spans="1:14" ht="12" customHeight="1">
      <c r="A31" s="271" t="s">
        <v>112</v>
      </c>
      <c r="B31" s="550">
        <f t="shared" si="0"/>
        <v>278.47598779199734</v>
      </c>
      <c r="C31" s="551">
        <f>+'[2]HUE 04-99'!E1443</f>
        <v>22.866549409341101</v>
      </c>
      <c r="D31" s="551">
        <f>+'[2]HUE 04-99'!F1443</f>
        <v>22.656604362802643</v>
      </c>
      <c r="E31" s="551">
        <f>+'[2]HUE 04-99'!G1443</f>
        <v>25.334589493865614</v>
      </c>
      <c r="F31" s="551">
        <f>+'[2]HUE 04-99'!H1443</f>
        <v>25.334589493865614</v>
      </c>
      <c r="G31" s="551">
        <f>+'[2]HUE 04-99'!I1443</f>
        <v>24.415744898267693</v>
      </c>
      <c r="H31" s="551">
        <f>+'[2]HUE 04-99'!J1443</f>
        <v>23.8811740219396</v>
      </c>
      <c r="I31" s="551">
        <f>+'[2]HUE 04-99'!K1443</f>
        <v>22.281174021939599</v>
      </c>
      <c r="J31" s="551">
        <f>+'[2]HUE 04-99'!L1443</f>
        <v>20.5372349164853</v>
      </c>
      <c r="K31" s="551">
        <f>+'[2]HUE 04-99'!M1443</f>
        <v>21.283928138210701</v>
      </c>
      <c r="L31" s="551">
        <f>+'[2]HUE 04-99'!N1443</f>
        <v>21.2272512042199</v>
      </c>
      <c r="M31" s="551">
        <f>+'[2]HUE 04-99'!O1443</f>
        <v>26.213081970722254</v>
      </c>
      <c r="N31" s="551">
        <f>+'[2]HUE 04-99'!P1443</f>
        <v>22.444065860337325</v>
      </c>
    </row>
    <row r="32" spans="1:14" ht="12" customHeight="1">
      <c r="A32" s="269" t="s">
        <v>44</v>
      </c>
      <c r="B32" s="550">
        <f t="shared" si="0"/>
        <v>904.66832828720715</v>
      </c>
      <c r="C32" s="551">
        <f>+'[2]HUE 04-99'!E1446</f>
        <v>58.024422888245397</v>
      </c>
      <c r="D32" s="551">
        <f>+'[2]HUE 04-99'!F1446</f>
        <v>55.881094006349798</v>
      </c>
      <c r="E32" s="551">
        <f>+'[2]HUE 04-99'!G1446</f>
        <v>85.994583901217297</v>
      </c>
      <c r="F32" s="551">
        <f>+'[2]HUE 04-99'!H1446</f>
        <v>83.718115358948495</v>
      </c>
      <c r="G32" s="551">
        <f>+'[2]HUE 04-99'!I1446</f>
        <v>98.416739655594597</v>
      </c>
      <c r="H32" s="551">
        <f>+'[2]HUE 04-99'!J1446</f>
        <v>98.961688482925808</v>
      </c>
      <c r="I32" s="551">
        <f>+'[2]HUE 04-99'!K1446</f>
        <v>87.610451791006298</v>
      </c>
      <c r="J32" s="551">
        <f>+'[2]HUE 04-99'!L1446</f>
        <v>81.432827737088758</v>
      </c>
      <c r="K32" s="551">
        <f>+'[2]HUE 04-99'!M1446</f>
        <v>65.335037259221323</v>
      </c>
      <c r="L32" s="551">
        <f>+'[2]HUE 04-99'!N1446</f>
        <v>62.955585641074947</v>
      </c>
      <c r="M32" s="551">
        <f>+'[2]HUE 04-99'!O1446</f>
        <v>61.826460521954715</v>
      </c>
      <c r="N32" s="551">
        <f>+'[2]HUE 04-99'!P1446</f>
        <v>64.511321043579841</v>
      </c>
    </row>
    <row r="33" spans="1:14" ht="12" customHeight="1">
      <c r="A33" s="269" t="s">
        <v>45</v>
      </c>
      <c r="B33" s="550">
        <f t="shared" si="0"/>
        <v>1830.4968999757409</v>
      </c>
      <c r="C33" s="551">
        <f>+'[2]HUE 04-99'!E1449</f>
        <v>139.22702328</v>
      </c>
      <c r="D33" s="551">
        <f>+'[2]HUE 04-99'!F1449</f>
        <v>143.98690379548606</v>
      </c>
      <c r="E33" s="551">
        <f>+'[2]HUE 04-99'!G1449</f>
        <v>159.40058687932409</v>
      </c>
      <c r="F33" s="551">
        <f>+'[2]HUE 04-99'!H1449</f>
        <v>156.31796991602141</v>
      </c>
      <c r="G33" s="551">
        <f>+'[2]HUE 04-99'!I1449</f>
        <v>166.09404589211553</v>
      </c>
      <c r="H33" s="551">
        <f>+'[2]HUE 04-99'!J1449</f>
        <v>178.16952582671163</v>
      </c>
      <c r="I33" s="551">
        <f>+'[2]HUE 04-99'!K1449</f>
        <v>164.08680521355586</v>
      </c>
      <c r="J33" s="551">
        <f>+'[2]HUE 04-99'!L1449</f>
        <v>163.92325706857096</v>
      </c>
      <c r="K33" s="551">
        <f>+'[2]HUE 04-99'!M1449</f>
        <v>155.43915184948477</v>
      </c>
      <c r="L33" s="551">
        <f>+'[2]HUE 04-99'!N1449</f>
        <v>131.15570808044347</v>
      </c>
      <c r="M33" s="551">
        <f>+'[2]HUE 04-99'!O1449</f>
        <v>135.15816619117564</v>
      </c>
      <c r="N33" s="551">
        <f>+'[2]HUE 04-99'!P1449</f>
        <v>137.53775598285145</v>
      </c>
    </row>
    <row r="34" spans="1:14" ht="12" customHeight="1">
      <c r="A34" s="217" t="s">
        <v>46</v>
      </c>
      <c r="B34" s="550">
        <f t="shared" si="0"/>
        <v>13861.240035102757</v>
      </c>
      <c r="C34" s="551">
        <f>+'[2]HUE 04-99'!E1452</f>
        <v>1198.3611439290701</v>
      </c>
      <c r="D34" s="551">
        <f>+'[2]HUE 04-99'!F1452</f>
        <v>1152.78378377338</v>
      </c>
      <c r="E34" s="551">
        <f>+'[2]HUE 04-99'!G1452</f>
        <v>1219.4423692764601</v>
      </c>
      <c r="F34" s="551">
        <f>+'[2]HUE 04-99'!H1452</f>
        <v>1244.56388171914</v>
      </c>
      <c r="G34" s="551">
        <f>+'[2]HUE 04-99'!I1452</f>
        <v>1063.9746238958312</v>
      </c>
      <c r="H34" s="551">
        <f>+'[2]HUE 04-99'!J1452</f>
        <v>981.79021182757424</v>
      </c>
      <c r="I34" s="551">
        <f>+'[2]HUE 04-99'!K1452</f>
        <v>1064.7163131802099</v>
      </c>
      <c r="J34" s="551">
        <f>+'[2]HUE 04-99'!L1452</f>
        <v>1150.32563280724</v>
      </c>
      <c r="K34" s="551">
        <f>+'[2]HUE 04-99'!M1452</f>
        <v>1213.6039907126899</v>
      </c>
      <c r="L34" s="551">
        <f>+'[2]HUE 04-99'!N1452</f>
        <v>1150.60233978424</v>
      </c>
      <c r="M34" s="551">
        <f>+'[2]HUE 04-99'!O1452</f>
        <v>1164.6824831418201</v>
      </c>
      <c r="N34" s="551">
        <f>+'[2]HUE 04-99'!P1452</f>
        <v>1256.3932610551001</v>
      </c>
    </row>
    <row r="35" spans="1:14" ht="12" customHeight="1">
      <c r="A35" s="217" t="s">
        <v>47</v>
      </c>
      <c r="B35" s="550">
        <f t="shared" si="0"/>
        <v>5149.9588180660976</v>
      </c>
      <c r="C35" s="551">
        <f>+'[2]HUE 04-99'!E1455</f>
        <v>468.25108254161779</v>
      </c>
      <c r="D35" s="551">
        <f>+'[2]HUE 04-99'!F1455</f>
        <v>426.88951765756002</v>
      </c>
      <c r="E35" s="551">
        <f>+'[2]HUE 04-99'!G1455</f>
        <v>457.69314066314973</v>
      </c>
      <c r="F35" s="551">
        <f>+'[2]HUE 04-99'!H1455</f>
        <v>421.71250098334099</v>
      </c>
      <c r="G35" s="551">
        <f>+'[2]HUE 04-99'!I1455</f>
        <v>437.45267312277201</v>
      </c>
      <c r="H35" s="551">
        <f>+'[2]HUE 04-99'!J1455</f>
        <v>402.44456180361499</v>
      </c>
      <c r="I35" s="551">
        <f>+'[2]HUE 04-99'!K1455</f>
        <v>394.82610948904301</v>
      </c>
      <c r="J35" s="551">
        <f>+'[2]HUE 04-99'!L1455</f>
        <v>418.29557083200137</v>
      </c>
      <c r="K35" s="551">
        <f>+'[2]HUE 04-99'!M1455</f>
        <v>417.84365594203302</v>
      </c>
      <c r="L35" s="551">
        <f>+'[2]HUE 04-99'!N1455</f>
        <v>435.83312776951601</v>
      </c>
      <c r="M35" s="551">
        <f>+'[2]HUE 04-99'!O1455</f>
        <v>415.92784605596501</v>
      </c>
      <c r="N35" s="551">
        <f>+'[2]HUE 04-99'!P1455</f>
        <v>452.78903120548301</v>
      </c>
    </row>
    <row r="36" spans="1:14" ht="12" customHeight="1">
      <c r="A36" s="217" t="s">
        <v>48</v>
      </c>
      <c r="B36" s="550">
        <f t="shared" si="0"/>
        <v>3711.0853892589475</v>
      </c>
      <c r="C36" s="551">
        <f>+'[2]HUE 04-99'!E1458</f>
        <v>314.10563045397362</v>
      </c>
      <c r="D36" s="551">
        <f>+'[2]HUE 04-99'!F1458</f>
        <v>331.89625616771661</v>
      </c>
      <c r="E36" s="551">
        <f>+'[2]HUE 04-99'!G1458</f>
        <v>302.30468019614102</v>
      </c>
      <c r="F36" s="551">
        <f>+'[2]HUE 04-99'!H1458</f>
        <v>319.75858307285637</v>
      </c>
      <c r="G36" s="551">
        <f>+'[2]HUE 04-99'!I1458</f>
        <v>299.09890402161039</v>
      </c>
      <c r="H36" s="551">
        <f>+'[2]HUE 04-99'!J1458</f>
        <v>297.09843586288105</v>
      </c>
      <c r="I36" s="551">
        <f>+'[2]HUE 04-99'!K1458</f>
        <v>306.153342681065</v>
      </c>
      <c r="J36" s="551">
        <f>+'[2]HUE 04-99'!L1458</f>
        <v>340.83790941944602</v>
      </c>
      <c r="K36" s="551">
        <f>+'[2]HUE 04-99'!M1458</f>
        <v>328.35942889661101</v>
      </c>
      <c r="L36" s="551">
        <f>+'[2]HUE 04-99'!N1458</f>
        <v>300.69651728809498</v>
      </c>
      <c r="M36" s="551">
        <f>+'[2]HUE 04-99'!O1458</f>
        <v>285.71693303361201</v>
      </c>
      <c r="N36" s="551">
        <f>+'[2]HUE 04-99'!P1458</f>
        <v>285.05876816493901</v>
      </c>
    </row>
    <row r="37" spans="1:14" ht="12" customHeight="1" thickBot="1">
      <c r="A37" s="272" t="s">
        <v>49</v>
      </c>
      <c r="B37" s="552">
        <f t="shared" si="0"/>
        <v>3470.6314378425536</v>
      </c>
      <c r="C37" s="553">
        <f>+'[2]HUE 04-99'!E1461</f>
        <v>306.50746009</v>
      </c>
      <c r="D37" s="553">
        <f>+'[2]HUE 04-99'!F1461</f>
        <v>290.10747225637198</v>
      </c>
      <c r="E37" s="553">
        <f>+'[2]HUE 04-99'!G1461</f>
        <v>302.97237192212702</v>
      </c>
      <c r="F37" s="553">
        <f>+'[2]HUE 04-99'!H1461</f>
        <v>307.60743472422701</v>
      </c>
      <c r="G37" s="553">
        <f>+'[2]HUE 04-99'!I1461</f>
        <v>318.64992480731399</v>
      </c>
      <c r="H37" s="553">
        <f>+'[2]HUE 04-99'!J1461</f>
        <v>348.81264262423099</v>
      </c>
      <c r="I37" s="553">
        <f>+'[2]HUE 04-99'!K1461</f>
        <v>317.41029188510203</v>
      </c>
      <c r="J37" s="553">
        <f>+'[2]HUE 04-99'!L1461</f>
        <v>307.30914262415001</v>
      </c>
      <c r="K37" s="553">
        <f>+'[2]HUE 04-99'!M1461</f>
        <v>269.88774218674598</v>
      </c>
      <c r="L37" s="553">
        <f>+'[2]HUE 04-99'!N1461</f>
        <v>243.63582369445899</v>
      </c>
      <c r="M37" s="553">
        <f>+'[2]HUE 04-99'!O1461</f>
        <v>235.47157158234401</v>
      </c>
      <c r="N37" s="553">
        <f>+'[2]HUE 04-99'!P1461</f>
        <v>222.25955944548201</v>
      </c>
    </row>
    <row r="38" spans="1:14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14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14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Hoja74">
    <tabColor theme="9" tint="0.59999389629810485"/>
  </sheetPr>
  <dimension ref="A4:N54"/>
  <sheetViews>
    <sheetView showGridLines="0" topLeftCell="A2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23" customWidth="1"/>
    <col min="3" max="14" width="8.59765625" style="223" customWidth="1"/>
    <col min="15" max="16384" width="7" style="213"/>
  </cols>
  <sheetData>
    <row r="4" spans="1:14" ht="13" customHeight="1">
      <c r="A4" s="511" t="s">
        <v>409</v>
      </c>
      <c r="B4" s="507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</row>
    <row r="5" spans="1:14" ht="13" customHeight="1">
      <c r="A5" s="514" t="s">
        <v>595</v>
      </c>
      <c r="B5" s="507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</row>
    <row r="6" spans="1:14" ht="5" customHeight="1" thickBot="1"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</row>
    <row r="7" spans="1:14" ht="15" customHeight="1">
      <c r="A7" s="519" t="s">
        <v>18</v>
      </c>
      <c r="B7" s="522" t="s">
        <v>56</v>
      </c>
      <c r="C7" s="546" t="s">
        <v>57</v>
      </c>
      <c r="D7" s="546" t="s">
        <v>58</v>
      </c>
      <c r="E7" s="546" t="s">
        <v>59</v>
      </c>
      <c r="F7" s="546" t="s">
        <v>60</v>
      </c>
      <c r="G7" s="546" t="s">
        <v>61</v>
      </c>
      <c r="H7" s="546" t="s">
        <v>62</v>
      </c>
      <c r="I7" s="546" t="s">
        <v>63</v>
      </c>
      <c r="J7" s="546" t="s">
        <v>64</v>
      </c>
      <c r="K7" s="546" t="s">
        <v>65</v>
      </c>
      <c r="L7" s="546" t="s">
        <v>66</v>
      </c>
      <c r="M7" s="546" t="s">
        <v>67</v>
      </c>
      <c r="N7" s="546" t="s">
        <v>68</v>
      </c>
    </row>
    <row r="8" spans="1:14" ht="15" customHeight="1">
      <c r="A8" s="530" t="s">
        <v>100</v>
      </c>
      <c r="B8" s="588">
        <f>'C-72'!B8/'C-71'!B8*1000</f>
        <v>16.576221400715855</v>
      </c>
      <c r="C8" s="588">
        <f>'C-72'!C8/'C-71'!C8*1000</f>
        <v>1.3726864289355225</v>
      </c>
      <c r="D8" s="588">
        <f>('C-72'!D8/'C-71'!D8)*1000</f>
        <v>1.3622860492793543</v>
      </c>
      <c r="E8" s="588">
        <f>('C-72'!E8/'C-71'!E8)*1000</f>
        <v>1.3870398339107179</v>
      </c>
      <c r="F8" s="588">
        <f>('C-72'!F8/'C-71'!F8)*1000</f>
        <v>1.370168007462035</v>
      </c>
      <c r="G8" s="588">
        <f>('C-72'!G8/'C-71'!G8)*1000</f>
        <v>1.3699596892129824</v>
      </c>
      <c r="H8" s="588">
        <f>('C-72'!H8/'C-71'!H8)*1000</f>
        <v>1.3686931800097328</v>
      </c>
      <c r="I8" s="588">
        <f>('C-72'!I8/'C-71'!I8)*1000</f>
        <v>1.3694514915216121</v>
      </c>
      <c r="J8" s="588">
        <f>('C-72'!J8/'C-71'!J8)*1000</f>
        <v>1.3791046632126347</v>
      </c>
      <c r="K8" s="588">
        <f>('C-72'!K8/'C-71'!K8)*1000</f>
        <v>1.3925027461161508</v>
      </c>
      <c r="L8" s="588">
        <f>('C-72'!L8/'C-71'!L8)*1000</f>
        <v>1.3943496623035576</v>
      </c>
      <c r="M8" s="588">
        <f>('C-72'!M8/'C-71'!M8)*1000</f>
        <v>1.4079932752042883</v>
      </c>
      <c r="N8" s="588">
        <f>('C-72'!N8/'C-71'!N8)*1000</f>
        <v>1.4016925090062011</v>
      </c>
    </row>
    <row r="9" spans="1:14" ht="12" customHeight="1">
      <c r="A9" s="269" t="s">
        <v>21</v>
      </c>
      <c r="B9" s="589">
        <f>('C-72'!B9/'C-71'!B9)*1000</f>
        <v>6.6600252271286484</v>
      </c>
      <c r="C9" s="590">
        <f>('C-72'!C9/'C-71'!C9)*1000</f>
        <v>0.65770620390639734</v>
      </c>
      <c r="D9" s="590">
        <f>('C-72'!D9/'C-71'!D9)*1000</f>
        <v>0.54988936523733678</v>
      </c>
      <c r="E9" s="590">
        <f>('C-72'!E9/'C-71'!E9)*1000</f>
        <v>0.52572449824905387</v>
      </c>
      <c r="F9" s="590">
        <f>('C-72'!F9/'C-71'!F9)*1000</f>
        <v>0.52572449824905387</v>
      </c>
      <c r="G9" s="590">
        <f>('C-72'!G9/'C-71'!G9)*1000</f>
        <v>0.53526052508600075</v>
      </c>
      <c r="H9" s="590">
        <f>('C-72'!H9/'C-71'!H9)*1000</f>
        <v>0.5498743923592263</v>
      </c>
      <c r="I9" s="590">
        <f>('C-72'!I9/'C-71'!I9)*1000</f>
        <v>0.55334702609708841</v>
      </c>
      <c r="J9" s="590">
        <f>('C-72'!J9/'C-71'!J9)*1000</f>
        <v>0.53193609394293351</v>
      </c>
      <c r="K9" s="590">
        <f>('C-72'!K9/'C-71'!K9)*1000</f>
        <v>0.55847367980506613</v>
      </c>
      <c r="L9" s="590">
        <f>('C-72'!L9/'C-71'!L9)*1000</f>
        <v>0.55770663041146429</v>
      </c>
      <c r="M9" s="590">
        <f>('C-72'!M9/'C-71'!M9)*1000</f>
        <v>0.5575264755002326</v>
      </c>
      <c r="N9" s="590">
        <f>('C-72'!N9/'C-71'!N9)*1000</f>
        <v>0.55522836525588104</v>
      </c>
    </row>
    <row r="10" spans="1:14" ht="12" customHeight="1">
      <c r="A10" s="269" t="s">
        <v>22</v>
      </c>
      <c r="B10" s="589">
        <f>('C-72'!B10/'C-71'!B10)*1000</f>
        <v>12.005751214050841</v>
      </c>
      <c r="C10" s="590">
        <f>('C-72'!C10/'C-71'!C10)*1000</f>
        <v>1.2607839249968384</v>
      </c>
      <c r="D10" s="590">
        <f>('C-72'!D10/'C-71'!D10)*1000</f>
        <v>1.0380874073429478</v>
      </c>
      <c r="E10" s="590">
        <f>('C-72'!E10/'C-71'!E10)*1000</f>
        <v>0.9332560059702163</v>
      </c>
      <c r="F10" s="590">
        <f>('C-72'!F10/'C-71'!F10)*1000</f>
        <v>0.94265086716750868</v>
      </c>
      <c r="G10" s="590">
        <f>('C-72'!G10/'C-71'!G10)*1000</f>
        <v>0.94113929388676187</v>
      </c>
      <c r="H10" s="590">
        <f>('C-72'!H10/'C-71'!H10)*1000</f>
        <v>0.9576447274590596</v>
      </c>
      <c r="I10" s="590">
        <f>('C-72'!I10/'C-71'!I10)*1000</f>
        <v>0.96373082160312418</v>
      </c>
      <c r="J10" s="590">
        <f>('C-72'!J10/'C-71'!J10)*1000</f>
        <v>0.95116664426406472</v>
      </c>
      <c r="K10" s="590">
        <f>('C-72'!K10/'C-71'!K10)*1000</f>
        <v>0.94311978447419464</v>
      </c>
      <c r="L10" s="590">
        <f>('C-72'!L10/'C-71'!L10)*1000</f>
        <v>0.9699449214472512</v>
      </c>
      <c r="M10" s="590">
        <f>('C-72'!M10/'C-71'!M10)*1000</f>
        <v>1.107511457037851</v>
      </c>
      <c r="N10" s="590">
        <f>('C-72'!N10/'C-71'!N10)*1000</f>
        <v>1.0164897397050374</v>
      </c>
    </row>
    <row r="11" spans="1:14" ht="12" customHeight="1">
      <c r="A11" s="269" t="s">
        <v>23</v>
      </c>
      <c r="B11" s="589">
        <f>('C-72'!B11/'C-71'!B11)*1000</f>
        <v>15.372283022700701</v>
      </c>
      <c r="C11" s="590">
        <f>('C-72'!C11/'C-71'!C11)*1000</f>
        <v>1.3135377916500619</v>
      </c>
      <c r="D11" s="590">
        <f>('C-72'!D11/'C-71'!D11)*1000</f>
        <v>1.3144611745642201</v>
      </c>
      <c r="E11" s="590">
        <f>('C-72'!E11/'C-71'!E11)*1000</f>
        <v>1.2105767952357149</v>
      </c>
      <c r="F11" s="590">
        <f>('C-72'!F11/'C-71'!F11)*1000</f>
        <v>1.2347199831266706</v>
      </c>
      <c r="G11" s="590">
        <f>('C-72'!G11/'C-71'!G11)*1000</f>
        <v>1.2227806532296026</v>
      </c>
      <c r="H11" s="590">
        <f>('C-72'!H11/'C-71'!H11)*1000</f>
        <v>1.2406545276622596</v>
      </c>
      <c r="I11" s="590">
        <f>('C-72'!I11/'C-71'!I11)*1000</f>
        <v>1.3261244181197205</v>
      </c>
      <c r="J11" s="590">
        <f>('C-72'!J11/'C-71'!J11)*1000</f>
        <v>1.3268289876637631</v>
      </c>
      <c r="K11" s="590">
        <f>('C-72'!K11/'C-71'!K11)*1000</f>
        <v>1.3366295136495385</v>
      </c>
      <c r="L11" s="590">
        <f>('C-72'!L11/'C-71'!L11)*1000</f>
        <v>1.313117386078668</v>
      </c>
      <c r="M11" s="590">
        <f>('C-72'!M11/'C-71'!M11)*1000</f>
        <v>1.2931864456533193</v>
      </c>
      <c r="N11" s="590">
        <f>('C-72'!N11/'C-71'!N11)*1000</f>
        <v>1.2474171858604535</v>
      </c>
    </row>
    <row r="12" spans="1:14" ht="12" customHeight="1">
      <c r="A12" s="217" t="s">
        <v>24</v>
      </c>
      <c r="B12" s="589">
        <f>('C-72'!B12/'C-71'!B12)*1000</f>
        <v>17.450181255079649</v>
      </c>
      <c r="C12" s="590">
        <f>('C-72'!C12/'C-71'!C12)*1000</f>
        <v>1.4347804802609492</v>
      </c>
      <c r="D12" s="590">
        <f>('C-72'!D12/'C-71'!D12)*1000</f>
        <v>1.4292891230224345</v>
      </c>
      <c r="E12" s="590">
        <f>('C-72'!E12/'C-71'!E12)*1000</f>
        <v>1.4086345966958038</v>
      </c>
      <c r="F12" s="590">
        <f>('C-72'!F12/'C-71'!F12)*1000</f>
        <v>1.4581083329454465</v>
      </c>
      <c r="G12" s="590">
        <f>('C-72'!G12/'C-71'!G12)*1000</f>
        <v>1.455764682131955</v>
      </c>
      <c r="H12" s="590">
        <f>('C-72'!H12/'C-71'!H12)*1000</f>
        <v>1.4732842001219855</v>
      </c>
      <c r="I12" s="590">
        <f>('C-72'!I12/'C-71'!I12)*1000</f>
        <v>1.4456911124414005</v>
      </c>
      <c r="J12" s="590">
        <f>('C-72'!J12/'C-71'!J12)*1000</f>
        <v>1.4715370942056227</v>
      </c>
      <c r="K12" s="590">
        <f>('C-72'!K12/'C-71'!K12)*1000</f>
        <v>1.4929673530557073</v>
      </c>
      <c r="L12" s="590">
        <f>('C-72'!L12/'C-71'!L12)*1000</f>
        <v>1.4664564050893838</v>
      </c>
      <c r="M12" s="590">
        <f>('C-72'!M12/'C-71'!M12)*1000</f>
        <v>1.4618225593341041</v>
      </c>
      <c r="N12" s="590">
        <f>('C-72'!N12/'C-71'!N12)*1000</f>
        <v>1.4469228824874771</v>
      </c>
    </row>
    <row r="13" spans="1:14" ht="12" customHeight="1">
      <c r="A13" s="217" t="s">
        <v>25</v>
      </c>
      <c r="B13" s="589">
        <f>('C-72'!B13/'C-71'!B13)*1000</f>
        <v>5.5755433925240565</v>
      </c>
      <c r="C13" s="590">
        <f>('C-72'!C13/'C-71'!C13)*1000</f>
        <v>0.46923400448755431</v>
      </c>
      <c r="D13" s="590">
        <f>('C-72'!D13/'C-71'!D13)*1000</f>
        <v>0.4557894151925439</v>
      </c>
      <c r="E13" s="590">
        <f>('C-72'!E13/'C-71'!E13)*1000</f>
        <v>0.45901283090526745</v>
      </c>
      <c r="F13" s="590">
        <f>('C-72'!F13/'C-71'!F13)*1000</f>
        <v>0.46252426004228309</v>
      </c>
      <c r="G13" s="590">
        <f>('C-72'!G13/'C-71'!G13)*1000</f>
        <v>0.46606172137212293</v>
      </c>
      <c r="H13" s="590">
        <f>('C-72'!H13/'C-71'!H13)*1000</f>
        <v>0.46425207922343009</v>
      </c>
      <c r="I13" s="590">
        <f>('C-72'!I13/'C-71'!I13)*1000</f>
        <v>0.44870311703642962</v>
      </c>
      <c r="J13" s="590">
        <f>('C-72'!J13/'C-71'!J13)*1000</f>
        <v>0.44748600748376666</v>
      </c>
      <c r="K13" s="590">
        <f>('C-72'!K13/'C-71'!K13)*1000</f>
        <v>0.45790095511580081</v>
      </c>
      <c r="L13" s="590">
        <f>('C-72'!L13/'C-71'!L13)*1000</f>
        <v>0.48070722077960715</v>
      </c>
      <c r="M13" s="590">
        <f>('C-72'!M13/'C-71'!M13)*1000</f>
        <v>0.47327500968363362</v>
      </c>
      <c r="N13" s="590">
        <f>('C-72'!N13/'C-71'!N13)*1000</f>
        <v>0.49605956517113686</v>
      </c>
    </row>
    <row r="14" spans="1:14" ht="12" customHeight="1">
      <c r="A14" s="271" t="s">
        <v>107</v>
      </c>
      <c r="B14" s="589">
        <f>('C-72'!B14/'C-71'!B14)*1000</f>
        <v>6.506734223585581</v>
      </c>
      <c r="C14" s="590">
        <f>('C-72'!C14/'C-71'!C14)*1000</f>
        <v>0.52288741805532901</v>
      </c>
      <c r="D14" s="590">
        <f>('C-72'!D14/'C-71'!D14)*1000</f>
        <v>0.52705836325321209</v>
      </c>
      <c r="E14" s="590">
        <f>('C-72'!E14/'C-71'!E14)*1000</f>
        <v>0.5272941477014057</v>
      </c>
      <c r="F14" s="590">
        <f>('C-72'!F14/'C-71'!F14)*1000</f>
        <v>0.53661004801925871</v>
      </c>
      <c r="G14" s="590">
        <f>('C-72'!G14/'C-71'!G14)*1000</f>
        <v>0.54729775958584492</v>
      </c>
      <c r="H14" s="590">
        <f>('C-72'!H14/'C-71'!H14)*1000</f>
        <v>0.54543207357583035</v>
      </c>
      <c r="I14" s="590">
        <f>('C-72'!I14/'C-71'!I14)*1000</f>
        <v>0.52555684403922576</v>
      </c>
      <c r="J14" s="590">
        <f>('C-72'!J14/'C-71'!J14)*1000</f>
        <v>0.51970772475257931</v>
      </c>
      <c r="K14" s="590">
        <f>('C-72'!K14/'C-71'!K14)*1000</f>
        <v>0.52400335851218571</v>
      </c>
      <c r="L14" s="590">
        <f>('C-72'!L14/'C-71'!L14)*1000</f>
        <v>0.57745226571551933</v>
      </c>
      <c r="M14" s="590">
        <f>('C-72'!M14/'C-71'!M14)*1000</f>
        <v>0.55322130251053259</v>
      </c>
      <c r="N14" s="590">
        <f>('C-72'!N14/'C-71'!N14)*1000</f>
        <v>0.60513691496601574</v>
      </c>
    </row>
    <row r="15" spans="1:14" ht="12" customHeight="1">
      <c r="A15" s="271" t="s">
        <v>108</v>
      </c>
      <c r="B15" s="589">
        <f>('C-72'!B15/'C-71'!B15)*1000</f>
        <v>4.6781306973814019</v>
      </c>
      <c r="C15" s="590">
        <f>('C-72'!C15/'C-71'!C15)*1000</f>
        <v>0.41044554566885605</v>
      </c>
      <c r="D15" s="590">
        <f>('C-72'!D15/'C-71'!D15)*1000</f>
        <v>0.38827711614513399</v>
      </c>
      <c r="E15" s="590">
        <f>('C-72'!E15/'C-71'!E15)*1000</f>
        <v>0.38827711614513388</v>
      </c>
      <c r="F15" s="590">
        <f>('C-72'!F15/'C-71'!F15)*1000</f>
        <v>0.38827711614513394</v>
      </c>
      <c r="G15" s="590">
        <f>('C-72'!G15/'C-71'!G15)*1000</f>
        <v>0.38827711614513394</v>
      </c>
      <c r="H15" s="590">
        <f>('C-72'!H15/'C-71'!H15)*1000</f>
        <v>0.38827711614513388</v>
      </c>
      <c r="I15" s="590">
        <f>('C-72'!I15/'C-71'!I15)*1000</f>
        <v>0.38827711614513383</v>
      </c>
      <c r="J15" s="590">
        <f>('C-72'!J15/'C-71'!J15)*1000</f>
        <v>0.38827711614513394</v>
      </c>
      <c r="K15" s="590">
        <f>('C-72'!K15/'C-71'!K15)*1000</f>
        <v>0.3882771161451341</v>
      </c>
      <c r="L15" s="590">
        <f>('C-72'!L15/'C-71'!L15)*1000</f>
        <v>0.38827711614513394</v>
      </c>
      <c r="M15" s="590">
        <f>('C-72'!M15/'C-71'!M15)*1000</f>
        <v>0.38827711614513388</v>
      </c>
      <c r="N15" s="590">
        <f>('C-72'!N15/'C-71'!N15)*1000</f>
        <v>0.38788251676770502</v>
      </c>
    </row>
    <row r="16" spans="1:14" ht="12" customHeight="1">
      <c r="A16" s="271" t="s">
        <v>109</v>
      </c>
      <c r="B16" s="589">
        <f>('C-72'!B16/'C-71'!B16)*1000</f>
        <v>4.7022647267647546</v>
      </c>
      <c r="C16" s="590">
        <f>('C-72'!C16/'C-71'!C16)*1000</f>
        <v>0.42974423613356089</v>
      </c>
      <c r="D16" s="590">
        <f>('C-72'!D16/'C-71'!D16)*1000</f>
        <v>0.38835374096435549</v>
      </c>
      <c r="E16" s="590">
        <f>('C-72'!E16/'C-71'!E16)*1000</f>
        <v>0.38835374096435521</v>
      </c>
      <c r="F16" s="590">
        <f>('C-72'!F16/'C-71'!F16)*1000</f>
        <v>0.38835374096435543</v>
      </c>
      <c r="G16" s="590">
        <f>('C-72'!G16/'C-71'!G16)*1000</f>
        <v>0.38835374096435543</v>
      </c>
      <c r="H16" s="590">
        <f>('C-72'!H16/'C-71'!H16)*1000</f>
        <v>0.38835374096435532</v>
      </c>
      <c r="I16" s="590">
        <f>('C-72'!I16/'C-71'!I16)*1000</f>
        <v>0.38835374096435532</v>
      </c>
      <c r="J16" s="590">
        <f>('C-72'!J16/'C-71'!J16)*1000</f>
        <v>0.38835374096435549</v>
      </c>
      <c r="K16" s="590">
        <f>('C-72'!K16/'C-71'!K16)*1000</f>
        <v>0.38835374096435549</v>
      </c>
      <c r="L16" s="590">
        <f>('C-72'!L16/'C-71'!L16)*1000</f>
        <v>0.38830141517116584</v>
      </c>
      <c r="M16" s="590">
        <f>('C-72'!M16/'C-71'!M16)*1000</f>
        <v>0.38835374096435538</v>
      </c>
      <c r="N16" s="590">
        <f>('C-72'!N16/'C-71'!N16)*1000</f>
        <v>0.38835374096435532</v>
      </c>
    </row>
    <row r="17" spans="1:14" ht="12" customHeight="1">
      <c r="A17" s="269" t="s">
        <v>29</v>
      </c>
      <c r="B17" s="589">
        <f>('C-72'!B17/'C-71'!B17)*1000</f>
        <v>10.584123140124674</v>
      </c>
      <c r="C17" s="590">
        <f>('C-72'!C17/'C-71'!C17)*1000</f>
        <v>1.0160427321035748</v>
      </c>
      <c r="D17" s="590">
        <f>('C-72'!D17/'C-71'!D17)*1000</f>
        <v>0.99911510263594405</v>
      </c>
      <c r="E17" s="590">
        <f>('C-72'!E17/'C-71'!E17)*1000</f>
        <v>0.97648275143980967</v>
      </c>
      <c r="F17" s="590">
        <f>('C-72'!F17/'C-71'!F17)*1000</f>
        <v>0.98647740290591945</v>
      </c>
      <c r="G17" s="590">
        <f>('C-72'!G17/'C-71'!G17)*1000</f>
        <v>0.9918970181475536</v>
      </c>
      <c r="H17" s="590">
        <f>('C-72'!H17/'C-71'!H17)*1000</f>
        <v>0.95807176041295505</v>
      </c>
      <c r="I17" s="590">
        <f>('C-72'!I17/'C-71'!I17)*1000</f>
        <v>0.9375801321856263</v>
      </c>
      <c r="J17" s="590">
        <f>('C-72'!J17/'C-71'!J17)*1000</f>
        <v>0.93473567050294137</v>
      </c>
      <c r="K17" s="590">
        <f>('C-72'!K17/'C-71'!K17)*1000</f>
        <v>0.68380053663361295</v>
      </c>
      <c r="L17" s="590">
        <f>('C-72'!L17/'C-71'!L17)*1000</f>
        <v>0.67412019263179623</v>
      </c>
      <c r="M17" s="590">
        <f>('C-72'!M17/'C-71'!M17)*1000</f>
        <v>0.66054185063490278</v>
      </c>
      <c r="N17" s="590">
        <f>('C-72'!N17/'C-71'!N17)*1000</f>
        <v>0.54861160314307644</v>
      </c>
    </row>
    <row r="18" spans="1:14" ht="12" customHeight="1">
      <c r="A18" s="217" t="s">
        <v>30</v>
      </c>
      <c r="B18" s="589">
        <f>('C-72'!B18/'C-71'!B18)*1000</f>
        <v>6.4258996928564693</v>
      </c>
      <c r="C18" s="590">
        <f>('C-72'!C18/'C-71'!C18)*1000</f>
        <v>0.54496811292594194</v>
      </c>
      <c r="D18" s="590">
        <f>('C-72'!D18/'C-71'!D18)*1000</f>
        <v>0.54332028440693647</v>
      </c>
      <c r="E18" s="590">
        <f>('C-72'!E18/'C-71'!E18)*1000</f>
        <v>0.48820482353658878</v>
      </c>
      <c r="F18" s="590">
        <f>('C-72'!F18/'C-71'!F18)*1000</f>
        <v>0.48099849795721311</v>
      </c>
      <c r="G18" s="590">
        <f>('C-72'!G18/'C-71'!G18)*1000</f>
        <v>0.51987839949860359</v>
      </c>
      <c r="H18" s="590">
        <f>('C-72'!H18/'C-71'!H18)*1000</f>
        <v>0.53634338288519079</v>
      </c>
      <c r="I18" s="590">
        <f>('C-72'!I18/'C-71'!I18)*1000</f>
        <v>0.51363208284161976</v>
      </c>
      <c r="J18" s="590">
        <f>('C-72'!J18/'C-71'!J18)*1000</f>
        <v>0.51136271667655708</v>
      </c>
      <c r="K18" s="590">
        <f>('C-72'!K18/'C-71'!K18)*1000</f>
        <v>0.54539588438629638</v>
      </c>
      <c r="L18" s="590">
        <f>('C-72'!L18/'C-71'!L18)*1000</f>
        <v>0.55046681390412511</v>
      </c>
      <c r="M18" s="590">
        <f>('C-72'!M18/'C-71'!M18)*1000</f>
        <v>0.59490704783580939</v>
      </c>
      <c r="N18" s="590">
        <f>('C-72'!N18/'C-71'!N18)*1000</f>
        <v>0.59805473493027617</v>
      </c>
    </row>
    <row r="19" spans="1:14" ht="12" customHeight="1">
      <c r="A19" s="217" t="s">
        <v>31</v>
      </c>
      <c r="B19" s="589">
        <f>('C-72'!B19/'C-71'!B19)*1000</f>
        <v>17.783029644427955</v>
      </c>
      <c r="C19" s="590">
        <f>('C-72'!C19/'C-71'!C19)*1000</f>
        <v>1.4501317910335516</v>
      </c>
      <c r="D19" s="590">
        <f>('C-72'!D19/'C-71'!D19)*1000</f>
        <v>1.442040552910723</v>
      </c>
      <c r="E19" s="590">
        <f>('C-72'!E19/'C-71'!E19)*1000</f>
        <v>1.4576654545081735</v>
      </c>
      <c r="F19" s="590">
        <f>('C-72'!F19/'C-71'!F19)*1000</f>
        <v>1.4795139002454847</v>
      </c>
      <c r="G19" s="590">
        <f>('C-72'!G19/'C-71'!G19)*1000</f>
        <v>1.4800204057078863</v>
      </c>
      <c r="H19" s="590">
        <f>('C-72'!H19/'C-71'!H19)*1000</f>
        <v>1.4955995091674914</v>
      </c>
      <c r="I19" s="590">
        <f>('C-72'!I19/'C-71'!I19)*1000</f>
        <v>1.4539108780751067</v>
      </c>
      <c r="J19" s="590">
        <f>('C-72'!J19/'C-71'!J19)*1000</f>
        <v>1.4832702672040863</v>
      </c>
      <c r="K19" s="590">
        <f>('C-72'!K19/'C-71'!K19)*1000</f>
        <v>1.4985558610753273</v>
      </c>
      <c r="L19" s="590">
        <f>('C-72'!L19/'C-71'!L19)*1000</f>
        <v>1.4990936940789186</v>
      </c>
      <c r="M19" s="590">
        <f>('C-72'!M19/'C-71'!M19)*1000</f>
        <v>1.5033676789518367</v>
      </c>
      <c r="N19" s="590">
        <f>('C-72'!N19/'C-71'!N19)*1000</f>
        <v>1.5433810817582889</v>
      </c>
    </row>
    <row r="20" spans="1:14" ht="12" customHeight="1">
      <c r="A20" s="269" t="s">
        <v>32</v>
      </c>
      <c r="B20" s="589">
        <f>('C-72'!B20/'C-71'!B20)*1000</f>
        <v>18.043585750787152</v>
      </c>
      <c r="C20" s="590">
        <f>('C-72'!C20/'C-71'!C20)*1000</f>
        <v>1.4874022970761935</v>
      </c>
      <c r="D20" s="590">
        <f>('C-72'!D20/'C-71'!D20)*1000</f>
        <v>1.4775300546634831</v>
      </c>
      <c r="E20" s="590">
        <f>('C-72'!E20/'C-71'!E20)*1000</f>
        <v>1.5893649101686438</v>
      </c>
      <c r="F20" s="590">
        <f>('C-72'!F20/'C-71'!F20)*1000</f>
        <v>1.4838083116953538</v>
      </c>
      <c r="G20" s="590">
        <f>('C-72'!G20/'C-71'!G20)*1000</f>
        <v>1.4881802824377821</v>
      </c>
      <c r="H20" s="590">
        <f>('C-72'!H20/'C-71'!H20)*1000</f>
        <v>1.4772027650073274</v>
      </c>
      <c r="I20" s="590">
        <f>('C-72'!I20/'C-71'!I20)*1000</f>
        <v>1.4951109778196399</v>
      </c>
      <c r="J20" s="590">
        <f>('C-72'!J20/'C-71'!J20)*1000</f>
        <v>1.4913172053020161</v>
      </c>
      <c r="K20" s="590">
        <f>('C-72'!K20/'C-71'!K20)*1000</f>
        <v>1.5106833781098512</v>
      </c>
      <c r="L20" s="590">
        <f>('C-72'!L20/'C-71'!L20)*1000</f>
        <v>1.5091827715696917</v>
      </c>
      <c r="M20" s="590">
        <f>('C-72'!M20/'C-71'!M20)*1000</f>
        <v>1.5419969539135412</v>
      </c>
      <c r="N20" s="590">
        <f>('C-72'!N20/'C-71'!N20)*1000</f>
        <v>1.4979713583389838</v>
      </c>
    </row>
    <row r="21" spans="1:14" ht="12" customHeight="1">
      <c r="A21" s="269" t="s">
        <v>33</v>
      </c>
      <c r="B21" s="589">
        <f>('C-72'!B21/'C-71'!B21)*1000</f>
        <v>6.7880407605672088</v>
      </c>
      <c r="C21" s="590">
        <f>('C-72'!C21/'C-71'!C21)*1000</f>
        <v>0.52012446109830135</v>
      </c>
      <c r="D21" s="590">
        <f>('C-72'!D21/'C-71'!D21)*1000</f>
        <v>0.5254168903399854</v>
      </c>
      <c r="E21" s="590">
        <f>('C-72'!E21/'C-71'!E21)*1000</f>
        <v>0.52816853237389405</v>
      </c>
      <c r="F21" s="590">
        <f>('C-72'!F21/'C-71'!F21)*1000</f>
        <v>0.53327271261148312</v>
      </c>
      <c r="G21" s="590">
        <f>('C-72'!G21/'C-71'!G21)*1000</f>
        <v>0.52724435554950422</v>
      </c>
      <c r="H21" s="590">
        <f>('C-72'!H21/'C-71'!H21)*1000</f>
        <v>0.54204956646681568</v>
      </c>
      <c r="I21" s="590">
        <f>('C-72'!I21/'C-71'!I21)*1000</f>
        <v>0.53936599896453918</v>
      </c>
      <c r="J21" s="590">
        <f>('C-72'!J21/'C-71'!J21)*1000</f>
        <v>0.5342543537451544</v>
      </c>
      <c r="K21" s="590">
        <f>('C-72'!K21/'C-71'!K21)*1000</f>
        <v>0.63811007350014737</v>
      </c>
      <c r="L21" s="590">
        <f>('C-72'!L21/'C-71'!L21)*1000</f>
        <v>0.63218782254725647</v>
      </c>
      <c r="M21" s="590">
        <f>('C-72'!M21/'C-71'!M21)*1000</f>
        <v>0.61297296955146563</v>
      </c>
      <c r="N21" s="590">
        <f>('C-72'!N21/'C-71'!N21)*1000</f>
        <v>0.63844982868166367</v>
      </c>
    </row>
    <row r="22" spans="1:14" ht="12" customHeight="1">
      <c r="A22" s="269" t="s">
        <v>34</v>
      </c>
      <c r="B22" s="589">
        <f>('C-72'!B22/'C-71'!B22)*1000</f>
        <v>4.7142485846692361</v>
      </c>
      <c r="C22" s="590">
        <f>('C-72'!C22/'C-71'!C22)*1000</f>
        <v>0.41217726802652033</v>
      </c>
      <c r="D22" s="590">
        <f>('C-72'!D22/'C-71'!D22)*1000</f>
        <v>0.39514822156369056</v>
      </c>
      <c r="E22" s="590">
        <f>('C-72'!E22/'C-71'!E22)*1000</f>
        <v>0.39445328628876408</v>
      </c>
      <c r="F22" s="590">
        <f>('C-72'!F22/'C-71'!F22)*1000</f>
        <v>0.3944411363222306</v>
      </c>
      <c r="G22" s="590">
        <f>('C-72'!G22/'C-71'!G22)*1000</f>
        <v>0.39344963415633538</v>
      </c>
      <c r="H22" s="590">
        <f>('C-72'!H22/'C-71'!H22)*1000</f>
        <v>0.39291166327842686</v>
      </c>
      <c r="I22" s="590">
        <f>('C-72'!I22/'C-71'!I22)*1000</f>
        <v>0.39243512054252616</v>
      </c>
      <c r="J22" s="590">
        <f>('C-72'!J22/'C-71'!J22)*1000</f>
        <v>0.39217072261768854</v>
      </c>
      <c r="K22" s="590">
        <f>('C-72'!K22/'C-71'!K22)*1000</f>
        <v>0.38820049888595587</v>
      </c>
      <c r="L22" s="590">
        <f>('C-72'!L22/'C-71'!L22)*1000</f>
        <v>0.38820049888595576</v>
      </c>
      <c r="M22" s="590">
        <f>('C-72'!M22/'C-71'!M22)*1000</f>
        <v>0.38820049888595581</v>
      </c>
      <c r="N22" s="590">
        <f>('C-72'!N22/'C-71'!N22)*1000</f>
        <v>0.38820049888595581</v>
      </c>
    </row>
    <row r="23" spans="1:14" ht="12" customHeight="1">
      <c r="A23" s="269" t="s">
        <v>35</v>
      </c>
      <c r="B23" s="589">
        <f>('C-72'!B23/'C-71'!B23)*1000</f>
        <v>6.5357898629560074</v>
      </c>
      <c r="C23" s="590">
        <f>('C-72'!C23/'C-71'!C23)*1000</f>
        <v>0.57227975430162881</v>
      </c>
      <c r="D23" s="590">
        <f>('C-72'!D23/'C-71'!D23)*1000</f>
        <v>0.55501670184370666</v>
      </c>
      <c r="E23" s="590">
        <f>('C-72'!E23/'C-71'!E23)*1000</f>
        <v>0.56945073169828286</v>
      </c>
      <c r="F23" s="590">
        <f>('C-72'!F23/'C-71'!F23)*1000</f>
        <v>0.5329167107639986</v>
      </c>
      <c r="G23" s="590">
        <f>('C-72'!G23/'C-71'!G23)*1000</f>
        <v>0.53619636508057023</v>
      </c>
      <c r="H23" s="590">
        <f>('C-72'!H23/'C-71'!H23)*1000</f>
        <v>0.53899668190503769</v>
      </c>
      <c r="I23" s="590">
        <f>('C-72'!I23/'C-71'!I23)*1000</f>
        <v>0.55278508616205113</v>
      </c>
      <c r="J23" s="590">
        <f>('C-72'!J23/'C-71'!J23)*1000</f>
        <v>0.54453535337661962</v>
      </c>
      <c r="K23" s="590">
        <f>('C-72'!K23/'C-71'!K23)*1000</f>
        <v>0.52644837117427246</v>
      </c>
      <c r="L23" s="590">
        <f>('C-72'!L23/'C-71'!L23)*1000</f>
        <v>0.52116528963182684</v>
      </c>
      <c r="M23" s="590">
        <f>('C-72'!M23/'C-71'!M23)*1000</f>
        <v>0.53339810956265588</v>
      </c>
      <c r="N23" s="590">
        <f>('C-72'!N23/'C-71'!N23)*1000</f>
        <v>0.54958174305401608</v>
      </c>
    </row>
    <row r="24" spans="1:14" ht="12" customHeight="1">
      <c r="A24" s="269" t="s">
        <v>36</v>
      </c>
      <c r="B24" s="589">
        <f>('C-72'!B24/'C-71'!B24)*1000</f>
        <v>4.6885366075930639</v>
      </c>
      <c r="C24" s="590">
        <f>('C-72'!C24/'C-71'!C24)*1000</f>
        <v>0.41801121481128517</v>
      </c>
      <c r="D24" s="590">
        <f>('C-72'!D24/'C-71'!D24)*1000</f>
        <v>0.38827711614513388</v>
      </c>
      <c r="E24" s="590">
        <f>('C-72'!E24/'C-71'!E24)*1000</f>
        <v>0.38827711614513383</v>
      </c>
      <c r="F24" s="590">
        <f>('C-72'!F24/'C-71'!F24)*1000</f>
        <v>0.38827711614513372</v>
      </c>
      <c r="G24" s="590">
        <f>('C-72'!G24/'C-71'!G24)*1000</f>
        <v>0.3882771161451341</v>
      </c>
      <c r="H24" s="590">
        <f>('C-72'!H24/'C-71'!H24)*1000</f>
        <v>0.38827711614513399</v>
      </c>
      <c r="I24" s="590">
        <f>('C-72'!I24/'C-71'!I24)*1000</f>
        <v>0.38827711614513405</v>
      </c>
      <c r="J24" s="590">
        <f>('C-72'!J24/'C-71'!J24)*1000</f>
        <v>0.38827711614513416</v>
      </c>
      <c r="K24" s="590">
        <f>('C-72'!K24/'C-71'!K24)*1000</f>
        <v>0.38827711614513399</v>
      </c>
      <c r="L24" s="590">
        <f>('C-72'!L24/'C-71'!L24)*1000</f>
        <v>0.38827711614513394</v>
      </c>
      <c r="M24" s="590">
        <f>('C-72'!M24/'C-71'!M24)*1000</f>
        <v>0.38827711614513399</v>
      </c>
      <c r="N24" s="590">
        <f>('C-72'!N24/'C-71'!N24)*1000</f>
        <v>0.38827711614513388</v>
      </c>
    </row>
    <row r="25" spans="1:14" ht="12" customHeight="1">
      <c r="A25" s="217" t="s">
        <v>37</v>
      </c>
      <c r="B25" s="589">
        <f>('C-72'!B25/'C-71'!B25)*1000</f>
        <v>17.03292492365911</v>
      </c>
      <c r="C25" s="590">
        <f>('C-72'!C25/'C-71'!C25)*1000</f>
        <v>1.4075059186201095</v>
      </c>
      <c r="D25" s="590">
        <f>('C-72'!D25/'C-71'!D25)*1000</f>
        <v>1.4199867265712749</v>
      </c>
      <c r="E25" s="590">
        <f>('C-72'!E25/'C-71'!E25)*1000</f>
        <v>1.3184631911080427</v>
      </c>
      <c r="F25" s="590">
        <f>('C-72'!F25/'C-71'!F25)*1000</f>
        <v>1.4079085309708461</v>
      </c>
      <c r="G25" s="590">
        <f>('C-72'!G25/'C-71'!G25)*1000</f>
        <v>1.414575901464902</v>
      </c>
      <c r="H25" s="590">
        <f>('C-72'!H25/'C-71'!H25)*1000</f>
        <v>1.3793778339914082</v>
      </c>
      <c r="I25" s="590">
        <f>('C-72'!I25/'C-71'!I25)*1000</f>
        <v>1.4431644493173452</v>
      </c>
      <c r="J25" s="590">
        <f>('C-72'!J25/'C-71'!J25)*1000</f>
        <v>1.4609990466407881</v>
      </c>
      <c r="K25" s="590">
        <f>('C-72'!K25/'C-71'!K25)*1000</f>
        <v>1.4601843084553916</v>
      </c>
      <c r="L25" s="590">
        <f>('C-72'!L25/'C-71'!L25)*1000</f>
        <v>1.4392182983279187</v>
      </c>
      <c r="M25" s="590">
        <f>('C-72'!M25/'C-71'!M25)*1000</f>
        <v>1.4387382291744581</v>
      </c>
      <c r="N25" s="590">
        <f>('C-72'!N25/'C-71'!N25)*1000</f>
        <v>1.4441286743869075</v>
      </c>
    </row>
    <row r="26" spans="1:14" ht="12" customHeight="1">
      <c r="A26" s="269" t="s">
        <v>38</v>
      </c>
      <c r="B26" s="589">
        <f>('C-72'!B26/'C-71'!B26)*1000</f>
        <v>10.702623546711301</v>
      </c>
      <c r="C26" s="590">
        <f>('C-72'!C26/'C-71'!C26)*1000</f>
        <v>0.85348781643533123</v>
      </c>
      <c r="D26" s="590">
        <f>('C-72'!D26/'C-71'!D26)*1000</f>
        <v>1.012657629369802</v>
      </c>
      <c r="E26" s="590">
        <f>('C-72'!E26/'C-71'!E26)*1000</f>
        <v>0.98387685013569492</v>
      </c>
      <c r="F26" s="590">
        <f>('C-72'!F26/'C-71'!F26)*1000</f>
        <v>0.88881800054489046</v>
      </c>
      <c r="G26" s="590">
        <f>('C-72'!G26/'C-71'!G26)*1000</f>
        <v>0.97883188387468489</v>
      </c>
      <c r="H26" s="590">
        <f>('C-72'!H26/'C-71'!H26)*1000</f>
        <v>0.90413272902819286</v>
      </c>
      <c r="I26" s="590">
        <f>('C-72'!I26/'C-71'!I26)*1000</f>
        <v>0.93690158871056617</v>
      </c>
      <c r="J26" s="590">
        <f>('C-72'!J26/'C-71'!J26)*1000</f>
        <v>0.93919319465942985</v>
      </c>
      <c r="K26" s="590">
        <f>('C-72'!K26/'C-71'!K26)*1000</f>
        <v>0.98644030031092766</v>
      </c>
      <c r="L26" s="590">
        <f>('C-72'!L26/'C-71'!L26)*1000</f>
        <v>0.77539250809081106</v>
      </c>
      <c r="M26" s="590">
        <f>('C-72'!M26/'C-71'!M26)*1000</f>
        <v>0.78164019075348157</v>
      </c>
      <c r="N26" s="590">
        <f>('C-72'!N26/'C-71'!N26)*1000</f>
        <v>0.77356098113519423</v>
      </c>
    </row>
    <row r="27" spans="1:14" ht="12" customHeight="1">
      <c r="A27" s="269" t="s">
        <v>39</v>
      </c>
      <c r="B27" s="589">
        <f>('C-72'!B27/'C-71'!B27)*1000</f>
        <v>17.023964224958153</v>
      </c>
      <c r="C27" s="590">
        <f>('C-72'!C27/'C-71'!C27)*1000</f>
        <v>1.4321712631615042</v>
      </c>
      <c r="D27" s="590">
        <f>('C-72'!D27/'C-71'!D27)*1000</f>
        <v>1.3860010634556958</v>
      </c>
      <c r="E27" s="590">
        <f>('C-72'!E27/'C-71'!E27)*1000</f>
        <v>1.4414856035862893</v>
      </c>
      <c r="F27" s="590">
        <f>('C-72'!F27/'C-71'!F27)*1000</f>
        <v>1.3866862354470282</v>
      </c>
      <c r="G27" s="590">
        <f>('C-72'!G27/'C-71'!G27)*1000</f>
        <v>1.3476328274743452</v>
      </c>
      <c r="H27" s="590">
        <f>('C-72'!H27/'C-71'!H27)*1000</f>
        <v>1.4509973617925451</v>
      </c>
      <c r="I27" s="590">
        <f>('C-72'!I27/'C-71'!I27)*1000</f>
        <v>1.4348659507885533</v>
      </c>
      <c r="J27" s="590">
        <f>('C-72'!J27/'C-71'!J27)*1000</f>
        <v>1.4519559622827571</v>
      </c>
      <c r="K27" s="590">
        <f>('C-72'!K27/'C-71'!K27)*1000</f>
        <v>1.4379222799618021</v>
      </c>
      <c r="L27" s="590">
        <f>('C-72'!L27/'C-71'!L27)*1000</f>
        <v>1.4189561151194796</v>
      </c>
      <c r="M27" s="590">
        <f>('C-72'!M27/'C-71'!M27)*1000</f>
        <v>1.4157255424143138</v>
      </c>
      <c r="N27" s="590">
        <f>('C-72'!N27/'C-71'!N27)*1000</f>
        <v>1.423874900665326</v>
      </c>
    </row>
    <row r="28" spans="1:14" ht="12" customHeight="1">
      <c r="A28" s="269" t="s">
        <v>40</v>
      </c>
      <c r="B28" s="589">
        <f>('C-72'!B28/'C-71'!B28)*1000</f>
        <v>5.4920836137646987</v>
      </c>
      <c r="C28" s="590">
        <f>('C-72'!C28/'C-71'!C28)*1000</f>
        <v>0.51324380054469376</v>
      </c>
      <c r="D28" s="590">
        <f>('C-72'!D28/'C-71'!D28)*1000</f>
        <v>0.50554379596340693</v>
      </c>
      <c r="E28" s="590">
        <f>('C-72'!E28/'C-71'!E28)*1000</f>
        <v>0.44883378144773733</v>
      </c>
      <c r="F28" s="590">
        <f>('C-72'!F28/'C-71'!F28)*1000</f>
        <v>0.4480877624501452</v>
      </c>
      <c r="G28" s="590">
        <f>('C-72'!G28/'C-71'!G28)*1000</f>
        <v>0.4353369469748814</v>
      </c>
      <c r="H28" s="590">
        <f>('C-72'!H28/'C-71'!H28)*1000</f>
        <v>0.43074744837385331</v>
      </c>
      <c r="I28" s="590">
        <f>('C-72'!I28/'C-71'!I28)*1000</f>
        <v>0.46550269715938536</v>
      </c>
      <c r="J28" s="590">
        <f>('C-72'!J28/'C-71'!J28)*1000</f>
        <v>0.46894238276138339</v>
      </c>
      <c r="K28" s="590">
        <f>('C-72'!K28/'C-71'!K28)*1000</f>
        <v>0.44047136259518305</v>
      </c>
      <c r="L28" s="590">
        <f>('C-72'!L28/'C-71'!L28)*1000</f>
        <v>0.45727133720207452</v>
      </c>
      <c r="M28" s="590">
        <f>('C-72'!M28/'C-71'!M28)*1000</f>
        <v>0.45812041716568425</v>
      </c>
      <c r="N28" s="590">
        <f>('C-72'!N28/'C-71'!N28)*1000</f>
        <v>0.47654987694739442</v>
      </c>
    </row>
    <row r="29" spans="1:14" ht="12" customHeight="1">
      <c r="A29" s="217" t="s">
        <v>41</v>
      </c>
      <c r="B29" s="589">
        <f>('C-72'!B29/'C-71'!B29)*1000</f>
        <v>5.1093185042569971</v>
      </c>
      <c r="C29" s="590">
        <f>('C-72'!C29/'C-71'!C29)*1000</f>
        <v>0.43801980877162633</v>
      </c>
      <c r="D29" s="590">
        <f>('C-72'!D29/'C-71'!D29)*1000</f>
        <v>0.4077396926562773</v>
      </c>
      <c r="E29" s="590">
        <f>('C-72'!E29/'C-71'!E29)*1000</f>
        <v>0.42868319845860525</v>
      </c>
      <c r="F29" s="590">
        <f>('C-72'!F29/'C-71'!F29)*1000</f>
        <v>0.42790131178878082</v>
      </c>
      <c r="G29" s="590">
        <f>('C-72'!G29/'C-71'!G29)*1000</f>
        <v>0.4289431618364879</v>
      </c>
      <c r="H29" s="590">
        <f>('C-72'!H29/'C-71'!H29)*1000</f>
        <v>0.43400833807452888</v>
      </c>
      <c r="I29" s="590">
        <f>('C-72'!I29/'C-71'!I29)*1000</f>
        <v>0.42177841183298365</v>
      </c>
      <c r="J29" s="590">
        <f>('C-72'!J29/'C-71'!J29)*1000</f>
        <v>0.4002278528543825</v>
      </c>
      <c r="K29" s="590">
        <f>('C-72'!K29/'C-71'!K29)*1000</f>
        <v>0.43937739963975586</v>
      </c>
      <c r="L29" s="590">
        <f>('C-72'!L29/'C-71'!L29)*1000</f>
        <v>0.41048888383546145</v>
      </c>
      <c r="M29" s="590">
        <f>('C-72'!M29/'C-71'!M29)*1000</f>
        <v>0.45951383323562933</v>
      </c>
      <c r="N29" s="590">
        <f>('C-72'!N29/'C-71'!N29)*1000</f>
        <v>0.412713927370504</v>
      </c>
    </row>
    <row r="30" spans="1:14" ht="12" customHeight="1">
      <c r="A30" s="271" t="s">
        <v>111</v>
      </c>
      <c r="B30" s="589">
        <f>('C-72'!B30/'C-71'!B30)*1000</f>
        <v>5.3924670891274413</v>
      </c>
      <c r="C30" s="590">
        <f>('C-72'!C30/'C-71'!C30)*1000</f>
        <v>0.48780680212354827</v>
      </c>
      <c r="D30" s="590">
        <f>('C-72'!D30/'C-71'!D30)*1000</f>
        <v>0.43159755753451151</v>
      </c>
      <c r="E30" s="590">
        <f>('C-72'!E30/'C-71'!E30)*1000</f>
        <v>0.42993985129905354</v>
      </c>
      <c r="F30" s="590">
        <f>('C-72'!F30/'C-71'!F30)*1000</f>
        <v>0.428438045029853</v>
      </c>
      <c r="G30" s="590">
        <f>('C-72'!G30/'C-71'!G30)*1000</f>
        <v>0.44406193749451628</v>
      </c>
      <c r="H30" s="590">
        <f>('C-72'!H30/'C-71'!H30)*1000</f>
        <v>0.44963752414767727</v>
      </c>
      <c r="I30" s="590">
        <f>('C-72'!I30/'C-71'!I30)*1000</f>
        <v>0.439971809129025</v>
      </c>
      <c r="J30" s="590">
        <f>('C-72'!J30/'C-71'!J30)*1000</f>
        <v>0.42262038619113251</v>
      </c>
      <c r="K30" s="590">
        <f>('C-72'!K30/'C-71'!K30)*1000</f>
        <v>0.49708350184407274</v>
      </c>
      <c r="L30" s="590">
        <f>('C-72'!L30/'C-71'!L30)*1000</f>
        <v>0.4463391861698815</v>
      </c>
      <c r="M30" s="590">
        <f>('C-72'!M30/'C-71'!M30)*1000</f>
        <v>0.48009121371972008</v>
      </c>
      <c r="N30" s="590">
        <f>('C-72'!N30/'C-71'!N30)*1000</f>
        <v>0.45432306628752611</v>
      </c>
    </row>
    <row r="31" spans="1:14" ht="12" customHeight="1">
      <c r="A31" s="271" t="s">
        <v>112</v>
      </c>
      <c r="B31" s="589">
        <f>('C-72'!B31/'C-71'!B31)*1000</f>
        <v>4.8287734668313727</v>
      </c>
      <c r="C31" s="590">
        <f>('C-72'!C31/'C-71'!C31)*1000</f>
        <v>0.39506316496928606</v>
      </c>
      <c r="D31" s="590">
        <f>('C-72'!D31/'C-71'!D31)*1000</f>
        <v>0.38214907562175299</v>
      </c>
      <c r="E31" s="590">
        <f>('C-72'!E31/'C-71'!E31)*1000</f>
        <v>0.42731866617366737</v>
      </c>
      <c r="F31" s="590">
        <f>('C-72'!F31/'C-71'!F31)*1000</f>
        <v>0.42731866617366737</v>
      </c>
      <c r="G31" s="590">
        <f>('C-72'!G31/'C-71'!G31)*1000</f>
        <v>0.41182050911425033</v>
      </c>
      <c r="H31" s="590">
        <f>('C-72'!H31/'C-71'!H31)*1000</f>
        <v>0.41686647761339185</v>
      </c>
      <c r="I31" s="590">
        <f>('C-72'!I31/'C-71'!I31)*1000</f>
        <v>0.40300675917691925</v>
      </c>
      <c r="J31" s="590">
        <f>('C-72'!J31/'C-71'!J31)*1000</f>
        <v>0.37830611617248744</v>
      </c>
      <c r="K31" s="590">
        <f>('C-72'!K31/'C-71'!K31)*1000</f>
        <v>0.38496925220765588</v>
      </c>
      <c r="L31" s="590">
        <f>('C-72'!L31/'C-71'!L31)*1000</f>
        <v>0.37712297378481546</v>
      </c>
      <c r="M31" s="590">
        <f>('C-72'!M31/'C-71'!M31)*1000</f>
        <v>0.44213620381503616</v>
      </c>
      <c r="N31" s="590">
        <f>('C-72'!N31/'C-71'!N31)*1000</f>
        <v>0.37856418748271209</v>
      </c>
    </row>
    <row r="32" spans="1:14" ht="12" customHeight="1">
      <c r="A32" s="269" t="s">
        <v>44</v>
      </c>
      <c r="B32" s="589">
        <f>('C-72'!B32/'C-71'!B32)*1000</f>
        <v>3.6568982814364683</v>
      </c>
      <c r="C32" s="590">
        <f>('C-72'!C32/'C-71'!C32)*1000</f>
        <v>0.24501487580544459</v>
      </c>
      <c r="D32" s="590">
        <f>('C-72'!D32/'C-71'!D32)*1000</f>
        <v>0.24226134104234839</v>
      </c>
      <c r="E32" s="590">
        <f>('C-72'!E32/'C-71'!E32)*1000</f>
        <v>0.31610398878299534</v>
      </c>
      <c r="F32" s="590">
        <f>('C-72'!F32/'C-71'!F32)*1000</f>
        <v>0.30301470447331091</v>
      </c>
      <c r="G32" s="590">
        <f>('C-72'!G32/'C-71'!G32)*1000</f>
        <v>0.36915255949289189</v>
      </c>
      <c r="H32" s="590">
        <f>('C-72'!H32/'C-71'!H32)*1000</f>
        <v>0.37931157410362187</v>
      </c>
      <c r="I32" s="590">
        <f>('C-72'!I32/'C-71'!I32)*1000</f>
        <v>0.33100891771612984</v>
      </c>
      <c r="J32" s="590">
        <f>('C-72'!J32/'C-71'!J32)*1000</f>
        <v>0.32465475703198438</v>
      </c>
      <c r="K32" s="590">
        <f>('C-72'!K32/'C-71'!K32)*1000</f>
        <v>0.27165646280385375</v>
      </c>
      <c r="L32" s="590">
        <f>('C-72'!L32/'C-71'!L32)*1000</f>
        <v>0.28479451183094961</v>
      </c>
      <c r="M32" s="590">
        <f>('C-72'!M32/'C-71'!M32)*1000</f>
        <v>0.27283863878866227</v>
      </c>
      <c r="N32" s="590">
        <f>('C-72'!N32/'C-71'!N32)*1000</f>
        <v>0.2910438419469043</v>
      </c>
    </row>
    <row r="33" spans="1:14" ht="12" customHeight="1">
      <c r="A33" s="269" t="s">
        <v>45</v>
      </c>
      <c r="B33" s="589">
        <f>('C-72'!B33/'C-71'!B33)*1000</f>
        <v>4.7874910628423057</v>
      </c>
      <c r="C33" s="590">
        <f>('C-72'!C33/'C-71'!C33)*1000</f>
        <v>0.41129371629346162</v>
      </c>
      <c r="D33" s="590">
        <f>('C-72'!D33/'C-71'!D33)*1000</f>
        <v>0.39884440931731824</v>
      </c>
      <c r="E33" s="590">
        <f>('C-72'!E33/'C-71'!E33)*1000</f>
        <v>0.3973631259550609</v>
      </c>
      <c r="F33" s="590">
        <f>('C-72'!F33/'C-71'!F33)*1000</f>
        <v>0.39816977352751559</v>
      </c>
      <c r="G33" s="590">
        <f>('C-72'!G33/'C-71'!G33)*1000</f>
        <v>0.39844961567342774</v>
      </c>
      <c r="H33" s="590">
        <f>('C-72'!H33/'C-71'!H33)*1000</f>
        <v>0.39857054505071154</v>
      </c>
      <c r="I33" s="590">
        <f>('C-72'!I33/'C-71'!I33)*1000</f>
        <v>0.39823435189318829</v>
      </c>
      <c r="J33" s="590">
        <f>('C-72'!J33/'C-71'!J33)*1000</f>
        <v>0.3981588771709258</v>
      </c>
      <c r="K33" s="590">
        <f>('C-72'!K33/'C-71'!K33)*1000</f>
        <v>0.39842403702021634</v>
      </c>
      <c r="L33" s="590">
        <f>('C-72'!L33/'C-71'!L33)*1000</f>
        <v>0.39994759393177121</v>
      </c>
      <c r="M33" s="590">
        <f>('C-72'!M33/'C-71'!M33)*1000</f>
        <v>0.39596655377915507</v>
      </c>
      <c r="N33" s="590">
        <f>('C-72'!N33/'C-71'!N33)*1000</f>
        <v>0.39530712992990941</v>
      </c>
    </row>
    <row r="34" spans="1:14" ht="12" customHeight="1">
      <c r="A34" s="217" t="s">
        <v>46</v>
      </c>
      <c r="B34" s="589">
        <f>('C-72'!B34/'C-71'!B34)*1000</f>
        <v>15.741976754909366</v>
      </c>
      <c r="C34" s="590">
        <f>('C-72'!C34/'C-71'!C34)*1000</f>
        <v>1.335438552455978</v>
      </c>
      <c r="D34" s="590">
        <f>('C-72'!D34/'C-71'!D34)*1000</f>
        <v>1.3120261946576584</v>
      </c>
      <c r="E34" s="590">
        <f>('C-72'!E34/'C-71'!E34)*1000</f>
        <v>1.3039729333953174</v>
      </c>
      <c r="F34" s="590">
        <f>('C-72'!F34/'C-71'!F34)*1000</f>
        <v>1.3551385712700192</v>
      </c>
      <c r="G34" s="590">
        <f>('C-72'!G34/'C-71'!G34)*1000</f>
        <v>1.3097616140266266</v>
      </c>
      <c r="H34" s="590">
        <f>('C-72'!H34/'C-71'!H34)*1000</f>
        <v>1.2982815976165343</v>
      </c>
      <c r="I34" s="590">
        <f>('C-72'!I34/'C-71'!I34)*1000</f>
        <v>1.3207402354713522</v>
      </c>
      <c r="J34" s="590">
        <f>('C-72'!J34/'C-71'!J34)*1000</f>
        <v>1.33394195261566</v>
      </c>
      <c r="K34" s="590">
        <f>('C-72'!K34/'C-71'!K34)*1000</f>
        <v>1.2620635610073099</v>
      </c>
      <c r="L34" s="590">
        <f>('C-72'!L34/'C-71'!L34)*1000</f>
        <v>1.2759353302711485</v>
      </c>
      <c r="M34" s="590">
        <f>('C-72'!M34/'C-71'!M34)*1000</f>
        <v>1.2627144316026073</v>
      </c>
      <c r="N34" s="590">
        <f>('C-72'!N34/'C-71'!N34)*1000</f>
        <v>1.3746680212019358</v>
      </c>
    </row>
    <row r="35" spans="1:14" ht="12" customHeight="1">
      <c r="A35" s="217" t="s">
        <v>47</v>
      </c>
      <c r="B35" s="589">
        <f>('C-72'!B35/'C-71'!B35)*1000</f>
        <v>12.883149304597399</v>
      </c>
      <c r="C35" s="590">
        <f>('C-72'!C35/'C-71'!C35)*1000</f>
        <v>1.0578280306071173</v>
      </c>
      <c r="D35" s="590">
        <f>('C-72'!D35/'C-71'!D35)*1000</f>
        <v>1.034139268738508</v>
      </c>
      <c r="E35" s="590">
        <f>('C-72'!E35/'C-71'!E35)*1000</f>
        <v>1.072349077455764</v>
      </c>
      <c r="F35" s="590">
        <f>('C-72'!F35/'C-71'!F35)*1000</f>
        <v>1.0230351954612857</v>
      </c>
      <c r="G35" s="590">
        <f>('C-72'!G35/'C-71'!G35)*1000</f>
        <v>1.0757682889724609</v>
      </c>
      <c r="H35" s="590">
        <f>('C-72'!H35/'C-71'!H35)*1000</f>
        <v>1.0268411646836244</v>
      </c>
      <c r="I35" s="590">
        <f>('C-72'!I35/'C-71'!I35)*1000</f>
        <v>1.0627952116559671</v>
      </c>
      <c r="J35" s="590">
        <f>('C-72'!J35/'C-71'!J35)*1000</f>
        <v>1.0636457204151926</v>
      </c>
      <c r="K35" s="590">
        <f>('C-72'!K35/'C-71'!K35)*1000</f>
        <v>1.0856380809629926</v>
      </c>
      <c r="L35" s="590">
        <f>('C-72'!L35/'C-71'!L35)*1000</f>
        <v>1.112466710382267</v>
      </c>
      <c r="M35" s="590">
        <f>('C-72'!M35/'C-71'!M35)*1000</f>
        <v>1.1076444656881179</v>
      </c>
      <c r="N35" s="590">
        <f>('C-72'!N35/'C-71'!N35)*1000</f>
        <v>1.1701413470171156</v>
      </c>
    </row>
    <row r="36" spans="1:14" ht="12" customHeight="1">
      <c r="A36" s="217" t="s">
        <v>48</v>
      </c>
      <c r="B36" s="589">
        <f>('C-72'!B36/'C-71'!B36)*1000</f>
        <v>14.477103726743918</v>
      </c>
      <c r="C36" s="590">
        <f>('C-72'!C36/'C-71'!C36)*1000</f>
        <v>1.1307244799809244</v>
      </c>
      <c r="D36" s="590">
        <f>('C-72'!D36/'C-71'!D36)*1000</f>
        <v>1.208636290041349</v>
      </c>
      <c r="E36" s="590">
        <f>('C-72'!E36/'C-71'!E36)*1000</f>
        <v>1.2273736880936428</v>
      </c>
      <c r="F36" s="590">
        <f>('C-72'!F36/'C-71'!F36)*1000</f>
        <v>1.2329418949551647</v>
      </c>
      <c r="G36" s="590">
        <f>('C-72'!G36/'C-71'!G36)*1000</f>
        <v>1.2196849253301376</v>
      </c>
      <c r="H36" s="590">
        <f>('C-72'!H36/'C-71'!H36)*1000</f>
        <v>1.1396194695835438</v>
      </c>
      <c r="I36" s="590">
        <f>('C-72'!I36/'C-71'!I36)*1000</f>
        <v>1.2102934248875963</v>
      </c>
      <c r="J36" s="590">
        <f>('C-72'!J36/'C-71'!J36)*1000</f>
        <v>1.213089456194111</v>
      </c>
      <c r="K36" s="590">
        <f>('C-72'!K36/'C-71'!K36)*1000</f>
        <v>1.2105669004792292</v>
      </c>
      <c r="L36" s="590">
        <f>('C-72'!L36/'C-71'!L36)*1000</f>
        <v>1.2094964642415964</v>
      </c>
      <c r="M36" s="590">
        <f>('C-72'!M36/'C-71'!M36)*1000</f>
        <v>1.2425106598928994</v>
      </c>
      <c r="N36" s="590">
        <f>('C-72'!N36/'C-71'!N36)*1000</f>
        <v>1.2480820745238683</v>
      </c>
    </row>
    <row r="37" spans="1:14" ht="12" customHeight="1" thickBot="1">
      <c r="A37" s="272" t="s">
        <v>49</v>
      </c>
      <c r="B37" s="591">
        <f>('C-72'!B37/'C-71'!B37)*1000</f>
        <v>16.53420630550546</v>
      </c>
      <c r="C37" s="592">
        <f>('C-72'!C37/'C-71'!C37)*1000</f>
        <v>1.3619505969437422</v>
      </c>
      <c r="D37" s="592">
        <f>('C-72'!D37/'C-71'!D37)*1000</f>
        <v>1.4559524682614673</v>
      </c>
      <c r="E37" s="592">
        <f>('C-72'!E37/'C-71'!E37)*1000</f>
        <v>1.4434533320960268</v>
      </c>
      <c r="F37" s="592">
        <f>('C-72'!F37/'C-71'!F37)*1000</f>
        <v>1.4471153561360175</v>
      </c>
      <c r="G37" s="592">
        <f>('C-72'!G37/'C-71'!G37)*1000</f>
        <v>1.4424524970718371</v>
      </c>
      <c r="H37" s="592">
        <f>('C-72'!H37/'C-71'!H37)*1000</f>
        <v>1.3686504449658956</v>
      </c>
      <c r="I37" s="592">
        <f>('C-72'!I37/'C-71'!I37)*1000</f>
        <v>1.3323884904492915</v>
      </c>
      <c r="J37" s="592">
        <f>('C-72'!J37/'C-71'!J37)*1000</f>
        <v>1.2820384783108392</v>
      </c>
      <c r="K37" s="592">
        <f>('C-72'!K37/'C-71'!K37)*1000</f>
        <v>1.2924471766850396</v>
      </c>
      <c r="L37" s="592">
        <f>('C-72'!L37/'C-71'!L37)*1000</f>
        <v>1.3967704669238885</v>
      </c>
      <c r="M37" s="592">
        <f>('C-72'!M37/'C-71'!M37)*1000</f>
        <v>1.3902692057543515</v>
      </c>
      <c r="N37" s="592">
        <f>('C-72'!N37/'C-71'!N37)*1000</f>
        <v>1.3405969676993208</v>
      </c>
    </row>
    <row r="38" spans="1:14" ht="10" customHeight="1">
      <c r="A38" s="28" t="s">
        <v>238</v>
      </c>
      <c r="B38" s="539"/>
      <c r="C38" s="539"/>
      <c r="D38" s="539"/>
      <c r="E38" s="539"/>
      <c r="F38" s="539"/>
    </row>
    <row r="39" spans="1:14" ht="10" customHeight="1">
      <c r="A39" s="28" t="s">
        <v>192</v>
      </c>
      <c r="B39" s="539"/>
      <c r="C39" s="539"/>
      <c r="D39" s="539"/>
      <c r="E39" s="539"/>
      <c r="F39" s="539"/>
    </row>
    <row r="40" spans="1:14" ht="10" customHeight="1">
      <c r="A40" s="40" t="s">
        <v>261</v>
      </c>
      <c r="B40" s="539"/>
      <c r="C40" s="539"/>
      <c r="D40" s="539"/>
      <c r="E40" s="539"/>
      <c r="F40" s="539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Hoja75">
    <tabColor theme="9" tint="0.59999389629810485"/>
  </sheetPr>
  <dimension ref="A4:Q5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17" ht="13" customHeight="1">
      <c r="A4" s="511" t="s">
        <v>410</v>
      </c>
      <c r="B4" s="507"/>
    </row>
    <row r="5" spans="1:17" ht="13" customHeight="1">
      <c r="A5" s="515" t="s">
        <v>325</v>
      </c>
      <c r="B5" s="508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</row>
    <row r="6" spans="1:17" ht="5" customHeight="1" thickBot="1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</row>
    <row r="7" spans="1:17" ht="15" customHeight="1">
      <c r="A7" s="519" t="s">
        <v>18</v>
      </c>
      <c r="B7" s="521" t="s">
        <v>118</v>
      </c>
      <c r="C7" s="524" t="s">
        <v>57</v>
      </c>
      <c r="D7" s="524" t="s">
        <v>58</v>
      </c>
      <c r="E7" s="524" t="s">
        <v>59</v>
      </c>
      <c r="F7" s="524" t="s">
        <v>60</v>
      </c>
      <c r="G7" s="524" t="s">
        <v>61</v>
      </c>
      <c r="H7" s="524" t="s">
        <v>62</v>
      </c>
      <c r="I7" s="524" t="s">
        <v>63</v>
      </c>
      <c r="J7" s="524" t="s">
        <v>64</v>
      </c>
      <c r="K7" s="524" t="s">
        <v>65</v>
      </c>
      <c r="L7" s="524" t="s">
        <v>66</v>
      </c>
      <c r="M7" s="524" t="s">
        <v>67</v>
      </c>
      <c r="N7" s="524" t="s">
        <v>68</v>
      </c>
      <c r="O7" s="274"/>
      <c r="P7" s="274"/>
      <c r="Q7" s="277"/>
    </row>
    <row r="8" spans="1:17" ht="15" customHeight="1">
      <c r="A8" s="530" t="s">
        <v>100</v>
      </c>
      <c r="B8" s="559">
        <f t="shared" ref="B8:B37" si="0">AVERAGE(C8:N8)</f>
        <v>905817.25288921932</v>
      </c>
      <c r="C8" s="559">
        <f>(C9+C10+C11+C12+C13+C17+C18+C19+C20+C21+C22+C23+C24+C25+C26+C27+C28+C29+C32+C33+C34+C35+C36+C37)</f>
        <v>883945.85499999998</v>
      </c>
      <c r="D8" s="559">
        <f t="shared" ref="D8:N8" si="1">(D9+D10+D11+D12+D13+D17+D18+D19+D20+D21+D22+D23+D24+D25+D26+D27+D28+D29+D32+D33+D34+D35+D36+D37)</f>
        <v>934418.64500000002</v>
      </c>
      <c r="E8" s="559">
        <f t="shared" si="1"/>
        <v>941057.59499999997</v>
      </c>
      <c r="F8" s="559">
        <f t="shared" si="1"/>
        <v>968589.85499999998</v>
      </c>
      <c r="G8" s="559">
        <f t="shared" si="1"/>
        <v>969536.37101620983</v>
      </c>
      <c r="H8" s="559">
        <f t="shared" si="1"/>
        <v>944524.34173140302</v>
      </c>
      <c r="I8" s="559">
        <f t="shared" si="1"/>
        <v>904595.85499999998</v>
      </c>
      <c r="J8" s="559">
        <f t="shared" si="1"/>
        <v>879444.95173140301</v>
      </c>
      <c r="K8" s="559">
        <f t="shared" si="1"/>
        <v>862816.99173140305</v>
      </c>
      <c r="L8" s="559">
        <f t="shared" si="1"/>
        <v>858107.245</v>
      </c>
      <c r="M8" s="559">
        <f t="shared" si="1"/>
        <v>860936.10499999998</v>
      </c>
      <c r="N8" s="559">
        <f t="shared" si="1"/>
        <v>861833.22346021212</v>
      </c>
      <c r="Q8" s="277"/>
    </row>
    <row r="9" spans="1:17" ht="12" customHeight="1">
      <c r="A9" s="269" t="s">
        <v>21</v>
      </c>
      <c r="B9" s="550">
        <f t="shared" si="0"/>
        <v>361.5</v>
      </c>
      <c r="C9" s="551">
        <f>+'[2]VAC-LE 04-01'!E1388</f>
        <v>350</v>
      </c>
      <c r="D9" s="551">
        <f>+'[2]VAC-LE 04-01'!F1388</f>
        <v>334</v>
      </c>
      <c r="E9" s="551">
        <f>+'[2]VAC-LE 04-01'!G1388</f>
        <v>350</v>
      </c>
      <c r="F9" s="551">
        <f>+'[2]VAC-LE 04-01'!H1388</f>
        <v>354</v>
      </c>
      <c r="G9" s="551">
        <f>+'[2]VAC-LE 04-01'!I1388</f>
        <v>358</v>
      </c>
      <c r="H9" s="551">
        <f>+'[2]VAC-LE 04-01'!J1388</f>
        <v>360</v>
      </c>
      <c r="I9" s="551">
        <f>+'[2]VAC-LE 04-01'!K1388</f>
        <v>370</v>
      </c>
      <c r="J9" s="551">
        <f>+'[2]VAC-LE 04-01'!L1388</f>
        <v>365</v>
      </c>
      <c r="K9" s="551">
        <f>+'[2]VAC-LE 04-01'!M1388</f>
        <v>370</v>
      </c>
      <c r="L9" s="551">
        <f>+'[2]VAC-LE 04-01'!N1388</f>
        <v>375</v>
      </c>
      <c r="M9" s="551">
        <f>+'[2]VAC-LE 04-01'!O1388</f>
        <v>370</v>
      </c>
      <c r="N9" s="551">
        <f>+'[2]VAC-LE 04-01'!P1388</f>
        <v>382</v>
      </c>
      <c r="Q9" s="277"/>
    </row>
    <row r="10" spans="1:17" ht="12" customHeight="1">
      <c r="A10" s="269" t="s">
        <v>22</v>
      </c>
      <c r="B10" s="550">
        <f t="shared" si="0"/>
        <v>24072.115577134333</v>
      </c>
      <c r="C10" s="551">
        <f>+'[2]VAC-LE 04-01'!E1391</f>
        <v>24055</v>
      </c>
      <c r="D10" s="551">
        <f>+'[2]VAC-LE 04-01'!F1391</f>
        <v>24105</v>
      </c>
      <c r="E10" s="551">
        <f>+'[2]VAC-LE 04-01'!G1391</f>
        <v>24210</v>
      </c>
      <c r="F10" s="551">
        <f>+'[2]VAC-LE 04-01'!H1391</f>
        <v>24055</v>
      </c>
      <c r="G10" s="551">
        <f>+'[2]VAC-LE 04-01'!I1391</f>
        <v>24055.096731403002</v>
      </c>
      <c r="H10" s="551">
        <f>+'[2]VAC-LE 04-01'!J1391</f>
        <v>24055.096731403002</v>
      </c>
      <c r="I10" s="551">
        <f>+'[2]VAC-LE 04-01'!K1391</f>
        <v>24055</v>
      </c>
      <c r="J10" s="551">
        <f>+'[2]VAC-LE 04-01'!L1391</f>
        <v>24055.096731403002</v>
      </c>
      <c r="K10" s="551">
        <f>+'[2]VAC-LE 04-01'!M1391</f>
        <v>24055.096731403002</v>
      </c>
      <c r="L10" s="551">
        <f>+'[2]VAC-LE 04-01'!N1391</f>
        <v>24055</v>
      </c>
      <c r="M10" s="551">
        <f>+'[2]VAC-LE 04-01'!O1391</f>
        <v>24055</v>
      </c>
      <c r="N10" s="551">
        <f>+'[2]VAC-LE 04-01'!P1391</f>
        <v>24055</v>
      </c>
      <c r="Q10" s="277"/>
    </row>
    <row r="11" spans="1:17" ht="12" customHeight="1">
      <c r="A11" s="269" t="s">
        <v>23</v>
      </c>
      <c r="B11" s="550">
        <f t="shared" si="0"/>
        <v>17837.166666666668</v>
      </c>
      <c r="C11" s="551">
        <f>+'[2]VAC-LE 04-01'!E1394</f>
        <v>18980</v>
      </c>
      <c r="D11" s="551">
        <f>+'[2]VAC-LE 04-01'!F1394</f>
        <v>18147</v>
      </c>
      <c r="E11" s="551">
        <f>+'[2]VAC-LE 04-01'!G1394</f>
        <v>17420</v>
      </c>
      <c r="F11" s="551">
        <f>+'[2]VAC-LE 04-01'!H1394</f>
        <v>17310</v>
      </c>
      <c r="G11" s="551">
        <f>+'[2]VAC-LE 04-01'!I1394</f>
        <v>17560</v>
      </c>
      <c r="H11" s="551">
        <f>+'[2]VAC-LE 04-01'!J1394</f>
        <v>17610</v>
      </c>
      <c r="I11" s="551">
        <f>+'[2]VAC-LE 04-01'!K1394</f>
        <v>17280</v>
      </c>
      <c r="J11" s="551">
        <f>+'[2]VAC-LE 04-01'!L1394</f>
        <v>17410</v>
      </c>
      <c r="K11" s="551">
        <f>+'[2]VAC-LE 04-01'!M1394</f>
        <v>17520</v>
      </c>
      <c r="L11" s="551">
        <f>+'[2]VAC-LE 04-01'!N1394</f>
        <v>18211</v>
      </c>
      <c r="M11" s="551">
        <f>+'[2]VAC-LE 04-01'!O1394</f>
        <v>18358</v>
      </c>
      <c r="N11" s="551">
        <f>+'[2]VAC-LE 04-01'!P1394</f>
        <v>18240</v>
      </c>
      <c r="Q11" s="277"/>
    </row>
    <row r="12" spans="1:17" ht="12" customHeight="1">
      <c r="A12" s="217" t="s">
        <v>24</v>
      </c>
      <c r="B12" s="550">
        <f t="shared" si="0"/>
        <v>48823.25</v>
      </c>
      <c r="C12" s="551">
        <f>+'[2]VAC-LE 04-01'!E1397</f>
        <v>46958</v>
      </c>
      <c r="D12" s="551">
        <f>+'[2]VAC-LE 04-01'!F1397</f>
        <v>46958</v>
      </c>
      <c r="E12" s="551">
        <f>+'[2]VAC-LE 04-01'!G1397</f>
        <v>46958</v>
      </c>
      <c r="F12" s="551">
        <f>+'[2]VAC-LE 04-01'!H1397</f>
        <v>50376</v>
      </c>
      <c r="G12" s="551">
        <f>+'[2]VAC-LE 04-01'!I1397</f>
        <v>50376</v>
      </c>
      <c r="H12" s="551">
        <f>+'[2]VAC-LE 04-01'!J1397</f>
        <v>50376</v>
      </c>
      <c r="I12" s="551">
        <f>+'[2]VAC-LE 04-01'!K1397</f>
        <v>50038</v>
      </c>
      <c r="J12" s="551">
        <f>+'[2]VAC-LE 04-01'!L1397</f>
        <v>50038</v>
      </c>
      <c r="K12" s="551">
        <f>+'[2]VAC-LE 04-01'!M1397</f>
        <v>50038</v>
      </c>
      <c r="L12" s="551">
        <f>+'[2]VAC-LE 04-01'!N1397</f>
        <v>47921</v>
      </c>
      <c r="M12" s="551">
        <f>+'[2]VAC-LE 04-01'!O1397</f>
        <v>47921</v>
      </c>
      <c r="N12" s="551">
        <f>+'[2]VAC-LE 04-01'!P1397</f>
        <v>47921</v>
      </c>
      <c r="Q12" s="277"/>
    </row>
    <row r="13" spans="1:17" ht="12" customHeight="1">
      <c r="A13" s="217" t="s">
        <v>25</v>
      </c>
      <c r="B13" s="550">
        <f t="shared" si="0"/>
        <v>164222.08333333334</v>
      </c>
      <c r="C13" s="551">
        <f>+'[2]VAC-LE 04-01'!E1400</f>
        <v>161263</v>
      </c>
      <c r="D13" s="551">
        <f>+'[2]VAC-LE 04-01'!F1400</f>
        <v>176894</v>
      </c>
      <c r="E13" s="551">
        <f>+'[2]VAC-LE 04-01'!G1400</f>
        <v>160964</v>
      </c>
      <c r="F13" s="551">
        <f>+'[2]VAC-LE 04-01'!H1400</f>
        <v>168236</v>
      </c>
      <c r="G13" s="551">
        <f>+'[2]VAC-LE 04-01'!I1400</f>
        <v>169122</v>
      </c>
      <c r="H13" s="551">
        <f>+'[2]VAC-LE 04-01'!J1400</f>
        <v>167391</v>
      </c>
      <c r="I13" s="551">
        <f>+'[2]VAC-LE 04-01'!K1400</f>
        <v>162828</v>
      </c>
      <c r="J13" s="551">
        <f>+'[2]VAC-LE 04-01'!L1400</f>
        <v>157978</v>
      </c>
      <c r="K13" s="551">
        <f>+'[2]VAC-LE 04-01'!M1400</f>
        <v>159405</v>
      </c>
      <c r="L13" s="551">
        <f>+'[2]VAC-LE 04-01'!N1400</f>
        <v>161042</v>
      </c>
      <c r="M13" s="551">
        <f>+'[2]VAC-LE 04-01'!O1400</f>
        <v>163597</v>
      </c>
      <c r="N13" s="551">
        <f>+'[2]VAC-LE 04-01'!P1400</f>
        <v>161945</v>
      </c>
      <c r="Q13" s="277"/>
    </row>
    <row r="14" spans="1:17" ht="12" customHeight="1">
      <c r="A14" s="271" t="s">
        <v>107</v>
      </c>
      <c r="B14" s="550">
        <f t="shared" si="0"/>
        <v>97194.333333333328</v>
      </c>
      <c r="C14" s="551">
        <f>+'[2]VAC-LE 04-01'!E1403</f>
        <v>99345</v>
      </c>
      <c r="D14" s="551">
        <f>+'[2]VAC-LE 04-01'!F1403</f>
        <v>99060</v>
      </c>
      <c r="E14" s="551">
        <f>+'[2]VAC-LE 04-01'!G1403</f>
        <v>98167</v>
      </c>
      <c r="F14" s="551">
        <f>+'[2]VAC-LE 04-01'!H1403</f>
        <v>100582</v>
      </c>
      <c r="G14" s="551">
        <f>+'[2]VAC-LE 04-01'!I1403</f>
        <v>99561</v>
      </c>
      <c r="H14" s="551">
        <f>+'[2]VAC-LE 04-01'!J1403</f>
        <v>99269</v>
      </c>
      <c r="I14" s="551">
        <f>+'[2]VAC-LE 04-01'!K1403</f>
        <v>95948</v>
      </c>
      <c r="J14" s="551">
        <f>+'[2]VAC-LE 04-01'!L1403</f>
        <v>92446</v>
      </c>
      <c r="K14" s="551">
        <f>+'[2]VAC-LE 04-01'!M1403</f>
        <v>93106</v>
      </c>
      <c r="L14" s="551">
        <f>+'[2]VAC-LE 04-01'!N1403</f>
        <v>95490</v>
      </c>
      <c r="M14" s="551">
        <f>+'[2]VAC-LE 04-01'!O1403</f>
        <v>97021</v>
      </c>
      <c r="N14" s="551">
        <f>+'[2]VAC-LE 04-01'!P1403</f>
        <v>96337</v>
      </c>
      <c r="Q14" s="277"/>
    </row>
    <row r="15" spans="1:17" ht="12" customHeight="1">
      <c r="A15" s="271" t="s">
        <v>108</v>
      </c>
      <c r="B15" s="550">
        <f t="shared" si="0"/>
        <v>61573.583333333336</v>
      </c>
      <c r="C15" s="551">
        <f>+'[2]VAC-LE 04-01'!E1406</f>
        <v>57324</v>
      </c>
      <c r="D15" s="551">
        <f>+'[2]VAC-LE 04-01'!F1406</f>
        <v>73199</v>
      </c>
      <c r="E15" s="551">
        <f>+'[2]VAC-LE 04-01'!G1406</f>
        <v>57532</v>
      </c>
      <c r="F15" s="551">
        <f>+'[2]VAC-LE 04-01'!H1406</f>
        <v>61673</v>
      </c>
      <c r="G15" s="551">
        <f>+'[2]VAC-LE 04-01'!I1406</f>
        <v>62190</v>
      </c>
      <c r="H15" s="551">
        <f>+'[2]VAC-LE 04-01'!J1406</f>
        <v>60912</v>
      </c>
      <c r="I15" s="551">
        <f>+'[2]VAC-LE 04-01'!K1406</f>
        <v>60841</v>
      </c>
      <c r="J15" s="551">
        <f>+'[2]VAC-LE 04-01'!L1406</f>
        <v>60720</v>
      </c>
      <c r="K15" s="551">
        <f>+'[2]VAC-LE 04-01'!M1406</f>
        <v>60810</v>
      </c>
      <c r="L15" s="551">
        <f>+'[2]VAC-LE 04-01'!N1406</f>
        <v>60840</v>
      </c>
      <c r="M15" s="551">
        <f>+'[2]VAC-LE 04-01'!O1406</f>
        <v>61792</v>
      </c>
      <c r="N15" s="551">
        <f>+'[2]VAC-LE 04-01'!P1406</f>
        <v>61050</v>
      </c>
      <c r="Q15" s="277"/>
    </row>
    <row r="16" spans="1:17" ht="12" customHeight="1">
      <c r="A16" s="271" t="s">
        <v>109</v>
      </c>
      <c r="B16" s="550">
        <f t="shared" si="0"/>
        <v>5454.166666666667</v>
      </c>
      <c r="C16" s="551">
        <f>+'[2]VAC-LE 04-01'!E1409</f>
        <v>4594</v>
      </c>
      <c r="D16" s="551">
        <f>+'[2]VAC-LE 04-01'!F1409</f>
        <v>4635</v>
      </c>
      <c r="E16" s="551">
        <f>+'[2]VAC-LE 04-01'!G1409</f>
        <v>5265</v>
      </c>
      <c r="F16" s="551">
        <f>+'[2]VAC-LE 04-01'!H1409</f>
        <v>5981</v>
      </c>
      <c r="G16" s="551">
        <f>+'[2]VAC-LE 04-01'!I1409</f>
        <v>7371</v>
      </c>
      <c r="H16" s="551">
        <f>+'[2]VAC-LE 04-01'!J1409</f>
        <v>7210</v>
      </c>
      <c r="I16" s="551">
        <f>+'[2]VAC-LE 04-01'!K1409</f>
        <v>6039</v>
      </c>
      <c r="J16" s="551">
        <f>+'[2]VAC-LE 04-01'!L1409</f>
        <v>4812</v>
      </c>
      <c r="K16" s="551">
        <f>+'[2]VAC-LE 04-01'!M1409</f>
        <v>5489</v>
      </c>
      <c r="L16" s="551">
        <f>+'[2]VAC-LE 04-01'!N1409</f>
        <v>4712</v>
      </c>
      <c r="M16" s="551">
        <f>+'[2]VAC-LE 04-01'!O1409</f>
        <v>4784</v>
      </c>
      <c r="N16" s="551">
        <f>+'[2]VAC-LE 04-01'!P1409</f>
        <v>4558</v>
      </c>
      <c r="Q16" s="277"/>
    </row>
    <row r="17" spans="1:17" ht="12" customHeight="1">
      <c r="A17" s="269" t="s">
        <v>29</v>
      </c>
      <c r="B17" s="550">
        <f t="shared" si="0"/>
        <v>79622.666666666672</v>
      </c>
      <c r="C17" s="551">
        <f>+'[2]VAC-LE 04-01'!E1412</f>
        <v>79314</v>
      </c>
      <c r="D17" s="551">
        <f>+'[2]VAC-LE 04-01'!F1412</f>
        <v>79873</v>
      </c>
      <c r="E17" s="551">
        <f>+'[2]VAC-LE 04-01'!G1412</f>
        <v>80371.000000000015</v>
      </c>
      <c r="F17" s="551">
        <f>+'[2]VAC-LE 04-01'!H1412</f>
        <v>80110</v>
      </c>
      <c r="G17" s="551">
        <f>+'[2]VAC-LE 04-01'!I1412</f>
        <v>80113</v>
      </c>
      <c r="H17" s="551">
        <f>+'[2]VAC-LE 04-01'!J1412</f>
        <v>79797</v>
      </c>
      <c r="I17" s="551">
        <f>+'[2]VAC-LE 04-01'!K1412</f>
        <v>79510</v>
      </c>
      <c r="J17" s="551">
        <f>+'[2]VAC-LE 04-01'!L1412</f>
        <v>79130.000000000015</v>
      </c>
      <c r="K17" s="551">
        <f>+'[2]VAC-LE 04-01'!M1412</f>
        <v>79301</v>
      </c>
      <c r="L17" s="551">
        <f>+'[2]VAC-LE 04-01'!N1412</f>
        <v>79140</v>
      </c>
      <c r="M17" s="551">
        <f>+'[2]VAC-LE 04-01'!O1412</f>
        <v>79455</v>
      </c>
      <c r="N17" s="551">
        <f>+'[2]VAC-LE 04-01'!P1412</f>
        <v>79358</v>
      </c>
      <c r="Q17" s="277"/>
    </row>
    <row r="18" spans="1:17" ht="12" customHeight="1">
      <c r="A18" s="217" t="s">
        <v>30</v>
      </c>
      <c r="B18" s="550">
        <f t="shared" si="0"/>
        <v>14846.666666666666</v>
      </c>
      <c r="C18" s="551">
        <f>+'[2]VAC-LE 04-01'!E1415</f>
        <v>15285</v>
      </c>
      <c r="D18" s="551">
        <f>+'[2]VAC-LE 04-01'!F1415</f>
        <v>15295</v>
      </c>
      <c r="E18" s="551">
        <f>+'[2]VAC-LE 04-01'!G1415</f>
        <v>15194</v>
      </c>
      <c r="F18" s="551">
        <f>+'[2]VAC-LE 04-01'!H1415</f>
        <v>15095</v>
      </c>
      <c r="G18" s="551">
        <f>+'[2]VAC-LE 04-01'!I1415</f>
        <v>15050</v>
      </c>
      <c r="H18" s="551">
        <f>+'[2]VAC-LE 04-01'!J1415</f>
        <v>15100</v>
      </c>
      <c r="I18" s="551">
        <f>+'[2]VAC-LE 04-01'!K1415</f>
        <v>14960</v>
      </c>
      <c r="J18" s="551">
        <f>+'[2]VAC-LE 04-01'!L1415</f>
        <v>14945</v>
      </c>
      <c r="K18" s="551">
        <f>+'[2]VAC-LE 04-01'!M1415</f>
        <v>14030</v>
      </c>
      <c r="L18" s="551">
        <f>+'[2]VAC-LE 04-01'!N1415</f>
        <v>14097</v>
      </c>
      <c r="M18" s="551">
        <f>+'[2]VAC-LE 04-01'!O1415</f>
        <v>14102</v>
      </c>
      <c r="N18" s="551">
        <f>+'[2]VAC-LE 04-01'!P1415</f>
        <v>15007</v>
      </c>
      <c r="Q18" s="277"/>
    </row>
    <row r="19" spans="1:17" ht="12" customHeight="1">
      <c r="A19" s="217" t="s">
        <v>31</v>
      </c>
      <c r="B19" s="550">
        <f t="shared" si="0"/>
        <v>71091.56041666666</v>
      </c>
      <c r="C19" s="551">
        <f>+'[2]VAC-LE 04-01'!E1418</f>
        <v>70267.85500000001</v>
      </c>
      <c r="D19" s="551">
        <f>+'[2]VAC-LE 04-01'!F1418</f>
        <v>70395.645000000004</v>
      </c>
      <c r="E19" s="551">
        <f>+'[2]VAC-LE 04-01'!G1418</f>
        <v>72629.595000000001</v>
      </c>
      <c r="F19" s="551">
        <f>+'[2]VAC-LE 04-01'!H1418</f>
        <v>73909.85500000001</v>
      </c>
      <c r="G19" s="551">
        <f>+'[2]VAC-LE 04-01'!I1418</f>
        <v>72945.845000000001</v>
      </c>
      <c r="H19" s="551">
        <f>+'[2]VAC-LE 04-01'!J1418</f>
        <v>71615.244999999995</v>
      </c>
      <c r="I19" s="551">
        <f>+'[2]VAC-LE 04-01'!K1418</f>
        <v>71532.85500000001</v>
      </c>
      <c r="J19" s="551">
        <f>+'[2]VAC-LE 04-01'!L1418</f>
        <v>70491.85500000001</v>
      </c>
      <c r="K19" s="551">
        <f>+'[2]VAC-LE 04-01'!M1418</f>
        <v>71116.89499999999</v>
      </c>
      <c r="L19" s="551">
        <f>+'[2]VAC-LE 04-01'!N1418</f>
        <v>68814.244999999995</v>
      </c>
      <c r="M19" s="551">
        <f>+'[2]VAC-LE 04-01'!O1418</f>
        <v>71071.104999999996</v>
      </c>
      <c r="N19" s="551">
        <f>+'[2]VAC-LE 04-01'!P1418</f>
        <v>68307.73</v>
      </c>
      <c r="Q19" s="277"/>
    </row>
    <row r="20" spans="1:17" ht="12" customHeight="1">
      <c r="A20" s="269" t="s">
        <v>32</v>
      </c>
      <c r="B20" s="550">
        <f t="shared" si="0"/>
        <v>12537.166666666666</v>
      </c>
      <c r="C20" s="551">
        <f>+'[2]VAC-LE 04-01'!E1421</f>
        <v>12292</v>
      </c>
      <c r="D20" s="551">
        <f>+'[2]VAC-LE 04-01'!F1421</f>
        <v>12263</v>
      </c>
      <c r="E20" s="551">
        <f>+'[2]VAC-LE 04-01'!G1421</f>
        <v>12036</v>
      </c>
      <c r="F20" s="551">
        <f>+'[2]VAC-LE 04-01'!H1421</f>
        <v>12192</v>
      </c>
      <c r="G20" s="551">
        <f>+'[2]VAC-LE 04-01'!I1421</f>
        <v>12480</v>
      </c>
      <c r="H20" s="551">
        <f>+'[2]VAC-LE 04-01'!J1421</f>
        <v>12655</v>
      </c>
      <c r="I20" s="551">
        <f>+'[2]VAC-LE 04-01'!K1421</f>
        <v>12643</v>
      </c>
      <c r="J20" s="551">
        <f>+'[2]VAC-LE 04-01'!L1421</f>
        <v>11816</v>
      </c>
      <c r="K20" s="551">
        <f>+'[2]VAC-LE 04-01'!M1421</f>
        <v>13057</v>
      </c>
      <c r="L20" s="551">
        <f>+'[2]VAC-LE 04-01'!N1421</f>
        <v>13248</v>
      </c>
      <c r="M20" s="551">
        <f>+'[2]VAC-LE 04-01'!O1421</f>
        <v>12404</v>
      </c>
      <c r="N20" s="551">
        <f>+'[2]VAC-LE 04-01'!P1421</f>
        <v>13360</v>
      </c>
      <c r="Q20" s="277"/>
    </row>
    <row r="21" spans="1:17" ht="12" customHeight="1">
      <c r="A21" s="269" t="s">
        <v>33</v>
      </c>
      <c r="B21" s="550">
        <f t="shared" si="0"/>
        <v>34915.583333333336</v>
      </c>
      <c r="C21" s="551">
        <f>+'[2]VAC-LE 04-01'!E1424</f>
        <v>35919</v>
      </c>
      <c r="D21" s="551">
        <f>+'[2]VAC-LE 04-01'!F1424</f>
        <v>34944</v>
      </c>
      <c r="E21" s="551">
        <f>+'[2]VAC-LE 04-01'!G1424</f>
        <v>35310</v>
      </c>
      <c r="F21" s="551">
        <f>+'[2]VAC-LE 04-01'!H1424</f>
        <v>36052</v>
      </c>
      <c r="G21" s="551">
        <f>+'[2]VAC-LE 04-01'!I1424</f>
        <v>35471</v>
      </c>
      <c r="H21" s="551">
        <f>+'[2]VAC-LE 04-01'!J1424</f>
        <v>35186</v>
      </c>
      <c r="I21" s="551">
        <f>+'[2]VAC-LE 04-01'!K1424</f>
        <v>35193</v>
      </c>
      <c r="J21" s="551">
        <f>+'[2]VAC-LE 04-01'!L1424</f>
        <v>34392</v>
      </c>
      <c r="K21" s="551">
        <f>+'[2]VAC-LE 04-01'!M1424</f>
        <v>34435</v>
      </c>
      <c r="L21" s="551">
        <f>+'[2]VAC-LE 04-01'!N1424</f>
        <v>33334</v>
      </c>
      <c r="M21" s="551">
        <f>+'[2]VAC-LE 04-01'!O1424</f>
        <v>33863</v>
      </c>
      <c r="N21" s="551">
        <f>+'[2]VAC-LE 04-01'!P1424</f>
        <v>34888</v>
      </c>
      <c r="Q21" s="277"/>
    </row>
    <row r="22" spans="1:17" ht="12" customHeight="1">
      <c r="A22" s="269" t="s">
        <v>34</v>
      </c>
      <c r="B22" s="550">
        <f t="shared" si="0"/>
        <v>29614.166666666668</v>
      </c>
      <c r="C22" s="551">
        <f>+'[2]VAC-LE 04-01'!E1427</f>
        <v>29440</v>
      </c>
      <c r="D22" s="551">
        <f>+'[2]VAC-LE 04-01'!F1427</f>
        <v>29440</v>
      </c>
      <c r="E22" s="551">
        <f>+'[2]VAC-LE 04-01'!G1427</f>
        <v>29440</v>
      </c>
      <c r="F22" s="551">
        <f>+'[2]VAC-LE 04-01'!H1427</f>
        <v>29440</v>
      </c>
      <c r="G22" s="551">
        <f>+'[2]VAC-LE 04-01'!I1427</f>
        <v>29488</v>
      </c>
      <c r="H22" s="551">
        <f>+'[2]VAC-LE 04-01'!J1427</f>
        <v>29440</v>
      </c>
      <c r="I22" s="551">
        <f>+'[2]VAC-LE 04-01'!K1427</f>
        <v>29440</v>
      </c>
      <c r="J22" s="551">
        <f>+'[2]VAC-LE 04-01'!L1427</f>
        <v>29440</v>
      </c>
      <c r="K22" s="551">
        <f>+'[2]VAC-LE 04-01'!M1427</f>
        <v>29440</v>
      </c>
      <c r="L22" s="551">
        <f>+'[2]VAC-LE 04-01'!N1427</f>
        <v>29488</v>
      </c>
      <c r="M22" s="551">
        <f>+'[2]VAC-LE 04-01'!O1427</f>
        <v>29440</v>
      </c>
      <c r="N22" s="551">
        <f>+'[2]VAC-LE 04-01'!P1427</f>
        <v>31434</v>
      </c>
      <c r="Q22" s="277"/>
    </row>
    <row r="23" spans="1:17" ht="12" customHeight="1">
      <c r="A23" s="269" t="s">
        <v>35</v>
      </c>
      <c r="B23" s="550">
        <f t="shared" si="0"/>
        <v>40669.493562084914</v>
      </c>
      <c r="C23" s="551">
        <f>+'[2]VAC-LE 04-01'!E1430</f>
        <v>39097.000000000007</v>
      </c>
      <c r="D23" s="551">
        <f>+'[2]VAC-LE 04-01'!F1430</f>
        <v>39263</v>
      </c>
      <c r="E23" s="551">
        <f>+'[2]VAC-LE 04-01'!G1430</f>
        <v>41790.000000000007</v>
      </c>
      <c r="F23" s="551">
        <f>+'[2]VAC-LE 04-01'!H1430</f>
        <v>41140.999999999993</v>
      </c>
      <c r="G23" s="551">
        <f>+'[2]VAC-LE 04-01'!I1430</f>
        <v>41292.429284806858</v>
      </c>
      <c r="H23" s="551">
        <f>+'[2]VAC-LE 04-01'!J1430</f>
        <v>41720.000000000007</v>
      </c>
      <c r="I23" s="551">
        <f>+'[2]VAC-LE 04-01'!K1430</f>
        <v>40741.000000000007</v>
      </c>
      <c r="J23" s="551">
        <f>+'[2]VAC-LE 04-01'!L1430</f>
        <v>39381.000000000007</v>
      </c>
      <c r="K23" s="551">
        <f>+'[2]VAC-LE 04-01'!M1430</f>
        <v>41098</v>
      </c>
      <c r="L23" s="551">
        <f>+'[2]VAC-LE 04-01'!N1430</f>
        <v>40632.999999999993</v>
      </c>
      <c r="M23" s="551">
        <f>+'[2]VAC-LE 04-01'!O1430</f>
        <v>40713.000000000007</v>
      </c>
      <c r="N23" s="551">
        <f>+'[2]VAC-LE 04-01'!P1430</f>
        <v>41164.493460212099</v>
      </c>
      <c r="Q23" s="277"/>
    </row>
    <row r="24" spans="1:17" ht="12" customHeight="1">
      <c r="A24" s="269" t="s">
        <v>36</v>
      </c>
      <c r="B24" s="550">
        <f t="shared" si="0"/>
        <v>12119.833333333334</v>
      </c>
      <c r="C24" s="551">
        <f>+'[2]VAC-LE 04-01'!E1433</f>
        <v>11757</v>
      </c>
      <c r="D24" s="551">
        <f>+'[2]VAC-LE 04-01'!F1433</f>
        <v>12609</v>
      </c>
      <c r="E24" s="551">
        <f>+'[2]VAC-LE 04-01'!G1433</f>
        <v>12425</v>
      </c>
      <c r="F24" s="551">
        <f>+'[2]VAC-LE 04-01'!H1433</f>
        <v>12837</v>
      </c>
      <c r="G24" s="551">
        <f>+'[2]VAC-LE 04-01'!I1433</f>
        <v>12993</v>
      </c>
      <c r="H24" s="551">
        <f>+'[2]VAC-LE 04-01'!J1433</f>
        <v>12428</v>
      </c>
      <c r="I24" s="551">
        <f>+'[2]VAC-LE 04-01'!K1433</f>
        <v>11584</v>
      </c>
      <c r="J24" s="551">
        <f>+'[2]VAC-LE 04-01'!L1433</f>
        <v>11889</v>
      </c>
      <c r="K24" s="551">
        <f>+'[2]VAC-LE 04-01'!M1433</f>
        <v>11844</v>
      </c>
      <c r="L24" s="551">
        <f>+'[2]VAC-LE 04-01'!N1433</f>
        <v>12358</v>
      </c>
      <c r="M24" s="551">
        <f>+'[2]VAC-LE 04-01'!O1433</f>
        <v>11593</v>
      </c>
      <c r="N24" s="551">
        <f>+'[2]VAC-LE 04-01'!P1433</f>
        <v>11121</v>
      </c>
      <c r="Q24" s="277"/>
    </row>
    <row r="25" spans="1:17" ht="12" customHeight="1">
      <c r="A25" s="217" t="s">
        <v>37</v>
      </c>
      <c r="B25" s="550">
        <f t="shared" si="0"/>
        <v>75737.416666666672</v>
      </c>
      <c r="C25" s="551">
        <f>+'[2]VAC-LE 04-01'!E1436</f>
        <v>75125</v>
      </c>
      <c r="D25" s="551">
        <f>+'[2]VAC-LE 04-01'!F1436</f>
        <v>75642</v>
      </c>
      <c r="E25" s="551">
        <f>+'[2]VAC-LE 04-01'!G1436</f>
        <v>75571</v>
      </c>
      <c r="F25" s="551">
        <f>+'[2]VAC-LE 04-01'!H1436</f>
        <v>76177</v>
      </c>
      <c r="G25" s="551">
        <f>+'[2]VAC-LE 04-01'!I1436</f>
        <v>76044</v>
      </c>
      <c r="H25" s="551">
        <f>+'[2]VAC-LE 04-01'!J1436</f>
        <v>75899</v>
      </c>
      <c r="I25" s="551">
        <f>+'[2]VAC-LE 04-01'!K1436</f>
        <v>75817</v>
      </c>
      <c r="J25" s="551">
        <f>+'[2]VAC-LE 04-01'!L1436</f>
        <v>75708</v>
      </c>
      <c r="K25" s="551">
        <f>+'[2]VAC-LE 04-01'!M1436</f>
        <v>75683</v>
      </c>
      <c r="L25" s="551">
        <f>+'[2]VAC-LE 04-01'!N1436</f>
        <v>75693</v>
      </c>
      <c r="M25" s="551">
        <f>+'[2]VAC-LE 04-01'!O1436</f>
        <v>75724</v>
      </c>
      <c r="N25" s="551">
        <f>+'[2]VAC-LE 04-01'!P1436</f>
        <v>75766</v>
      </c>
      <c r="Q25" s="277"/>
    </row>
    <row r="26" spans="1:17" ht="12" customHeight="1">
      <c r="A26" s="269" t="s">
        <v>38</v>
      </c>
      <c r="B26" s="550">
        <f t="shared" si="0"/>
        <v>5670.75</v>
      </c>
      <c r="C26" s="551">
        <f>+'[2]VAC-LE 04-01'!E1439</f>
        <v>5761</v>
      </c>
      <c r="D26" s="551">
        <f>+'[2]VAC-LE 04-01'!F1439</f>
        <v>5678</v>
      </c>
      <c r="E26" s="551">
        <f>+'[2]VAC-LE 04-01'!G1439</f>
        <v>5605</v>
      </c>
      <c r="F26" s="551">
        <f>+'[2]VAC-LE 04-01'!H1439</f>
        <v>5708</v>
      </c>
      <c r="G26" s="551">
        <f>+'[2]VAC-LE 04-01'!I1439</f>
        <v>5672</v>
      </c>
      <c r="H26" s="551">
        <f>+'[2]VAC-LE 04-01'!J1439</f>
        <v>5664</v>
      </c>
      <c r="I26" s="551">
        <f>+'[2]VAC-LE 04-01'!K1439</f>
        <v>5636</v>
      </c>
      <c r="J26" s="551">
        <f>+'[2]VAC-LE 04-01'!L1439</f>
        <v>5634</v>
      </c>
      <c r="K26" s="551">
        <f>+'[2]VAC-LE 04-01'!M1439</f>
        <v>5613</v>
      </c>
      <c r="L26" s="551">
        <f>+'[2]VAC-LE 04-01'!N1439</f>
        <v>5615</v>
      </c>
      <c r="M26" s="551">
        <f>+'[2]VAC-LE 04-01'!O1439</f>
        <v>5698</v>
      </c>
      <c r="N26" s="551">
        <f>+'[2]VAC-LE 04-01'!P1439</f>
        <v>5765</v>
      </c>
      <c r="Q26" s="277"/>
    </row>
    <row r="27" spans="1:17" ht="12" customHeight="1">
      <c r="A27" s="269" t="s">
        <v>39</v>
      </c>
      <c r="B27" s="550">
        <f t="shared" si="0"/>
        <v>5692.25</v>
      </c>
      <c r="C27" s="551">
        <f>+'[2]VAC-LE 04-01'!E1442</f>
        <v>5745</v>
      </c>
      <c r="D27" s="551">
        <f>+'[2]VAC-LE 04-01'!F1442</f>
        <v>5740</v>
      </c>
      <c r="E27" s="551">
        <f>+'[2]VAC-LE 04-01'!G1442</f>
        <v>5700</v>
      </c>
      <c r="F27" s="551">
        <f>+'[2]VAC-LE 04-01'!H1442</f>
        <v>5700</v>
      </c>
      <c r="G27" s="551">
        <f>+'[2]VAC-LE 04-01'!I1442</f>
        <v>5700</v>
      </c>
      <c r="H27" s="551">
        <f>+'[2]VAC-LE 04-01'!J1442</f>
        <v>5679</v>
      </c>
      <c r="I27" s="551">
        <f>+'[2]VAC-LE 04-01'!K1442</f>
        <v>5677</v>
      </c>
      <c r="J27" s="551">
        <f>+'[2]VAC-LE 04-01'!L1442</f>
        <v>5676</v>
      </c>
      <c r="K27" s="551">
        <f>+'[2]VAC-LE 04-01'!M1442</f>
        <v>5675</v>
      </c>
      <c r="L27" s="551">
        <f>+'[2]VAC-LE 04-01'!N1442</f>
        <v>5685</v>
      </c>
      <c r="M27" s="551">
        <f>+'[2]VAC-LE 04-01'!O1442</f>
        <v>5665</v>
      </c>
      <c r="N27" s="551">
        <f>+'[2]VAC-LE 04-01'!P1442</f>
        <v>5665</v>
      </c>
      <c r="Q27" s="277"/>
    </row>
    <row r="28" spans="1:17" ht="12" customHeight="1">
      <c r="A28" s="269" t="s">
        <v>40</v>
      </c>
      <c r="B28" s="550">
        <f t="shared" si="0"/>
        <v>33695.416666666664</v>
      </c>
      <c r="C28" s="551">
        <f>+'[2]VAC-LE 04-01'!E1445</f>
        <v>16119</v>
      </c>
      <c r="D28" s="551">
        <f>+'[2]VAC-LE 04-01'!F1445</f>
        <v>29873</v>
      </c>
      <c r="E28" s="551">
        <f>+'[2]VAC-LE 04-01'!G1445</f>
        <v>50886</v>
      </c>
      <c r="F28" s="551">
        <f>+'[2]VAC-LE 04-01'!H1445</f>
        <v>65406</v>
      </c>
      <c r="G28" s="551">
        <f>+'[2]VAC-LE 04-01'!I1445</f>
        <v>73352</v>
      </c>
      <c r="H28" s="551">
        <f>+'[2]VAC-LE 04-01'!J1445</f>
        <v>59217</v>
      </c>
      <c r="I28" s="551">
        <f>+'[2]VAC-LE 04-01'!K1445</f>
        <v>39033</v>
      </c>
      <c r="J28" s="551">
        <f>+'[2]VAC-LE 04-01'!L1445</f>
        <v>25203</v>
      </c>
      <c r="K28" s="551">
        <f>+'[2]VAC-LE 04-01'!M1445</f>
        <v>15837</v>
      </c>
      <c r="L28" s="551">
        <f>+'[2]VAC-LE 04-01'!N1445</f>
        <v>11136</v>
      </c>
      <c r="M28" s="551">
        <f>+'[2]VAC-LE 04-01'!O1445</f>
        <v>9323</v>
      </c>
      <c r="N28" s="551">
        <f>+'[2]VAC-LE 04-01'!P1445</f>
        <v>8960</v>
      </c>
      <c r="Q28" s="277"/>
    </row>
    <row r="29" spans="1:17" ht="12" customHeight="1">
      <c r="A29" s="217" t="s">
        <v>41</v>
      </c>
      <c r="B29" s="550">
        <f t="shared" si="0"/>
        <v>31824.5</v>
      </c>
      <c r="C29" s="551">
        <f>+'[2]VAC-LE 04-01'!E1448</f>
        <v>31822</v>
      </c>
      <c r="D29" s="551">
        <f>+'[2]VAC-LE 04-01'!F1448</f>
        <v>32410</v>
      </c>
      <c r="E29" s="551">
        <f>+'[2]VAC-LE 04-01'!G1448</f>
        <v>32510</v>
      </c>
      <c r="F29" s="551">
        <f>+'[2]VAC-LE 04-01'!H1448</f>
        <v>33150</v>
      </c>
      <c r="G29" s="551">
        <f>+'[2]VAC-LE 04-01'!I1448</f>
        <v>33060</v>
      </c>
      <c r="H29" s="551">
        <f>+'[2]VAC-LE 04-01'!J1448</f>
        <v>32880</v>
      </c>
      <c r="I29" s="551">
        <f>+'[2]VAC-LE 04-01'!K1448</f>
        <v>32771</v>
      </c>
      <c r="J29" s="551">
        <f>+'[2]VAC-LE 04-01'!L1448</f>
        <v>31526</v>
      </c>
      <c r="K29" s="551">
        <f>+'[2]VAC-LE 04-01'!M1448</f>
        <v>30340</v>
      </c>
      <c r="L29" s="551">
        <f>+'[2]VAC-LE 04-01'!N1448</f>
        <v>30400</v>
      </c>
      <c r="M29" s="551">
        <f>+'[2]VAC-LE 04-01'!O1448</f>
        <v>30385</v>
      </c>
      <c r="N29" s="551">
        <f>+'[2]VAC-LE 04-01'!P1448</f>
        <v>30640</v>
      </c>
      <c r="Q29" s="277"/>
    </row>
    <row r="30" spans="1:17" ht="12" customHeight="1">
      <c r="A30" s="271" t="s">
        <v>111</v>
      </c>
      <c r="B30" s="550">
        <f t="shared" si="0"/>
        <v>20026.666666666668</v>
      </c>
      <c r="C30" s="551">
        <f>+'[2]VAC-LE 04-01'!E1451</f>
        <v>19890</v>
      </c>
      <c r="D30" s="551">
        <f>+'[2]VAC-LE 04-01'!F1451</f>
        <v>20560</v>
      </c>
      <c r="E30" s="551">
        <f>+'[2]VAC-LE 04-01'!G1451</f>
        <v>20620</v>
      </c>
      <c r="F30" s="551">
        <f>+'[2]VAC-LE 04-01'!H1451</f>
        <v>21140</v>
      </c>
      <c r="G30" s="551">
        <f>+'[2]VAC-LE 04-01'!I1451</f>
        <v>20970</v>
      </c>
      <c r="H30" s="551">
        <f>+'[2]VAC-LE 04-01'!J1451</f>
        <v>20870</v>
      </c>
      <c r="I30" s="551">
        <f>+'[2]VAC-LE 04-01'!K1451</f>
        <v>20801</v>
      </c>
      <c r="J30" s="551">
        <f>+'[2]VAC-LE 04-01'!L1451</f>
        <v>19984</v>
      </c>
      <c r="K30" s="551">
        <f>+'[2]VAC-LE 04-01'!M1451</f>
        <v>18950</v>
      </c>
      <c r="L30" s="551">
        <f>+'[2]VAC-LE 04-01'!N1451</f>
        <v>18980</v>
      </c>
      <c r="M30" s="551">
        <f>+'[2]VAC-LE 04-01'!O1451</f>
        <v>18745</v>
      </c>
      <c r="N30" s="551">
        <f>+'[2]VAC-LE 04-01'!P1451</f>
        <v>18810</v>
      </c>
      <c r="Q30" s="277"/>
    </row>
    <row r="31" spans="1:17" ht="12" customHeight="1">
      <c r="A31" s="271" t="s">
        <v>112</v>
      </c>
      <c r="B31" s="550">
        <f t="shared" si="0"/>
        <v>11797.833333333334</v>
      </c>
      <c r="C31" s="551">
        <f>+'[2]VAC-LE 04-01'!E1454</f>
        <v>11932</v>
      </c>
      <c r="D31" s="551">
        <f>+'[2]VAC-LE 04-01'!F1454</f>
        <v>11850</v>
      </c>
      <c r="E31" s="551">
        <f>+'[2]VAC-LE 04-01'!G1454</f>
        <v>11890</v>
      </c>
      <c r="F31" s="551">
        <f>+'[2]VAC-LE 04-01'!H1454</f>
        <v>12010</v>
      </c>
      <c r="G31" s="551">
        <f>+'[2]VAC-LE 04-01'!I1454</f>
        <v>12090</v>
      </c>
      <c r="H31" s="551">
        <f>+'[2]VAC-LE 04-01'!J1454</f>
        <v>12010</v>
      </c>
      <c r="I31" s="551">
        <f>+'[2]VAC-LE 04-01'!K1454</f>
        <v>11970</v>
      </c>
      <c r="J31" s="551">
        <f>+'[2]VAC-LE 04-01'!L1454</f>
        <v>11542</v>
      </c>
      <c r="K31" s="551">
        <f>+'[2]VAC-LE 04-01'!M1454</f>
        <v>11390</v>
      </c>
      <c r="L31" s="551">
        <f>+'[2]VAC-LE 04-01'!N1454</f>
        <v>11420</v>
      </c>
      <c r="M31" s="551">
        <f>+'[2]VAC-LE 04-01'!O1454</f>
        <v>11640</v>
      </c>
      <c r="N31" s="551">
        <f>+'[2]VAC-LE 04-01'!P1454</f>
        <v>11830</v>
      </c>
      <c r="Q31" s="277"/>
    </row>
    <row r="32" spans="1:17" ht="12" customHeight="1">
      <c r="A32" s="269" t="s">
        <v>44</v>
      </c>
      <c r="B32" s="550">
        <f t="shared" si="0"/>
        <v>80569.583333333328</v>
      </c>
      <c r="C32" s="551">
        <f>+'[2]VAC-LE 04-01'!E1457</f>
        <v>80575</v>
      </c>
      <c r="D32" s="551">
        <f>+'[2]VAC-LE 04-01'!F1457</f>
        <v>80575</v>
      </c>
      <c r="E32" s="551">
        <f>+'[2]VAC-LE 04-01'!G1457</f>
        <v>80568</v>
      </c>
      <c r="F32" s="551">
        <f>+'[2]VAC-LE 04-01'!H1457</f>
        <v>80568</v>
      </c>
      <c r="G32" s="551">
        <f>+'[2]VAC-LE 04-01'!I1457</f>
        <v>80568</v>
      </c>
      <c r="H32" s="551">
        <f>+'[2]VAC-LE 04-01'!J1457</f>
        <v>80568</v>
      </c>
      <c r="I32" s="551">
        <f>+'[2]VAC-LE 04-01'!K1457</f>
        <v>80568</v>
      </c>
      <c r="J32" s="551">
        <f>+'[2]VAC-LE 04-01'!L1457</f>
        <v>80568</v>
      </c>
      <c r="K32" s="551">
        <f>+'[2]VAC-LE 04-01'!M1457</f>
        <v>80568</v>
      </c>
      <c r="L32" s="551">
        <f>+'[2]VAC-LE 04-01'!N1457</f>
        <v>80573</v>
      </c>
      <c r="M32" s="551">
        <f>+'[2]VAC-LE 04-01'!O1457</f>
        <v>80573</v>
      </c>
      <c r="N32" s="551">
        <f>+'[2]VAC-LE 04-01'!P1457</f>
        <v>80563</v>
      </c>
      <c r="Q32" s="277"/>
    </row>
    <row r="33" spans="1:17" ht="12" customHeight="1">
      <c r="A33" s="269" t="s">
        <v>45</v>
      </c>
      <c r="B33" s="550">
        <f t="shared" si="0"/>
        <v>95949.166666666672</v>
      </c>
      <c r="C33" s="551">
        <f>+'[2]VAC-LE 04-01'!E1460</f>
        <v>98485</v>
      </c>
      <c r="D33" s="551">
        <f>+'[2]VAC-LE 04-01'!F1460</f>
        <v>118445</v>
      </c>
      <c r="E33" s="551">
        <f>+'[2]VAC-LE 04-01'!G1460</f>
        <v>115590</v>
      </c>
      <c r="F33" s="551">
        <f>+'[2]VAC-LE 04-01'!H1460</f>
        <v>114990</v>
      </c>
      <c r="G33" s="551">
        <f>+'[2]VAC-LE 04-01'!I1460</f>
        <v>107790</v>
      </c>
      <c r="H33" s="551">
        <f>+'[2]VAC-LE 04-01'!J1460</f>
        <v>100660</v>
      </c>
      <c r="I33" s="551">
        <f>+'[2]VAC-LE 04-01'!K1460</f>
        <v>88470</v>
      </c>
      <c r="J33" s="551">
        <f>+'[2]VAC-LE 04-01'!L1460</f>
        <v>88020</v>
      </c>
      <c r="K33" s="551">
        <f>+'[2]VAC-LE 04-01'!M1460</f>
        <v>77165</v>
      </c>
      <c r="L33" s="551">
        <f>+'[2]VAC-LE 04-01'!N1460</f>
        <v>79380</v>
      </c>
      <c r="M33" s="551">
        <f>+'[2]VAC-LE 04-01'!O1460</f>
        <v>80595</v>
      </c>
      <c r="N33" s="551">
        <f>+'[2]VAC-LE 04-01'!P1460</f>
        <v>81800</v>
      </c>
      <c r="Q33" s="277"/>
    </row>
    <row r="34" spans="1:17" ht="12" customHeight="1">
      <c r="A34" s="217" t="s">
        <v>46</v>
      </c>
      <c r="B34" s="550">
        <f t="shared" si="0"/>
        <v>19731.5</v>
      </c>
      <c r="C34" s="551">
        <f>+'[2]VAC-LE 04-01'!E1463</f>
        <v>18921</v>
      </c>
      <c r="D34" s="551">
        <f>+'[2]VAC-LE 04-01'!F1463</f>
        <v>19217</v>
      </c>
      <c r="E34" s="551">
        <f>+'[2]VAC-LE 04-01'!G1463</f>
        <v>19342</v>
      </c>
      <c r="F34" s="551">
        <f>+'[2]VAC-LE 04-01'!H1463</f>
        <v>19439</v>
      </c>
      <c r="G34" s="551">
        <f>+'[2]VAC-LE 04-01'!I1463</f>
        <v>19682</v>
      </c>
      <c r="H34" s="551">
        <f>+'[2]VAC-LE 04-01'!J1463</f>
        <v>19965</v>
      </c>
      <c r="I34" s="551">
        <f>+'[2]VAC-LE 04-01'!K1463</f>
        <v>20167</v>
      </c>
      <c r="J34" s="551">
        <f>+'[2]VAC-LE 04-01'!L1463</f>
        <v>19482</v>
      </c>
      <c r="K34" s="551">
        <f>+'[2]VAC-LE 04-01'!M1463</f>
        <v>19959</v>
      </c>
      <c r="L34" s="551">
        <f>+'[2]VAC-LE 04-01'!N1463</f>
        <v>20595</v>
      </c>
      <c r="M34" s="551">
        <f>+'[2]VAC-LE 04-01'!O1463</f>
        <v>20458</v>
      </c>
      <c r="N34" s="551">
        <f>+'[2]VAC-LE 04-01'!P1463</f>
        <v>19551</v>
      </c>
      <c r="Q34" s="277"/>
    </row>
    <row r="35" spans="1:17" ht="12" customHeight="1">
      <c r="A35" s="217" t="s">
        <v>47</v>
      </c>
      <c r="B35" s="550">
        <f t="shared" si="0"/>
        <v>1228.25</v>
      </c>
      <c r="C35" s="551">
        <f>+'[2]VAC-LE 04-01'!E1466</f>
        <v>1249</v>
      </c>
      <c r="D35" s="551">
        <f>+'[2]VAC-LE 04-01'!F1466</f>
        <v>1224</v>
      </c>
      <c r="E35" s="551">
        <f>+'[2]VAC-LE 04-01'!G1466</f>
        <v>1161</v>
      </c>
      <c r="F35" s="551">
        <f>+'[2]VAC-LE 04-01'!H1466</f>
        <v>1186</v>
      </c>
      <c r="G35" s="551">
        <f>+'[2]VAC-LE 04-01'!I1466</f>
        <v>1214.9999999999998</v>
      </c>
      <c r="H35" s="551">
        <f>+'[2]VAC-LE 04-01'!J1466</f>
        <v>1208</v>
      </c>
      <c r="I35" s="551">
        <f>+'[2]VAC-LE 04-01'!K1466</f>
        <v>1213</v>
      </c>
      <c r="J35" s="551">
        <f>+'[2]VAC-LE 04-01'!L1466</f>
        <v>1258</v>
      </c>
      <c r="K35" s="551">
        <f>+'[2]VAC-LE 04-01'!M1466</f>
        <v>1252.0000000000002</v>
      </c>
      <c r="L35" s="551">
        <f>+'[2]VAC-LE 04-01'!N1466</f>
        <v>1273</v>
      </c>
      <c r="M35" s="551">
        <f>+'[2]VAC-LE 04-01'!O1466</f>
        <v>1249</v>
      </c>
      <c r="N35" s="551">
        <f>+'[2]VAC-LE 04-01'!P1466</f>
        <v>1251</v>
      </c>
      <c r="Q35" s="277"/>
    </row>
    <row r="36" spans="1:17" ht="12" customHeight="1">
      <c r="A36" s="217" t="s">
        <v>48</v>
      </c>
      <c r="B36" s="550">
        <f t="shared" si="0"/>
        <v>3631.1666666666665</v>
      </c>
      <c r="C36" s="551">
        <f>+'[2]VAC-LE 04-01'!E1469</f>
        <v>3768</v>
      </c>
      <c r="D36" s="551">
        <f>+'[2]VAC-LE 04-01'!F1469</f>
        <v>3726</v>
      </c>
      <c r="E36" s="551">
        <f>+'[2]VAC-LE 04-01'!G1469</f>
        <v>3723</v>
      </c>
      <c r="F36" s="551">
        <f>+'[2]VAC-LE 04-01'!H1469</f>
        <v>3794</v>
      </c>
      <c r="G36" s="551">
        <f>+'[2]VAC-LE 04-01'!I1469</f>
        <v>3779</v>
      </c>
      <c r="H36" s="551">
        <f>+'[2]VAC-LE 04-01'!J1469</f>
        <v>3700</v>
      </c>
      <c r="I36" s="551">
        <f>+'[2]VAC-LE 04-01'!K1469</f>
        <v>3712</v>
      </c>
      <c r="J36" s="551">
        <f>+'[2]VAC-LE 04-01'!L1469</f>
        <v>3711</v>
      </c>
      <c r="K36" s="551">
        <f>+'[2]VAC-LE 04-01'!M1469</f>
        <v>3711</v>
      </c>
      <c r="L36" s="551">
        <f>+'[2]VAC-LE 04-01'!N1469</f>
        <v>3718</v>
      </c>
      <c r="M36" s="551">
        <f>+'[2]VAC-LE 04-01'!O1469</f>
        <v>3002</v>
      </c>
      <c r="N36" s="551">
        <f>+'[2]VAC-LE 04-01'!P1469</f>
        <v>3230</v>
      </c>
      <c r="Q36" s="277"/>
    </row>
    <row r="37" spans="1:17" ht="12" customHeight="1" thickBot="1">
      <c r="A37" s="272" t="s">
        <v>49</v>
      </c>
      <c r="B37" s="552">
        <f t="shared" si="0"/>
        <v>1354</v>
      </c>
      <c r="C37" s="553">
        <f>+'[2]VAC-LE 04-01'!E1472</f>
        <v>1398</v>
      </c>
      <c r="D37" s="553">
        <f>+'[2]VAC-LE 04-01'!F1472</f>
        <v>1368</v>
      </c>
      <c r="E37" s="553">
        <f>+'[2]VAC-LE 04-01'!G1472</f>
        <v>1304</v>
      </c>
      <c r="F37" s="553">
        <f>+'[2]VAC-LE 04-01'!H1472</f>
        <v>1364</v>
      </c>
      <c r="G37" s="553">
        <f>+'[2]VAC-LE 04-01'!I1472</f>
        <v>1370</v>
      </c>
      <c r="H37" s="553">
        <f>+'[2]VAC-LE 04-01'!J1472</f>
        <v>1351</v>
      </c>
      <c r="I37" s="553">
        <f>+'[2]VAC-LE 04-01'!K1472</f>
        <v>1357</v>
      </c>
      <c r="J37" s="553">
        <f>+'[2]VAC-LE 04-01'!L1472</f>
        <v>1328</v>
      </c>
      <c r="K37" s="553">
        <f>+'[2]VAC-LE 04-01'!M1472</f>
        <v>1304</v>
      </c>
      <c r="L37" s="553">
        <f>+'[2]VAC-LE 04-01'!N1472</f>
        <v>1323</v>
      </c>
      <c r="M37" s="553">
        <f>+'[2]VAC-LE 04-01'!O1472</f>
        <v>1322</v>
      </c>
      <c r="N37" s="553">
        <f>+'[2]VAC-LE 04-01'!P1472</f>
        <v>1459</v>
      </c>
      <c r="Q37" s="277"/>
    </row>
    <row r="38" spans="1:17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17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17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17" ht="13" customHeight="1">
      <c r="A41" s="12"/>
    </row>
    <row r="42" spans="1:17" ht="13" customHeight="1">
      <c r="A42" s="141"/>
    </row>
    <row r="43" spans="1:17" ht="13" customHeight="1">
      <c r="A43" s="191"/>
    </row>
    <row r="44" spans="1:17" ht="13" customHeight="1">
      <c r="A44" s="31"/>
    </row>
    <row r="45" spans="1:17" ht="13" customHeight="1">
      <c r="A45" s="58"/>
    </row>
    <row r="46" spans="1:17" ht="13" customHeight="1">
      <c r="A46" s="31"/>
    </row>
    <row r="47" spans="1:17" ht="13" customHeight="1">
      <c r="A47" s="141"/>
    </row>
    <row r="48" spans="1:17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Hoja76">
    <tabColor theme="9" tint="0.59999389629810485"/>
  </sheetPr>
  <dimension ref="A4:N59"/>
  <sheetViews>
    <sheetView showGridLines="0" topLeftCell="A2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14" ht="13" customHeight="1">
      <c r="A4" s="511" t="s">
        <v>411</v>
      </c>
      <c r="B4" s="507"/>
    </row>
    <row r="5" spans="1:14" ht="13" customHeight="1">
      <c r="A5" s="515" t="s">
        <v>319</v>
      </c>
      <c r="B5" s="508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</row>
    <row r="6" spans="1:14" ht="5" customHeight="1" thickBot="1">
      <c r="A6" s="141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</row>
    <row r="7" spans="1:14" ht="15" customHeight="1">
      <c r="A7" s="519" t="s">
        <v>18</v>
      </c>
      <c r="B7" s="521" t="s">
        <v>118</v>
      </c>
      <c r="C7" s="524" t="s">
        <v>57</v>
      </c>
      <c r="D7" s="524" t="s">
        <v>58</v>
      </c>
      <c r="E7" s="524" t="s">
        <v>59</v>
      </c>
      <c r="F7" s="524" t="s">
        <v>60</v>
      </c>
      <c r="G7" s="524" t="s">
        <v>61</v>
      </c>
      <c r="H7" s="524" t="s">
        <v>62</v>
      </c>
      <c r="I7" s="524" t="s">
        <v>63</v>
      </c>
      <c r="J7" s="524" t="s">
        <v>64</v>
      </c>
      <c r="K7" s="524" t="s">
        <v>65</v>
      </c>
      <c r="L7" s="524" t="s">
        <v>66</v>
      </c>
      <c r="M7" s="524" t="s">
        <v>67</v>
      </c>
      <c r="N7" s="524" t="s">
        <v>68</v>
      </c>
    </row>
    <row r="8" spans="1:14" ht="15" customHeight="1">
      <c r="A8" s="530" t="s">
        <v>100</v>
      </c>
      <c r="B8" s="593">
        <f t="shared" ref="B8:B37" si="0">SUM(C8:N8)</f>
        <v>2129365.8522205008</v>
      </c>
      <c r="C8" s="560">
        <f>(C9+C10+C11+C12+C13+C17++C18+C19+C20+C21+C22+C23+C24+C25+C26+C27+C28+C29+C32+C33+C34+C35+C36+C37+C38)</f>
        <v>183746.28288618044</v>
      </c>
      <c r="D8" s="560">
        <f t="shared" ref="D8:N8" si="1">(D9+D10+D11+D12+D13+D17++D18+D19+D20+D21+D22+D23+D24+D25+D26+D27+D28+D29+D32+D33+D34+D35+D36+D37+D38)</f>
        <v>171137.40141900454</v>
      </c>
      <c r="E8" s="560">
        <f t="shared" si="1"/>
        <v>183858.99037999904</v>
      </c>
      <c r="F8" s="560">
        <f t="shared" si="1"/>
        <v>190047.59381031553</v>
      </c>
      <c r="G8" s="560">
        <f t="shared" si="1"/>
        <v>194640.61139021922</v>
      </c>
      <c r="H8" s="560">
        <f t="shared" si="1"/>
        <v>184681.32211247386</v>
      </c>
      <c r="I8" s="560">
        <f t="shared" si="1"/>
        <v>179032.61231896761</v>
      </c>
      <c r="J8" s="560">
        <f t="shared" si="1"/>
        <v>171441.9696473869</v>
      </c>
      <c r="K8" s="560">
        <f t="shared" si="1"/>
        <v>166239.24607660994</v>
      </c>
      <c r="L8" s="560">
        <f t="shared" si="1"/>
        <v>168249.43847040934</v>
      </c>
      <c r="M8" s="560">
        <f t="shared" si="1"/>
        <v>166489.72659431901</v>
      </c>
      <c r="N8" s="560">
        <f t="shared" si="1"/>
        <v>169800.65711461561</v>
      </c>
    </row>
    <row r="9" spans="1:14" ht="12" customHeight="1">
      <c r="A9" s="269" t="s">
        <v>21</v>
      </c>
      <c r="B9" s="594">
        <f t="shared" si="0"/>
        <v>374.31659639999998</v>
      </c>
      <c r="C9" s="562">
        <f>+'[2]VAC-LE 04-01'!E1389</f>
        <v>29.897991099999999</v>
      </c>
      <c r="D9" s="562">
        <f>+'[2]VAC-LE 04-01'!F1389</f>
        <v>29.9725055</v>
      </c>
      <c r="E9" s="562">
        <f>+'[2]VAC-LE 04-01'!G1389</f>
        <v>30.516852600000004</v>
      </c>
      <c r="F9" s="562">
        <f>+'[2]VAC-LE 04-01'!H1389</f>
        <v>30.566403000000001</v>
      </c>
      <c r="G9" s="562">
        <f>+'[2]VAC-LE 04-01'!I1389</f>
        <v>31.117651200000005</v>
      </c>
      <c r="H9" s="562">
        <f>+'[2]VAC-LE 04-01'!J1389</f>
        <v>30.779192999999999</v>
      </c>
      <c r="I9" s="562">
        <f>+'[2]VAC-LE 04-01'!K1389</f>
        <v>32.451000000000001</v>
      </c>
      <c r="J9" s="562">
        <f>+'[2]VAC-LE 04-01'!L1389</f>
        <v>31.58</v>
      </c>
      <c r="K9" s="562">
        <f>+'[2]VAC-LE 04-01'!M1389</f>
        <v>32.045000000000002</v>
      </c>
      <c r="L9" s="562">
        <f>+'[2]VAC-LE 04-01'!N1389</f>
        <v>32.409999999999997</v>
      </c>
      <c r="M9" s="562">
        <f>+'[2]VAC-LE 04-01'!O1389</f>
        <v>31.524000000000001</v>
      </c>
      <c r="N9" s="562">
        <f>+'[2]VAC-LE 04-01'!P1389</f>
        <v>31.456</v>
      </c>
    </row>
    <row r="10" spans="1:14" ht="12" customHeight="1">
      <c r="A10" s="269" t="s">
        <v>22</v>
      </c>
      <c r="B10" s="594">
        <f t="shared" si="0"/>
        <v>42121.71450830964</v>
      </c>
      <c r="C10" s="562">
        <f>+'[2]VAC-LE 04-01'!E1392</f>
        <v>2817.3593078934532</v>
      </c>
      <c r="D10" s="562">
        <f>+'[2]VAC-LE 04-01'!F1392</f>
        <v>3035.4237133065217</v>
      </c>
      <c r="E10" s="562">
        <f>+'[2]VAC-LE 04-01'!G1392</f>
        <v>3490.45</v>
      </c>
      <c r="F10" s="562">
        <f>+'[2]VAC-LE 04-01'!H1392</f>
        <v>4599.8458720955623</v>
      </c>
      <c r="G10" s="562">
        <f>+'[2]VAC-LE 04-01'!I1392</f>
        <v>5000.5064886017853</v>
      </c>
      <c r="H10" s="562">
        <f>+'[2]VAC-LE 04-01'!J1392</f>
        <v>4560.8756653035216</v>
      </c>
      <c r="I10" s="562">
        <f>+'[2]VAC-LE 04-01'!K1392</f>
        <v>4155.8706512076378</v>
      </c>
      <c r="J10" s="562">
        <f>+'[2]VAC-LE 04-01'!L1392</f>
        <v>3350.107050134884</v>
      </c>
      <c r="K10" s="562">
        <f>+'[2]VAC-LE 04-01'!M1392</f>
        <v>2716.3820070109591</v>
      </c>
      <c r="L10" s="562">
        <f>+'[2]VAC-LE 04-01'!N1392</f>
        <v>2611.3509435233223</v>
      </c>
      <c r="M10" s="562">
        <f>+'[2]VAC-LE 04-01'!O1392</f>
        <v>2800.1668092319965</v>
      </c>
      <c r="N10" s="562">
        <f>+'[2]VAC-LE 04-01'!P1392</f>
        <v>2983.3760000000002</v>
      </c>
    </row>
    <row r="11" spans="1:14" ht="12" customHeight="1">
      <c r="A11" s="269" t="s">
        <v>23</v>
      </c>
      <c r="B11" s="594">
        <f t="shared" si="0"/>
        <v>56664.945999999996</v>
      </c>
      <c r="C11" s="562">
        <f>+'[2]VAC-LE 04-01'!E1395</f>
        <v>4495.3289999999997</v>
      </c>
      <c r="D11" s="562">
        <f>+'[2]VAC-LE 04-01'!F1395</f>
        <v>4387.1000000000004</v>
      </c>
      <c r="E11" s="562">
        <f>+'[2]VAC-LE 04-01'!G1395</f>
        <v>4390.55</v>
      </c>
      <c r="F11" s="562">
        <f>+'[2]VAC-LE 04-01'!H1395</f>
        <v>4320.55</v>
      </c>
      <c r="G11" s="562">
        <f>+'[2]VAC-LE 04-01'!I1395</f>
        <v>4580.4470000000001</v>
      </c>
      <c r="H11" s="562">
        <f>+'[2]VAC-LE 04-01'!J1395</f>
        <v>4593.4520000000002</v>
      </c>
      <c r="I11" s="562">
        <f>+'[2]VAC-LE 04-01'!K1395</f>
        <v>5019.32</v>
      </c>
      <c r="J11" s="562">
        <f>+'[2]VAC-LE 04-01'!L1395</f>
        <v>4981.5</v>
      </c>
      <c r="K11" s="562">
        <f>+'[2]VAC-LE 04-01'!M1395</f>
        <v>5006.45</v>
      </c>
      <c r="L11" s="562">
        <f>+'[2]VAC-LE 04-01'!N1395</f>
        <v>5102.45</v>
      </c>
      <c r="M11" s="562">
        <f>+'[2]VAC-LE 04-01'!O1395</f>
        <v>5082.2299999999996</v>
      </c>
      <c r="N11" s="562">
        <f>+'[2]VAC-LE 04-01'!P1395</f>
        <v>4705.5680000000002</v>
      </c>
    </row>
    <row r="12" spans="1:14" ht="12" customHeight="1">
      <c r="A12" s="217" t="s">
        <v>24</v>
      </c>
      <c r="B12" s="594">
        <f t="shared" si="0"/>
        <v>151171.35508000004</v>
      </c>
      <c r="C12" s="562">
        <f>+'[2]VAC-LE 04-01'!E1398</f>
        <v>11615.461510000001</v>
      </c>
      <c r="D12" s="562">
        <f>+'[2]VAC-LE 04-01'!F1398</f>
        <v>11539.03</v>
      </c>
      <c r="E12" s="562">
        <f>+'[2]VAC-LE 04-01'!G1398</f>
        <v>11575.693719999999</v>
      </c>
      <c r="F12" s="562">
        <f>+'[2]VAC-LE 04-01'!H1398</f>
        <v>12406.094319999998</v>
      </c>
      <c r="G12" s="562">
        <f>+'[2]VAC-LE 04-01'!I1398</f>
        <v>12113.803809999999</v>
      </c>
      <c r="H12" s="562">
        <f>+'[2]VAC-LE 04-01'!J1398</f>
        <v>12696.084709999997</v>
      </c>
      <c r="I12" s="562">
        <f>+'[2]VAC-LE 04-01'!K1398</f>
        <v>13124.374760000001</v>
      </c>
      <c r="J12" s="562">
        <f>+'[2]VAC-LE 04-01'!L1398</f>
        <v>13286.124670000001</v>
      </c>
      <c r="K12" s="562">
        <f>+'[2]VAC-LE 04-01'!M1398</f>
        <v>13352.268680000001</v>
      </c>
      <c r="L12" s="562">
        <f>+'[2]VAC-LE 04-01'!N1398</f>
        <v>13120.122549999998</v>
      </c>
      <c r="M12" s="562">
        <f>+'[2]VAC-LE 04-01'!O1398</f>
        <v>13253.69557</v>
      </c>
      <c r="N12" s="562">
        <f>+'[2]VAC-LE 04-01'!P1398</f>
        <v>13088.600780000001</v>
      </c>
    </row>
    <row r="13" spans="1:14" ht="12" customHeight="1">
      <c r="A13" s="217" t="s">
        <v>25</v>
      </c>
      <c r="B13" s="594">
        <f t="shared" si="0"/>
        <v>391135.70026262593</v>
      </c>
      <c r="C13" s="562">
        <f>+'[2]VAC-LE 04-01'!E1401</f>
        <v>42105.423629799006</v>
      </c>
      <c r="D13" s="562">
        <f>+'[2]VAC-LE 04-01'!F1401</f>
        <v>33187.188277980007</v>
      </c>
      <c r="E13" s="562">
        <f>+'[2]VAC-LE 04-01'!G1401</f>
        <v>31313.915895509996</v>
      </c>
      <c r="F13" s="562">
        <f>+'[2]VAC-LE 04-01'!H1401</f>
        <v>32824.130535809993</v>
      </c>
      <c r="G13" s="562">
        <f>+'[2]VAC-LE 04-01'!I1401</f>
        <v>33000.498268200005</v>
      </c>
      <c r="H13" s="562">
        <f>+'[2]VAC-LE 04-01'!J1401</f>
        <v>32773.595115150005</v>
      </c>
      <c r="I13" s="562">
        <f>+'[2]VAC-LE 04-01'!K1401</f>
        <v>32268.815168699002</v>
      </c>
      <c r="J13" s="562">
        <f>+'[2]VAC-LE 04-01'!L1401</f>
        <v>30206.361654430006</v>
      </c>
      <c r="K13" s="562">
        <f>+'[2]VAC-LE 04-01'!M1401</f>
        <v>30413.312073629997</v>
      </c>
      <c r="L13" s="562">
        <f>+'[2]VAC-LE 04-01'!N1401</f>
        <v>31096.753292546004</v>
      </c>
      <c r="M13" s="562">
        <f>+'[2]VAC-LE 04-01'!O1401</f>
        <v>30888.856137149996</v>
      </c>
      <c r="N13" s="562">
        <f>+'[2]VAC-LE 04-01'!P1401</f>
        <v>31056.850213721998</v>
      </c>
    </row>
    <row r="14" spans="1:14" ht="12" customHeight="1">
      <c r="A14" s="271" t="s">
        <v>107</v>
      </c>
      <c r="B14" s="594">
        <f t="shared" si="0"/>
        <v>240341.09805728204</v>
      </c>
      <c r="C14" s="562">
        <f>+'[2]VAC-LE 04-01'!E1404</f>
        <v>30174.481530450004</v>
      </c>
      <c r="D14" s="562">
        <f>+'[2]VAC-LE 04-01'!F1404</f>
        <v>18592.77883644</v>
      </c>
      <c r="E14" s="562">
        <f>+'[2]VAC-LE 04-01'!G1404</f>
        <v>19246.614636149996</v>
      </c>
      <c r="F14" s="562">
        <f>+'[2]VAC-LE 04-01'!H1404</f>
        <v>20337.770394809995</v>
      </c>
      <c r="G14" s="562">
        <f>+'[2]VAC-LE 04-01'!I1404</f>
        <v>20206.433859479999</v>
      </c>
      <c r="H14" s="562">
        <f>+'[2]VAC-LE 04-01'!J1404</f>
        <v>19961.530904250005</v>
      </c>
      <c r="I14" s="562">
        <f>+'[2]VAC-LE 04-01'!K1404</f>
        <v>19849.708906182001</v>
      </c>
      <c r="J14" s="562">
        <f>+'[2]VAC-LE 04-01'!L1404</f>
        <v>17998.774525350003</v>
      </c>
      <c r="K14" s="562">
        <f>+'[2]VAC-LE 04-01'!M1404</f>
        <v>18096.840571799999</v>
      </c>
      <c r="L14" s="562">
        <f>+'[2]VAC-LE 04-01'!N1404</f>
        <v>18524.912385160002</v>
      </c>
      <c r="M14" s="562">
        <f>+'[2]VAC-LE 04-01'!O1404</f>
        <v>18656.214</v>
      </c>
      <c r="N14" s="562">
        <f>+'[2]VAC-LE 04-01'!P1404</f>
        <v>18695.03750721</v>
      </c>
    </row>
    <row r="15" spans="1:14" ht="12" customHeight="1">
      <c r="A15" s="271" t="s">
        <v>108</v>
      </c>
      <c r="B15" s="594">
        <f t="shared" si="0"/>
        <v>141614.21349430003</v>
      </c>
      <c r="C15" s="562">
        <f>+'[2]VAC-LE 04-01'!E1407</f>
        <v>11276.313565500002</v>
      </c>
      <c r="D15" s="562">
        <f>+'[2]VAC-LE 04-01'!F1407</f>
        <v>14004.597816900005</v>
      </c>
      <c r="E15" s="562">
        <f>+'[2]VAC-LE 04-01'!G1407</f>
        <v>11321.8885782</v>
      </c>
      <c r="F15" s="562">
        <f>+'[2]VAC-LE 04-01'!H1407</f>
        <v>11702.598753599999</v>
      </c>
      <c r="G15" s="562">
        <f>+'[2]VAC-LE 04-01'!I1407</f>
        <v>11806.798083300004</v>
      </c>
      <c r="H15" s="562">
        <f>+'[2]VAC-LE 04-01'!J1407</f>
        <v>11827.696996799999</v>
      </c>
      <c r="I15" s="562">
        <f>+'[2]VAC-LE 04-01'!K1407</f>
        <v>11562.41</v>
      </c>
      <c r="J15" s="562">
        <f>+'[2]VAC-LE 04-01'!L1407</f>
        <v>11549.455</v>
      </c>
      <c r="K15" s="562">
        <f>+'[2]VAC-LE 04-01'!M1407</f>
        <v>11570.55</v>
      </c>
      <c r="L15" s="562">
        <f>+'[2]VAC-LE 04-01'!N1407</f>
        <v>11590.45</v>
      </c>
      <c r="M15" s="562">
        <f>+'[2]VAC-LE 04-01'!O1407</f>
        <v>11589.24</v>
      </c>
      <c r="N15" s="562">
        <f>+'[2]VAC-LE 04-01'!P1407</f>
        <v>11812.2147</v>
      </c>
    </row>
    <row r="16" spans="1:14" ht="12" customHeight="1">
      <c r="A16" s="271" t="s">
        <v>109</v>
      </c>
      <c r="B16" s="594">
        <f t="shared" si="0"/>
        <v>9180.388711044001</v>
      </c>
      <c r="C16" s="562">
        <f>+'[2]VAC-LE 04-01'!E1410</f>
        <v>654.62853384900018</v>
      </c>
      <c r="D16" s="562">
        <f>+'[2]VAC-LE 04-01'!F1410</f>
        <v>589.8116246400001</v>
      </c>
      <c r="E16" s="562">
        <f>+'[2]VAC-LE 04-01'!G1410</f>
        <v>745.41268116000015</v>
      </c>
      <c r="F16" s="562">
        <f>+'[2]VAC-LE 04-01'!H1410</f>
        <v>783.76138739999999</v>
      </c>
      <c r="G16" s="562">
        <f>+'[2]VAC-LE 04-01'!I1410</f>
        <v>987.26632542000004</v>
      </c>
      <c r="H16" s="562">
        <f>+'[2]VAC-LE 04-01'!J1410</f>
        <v>984.36721410000007</v>
      </c>
      <c r="I16" s="562">
        <f>+'[2]VAC-LE 04-01'!K1410</f>
        <v>856.69626251700004</v>
      </c>
      <c r="J16" s="562">
        <f>+'[2]VAC-LE 04-01'!L1410</f>
        <v>658.13212908000025</v>
      </c>
      <c r="K16" s="562">
        <f>+'[2]VAC-LE 04-01'!M1410</f>
        <v>745.92150183000012</v>
      </c>
      <c r="L16" s="562">
        <f>+'[2]VAC-LE 04-01'!N1410</f>
        <v>981.39090738600021</v>
      </c>
      <c r="M16" s="562">
        <f>+'[2]VAC-LE 04-01'!O1410</f>
        <v>643.40213715000004</v>
      </c>
      <c r="N16" s="562">
        <f>+'[2]VAC-LE 04-01'!P1410</f>
        <v>549.59800651199998</v>
      </c>
    </row>
    <row r="17" spans="1:14" ht="12" customHeight="1">
      <c r="A17" s="269" t="s">
        <v>29</v>
      </c>
      <c r="B17" s="594">
        <f t="shared" si="0"/>
        <v>98574.14841210001</v>
      </c>
      <c r="C17" s="562">
        <f>+'[2]VAC-LE 04-01'!E1413</f>
        <v>8446.8907539000011</v>
      </c>
      <c r="D17" s="562">
        <f>+'[2]VAC-LE 04-01'!F1413</f>
        <v>7943.2398422999995</v>
      </c>
      <c r="E17" s="562">
        <f>+'[2]VAC-LE 04-01'!G1413</f>
        <v>8692.6586733000004</v>
      </c>
      <c r="F17" s="562">
        <f>+'[2]VAC-LE 04-01'!H1413</f>
        <v>8417.2678731000015</v>
      </c>
      <c r="G17" s="562">
        <f>+'[2]VAC-LE 04-01'!I1413</f>
        <v>8614.5765336000004</v>
      </c>
      <c r="H17" s="562">
        <f>+'[2]VAC-LE 04-01'!J1413</f>
        <v>8055.4033665000006</v>
      </c>
      <c r="I17" s="562">
        <f>+'[2]VAC-LE 04-01'!K1413</f>
        <v>8098.8126137999998</v>
      </c>
      <c r="J17" s="562">
        <f>+'[2]VAC-LE 04-01'!L1413</f>
        <v>7934.0513400000009</v>
      </c>
      <c r="K17" s="562">
        <f>+'[2]VAC-LE 04-01'!M1413</f>
        <v>7631.6978961000004</v>
      </c>
      <c r="L17" s="562">
        <f>+'[2]VAC-LE 04-01'!N1413</f>
        <v>8073.1403451000015</v>
      </c>
      <c r="M17" s="562">
        <f>+'[2]VAC-LE 04-01'!O1413</f>
        <v>8058.8275056000011</v>
      </c>
      <c r="N17" s="562">
        <f>+'[2]VAC-LE 04-01'!P1413</f>
        <v>8607.5816687999995</v>
      </c>
    </row>
    <row r="18" spans="1:14" ht="12" customHeight="1">
      <c r="A18" s="217" t="s">
        <v>30</v>
      </c>
      <c r="B18" s="594">
        <f t="shared" si="0"/>
        <v>18180.571300000003</v>
      </c>
      <c r="C18" s="562">
        <f>+'[2]VAC-LE 04-01'!E1416</f>
        <v>1597.13</v>
      </c>
      <c r="D18" s="562">
        <f>+'[2]VAC-LE 04-01'!F1416</f>
        <v>1600</v>
      </c>
      <c r="E18" s="562">
        <f>+'[2]VAC-LE 04-01'!G1416</f>
        <v>1599.48</v>
      </c>
      <c r="F18" s="562">
        <f>+'[2]VAC-LE 04-01'!H1416</f>
        <v>1583.5</v>
      </c>
      <c r="G18" s="562">
        <f>+'[2]VAC-LE 04-01'!I1416</f>
        <v>1582.2792999999999</v>
      </c>
      <c r="H18" s="562">
        <f>+'[2]VAC-LE 04-01'!J1416</f>
        <v>1583.5</v>
      </c>
      <c r="I18" s="562">
        <f>+'[2]VAC-LE 04-01'!K1416</f>
        <v>1556.09</v>
      </c>
      <c r="J18" s="562">
        <f>+'[2]VAC-LE 04-01'!L1416</f>
        <v>1510.24</v>
      </c>
      <c r="K18" s="562">
        <f>+'[2]VAC-LE 04-01'!M1416</f>
        <v>1416.19</v>
      </c>
      <c r="L18" s="562">
        <f>+'[2]VAC-LE 04-01'!N1416</f>
        <v>1420.71</v>
      </c>
      <c r="M18" s="562">
        <f>+'[2]VAC-LE 04-01'!O1416</f>
        <v>1361.452</v>
      </c>
      <c r="N18" s="562">
        <f>+'[2]VAC-LE 04-01'!P1416</f>
        <v>1370</v>
      </c>
    </row>
    <row r="19" spans="1:14" ht="12" customHeight="1">
      <c r="A19" s="217" t="s">
        <v>31</v>
      </c>
      <c r="B19" s="594">
        <f t="shared" si="0"/>
        <v>352867.93064082501</v>
      </c>
      <c r="C19" s="562">
        <f>+'[2]VAC-LE 04-01'!E1419</f>
        <v>29184.66822924</v>
      </c>
      <c r="D19" s="562">
        <f>+'[2]VAC-LE 04-01'!F1419</f>
        <v>27011.219732865</v>
      </c>
      <c r="E19" s="562">
        <f>+'[2]VAC-LE 04-01'!G1419</f>
        <v>28268.668037390999</v>
      </c>
      <c r="F19" s="562">
        <f>+'[2]VAC-LE 04-01'!H1419</f>
        <v>29807.448775555</v>
      </c>
      <c r="G19" s="562">
        <f>+'[2]VAC-LE 04-01'!I1419</f>
        <v>30094.454890385001</v>
      </c>
      <c r="H19" s="562">
        <f>+'[2]VAC-LE 04-01'!J1419</f>
        <v>29845.797367539999</v>
      </c>
      <c r="I19" s="562">
        <f>+'[2]VAC-LE 04-01'!K1419</f>
        <v>29667.640757235</v>
      </c>
      <c r="J19" s="562">
        <f>+'[2]VAC-LE 04-01'!L1419</f>
        <v>29949.73270162</v>
      </c>
      <c r="K19" s="562">
        <f>+'[2]VAC-LE 04-01'!M1419</f>
        <v>30112.176573623998</v>
      </c>
      <c r="L19" s="562">
        <f>+'[2]VAC-LE 04-01'!N1419</f>
        <v>29870.561028419997</v>
      </c>
      <c r="M19" s="562">
        <f>+'[2]VAC-LE 04-01'!O1419</f>
        <v>29528.686498250001</v>
      </c>
      <c r="N19" s="562">
        <f>+'[2]VAC-LE 04-01'!P1419</f>
        <v>29526.876048699996</v>
      </c>
    </row>
    <row r="20" spans="1:14" ht="12" customHeight="1">
      <c r="A20" s="269" t="s">
        <v>32</v>
      </c>
      <c r="B20" s="594">
        <f t="shared" si="0"/>
        <v>68271.025268700003</v>
      </c>
      <c r="C20" s="562">
        <f>+'[2]VAC-LE 04-01'!E1422</f>
        <v>5668.7051204999998</v>
      </c>
      <c r="D20" s="562">
        <f>+'[2]VAC-LE 04-01'!F1422</f>
        <v>5240.4771438000016</v>
      </c>
      <c r="E20" s="562">
        <f>+'[2]VAC-LE 04-01'!G1422</f>
        <v>5185.3946480999984</v>
      </c>
      <c r="F20" s="562">
        <f>+'[2]VAC-LE 04-01'!H1422</f>
        <v>5343.3014499000019</v>
      </c>
      <c r="G20" s="562">
        <f>+'[2]VAC-LE 04-01'!I1422</f>
        <v>5552.0273484000027</v>
      </c>
      <c r="H20" s="562">
        <f>+'[2]VAC-LE 04-01'!J1422</f>
        <v>5772.2768117999976</v>
      </c>
      <c r="I20" s="562">
        <f>+'[2]VAC-LE 04-01'!K1422</f>
        <v>5850.2453985000002</v>
      </c>
      <c r="J20" s="562">
        <f>+'[2]VAC-LE 04-01'!L1422</f>
        <v>5107.3672203000006</v>
      </c>
      <c r="K20" s="562">
        <f>+'[2]VAC-LE 04-01'!M1422</f>
        <v>6000.611248799999</v>
      </c>
      <c r="L20" s="562">
        <f>+'[2]VAC-LE 04-01'!N1422</f>
        <v>6239.3564313000006</v>
      </c>
      <c r="M20" s="562">
        <f>+'[2]VAC-LE 04-01'!O1422</f>
        <v>6094.7662995000019</v>
      </c>
      <c r="N20" s="562">
        <f>+'[2]VAC-LE 04-01'!P1422</f>
        <v>6216.4961477999996</v>
      </c>
    </row>
    <row r="21" spans="1:14" ht="12" customHeight="1">
      <c r="A21" s="269" t="s">
        <v>33</v>
      </c>
      <c r="B21" s="594">
        <f t="shared" si="0"/>
        <v>54681.512412005999</v>
      </c>
      <c r="C21" s="562">
        <f>+'[2]VAC-LE 04-01'!E1425</f>
        <v>4953.9179931300005</v>
      </c>
      <c r="D21" s="562">
        <f>+'[2]VAC-LE 04-01'!F1425</f>
        <v>4379.6623655879985</v>
      </c>
      <c r="E21" s="562">
        <f>+'[2]VAC-LE 04-01'!G1425</f>
        <v>4804.6920084900012</v>
      </c>
      <c r="F21" s="562">
        <f>+'[2]VAC-LE 04-01'!H1425</f>
        <v>4707.3473572499997</v>
      </c>
      <c r="G21" s="562">
        <f>+'[2]VAC-LE 04-01'!I1425</f>
        <v>4671.2046761100009</v>
      </c>
      <c r="H21" s="562">
        <f>+'[2]VAC-LE 04-01'!J1425</f>
        <v>4417.1798019300022</v>
      </c>
      <c r="I21" s="562">
        <f>+'[2]VAC-LE 04-01'!K1425</f>
        <v>4687.2805291649975</v>
      </c>
      <c r="J21" s="562">
        <f>+'[2]VAC-LE 04-01'!L1425</f>
        <v>4562.6357237399998</v>
      </c>
      <c r="K21" s="562">
        <f>+'[2]VAC-LE 04-01'!M1425</f>
        <v>4340.2604449500004</v>
      </c>
      <c r="L21" s="562">
        <f>+'[2]VAC-LE 04-01'!N1425</f>
        <v>4340.0411741069993</v>
      </c>
      <c r="M21" s="562">
        <f>+'[2]VAC-LE 04-01'!O1425</f>
        <v>4234.9711096800002</v>
      </c>
      <c r="N21" s="562">
        <f>+'[2]VAC-LE 04-01'!P1425</f>
        <v>4582.3192278659981</v>
      </c>
    </row>
    <row r="22" spans="1:14" ht="12" customHeight="1">
      <c r="A22" s="269" t="s">
        <v>34</v>
      </c>
      <c r="B22" s="594">
        <f t="shared" si="0"/>
        <v>34999.069031432002</v>
      </c>
      <c r="C22" s="562">
        <f>+'[2]VAC-LE 04-01'!E1428</f>
        <v>2312.5445445959999</v>
      </c>
      <c r="D22" s="562">
        <f>+'[2]VAC-LE 04-01'!F1428</f>
        <v>2777.6404654470016</v>
      </c>
      <c r="E22" s="562">
        <f>+'[2]VAC-LE 04-01'!G1428</f>
        <v>3073.2652334250001</v>
      </c>
      <c r="F22" s="562">
        <f>+'[2]VAC-LE 04-01'!H1428</f>
        <v>2752.2064206179998</v>
      </c>
      <c r="G22" s="562">
        <f>+'[2]VAC-LE 04-01'!I1428</f>
        <v>3115.4052162600005</v>
      </c>
      <c r="H22" s="562">
        <f>+'[2]VAC-LE 04-01'!J1428</f>
        <v>3070.8410833349994</v>
      </c>
      <c r="I22" s="562">
        <f>+'[2]VAC-LE 04-01'!K1428</f>
        <v>2989.115554338</v>
      </c>
      <c r="J22" s="562">
        <f>+'[2]VAC-LE 04-01'!L1428</f>
        <v>2925.402256413</v>
      </c>
      <c r="K22" s="562">
        <f>+'[2]VAC-LE 04-01'!M1428</f>
        <v>2934.13189104</v>
      </c>
      <c r="L22" s="562">
        <f>+'[2]VAC-LE 04-01'!N1428</f>
        <v>3065.5071066510013</v>
      </c>
      <c r="M22" s="562">
        <f>+'[2]VAC-LE 04-01'!O1428</f>
        <v>3018.1069462589994</v>
      </c>
      <c r="N22" s="562">
        <f>+'[2]VAC-LE 04-01'!P1428</f>
        <v>2964.90231305</v>
      </c>
    </row>
    <row r="23" spans="1:14" ht="12" customHeight="1">
      <c r="A23" s="269" t="s">
        <v>35</v>
      </c>
      <c r="B23" s="594">
        <f t="shared" si="0"/>
        <v>57189.615938706011</v>
      </c>
      <c r="C23" s="562">
        <f>+'[2]VAC-LE 04-01'!E1431</f>
        <v>4726.9357659000007</v>
      </c>
      <c r="D23" s="562">
        <f>+'[2]VAC-LE 04-01'!F1431</f>
        <v>4423.0256136000007</v>
      </c>
      <c r="E23" s="562">
        <f>+'[2]VAC-LE 04-01'!G1431</f>
        <v>5075.8273583999999</v>
      </c>
      <c r="F23" s="562">
        <f>+'[2]VAC-LE 04-01'!H1431</f>
        <v>4831.2145826999995</v>
      </c>
      <c r="G23" s="562">
        <f>+'[2]VAC-LE 04-01'!I1431</f>
        <v>5025.5855320904166</v>
      </c>
      <c r="H23" s="562">
        <f>+'[2]VAC-LE 04-01'!J1431</f>
        <v>4860.8787555000008</v>
      </c>
      <c r="I23" s="562">
        <f>+'[2]VAC-LE 04-01'!K1431</f>
        <v>4774.3069805999994</v>
      </c>
      <c r="J23" s="562">
        <f>+'[2]VAC-LE 04-01'!L1431</f>
        <v>4560.6879801000005</v>
      </c>
      <c r="K23" s="562">
        <f>+'[2]VAC-LE 04-01'!M1431</f>
        <v>4570.9015563000003</v>
      </c>
      <c r="L23" s="562">
        <f>+'[2]VAC-LE 04-01'!N1431</f>
        <v>4588.0883190000004</v>
      </c>
      <c r="M23" s="562">
        <f>+'[2]VAC-LE 04-01'!O1431</f>
        <v>4535.8436160000001</v>
      </c>
      <c r="N23" s="562">
        <f>+'[2]VAC-LE 04-01'!P1431</f>
        <v>5216.3198785155928</v>
      </c>
    </row>
    <row r="24" spans="1:14" ht="12" customHeight="1">
      <c r="A24" s="269" t="s">
        <v>36</v>
      </c>
      <c r="B24" s="594">
        <f t="shared" si="0"/>
        <v>23253.801153102009</v>
      </c>
      <c r="C24" s="562">
        <f>+'[2]VAC-LE 04-01'!E1434</f>
        <v>1684.6277745780001</v>
      </c>
      <c r="D24" s="562">
        <f>+'[2]VAC-LE 04-01'!F1434</f>
        <v>1775.0555512829994</v>
      </c>
      <c r="E24" s="562">
        <f>+'[2]VAC-LE 04-01'!G1434</f>
        <v>1707.2353923300004</v>
      </c>
      <c r="F24" s="562">
        <f>+'[2]VAC-LE 04-01'!H1434</f>
        <v>2040.4766148660003</v>
      </c>
      <c r="G24" s="562">
        <f>+'[2]VAC-LE 04-01'!I1434</f>
        <v>2178.4613067180007</v>
      </c>
      <c r="H24" s="562">
        <f>+'[2]VAC-LE 04-01'!J1434</f>
        <v>2018.2239328230007</v>
      </c>
      <c r="I24" s="562">
        <f>+'[2]VAC-LE 04-01'!K1434</f>
        <v>1852.3991629170011</v>
      </c>
      <c r="J24" s="562">
        <f>+'[2]VAC-LE 04-01'!L1434</f>
        <v>2395.2461855040001</v>
      </c>
      <c r="K24" s="562">
        <f>+'[2]VAC-LE 04-01'!M1434</f>
        <v>2092.7054617380008</v>
      </c>
      <c r="L24" s="562">
        <f>+'[2]VAC-LE 04-01'!N1434</f>
        <v>1984.241442663001</v>
      </c>
      <c r="M24" s="562">
        <f>+'[2]VAC-LE 04-01'!O1434</f>
        <v>1747.4066138970002</v>
      </c>
      <c r="N24" s="562">
        <f>+'[2]VAC-LE 04-01'!P1434</f>
        <v>1777.7217137850002</v>
      </c>
    </row>
    <row r="25" spans="1:14" ht="12" customHeight="1">
      <c r="A25" s="217" t="s">
        <v>37</v>
      </c>
      <c r="B25" s="594">
        <f t="shared" si="0"/>
        <v>357459.77828999999</v>
      </c>
      <c r="C25" s="562">
        <f>+'[2]VAC-LE 04-01'!E1437</f>
        <v>30869.915570000001</v>
      </c>
      <c r="D25" s="562">
        <f>+'[2]VAC-LE 04-01'!F1437</f>
        <v>26929.103999999999</v>
      </c>
      <c r="E25" s="562">
        <f>+'[2]VAC-LE 04-01'!G1437</f>
        <v>30278.225849999999</v>
      </c>
      <c r="F25" s="562">
        <f>+'[2]VAC-LE 04-01'!H1437</f>
        <v>29705.799989999996</v>
      </c>
      <c r="G25" s="562">
        <f>+'[2]VAC-LE 04-01'!I1437</f>
        <v>30855.016349999998</v>
      </c>
      <c r="H25" s="562">
        <f>+'[2]VAC-LE 04-01'!J1437</f>
        <v>29145.200999999997</v>
      </c>
      <c r="I25" s="562">
        <f>+'[2]VAC-LE 04-01'!K1437</f>
        <v>30232.772320000004</v>
      </c>
      <c r="J25" s="562">
        <f>+'[2]VAC-LE 04-01'!L1437</f>
        <v>30246.389070000005</v>
      </c>
      <c r="K25" s="562">
        <f>+'[2]VAC-LE 04-01'!M1437</f>
        <v>29437.425599999999</v>
      </c>
      <c r="L25" s="562">
        <f>+'[2]VAC-LE 04-01'!N1437</f>
        <v>30220.780200000001</v>
      </c>
      <c r="M25" s="562">
        <f>+'[2]VAC-LE 04-01'!O1437</f>
        <v>29298.657359999997</v>
      </c>
      <c r="N25" s="562">
        <f>+'[2]VAC-LE 04-01'!P1437</f>
        <v>30240.490979999999</v>
      </c>
    </row>
    <row r="26" spans="1:14" ht="12" customHeight="1">
      <c r="A26" s="269" t="s">
        <v>38</v>
      </c>
      <c r="B26" s="594">
        <f t="shared" si="0"/>
        <v>17576.1958104</v>
      </c>
      <c r="C26" s="562">
        <f>+'[2]VAC-LE 04-01'!E1440</f>
        <v>1526.4031689000003</v>
      </c>
      <c r="D26" s="562">
        <f>+'[2]VAC-LE 04-01'!F1440</f>
        <v>1319.6840616000002</v>
      </c>
      <c r="E26" s="562">
        <f>+'[2]VAC-LE 04-01'!G1440</f>
        <v>1448.7287877000001</v>
      </c>
      <c r="F26" s="562">
        <f>+'[2]VAC-LE 04-01'!H1440</f>
        <v>1456.3203219000002</v>
      </c>
      <c r="G26" s="562">
        <f>+'[2]VAC-LE 04-01'!I1440</f>
        <v>1518.6547251000002</v>
      </c>
      <c r="H26" s="562">
        <f>+'[2]VAC-LE 04-01'!J1440</f>
        <v>1443.4661223000003</v>
      </c>
      <c r="I26" s="562">
        <f>+'[2]VAC-LE 04-01'!K1440</f>
        <v>1449.6465024000001</v>
      </c>
      <c r="J26" s="562">
        <f>+'[2]VAC-LE 04-01'!L1440</f>
        <v>1482.5004822000001</v>
      </c>
      <c r="K26" s="562">
        <f>+'[2]VAC-LE 04-01'!M1440</f>
        <v>1435.9447845</v>
      </c>
      <c r="L26" s="562">
        <f>+'[2]VAC-LE 04-01'!N1440</f>
        <v>1494.0612099</v>
      </c>
      <c r="M26" s="562">
        <f>+'[2]VAC-LE 04-01'!O1440</f>
        <v>1472.3147781000002</v>
      </c>
      <c r="N26" s="562">
        <f>+'[2]VAC-LE 04-01'!P1440</f>
        <v>1528.4708658</v>
      </c>
    </row>
    <row r="27" spans="1:14" ht="12" customHeight="1">
      <c r="A27" s="269" t="s">
        <v>39</v>
      </c>
      <c r="B27" s="594">
        <f t="shared" si="0"/>
        <v>24451.253937000005</v>
      </c>
      <c r="C27" s="562">
        <f>+'[2]VAC-LE 04-01'!E1443</f>
        <v>2113.1284230000006</v>
      </c>
      <c r="D27" s="562">
        <f>+'[2]VAC-LE 04-01'!F1443</f>
        <v>1886.6211570000005</v>
      </c>
      <c r="E27" s="562">
        <f>+'[2]VAC-LE 04-01'!G1443</f>
        <v>2091.9765960000004</v>
      </c>
      <c r="F27" s="562">
        <f>+'[2]VAC-LE 04-01'!H1443</f>
        <v>2014.0585920000001</v>
      </c>
      <c r="G27" s="562">
        <f>+'[2]VAC-LE 04-01'!I1443</f>
        <v>2064.2180490000005</v>
      </c>
      <c r="H27" s="562">
        <f>+'[2]VAC-LE 04-01'!J1443</f>
        <v>1972.6117470000002</v>
      </c>
      <c r="I27" s="562">
        <f>+'[2]VAC-LE 04-01'!K1443</f>
        <v>2036.1498119999999</v>
      </c>
      <c r="J27" s="562">
        <f>+'[2]VAC-LE 04-01'!L1443</f>
        <v>2040.691932</v>
      </c>
      <c r="K27" s="562">
        <f>+'[2]VAC-LE 04-01'!M1443</f>
        <v>2018.0329470000001</v>
      </c>
      <c r="L27" s="562">
        <f>+'[2]VAC-LE 04-01'!N1443</f>
        <v>2084.3375760000004</v>
      </c>
      <c r="M27" s="562">
        <f>+'[2]VAC-LE 04-01'!O1443</f>
        <v>2024.701605</v>
      </c>
      <c r="N27" s="562">
        <f>+'[2]VAC-LE 04-01'!P1443</f>
        <v>2104.7255010000003</v>
      </c>
    </row>
    <row r="28" spans="1:14" ht="12" customHeight="1">
      <c r="A28" s="269" t="s">
        <v>40</v>
      </c>
      <c r="B28" s="594">
        <f t="shared" si="0"/>
        <v>66387.474301499999</v>
      </c>
      <c r="C28" s="562">
        <f>+'[2]VAC-LE 04-01'!E1446</f>
        <v>2496.9313692000001</v>
      </c>
      <c r="D28" s="562">
        <f>+'[2]VAC-LE 04-01'!F1446</f>
        <v>4174.1731818000007</v>
      </c>
      <c r="E28" s="562">
        <f>+'[2]VAC-LE 04-01'!G1446</f>
        <v>8626.8144501000006</v>
      </c>
      <c r="F28" s="562">
        <f>+'[2]VAC-LE 04-01'!H1446</f>
        <v>11720.350184400002</v>
      </c>
      <c r="G28" s="562">
        <f>+'[2]VAC-LE 04-01'!I1446</f>
        <v>13719.600432900001</v>
      </c>
      <c r="H28" s="562">
        <f>+'[2]VAC-LE 04-01'!J1446</f>
        <v>9547.7344416000014</v>
      </c>
      <c r="I28" s="562">
        <f>+'[2]VAC-LE 04-01'!K1446</f>
        <v>5853.3598476000006</v>
      </c>
      <c r="J28" s="562">
        <f>+'[2]VAC-LE 04-01'!L1446</f>
        <v>3448.3816332000001</v>
      </c>
      <c r="K28" s="562">
        <f>+'[2]VAC-LE 04-01'!M1446</f>
        <v>2292.0858864000002</v>
      </c>
      <c r="L28" s="562">
        <f>+'[2]VAC-LE 04-01'!N1446</f>
        <v>1771.9728867000001</v>
      </c>
      <c r="M28" s="562">
        <f>+'[2]VAC-LE 04-01'!O1446</f>
        <v>1465.2868797000001</v>
      </c>
      <c r="N28" s="562">
        <f>+'[2]VAC-LE 04-01'!P1446</f>
        <v>1270.7831079</v>
      </c>
    </row>
    <row r="29" spans="1:14" ht="12" customHeight="1">
      <c r="A29" s="217" t="s">
        <v>41</v>
      </c>
      <c r="B29" s="594">
        <f t="shared" si="0"/>
        <v>33399.52044</v>
      </c>
      <c r="C29" s="562">
        <f>+'[2]VAC-LE 04-01'!E1449</f>
        <v>3490.7449999999999</v>
      </c>
      <c r="D29" s="562">
        <f>+'[2]VAC-LE 04-01'!F1449</f>
        <v>3448.29</v>
      </c>
      <c r="E29" s="562">
        <f>+'[2]VAC-LE 04-01'!G1449</f>
        <v>3458.877</v>
      </c>
      <c r="F29" s="562">
        <f>+'[2]VAC-LE 04-01'!H1449</f>
        <v>3608.4799400000002</v>
      </c>
      <c r="G29" s="562">
        <f>+'[2]VAC-LE 04-01'!I1449</f>
        <v>3217.8885</v>
      </c>
      <c r="H29" s="562">
        <f>+'[2]VAC-LE 04-01'!J1449</f>
        <v>3157.7870000000003</v>
      </c>
      <c r="I29" s="562">
        <f>+'[2]VAC-LE 04-01'!K1449</f>
        <v>2835.9</v>
      </c>
      <c r="J29" s="562">
        <f>+'[2]VAC-LE 04-01'!L1449</f>
        <v>2425.8760000000002</v>
      </c>
      <c r="K29" s="562">
        <f>+'[2]VAC-LE 04-01'!M1449</f>
        <v>2105.25</v>
      </c>
      <c r="L29" s="562">
        <f>+'[2]VAC-LE 04-01'!N1449</f>
        <v>1941.6869999999999</v>
      </c>
      <c r="M29" s="562">
        <f>+'[2]VAC-LE 04-01'!O1449</f>
        <v>1880.9090000000001</v>
      </c>
      <c r="N29" s="562">
        <f>+'[2]VAC-LE 04-01'!P1449</f>
        <v>1827.8310000000001</v>
      </c>
    </row>
    <row r="30" spans="1:14" ht="12" customHeight="1">
      <c r="A30" s="271" t="s">
        <v>111</v>
      </c>
      <c r="B30" s="594">
        <f t="shared" si="0"/>
        <v>18234.164000000001</v>
      </c>
      <c r="C30" s="562">
        <f>+'[2]VAC-LE 04-01'!E1452</f>
        <v>2065.4</v>
      </c>
      <c r="D30" s="562">
        <f>+'[2]VAC-LE 04-01'!F1452</f>
        <v>2030.74</v>
      </c>
      <c r="E30" s="562">
        <f>+'[2]VAC-LE 04-01'!G1452</f>
        <v>2033.5409999999999</v>
      </c>
      <c r="F30" s="562">
        <f>+'[2]VAC-LE 04-01'!H1452</f>
        <v>2108.58</v>
      </c>
      <c r="G30" s="562">
        <f>+'[2]VAC-LE 04-01'!I1452</f>
        <v>1720.441</v>
      </c>
      <c r="H30" s="562">
        <f>+'[2]VAC-LE 04-01'!J1452</f>
        <v>1687.2</v>
      </c>
      <c r="I30" s="562">
        <f>+'[2]VAC-LE 04-01'!K1452</f>
        <v>1565.45</v>
      </c>
      <c r="J30" s="562">
        <f>+'[2]VAC-LE 04-01'!L1452</f>
        <v>1410.4549999999999</v>
      </c>
      <c r="K30" s="562">
        <f>+'[2]VAC-LE 04-01'!M1452</f>
        <v>1101.25</v>
      </c>
      <c r="L30" s="562">
        <f>+'[2]VAC-LE 04-01'!N1452</f>
        <v>1015.23</v>
      </c>
      <c r="M30" s="562">
        <f>+'[2]VAC-LE 04-01'!O1452</f>
        <v>790.45699999999999</v>
      </c>
      <c r="N30" s="562">
        <f>+'[2]VAC-LE 04-01'!P1452</f>
        <v>705.42</v>
      </c>
    </row>
    <row r="31" spans="1:14" ht="12" customHeight="1">
      <c r="A31" s="271" t="s">
        <v>112</v>
      </c>
      <c r="B31" s="594">
        <f t="shared" si="0"/>
        <v>15165.356440000001</v>
      </c>
      <c r="C31" s="562">
        <f>+'[2]VAC-LE 04-01'!E1455</f>
        <v>1425.345</v>
      </c>
      <c r="D31" s="562">
        <f>+'[2]VAC-LE 04-01'!F1455</f>
        <v>1417.55</v>
      </c>
      <c r="E31" s="562">
        <f>+'[2]VAC-LE 04-01'!G1455</f>
        <v>1425.336</v>
      </c>
      <c r="F31" s="562">
        <f>+'[2]VAC-LE 04-01'!H1455</f>
        <v>1499.89994</v>
      </c>
      <c r="G31" s="562">
        <f>+'[2]VAC-LE 04-01'!I1455</f>
        <v>1497.4475</v>
      </c>
      <c r="H31" s="562">
        <f>+'[2]VAC-LE 04-01'!J1455</f>
        <v>1470.587</v>
      </c>
      <c r="I31" s="562">
        <f>+'[2]VAC-LE 04-01'!K1455</f>
        <v>1270.45</v>
      </c>
      <c r="J31" s="562">
        <f>+'[2]VAC-LE 04-01'!L1455</f>
        <v>1015.421</v>
      </c>
      <c r="K31" s="562">
        <f>+'[2]VAC-LE 04-01'!M1455</f>
        <v>1004</v>
      </c>
      <c r="L31" s="562">
        <f>+'[2]VAC-LE 04-01'!N1455</f>
        <v>926.45699999999999</v>
      </c>
      <c r="M31" s="562">
        <f>+'[2]VAC-LE 04-01'!O1455</f>
        <v>1090.452</v>
      </c>
      <c r="N31" s="562">
        <f>+'[2]VAC-LE 04-01'!P1455</f>
        <v>1122.4110000000001</v>
      </c>
    </row>
    <row r="32" spans="1:14" ht="12" customHeight="1">
      <c r="A32" s="269" t="s">
        <v>44</v>
      </c>
      <c r="B32" s="594">
        <f t="shared" si="0"/>
        <v>110781.09178290001</v>
      </c>
      <c r="C32" s="562">
        <f>+'[2]VAC-LE 04-01'!E1458</f>
        <v>9420.8616747000033</v>
      </c>
      <c r="D32" s="562">
        <f>+'[2]VAC-LE 04-01'!F1458</f>
        <v>8741.2779387000046</v>
      </c>
      <c r="E32" s="562">
        <f>+'[2]VAC-LE 04-01'!G1458</f>
        <v>9978.6174938999993</v>
      </c>
      <c r="F32" s="562">
        <f>+'[2]VAC-LE 04-01'!H1458</f>
        <v>9864.2118141000064</v>
      </c>
      <c r="G32" s="562">
        <f>+'[2]VAC-LE 04-01'!I1458</f>
        <v>10189.973692800002</v>
      </c>
      <c r="H32" s="562">
        <f>+'[2]VAC-LE 04-01'!J1458</f>
        <v>9256.9788882000012</v>
      </c>
      <c r="I32" s="562">
        <f>+'[2]VAC-LE 04-01'!K1458</f>
        <v>9246.1624488000016</v>
      </c>
      <c r="J32" s="562">
        <f>+'[2]VAC-LE 04-01'!L1458</f>
        <v>8943.4332476999971</v>
      </c>
      <c r="K32" s="562">
        <f>+'[2]VAC-LE 04-01'!M1458</f>
        <v>8482.4090999999989</v>
      </c>
      <c r="L32" s="562">
        <f>+'[2]VAC-LE 04-01'!N1458</f>
        <v>8767.7461106999999</v>
      </c>
      <c r="M32" s="562">
        <f>+'[2]VAC-LE 04-01'!O1458</f>
        <v>8650.7782622999985</v>
      </c>
      <c r="N32" s="562">
        <f>+'[2]VAC-LE 04-01'!P1458</f>
        <v>9238.641110999999</v>
      </c>
    </row>
    <row r="33" spans="1:14" ht="12" customHeight="1">
      <c r="A33" s="269" t="s">
        <v>45</v>
      </c>
      <c r="B33" s="594">
        <f t="shared" si="0"/>
        <v>127009.357</v>
      </c>
      <c r="C33" s="562">
        <f>+'[2]VAC-LE 04-01'!E1461</f>
        <v>10665.9365</v>
      </c>
      <c r="D33" s="562">
        <f>+'[2]VAC-LE 04-01'!F1461</f>
        <v>13698.3</v>
      </c>
      <c r="E33" s="562">
        <f>+'[2]VAC-LE 04-01'!G1461</f>
        <v>14790.875</v>
      </c>
      <c r="F33" s="562">
        <f>+'[2]VAC-LE 04-01'!H1461</f>
        <v>14255.5458</v>
      </c>
      <c r="G33" s="562">
        <f>+'[2]VAC-LE 04-01'!I1461</f>
        <v>13638.434500000001</v>
      </c>
      <c r="H33" s="562">
        <f>+'[2]VAC-LE 04-01'!J1461</f>
        <v>12015.36</v>
      </c>
      <c r="I33" s="562">
        <f>+'[2]VAC-LE 04-01'!K1461</f>
        <v>9564.3741999999984</v>
      </c>
      <c r="J33" s="562">
        <f>+'[2]VAC-LE 04-01'!L1461</f>
        <v>8549.8309999999983</v>
      </c>
      <c r="K33" s="562">
        <f>+'[2]VAC-LE 04-01'!M1461</f>
        <v>6576.2400000000007</v>
      </c>
      <c r="L33" s="562">
        <f>+'[2]VAC-LE 04-01'!N1461</f>
        <v>7119.3049999999994</v>
      </c>
      <c r="M33" s="562">
        <f>+'[2]VAC-LE 04-01'!O1461</f>
        <v>7778.9549999999999</v>
      </c>
      <c r="N33" s="562">
        <f>+'[2]VAC-LE 04-01'!P1461</f>
        <v>8356.2000000000007</v>
      </c>
    </row>
    <row r="34" spans="1:14" ht="12" customHeight="1">
      <c r="A34" s="217" t="s">
        <v>46</v>
      </c>
      <c r="B34" s="594">
        <f t="shared" si="0"/>
        <v>33766.155281430008</v>
      </c>
      <c r="C34" s="562">
        <f>+'[2]VAC-LE 04-01'!E1464</f>
        <v>2624.4420975000012</v>
      </c>
      <c r="D34" s="562">
        <f>+'[2]VAC-LE 04-01'!F1464</f>
        <v>2809.2754125000001</v>
      </c>
      <c r="E34" s="562">
        <f>+'[2]VAC-LE 04-01'!G1464</f>
        <v>3155.3777304000005</v>
      </c>
      <c r="F34" s="562">
        <f>+'[2]VAC-LE 04-01'!H1464</f>
        <v>2979.6317523000007</v>
      </c>
      <c r="G34" s="562">
        <f>+'[2]VAC-LE 04-01'!I1464</f>
        <v>3056.306247720001</v>
      </c>
      <c r="H34" s="562">
        <f>+'[2]VAC-LE 04-01'!J1464</f>
        <v>3084.5851771500002</v>
      </c>
      <c r="I34" s="562">
        <f>+'[2]VAC-LE 04-01'!K1464</f>
        <v>2958.31496376</v>
      </c>
      <c r="J34" s="562">
        <f>+'[2]VAC-LE 04-01'!L1464</f>
        <v>2761.8959394000012</v>
      </c>
      <c r="K34" s="562">
        <f>+'[2]VAC-LE 04-01'!M1464</f>
        <v>2605.8132117000009</v>
      </c>
      <c r="L34" s="562">
        <f>+'[2]VAC-LE 04-01'!N1464</f>
        <v>2669.3357922000009</v>
      </c>
      <c r="M34" s="562">
        <f>+'[2]VAC-LE 04-01'!O1464</f>
        <v>2618.9636813999996</v>
      </c>
      <c r="N34" s="562">
        <f>+'[2]VAC-LE 04-01'!P1464</f>
        <v>2442.2132754000004</v>
      </c>
    </row>
    <row r="35" spans="1:14" ht="12" customHeight="1">
      <c r="A35" s="217" t="s">
        <v>47</v>
      </c>
      <c r="B35" s="594">
        <f t="shared" si="0"/>
        <v>1765.5585042</v>
      </c>
      <c r="C35" s="562">
        <f>+'[2]VAC-LE 04-01'!E1467</f>
        <v>140.77991250000002</v>
      </c>
      <c r="D35" s="562">
        <f>+'[2]VAC-LE 04-01'!F1467</f>
        <v>142.86722310000002</v>
      </c>
      <c r="E35" s="562">
        <f>+'[2]VAC-LE 04-01'!G1467</f>
        <v>141.2744941</v>
      </c>
      <c r="F35" s="562">
        <f>+'[2]VAC-LE 04-01'!H1467</f>
        <v>151.6923558</v>
      </c>
      <c r="G35" s="562">
        <f>+'[2]VAC-LE 04-01'!I1467</f>
        <v>141.6585097</v>
      </c>
      <c r="H35" s="562">
        <f>+'[2]VAC-LE 04-01'!J1467</f>
        <v>148.03915599999999</v>
      </c>
      <c r="I35" s="562">
        <f>+'[2]VAC-LE 04-01'!K1467</f>
        <v>147.72522690000002</v>
      </c>
      <c r="J35" s="562">
        <f>+'[2]VAC-LE 04-01'!L1467</f>
        <v>153.96238349999999</v>
      </c>
      <c r="K35" s="562">
        <f>+'[2]VAC-LE 04-01'!M1467</f>
        <v>152.99098920000003</v>
      </c>
      <c r="L35" s="562">
        <f>+'[2]VAC-LE 04-01'!N1467</f>
        <v>147.7386468</v>
      </c>
      <c r="M35" s="562">
        <f>+'[2]VAC-LE 04-01'!O1467</f>
        <v>145.33132320000001</v>
      </c>
      <c r="N35" s="562">
        <f>+'[2]VAC-LE 04-01'!P1467</f>
        <v>151.49828340000002</v>
      </c>
    </row>
    <row r="36" spans="1:14" ht="12" customHeight="1">
      <c r="A36" s="217" t="s">
        <v>48</v>
      </c>
      <c r="B36" s="594">
        <f t="shared" si="0"/>
        <v>5596.2894332032893</v>
      </c>
      <c r="C36" s="562">
        <f>+'[2]VAC-LE 04-01'!E1470</f>
        <v>521.24294892</v>
      </c>
      <c r="D36" s="562">
        <f>+'[2]VAC-LE 04-01'!F1470</f>
        <v>528.52325499300002</v>
      </c>
      <c r="E36" s="562">
        <f>+'[2]VAC-LE 04-01'!G1470</f>
        <v>550.54452634500001</v>
      </c>
      <c r="F36" s="562">
        <f>+'[2]VAC-LE 04-01'!H1470</f>
        <v>495.52285141999999</v>
      </c>
      <c r="G36" s="562">
        <f>+'[2]VAC-LE 04-01'!I1470</f>
        <v>546.39443259300003</v>
      </c>
      <c r="H36" s="562">
        <f>+'[2]VAC-LE 04-01'!J1470</f>
        <v>501.50080228328898</v>
      </c>
      <c r="I36" s="562">
        <f>+'[2]VAC-LE 04-01'!K1470</f>
        <v>510.09442655200002</v>
      </c>
      <c r="J36" s="562">
        <f>+'[2]VAC-LE 04-01'!L1470</f>
        <v>475.44617245400002</v>
      </c>
      <c r="K36" s="562">
        <f>+'[2]VAC-LE 04-01'!M1470</f>
        <v>376.4</v>
      </c>
      <c r="L36" s="562">
        <f>+'[2]VAC-LE 04-01'!N1470</f>
        <v>340.60141941500001</v>
      </c>
      <c r="M36" s="562">
        <f>+'[2]VAC-LE 04-01'!O1470</f>
        <v>374.59559822799997</v>
      </c>
      <c r="N36" s="562">
        <f>+'[2]VAC-LE 04-01'!P1470</f>
        <v>375.423</v>
      </c>
    </row>
    <row r="37" spans="1:14" ht="12" customHeight="1" thickBot="1">
      <c r="A37" s="272" t="s">
        <v>49</v>
      </c>
      <c r="B37" s="595">
        <f t="shared" si="0"/>
        <v>1687.4708356610001</v>
      </c>
      <c r="C37" s="564">
        <f>+'[2]VAC-LE 04-01'!E1473</f>
        <v>237.00460082400002</v>
      </c>
      <c r="D37" s="564">
        <f>+'[2]VAC-LE 04-01'!F1473</f>
        <v>130.249977642</v>
      </c>
      <c r="E37" s="564">
        <f>+'[2]VAC-LE 04-01'!G1473</f>
        <v>129.33063190800002</v>
      </c>
      <c r="F37" s="564">
        <f>+'[2]VAC-LE 04-01'!H1473</f>
        <v>132.03000350100001</v>
      </c>
      <c r="G37" s="564">
        <f>+'[2]VAC-LE 04-01'!I1473</f>
        <v>132.097928841</v>
      </c>
      <c r="H37" s="564">
        <f>+'[2]VAC-LE 04-01'!J1473</f>
        <v>129.16997505900002</v>
      </c>
      <c r="I37" s="564">
        <f>+'[2]VAC-LE 04-01'!K1473</f>
        <v>121.38999449400001</v>
      </c>
      <c r="J37" s="564">
        <f>+'[2]VAC-LE 04-01'!L1473</f>
        <v>112.52500469100001</v>
      </c>
      <c r="K37" s="564">
        <f>+'[2]VAC-LE 04-01'!M1473</f>
        <v>137.52072461700001</v>
      </c>
      <c r="L37" s="564">
        <f>+'[2]VAC-LE 04-01'!N1473</f>
        <v>147.139995384</v>
      </c>
      <c r="M37" s="564">
        <f>+'[2]VAC-LE 04-01'!O1473</f>
        <v>142.70000082300001</v>
      </c>
      <c r="N37" s="564">
        <f>+'[2]VAC-LE 04-01'!P1473</f>
        <v>136.31199787700001</v>
      </c>
    </row>
    <row r="38" spans="1:14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14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14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14" ht="13" customHeight="1">
      <c r="A41" s="12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</row>
    <row r="42" spans="1:14" ht="13" customHeight="1">
      <c r="A42" s="141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</row>
    <row r="43" spans="1:14" ht="13" customHeight="1">
      <c r="A43" s="191"/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</row>
    <row r="44" spans="1:14" ht="13" customHeight="1">
      <c r="A44" s="31"/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</row>
    <row r="45" spans="1:14" ht="13" customHeight="1">
      <c r="A45" s="58"/>
      <c r="B45" s="277"/>
      <c r="C45" s="277"/>
      <c r="D45" s="277"/>
      <c r="E45" s="277"/>
      <c r="F45" s="277"/>
      <c r="G45" s="277"/>
      <c r="H45" s="277"/>
      <c r="I45" s="277"/>
      <c r="J45" s="277"/>
      <c r="K45" s="277"/>
      <c r="L45" s="277"/>
      <c r="M45" s="277"/>
      <c r="N45" s="277"/>
    </row>
    <row r="46" spans="1:14" ht="13" customHeight="1">
      <c r="A46" s="31"/>
      <c r="B46" s="277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</row>
    <row r="47" spans="1:14" ht="13" customHeight="1">
      <c r="A47" s="141"/>
      <c r="B47" s="277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</row>
    <row r="48" spans="1:14" ht="13" customHeight="1">
      <c r="A48" s="141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</row>
    <row r="49" spans="1:14" ht="13" customHeight="1">
      <c r="A49" s="141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</row>
    <row r="50" spans="1:14" ht="13" customHeight="1">
      <c r="A50" s="141"/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</row>
    <row r="51" spans="1:14" ht="13" customHeight="1">
      <c r="A51" s="141"/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</row>
    <row r="52" spans="1:14" ht="13" customHeight="1">
      <c r="A52" s="141"/>
      <c r="B52" s="277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</row>
    <row r="53" spans="1:14" ht="13" customHeight="1">
      <c r="A53" s="141"/>
      <c r="B53" s="277"/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77"/>
    </row>
    <row r="54" spans="1:14" ht="13" customHeight="1">
      <c r="A54" s="141"/>
      <c r="B54" s="277"/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77"/>
    </row>
    <row r="55" spans="1:14" ht="13" customHeight="1"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</row>
    <row r="56" spans="1:14" ht="13" customHeight="1"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</row>
    <row r="57" spans="1:14" ht="13" customHeight="1"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</row>
    <row r="58" spans="1:14" ht="13" customHeight="1"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</row>
    <row r="59" spans="1:14" ht="13" customHeight="1"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Hoja77">
    <tabColor theme="9" tint="0.59999389629810485"/>
  </sheetPr>
  <dimension ref="A4:N58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14" ht="13" customHeight="1">
      <c r="A4" s="511" t="s">
        <v>412</v>
      </c>
      <c r="B4" s="507"/>
    </row>
    <row r="5" spans="1:14" ht="13" customHeight="1">
      <c r="A5" s="514" t="s">
        <v>596</v>
      </c>
      <c r="B5" s="507"/>
    </row>
    <row r="6" spans="1:14" ht="5" customHeight="1" thickBot="1"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</row>
    <row r="7" spans="1:14" ht="15" customHeight="1">
      <c r="A7" s="519" t="s">
        <v>18</v>
      </c>
      <c r="B7" s="521" t="s">
        <v>114</v>
      </c>
      <c r="C7" s="524" t="s">
        <v>57</v>
      </c>
      <c r="D7" s="524" t="s">
        <v>58</v>
      </c>
      <c r="E7" s="524" t="s">
        <v>59</v>
      </c>
      <c r="F7" s="524" t="s">
        <v>60</v>
      </c>
      <c r="G7" s="524" t="s">
        <v>61</v>
      </c>
      <c r="H7" s="524" t="s">
        <v>62</v>
      </c>
      <c r="I7" s="524" t="s">
        <v>63</v>
      </c>
      <c r="J7" s="524" t="s">
        <v>64</v>
      </c>
      <c r="K7" s="524" t="s">
        <v>65</v>
      </c>
      <c r="L7" s="524" t="s">
        <v>66</v>
      </c>
      <c r="M7" s="524" t="s">
        <v>67</v>
      </c>
      <c r="N7" s="524" t="s">
        <v>68</v>
      </c>
    </row>
    <row r="8" spans="1:14" ht="15" customHeight="1">
      <c r="A8" s="530" t="s">
        <v>100</v>
      </c>
      <c r="B8" s="565">
        <f>'C-75'!B8/'C-74'!B8*1000/365</f>
        <v>6.440459185968864</v>
      </c>
      <c r="C8" s="565">
        <f>'C-75'!C8/'C-74'!C8*1000/31</f>
        <v>6.7055005851476102</v>
      </c>
      <c r="D8" s="565">
        <f>('C-75'!D8/'C-74'!D8)*1000/28</f>
        <v>6.5410189355529544</v>
      </c>
      <c r="E8" s="565">
        <f>('C-75'!E8/'C-74'!E8)*1000/31</f>
        <v>6.3024146503470444</v>
      </c>
      <c r="F8" s="565">
        <f>('C-75'!F8/'C-74'!F8)*1000/30</f>
        <v>6.5403532372091426</v>
      </c>
      <c r="G8" s="565">
        <f>('C-75'!G8/'C-74'!G8)*1000/31</f>
        <v>6.4760122336653581</v>
      </c>
      <c r="H8" s="565">
        <f>('C-75'!H8/'C-74'!H8)*1000/30</f>
        <v>6.5176129385201245</v>
      </c>
      <c r="I8" s="565">
        <f>('C-75'!I8/'C-74'!I8)*1000/31</f>
        <v>6.3843378529259063</v>
      </c>
      <c r="J8" s="565">
        <f>('C-75'!J8/'C-74'!J8)*1000/31</f>
        <v>6.2884960642160959</v>
      </c>
      <c r="K8" s="565">
        <f>('C-75'!K8/'C-74'!K8)*1000/30</f>
        <v>6.4223447795505244</v>
      </c>
      <c r="L8" s="565">
        <f>('C-75'!L8/'C-74'!L8)*1000/31</f>
        <v>6.3248519023760794</v>
      </c>
      <c r="M8" s="565">
        <f>('C-75'!M8/'C-74'!M8)*1000/30</f>
        <v>6.4460736643678889</v>
      </c>
      <c r="N8" s="565">
        <f>('C-75'!N8/'C-74'!N8)*1000/31</f>
        <v>6.3555690393238242</v>
      </c>
    </row>
    <row r="9" spans="1:14" ht="12" customHeight="1">
      <c r="A9" s="269" t="s">
        <v>21</v>
      </c>
      <c r="B9" s="566">
        <f>('C-75'!B9/'C-74'!B9)*1000/365</f>
        <v>2.8368600875348147</v>
      </c>
      <c r="C9" s="567">
        <f>('C-75'!C9/'C-74'!C9)*1000/31</f>
        <v>2.7555752165898615</v>
      </c>
      <c r="D9" s="567">
        <f>('C-75'!D9/'C-74'!D9)*1000/28</f>
        <v>3.2049300149700599</v>
      </c>
      <c r="E9" s="567">
        <f>('C-75'!E9/'C-74'!E9)*1000/31</f>
        <v>2.8126131428571433</v>
      </c>
      <c r="F9" s="567">
        <f>('C-75'!F9/'C-74'!F9)*1000/30</f>
        <v>2.8781923728813563</v>
      </c>
      <c r="G9" s="567">
        <f>('C-75'!G9/'C-74'!G9)*1000/31</f>
        <v>2.803897206703911</v>
      </c>
      <c r="H9" s="567">
        <f>('C-75'!H9/'C-74'!H9)*1000/30</f>
        <v>2.8499252777777775</v>
      </c>
      <c r="I9" s="567">
        <f>('C-75'!I9/'C-74'!I9)*1000/31</f>
        <v>2.8292066259808193</v>
      </c>
      <c r="J9" s="567">
        <f>('C-75'!J9/'C-74'!J9)*1000/31</f>
        <v>2.7909854175872737</v>
      </c>
      <c r="K9" s="567">
        <f>('C-75'!K9/'C-74'!K9)*1000/30</f>
        <v>2.8869369369369369</v>
      </c>
      <c r="L9" s="567">
        <f>('C-75'!L9/'C-74'!L9)*1000/31</f>
        <v>2.7879569892473111</v>
      </c>
      <c r="M9" s="567">
        <f>('C-75'!M9/'C-74'!M9)*1000/30</f>
        <v>2.8400000000000003</v>
      </c>
      <c r="N9" s="567">
        <f>('C-75'!N9/'C-74'!N9)*1000/31</f>
        <v>2.6563080560716092</v>
      </c>
    </row>
    <row r="10" spans="1:14" ht="12" customHeight="1">
      <c r="A10" s="269" t="s">
        <v>22</v>
      </c>
      <c r="B10" s="566">
        <f>('C-75'!B10/'C-74'!B10)*1000/365</f>
        <v>4.7940097822823251</v>
      </c>
      <c r="C10" s="567">
        <f>('C-75'!C10/'C-74'!C10)*1000/31</f>
        <v>3.7781150828993413</v>
      </c>
      <c r="D10" s="567">
        <f>('C-75'!D10/'C-74'!D10)*1000/28</f>
        <v>4.4973237818273057</v>
      </c>
      <c r="E10" s="567">
        <f>('C-75'!E10/'C-74'!E10)*1000/31</f>
        <v>4.6507708091830882</v>
      </c>
      <c r="F10" s="567">
        <f>('C-75'!F10/'C-74'!F10)*1000/30</f>
        <v>6.3740675841412902</v>
      </c>
      <c r="G10" s="567">
        <f>('C-75'!G10/'C-74'!G10)*1000/31</f>
        <v>6.7057165773961991</v>
      </c>
      <c r="H10" s="567">
        <f>('C-75'!H10/'C-74'!H10)*1000/30</f>
        <v>6.3200406359198906</v>
      </c>
      <c r="I10" s="567">
        <f>('C-75'!I10/'C-74'!I10)*1000/31</f>
        <v>5.5730760169338245</v>
      </c>
      <c r="J10" s="567">
        <f>('C-75'!J10/'C-74'!J10)*1000/31</f>
        <v>4.4925185945359862</v>
      </c>
      <c r="K10" s="567">
        <f>('C-75'!K10/'C-74'!K10)*1000/30</f>
        <v>3.7641115274402912</v>
      </c>
      <c r="L10" s="567">
        <f>('C-75'!L10/'C-74'!L10)*1000/31</f>
        <v>3.5018552155655684</v>
      </c>
      <c r="M10" s="567">
        <f>('C-75'!M10/'C-74'!M10)*1000/30</f>
        <v>3.8802283783440674</v>
      </c>
      <c r="N10" s="567">
        <f>('C-75'!N10/'C-74'!N10)*1000/31</f>
        <v>4.0007456031540629</v>
      </c>
    </row>
    <row r="11" spans="1:14" ht="12" customHeight="1">
      <c r="A11" s="269" t="s">
        <v>23</v>
      </c>
      <c r="B11" s="566">
        <f>('C-75'!B11/'C-74'!B11)*1000/365</f>
        <v>8.703536290176519</v>
      </c>
      <c r="C11" s="567">
        <f>('C-75'!C11/'C-74'!C11)*1000/31</f>
        <v>7.6401798157653218</v>
      </c>
      <c r="D11" s="567">
        <f>('C-75'!D11/'C-74'!D11)*1000/28</f>
        <v>8.6340520668508773</v>
      </c>
      <c r="E11" s="567">
        <f>('C-75'!E11/'C-74'!E11)*1000/31</f>
        <v>8.1303470241842888</v>
      </c>
      <c r="F11" s="567">
        <f>('C-75'!F11/'C-74'!F11)*1000/30</f>
        <v>8.3199499326015793</v>
      </c>
      <c r="G11" s="567">
        <f>('C-75'!G11/'C-74'!G11)*1000/31</f>
        <v>8.4143710044823283</v>
      </c>
      <c r="H11" s="567">
        <f>('C-75'!H11/'C-74'!H11)*1000/30</f>
        <v>8.6947794813552903</v>
      </c>
      <c r="I11" s="567">
        <f>('C-75'!I11/'C-74'!I11)*1000/31</f>
        <v>9.3699970131421733</v>
      </c>
      <c r="J11" s="567">
        <f>('C-75'!J11/'C-74'!J11)*1000/31</f>
        <v>9.2299568286672464</v>
      </c>
      <c r="K11" s="567">
        <f>('C-75'!K11/'C-74'!K11)*1000/30</f>
        <v>9.5252092846270937</v>
      </c>
      <c r="L11" s="567">
        <f>('C-75'!L11/'C-74'!L11)*1000/31</f>
        <v>9.0382275158048735</v>
      </c>
      <c r="M11" s="567">
        <f>('C-75'!M11/'C-74'!M11)*1000/30</f>
        <v>9.2280023241456952</v>
      </c>
      <c r="N11" s="567">
        <f>('C-75'!N11/'C-74'!N11)*1000/31</f>
        <v>8.3219581211092244</v>
      </c>
    </row>
    <row r="12" spans="1:14" ht="12" customHeight="1">
      <c r="A12" s="217" t="s">
        <v>24</v>
      </c>
      <c r="B12" s="566">
        <f>('C-75'!B12/'C-74'!B12)*1000/365</f>
        <v>8.4830095519980571</v>
      </c>
      <c r="C12" s="567">
        <f>('C-75'!C12/'C-74'!C12)*1000/31</f>
        <v>7.9793071845946075</v>
      </c>
      <c r="D12" s="567">
        <f>('C-75'!D12/'C-74'!D12)*1000/28</f>
        <v>8.776102352862436</v>
      </c>
      <c r="E12" s="567">
        <f>('C-75'!E12/'C-74'!E12)*1000/31</f>
        <v>7.9519884756316213</v>
      </c>
      <c r="F12" s="567">
        <f>('C-75'!F12/'C-74'!F12)*1000/30</f>
        <v>8.2089978825895908</v>
      </c>
      <c r="G12" s="567">
        <f>('C-75'!G12/'C-74'!G12)*1000/31</f>
        <v>7.7570244727391939</v>
      </c>
      <c r="H12" s="567">
        <f>('C-75'!H12/'C-74'!H12)*1000/30</f>
        <v>8.4008818418823754</v>
      </c>
      <c r="I12" s="567">
        <f>('C-75'!I12/'C-74'!I12)*1000/31</f>
        <v>8.4609082645576468</v>
      </c>
      <c r="J12" s="567">
        <f>('C-75'!J12/'C-74'!J12)*1000/31</f>
        <v>8.5651837957990633</v>
      </c>
      <c r="K12" s="567">
        <f>('C-75'!K12/'C-74'!K12)*1000/30</f>
        <v>8.8947524414778094</v>
      </c>
      <c r="L12" s="567">
        <f>('C-75'!L12/'C-74'!L12)*1000/31</f>
        <v>8.8318223675928991</v>
      </c>
      <c r="M12" s="567">
        <f>('C-75'!M12/'C-74'!M12)*1000/30</f>
        <v>9.2191284057789549</v>
      </c>
      <c r="N12" s="567">
        <f>('C-75'!N12/'C-74'!N12)*1000/31</f>
        <v>8.8106034595917624</v>
      </c>
    </row>
    <row r="13" spans="1:14" ht="12" customHeight="1">
      <c r="A13" s="217" t="s">
        <v>25</v>
      </c>
      <c r="B13" s="566">
        <f>('C-75'!B13/'C-74'!B13)*1000/365</f>
        <v>6.5253383497678366</v>
      </c>
      <c r="C13" s="567">
        <f>('C-75'!C13/'C-74'!C13)*1000/31</f>
        <v>8.4225114994078005</v>
      </c>
      <c r="D13" s="567">
        <f>('C-75'!D13/'C-74'!D13)*1000/28</f>
        <v>6.7003783294717261</v>
      </c>
      <c r="E13" s="567">
        <f>('C-75'!E13/'C-74'!E13)*1000/31</f>
        <v>6.27547972969111</v>
      </c>
      <c r="F13" s="567">
        <f>('C-75'!F13/'C-74'!F13)*1000/30</f>
        <v>6.5035883195451616</v>
      </c>
      <c r="G13" s="567">
        <f>('C-75'!G13/'C-74'!G13)*1000/31</f>
        <v>6.2944631816085437</v>
      </c>
      <c r="H13" s="567">
        <f>('C-75'!H13/'C-74'!H13)*1000/30</f>
        <v>6.5263554821047745</v>
      </c>
      <c r="I13" s="567">
        <f>('C-75'!I13/'C-74'!I13)*1000/31</f>
        <v>6.3928164785598032</v>
      </c>
      <c r="J13" s="567">
        <f>('C-75'!J13/'C-74'!J13)*1000/31</f>
        <v>6.1679396058066889</v>
      </c>
      <c r="K13" s="567">
        <f>('C-75'!K13/'C-74'!K13)*1000/30</f>
        <v>6.3597570284558191</v>
      </c>
      <c r="L13" s="567">
        <f>('C-75'!L13/'C-74'!L13)*1000/31</f>
        <v>6.2289407356658328</v>
      </c>
      <c r="M13" s="567">
        <f>('C-75'!M13/'C-74'!M13)*1000/30</f>
        <v>6.2936883800130801</v>
      </c>
      <c r="N13" s="567">
        <f>('C-75'!N13/'C-74'!N13)*1000/31</f>
        <v>6.1862600133502115</v>
      </c>
    </row>
    <row r="14" spans="1:14" ht="12" customHeight="1">
      <c r="A14" s="271" t="s">
        <v>107</v>
      </c>
      <c r="B14" s="566">
        <f>('C-75'!B14/'C-74'!B14)*1000/365</f>
        <v>6.7747649396649274</v>
      </c>
      <c r="C14" s="567">
        <f>('C-75'!C14/'C-74'!C14)*1000/31</f>
        <v>9.797879832402236</v>
      </c>
      <c r="D14" s="567">
        <f>('C-75'!D14/'C-74'!D14)*1000/28</f>
        <v>6.7032890731591248</v>
      </c>
      <c r="E14" s="567">
        <f>('C-75'!E14/'C-74'!E14)*1000/31</f>
        <v>6.3245137026699387</v>
      </c>
      <c r="F14" s="567">
        <f>('C-75'!F14/'C-74'!F14)*1000/30</f>
        <v>6.7400298246902999</v>
      </c>
      <c r="G14" s="567">
        <f>('C-75'!G14/'C-74'!G14)*1000/31</f>
        <v>6.5469455618163739</v>
      </c>
      <c r="H14" s="567">
        <f>('C-75'!H14/'C-74'!H14)*1000/30</f>
        <v>6.7028414054236487</v>
      </c>
      <c r="I14" s="567">
        <f>('C-75'!I14/'C-74'!I14)*1000/31</f>
        <v>6.6735439042189517</v>
      </c>
      <c r="J14" s="567">
        <f>('C-75'!J14/'C-74'!J14)*1000/31</f>
        <v>6.2804840647513149</v>
      </c>
      <c r="K14" s="567">
        <f>('C-75'!K14/'C-74'!K14)*1000/30</f>
        <v>6.4789381893755502</v>
      </c>
      <c r="L14" s="567">
        <f>('C-75'!L14/'C-74'!L14)*1000/31</f>
        <v>6.2580146494515558</v>
      </c>
      <c r="M14" s="567">
        <f>('C-75'!M14/'C-74'!M14)*1000/30</f>
        <v>6.4096824398841488</v>
      </c>
      <c r="N14" s="567">
        <f>('C-75'!N14/'C-74'!N14)*1000/31</f>
        <v>6.2599595797983349</v>
      </c>
    </row>
    <row r="15" spans="1:14" ht="12" customHeight="1">
      <c r="A15" s="271" t="s">
        <v>108</v>
      </c>
      <c r="B15" s="566">
        <f>('C-75'!B15/'C-74'!B15)*1000/365</f>
        <v>6.3011461337136101</v>
      </c>
      <c r="C15" s="567">
        <f>('C-75'!C15/'C-74'!C15)*1000/31</f>
        <v>6.3455455045007341</v>
      </c>
      <c r="D15" s="567">
        <f>('C-75'!D15/'C-74'!D15)*1000/28</f>
        <v>6.832937714264248</v>
      </c>
      <c r="E15" s="567">
        <f>('C-75'!E15/'C-74'!E15)*1000/31</f>
        <v>6.3481577591601202</v>
      </c>
      <c r="F15" s="567">
        <f>('C-75'!F15/'C-74'!F15)*1000/30</f>
        <v>6.3250794532453423</v>
      </c>
      <c r="G15" s="567">
        <f>('C-75'!G15/'C-74'!G15)*1000/31</f>
        <v>6.1242073371924759</v>
      </c>
      <c r="H15" s="567">
        <f>('C-75'!H15/'C-74'!H15)*1000/30</f>
        <v>6.4725598660362493</v>
      </c>
      <c r="I15" s="567">
        <f>('C-75'!I15/'C-74'!I15)*1000/31</f>
        <v>6.1304213892265986</v>
      </c>
      <c r="J15" s="567">
        <f>('C-75'!J15/'C-74'!J15)*1000/31</f>
        <v>6.135755344468528</v>
      </c>
      <c r="K15" s="567">
        <f>('C-75'!K15/'C-74'!K15)*1000/30</f>
        <v>6.342460121690511</v>
      </c>
      <c r="L15" s="567">
        <f>('C-75'!L15/'C-74'!L15)*1000/31</f>
        <v>6.1453892812453619</v>
      </c>
      <c r="M15" s="567">
        <f>('C-75'!M15/'C-74'!M15)*1000/30</f>
        <v>6.2517477990678412</v>
      </c>
      <c r="N15" s="567">
        <f>('C-75'!N15/'C-74'!N15)*1000/31</f>
        <v>6.2414280732345242</v>
      </c>
    </row>
    <row r="16" spans="1:14" ht="12" customHeight="1">
      <c r="A16" s="271" t="s">
        <v>109</v>
      </c>
      <c r="B16" s="566">
        <f>('C-75'!B16/'C-74'!B16)*1000/365</f>
        <v>4.6114743883766964</v>
      </c>
      <c r="C16" s="567">
        <f>('C-75'!C16/'C-74'!C16)*1000/31</f>
        <v>4.5966585718328261</v>
      </c>
      <c r="D16" s="567">
        <f>('C-75'!D16/'C-74'!D16)*1000/28</f>
        <v>4.5447035339805835</v>
      </c>
      <c r="E16" s="567">
        <f>('C-75'!E16/'C-74'!E16)*1000/31</f>
        <v>4.5670598974358994</v>
      </c>
      <c r="F16" s="567">
        <f>('C-75'!F16/'C-74'!F16)*1000/30</f>
        <v>4.3680621267346602</v>
      </c>
      <c r="G16" s="567">
        <f>('C-75'!G16/'C-74'!G16)*1000/31</f>
        <v>4.3206214652014658</v>
      </c>
      <c r="H16" s="567">
        <f>('C-75'!H16/'C-74'!H16)*1000/30</f>
        <v>4.550934877947296</v>
      </c>
      <c r="I16" s="567">
        <f>('C-75'!I16/'C-74'!I16)*1000/31</f>
        <v>4.5761489165424738</v>
      </c>
      <c r="J16" s="567">
        <f>('C-75'!J16/'C-74'!J16)*1000/31</f>
        <v>4.411901221945139</v>
      </c>
      <c r="K16" s="567">
        <f>('C-75'!K16/'C-74'!K16)*1000/30</f>
        <v>4.5297959666605951</v>
      </c>
      <c r="L16" s="567">
        <f>('C-75'!L16/'C-74'!L16)*1000/31</f>
        <v>6.7185422763157909</v>
      </c>
      <c r="M16" s="567">
        <f>('C-75'!M16/'C-74'!M16)*1000/30</f>
        <v>4.4830137761287627</v>
      </c>
      <c r="N16" s="567">
        <f>('C-75'!N16/'C-74'!N16)*1000/31</f>
        <v>3.8896375498025448</v>
      </c>
    </row>
    <row r="17" spans="1:14" ht="12" customHeight="1">
      <c r="A17" s="269" t="s">
        <v>29</v>
      </c>
      <c r="B17" s="566">
        <f>('C-75'!B17/'C-74'!B17)*1000/365</f>
        <v>3.3918251088444333</v>
      </c>
      <c r="C17" s="567">
        <f>('C-75'!C17/'C-74'!C17)*1000/31</f>
        <v>3.4354634352068998</v>
      </c>
      <c r="D17" s="567">
        <f>('C-75'!D17/'C-74'!D17)*1000/28</f>
        <v>3.5517275828502748</v>
      </c>
      <c r="E17" s="567">
        <f>('C-75'!E17/'C-74'!E17)*1000/31</f>
        <v>3.488924416767242</v>
      </c>
      <c r="F17" s="567">
        <f>('C-75'!F17/'C-74'!F17)*1000/30</f>
        <v>3.5023791757583331</v>
      </c>
      <c r="G17" s="567">
        <f>('C-75'!G17/'C-74'!G17)*1000/31</f>
        <v>3.4687200029957683</v>
      </c>
      <c r="H17" s="567">
        <f>('C-75'!H17/'C-74'!H17)*1000/30</f>
        <v>3.3649566468664238</v>
      </c>
      <c r="I17" s="567">
        <f>('C-75'!I17/'C-74'!I17)*1000/31</f>
        <v>3.285775623192051</v>
      </c>
      <c r="J17" s="567">
        <f>('C-75'!J17/'C-74'!J17)*1000/31</f>
        <v>3.2343882219133069</v>
      </c>
      <c r="K17" s="567">
        <f>('C-75'!K17/'C-74'!K17)*1000/30</f>
        <v>3.2079031773874225</v>
      </c>
      <c r="L17" s="567">
        <f>('C-75'!L17/'C-74'!L17)*1000/31</f>
        <v>3.2906732638362404</v>
      </c>
      <c r="M17" s="567">
        <f>('C-75'!M17/'C-74'!M17)*1000/30</f>
        <v>3.3808770186898247</v>
      </c>
      <c r="N17" s="567">
        <f>('C-75'!N17/'C-74'!N17)*1000/31</f>
        <v>3.4988775523576701</v>
      </c>
    </row>
    <row r="18" spans="1:14" ht="12" customHeight="1">
      <c r="A18" s="217" t="s">
        <v>30</v>
      </c>
      <c r="B18" s="566">
        <f>('C-75'!B18/'C-74'!B18)*1000/365</f>
        <v>3.3549473091756838</v>
      </c>
      <c r="C18" s="567">
        <f>('C-75'!C18/'C-74'!C18)*1000/31</f>
        <v>3.370645899944074</v>
      </c>
      <c r="D18" s="567">
        <f>('C-75'!D18/'C-74'!D18)*1000/28</f>
        <v>3.7360481950217159</v>
      </c>
      <c r="E18" s="567">
        <f>('C-75'!E18/'C-74'!E18)*1000/31</f>
        <v>3.3958226294759819</v>
      </c>
      <c r="F18" s="567">
        <f>('C-75'!F18/'C-74'!F18)*1000/30</f>
        <v>3.4967428508336096</v>
      </c>
      <c r="G18" s="567">
        <f>('C-75'!G18/'C-74'!G18)*1000/31</f>
        <v>3.3914463615903974</v>
      </c>
      <c r="H18" s="567">
        <f>('C-75'!H18/'C-74'!H18)*1000/30</f>
        <v>3.4955849889624719</v>
      </c>
      <c r="I18" s="567">
        <f>('C-75'!I18/'C-74'!I18)*1000/31</f>
        <v>3.3553777816111783</v>
      </c>
      <c r="J18" s="567">
        <f>('C-75'!J18/'C-74'!J18)*1000/31</f>
        <v>3.2597804854358454</v>
      </c>
      <c r="K18" s="567">
        <f>('C-75'!K18/'C-74'!K18)*1000/30</f>
        <v>3.3646709432169164</v>
      </c>
      <c r="L18" s="567">
        <f>('C-75'!L18/'C-74'!L18)*1000/31</f>
        <v>3.2510005560551662</v>
      </c>
      <c r="M18" s="567">
        <f>('C-75'!M18/'C-74'!M18)*1000/30</f>
        <v>3.2181061787926066</v>
      </c>
      <c r="N18" s="567">
        <f>('C-75'!N18/'C-74'!N18)*1000/31</f>
        <v>2.944862290071085</v>
      </c>
    </row>
    <row r="19" spans="1:14" ht="12" customHeight="1">
      <c r="A19" s="217" t="s">
        <v>31</v>
      </c>
      <c r="B19" s="566">
        <f>('C-75'!B19/'C-74'!B19)*1000/365</f>
        <v>13.598821690567823</v>
      </c>
      <c r="C19" s="567">
        <f>('C-75'!C19/'C-74'!C19)*1000/31</f>
        <v>13.397888844346323</v>
      </c>
      <c r="D19" s="567">
        <f>('C-75'!D19/'C-74'!D19)*1000/28</f>
        <v>13.703779815227104</v>
      </c>
      <c r="E19" s="567">
        <f>('C-75'!E19/'C-74'!E19)*1000/31</f>
        <v>12.555384858406459</v>
      </c>
      <c r="F19" s="567">
        <f>('C-75'!F19/'C-74'!F19)*1000/30</f>
        <v>13.443154851972491</v>
      </c>
      <c r="G19" s="567">
        <f>('C-75'!G19/'C-74'!G19)*1000/31</f>
        <v>13.308350426700441</v>
      </c>
      <c r="H19" s="567">
        <f>('C-75'!H19/'C-74'!H19)*1000/30</f>
        <v>13.891733697920511</v>
      </c>
      <c r="I19" s="567">
        <f>('C-75'!I19/'C-74'!I19)*1000/31</f>
        <v>13.378756790683465</v>
      </c>
      <c r="J19" s="567">
        <f>('C-75'!J19/'C-74'!J19)*1000/31</f>
        <v>13.705419012305425</v>
      </c>
      <c r="K19" s="567">
        <f>('C-75'!K19/'C-74'!K19)*1000/30</f>
        <v>14.113934798767581</v>
      </c>
      <c r="L19" s="567">
        <f>('C-75'!L19/'C-74'!L19)*1000/31</f>
        <v>14.002427619277693</v>
      </c>
      <c r="M19" s="567">
        <f>('C-75'!M19/'C-74'!M19)*1000/30</f>
        <v>13.84936325306419</v>
      </c>
      <c r="N19" s="567">
        <f>('C-75'!N19/'C-74'!N19)*1000/31</f>
        <v>13.943954403677441</v>
      </c>
    </row>
    <row r="20" spans="1:14" ht="12" customHeight="1">
      <c r="A20" s="269" t="s">
        <v>32</v>
      </c>
      <c r="B20" s="566">
        <f>('C-75'!B20/'C-74'!B20)*1000/365</f>
        <v>14.919152773413989</v>
      </c>
      <c r="C20" s="567">
        <f>('C-75'!C20/'C-74'!C20)*1000/31</f>
        <v>14.876460746827204</v>
      </c>
      <c r="D20" s="567">
        <f>('C-75'!D20/'C-74'!D20)*1000/28</f>
        <v>15.262162439277274</v>
      </c>
      <c r="E20" s="567">
        <f>('C-75'!E20/'C-74'!E20)*1000/31</f>
        <v>13.897540304087732</v>
      </c>
      <c r="F20" s="567">
        <f>('C-75'!F20/'C-74'!F20)*1000/30</f>
        <v>14.608763806594492</v>
      </c>
      <c r="G20" s="567">
        <f>('C-75'!G20/'C-74'!G20)*1000/31</f>
        <v>14.350773750000007</v>
      </c>
      <c r="H20" s="567">
        <f>('C-75'!H20/'C-74'!H20)*1000/30</f>
        <v>15.204206010272612</v>
      </c>
      <c r="I20" s="567">
        <f>('C-75'!I20/'C-74'!I20)*1000/31</f>
        <v>14.926646642410821</v>
      </c>
      <c r="J20" s="567">
        <f>('C-75'!J20/'C-74'!J20)*1000/31</f>
        <v>13.943278715301288</v>
      </c>
      <c r="K20" s="567">
        <f>('C-75'!K20/'C-74'!K20)*1000/30</f>
        <v>15.319014701692575</v>
      </c>
      <c r="L20" s="567">
        <f>('C-75'!L20/'C-74'!L20)*1000/31</f>
        <v>15.192448845108698</v>
      </c>
      <c r="M20" s="567">
        <f>('C-75'!M20/'C-74'!M20)*1000/30</f>
        <v>16.378496988874563</v>
      </c>
      <c r="N20" s="567">
        <f>('C-75'!N20/'C-74'!N20)*1000/31</f>
        <v>15.009890254491017</v>
      </c>
    </row>
    <row r="21" spans="1:14" ht="12" customHeight="1">
      <c r="A21" s="269" t="s">
        <v>33</v>
      </c>
      <c r="B21" s="566">
        <f>('C-75'!B21/'C-74'!B21)*1000/365</f>
        <v>4.2907019866282958</v>
      </c>
      <c r="C21" s="567">
        <f>('C-75'!C21/'C-74'!C21)*1000/31</f>
        <v>4.4490048784765737</v>
      </c>
      <c r="D21" s="567">
        <f>('C-75'!D21/'C-74'!D21)*1000/28</f>
        <v>4.4762051584453477</v>
      </c>
      <c r="E21" s="567">
        <f>('C-75'!E21/'C-74'!E21)*1000/31</f>
        <v>4.3894099345794411</v>
      </c>
      <c r="F21" s="567">
        <f>('C-75'!F21/'C-74'!F21)*1000/30</f>
        <v>4.3523682063408407</v>
      </c>
      <c r="G21" s="567">
        <f>('C-75'!G21/'C-74'!G21)*1000/31</f>
        <v>4.2480906038735871</v>
      </c>
      <c r="H21" s="567">
        <f>('C-75'!H21/'C-74'!H21)*1000/30</f>
        <v>4.1845997479395232</v>
      </c>
      <c r="I21" s="567">
        <f>('C-75'!I21/'C-74'!I21)*1000/31</f>
        <v>4.2963827384707169</v>
      </c>
      <c r="J21" s="567">
        <f>('C-75'!J21/'C-74'!J21)*1000/31</f>
        <v>4.2795358670621075</v>
      </c>
      <c r="K21" s="567">
        <f>('C-75'!K21/'C-74'!K21)*1000/30</f>
        <v>4.2014040413823146</v>
      </c>
      <c r="L21" s="567">
        <f>('C-75'!L21/'C-74'!L21)*1000/31</f>
        <v>4.1999558467930642</v>
      </c>
      <c r="M21" s="567">
        <f>('C-75'!M21/'C-74'!M21)*1000/30</f>
        <v>4.1687299901367281</v>
      </c>
      <c r="N21" s="567">
        <f>('C-75'!N21/'C-74'!N21)*1000/31</f>
        <v>4.2368937538981868</v>
      </c>
    </row>
    <row r="22" spans="1:14" ht="12" customHeight="1">
      <c r="A22" s="269" t="s">
        <v>34</v>
      </c>
      <c r="B22" s="566">
        <f>('C-75'!B22/'C-74'!B22)*1000/365</f>
        <v>3.2379050688607709</v>
      </c>
      <c r="C22" s="567">
        <f>('C-75'!C22/'C-74'!C22)*1000/31</f>
        <v>2.5339066275815214</v>
      </c>
      <c r="D22" s="567">
        <f>('C-75'!D22/'C-74'!D22)*1000/28</f>
        <v>3.3696143068796118</v>
      </c>
      <c r="E22" s="567">
        <f>('C-75'!E22/'C-74'!E22)*1000/31</f>
        <v>3.3674452505095105</v>
      </c>
      <c r="F22" s="567">
        <f>('C-75'!F22/'C-74'!F22)*1000/30</f>
        <v>3.1161757479823371</v>
      </c>
      <c r="G22" s="567">
        <f>('C-75'!G22/'C-74'!G22)*1000/31</f>
        <v>3.4080623460390673</v>
      </c>
      <c r="H22" s="567">
        <f>('C-75'!H22/'C-74'!H22)*1000/30</f>
        <v>3.4769486903702438</v>
      </c>
      <c r="I22" s="567">
        <f>('C-75'!I22/'C-74'!I22)*1000/31</f>
        <v>3.2752405705842391</v>
      </c>
      <c r="J22" s="567">
        <f>('C-75'!J22/'C-74'!J22)*1000/31</f>
        <v>3.2054284892323368</v>
      </c>
      <c r="K22" s="567">
        <f>('C-75'!K22/'C-74'!K22)*1000/30</f>
        <v>3.3221602027173915</v>
      </c>
      <c r="L22" s="567">
        <f>('C-75'!L22/'C-74'!L22)*1000/31</f>
        <v>3.3534768726600666</v>
      </c>
      <c r="M22" s="567">
        <f>('C-75'!M22/'C-74'!M22)*1000/30</f>
        <v>3.4172406547316569</v>
      </c>
      <c r="N22" s="567">
        <f>('C-75'!N22/'C-74'!N22)*1000/31</f>
        <v>3.0426293217022047</v>
      </c>
    </row>
    <row r="23" spans="1:14" ht="12" customHeight="1">
      <c r="A23" s="269" t="s">
        <v>35</v>
      </c>
      <c r="B23" s="566">
        <f>('C-75'!B23/'C-74'!B23)*1000/365</f>
        <v>3.8526144675231029</v>
      </c>
      <c r="C23" s="567">
        <f>('C-75'!C23/'C-74'!C23)*1000/31</f>
        <v>3.900089492799959</v>
      </c>
      <c r="D23" s="567">
        <f>('C-75'!D23/'C-74'!D23)*1000/28</f>
        <v>4.0232585509440009</v>
      </c>
      <c r="E23" s="567">
        <f>('C-75'!E23/'C-74'!E23)*1000/31</f>
        <v>3.9180752907394103</v>
      </c>
      <c r="F23" s="567">
        <f>('C-75'!F23/'C-74'!F23)*1000/30</f>
        <v>3.9143551709973026</v>
      </c>
      <c r="G23" s="567">
        <f>('C-75'!G23/'C-74'!G23)*1000/31</f>
        <v>3.9260383836304387</v>
      </c>
      <c r="H23" s="567">
        <f>('C-75'!H23/'C-74'!H23)*1000/30</f>
        <v>3.8837318276605943</v>
      </c>
      <c r="I23" s="567">
        <f>('C-75'!I23/'C-74'!I23)*1000/31</f>
        <v>3.7802190078790399</v>
      </c>
      <c r="J23" s="567">
        <f>('C-75'!J23/'C-74'!J23)*1000/31</f>
        <v>3.7357854574541016</v>
      </c>
      <c r="K23" s="567">
        <f>('C-75'!K23/'C-74'!K23)*1000/30</f>
        <v>3.7073187310818048</v>
      </c>
      <c r="L23" s="567">
        <f>('C-75'!L23/'C-74'!L23)*1000/31</f>
        <v>3.6424297738291544</v>
      </c>
      <c r="M23" s="567">
        <f>('C-75'!M23/'C-74'!M23)*1000/30</f>
        <v>3.7136734507405493</v>
      </c>
      <c r="N23" s="567">
        <f>('C-75'!N23/'C-74'!N23)*1000/31</f>
        <v>4.0877068811878763</v>
      </c>
    </row>
    <row r="24" spans="1:14" ht="12" customHeight="1">
      <c r="A24" s="269" t="s">
        <v>36</v>
      </c>
      <c r="B24" s="566">
        <f>('C-75'!B24/'C-74'!B24)*1000/365</f>
        <v>5.2565940886211848</v>
      </c>
      <c r="C24" s="567">
        <f>('C-75'!C24/'C-74'!C24)*1000/31</f>
        <v>4.6221681923960194</v>
      </c>
      <c r="D24" s="567">
        <f>('C-75'!D24/'C-74'!D24)*1000/28</f>
        <v>5.0277453499286215</v>
      </c>
      <c r="E24" s="567">
        <f>('C-75'!E24/'C-74'!E24)*1000/31</f>
        <v>4.4323629319919524</v>
      </c>
      <c r="F24" s="567">
        <f>('C-75'!F24/'C-74'!F24)*1000/30</f>
        <v>5.2984254235569059</v>
      </c>
      <c r="G24" s="567">
        <f>('C-75'!G24/'C-74'!G24)*1000/31</f>
        <v>5.4085234647887352</v>
      </c>
      <c r="H24" s="567">
        <f>('C-75'!H24/'C-74'!H24)*1000/30</f>
        <v>5.4131100011345366</v>
      </c>
      <c r="I24" s="567">
        <f>('C-75'!I24/'C-74'!I24)*1000/31</f>
        <v>5.1583918945959972</v>
      </c>
      <c r="J24" s="567">
        <f>('C-75'!J24/'C-74'!J24)*1000/31</f>
        <v>6.4989491112793338</v>
      </c>
      <c r="K24" s="567">
        <f>('C-75'!K24/'C-74'!K24)*1000/30</f>
        <v>5.8896359949848049</v>
      </c>
      <c r="L24" s="567">
        <f>('C-75'!L24/'C-74'!L24)*1000/31</f>
        <v>5.1794617634730562</v>
      </c>
      <c r="M24" s="567">
        <f>('C-75'!M24/'C-74'!M24)*1000/30</f>
        <v>5.0243152876649715</v>
      </c>
      <c r="N24" s="567">
        <f>('C-75'!N24/'C-74'!N24)*1000/31</f>
        <v>5.1565382371189648</v>
      </c>
    </row>
    <row r="25" spans="1:14" ht="12" customHeight="1">
      <c r="A25" s="217" t="s">
        <v>37</v>
      </c>
      <c r="B25" s="566">
        <f>('C-75'!B25/'C-74'!B25)*1000/365</f>
        <v>12.930753403420374</v>
      </c>
      <c r="C25" s="567">
        <f>('C-75'!C25/'C-74'!C25)*1000/31</f>
        <v>13.255290889377919</v>
      </c>
      <c r="D25" s="567">
        <f>('C-75'!D25/'C-74'!D25)*1000/28</f>
        <v>12.714546340468447</v>
      </c>
      <c r="E25" s="567">
        <f>('C-75'!E25/'C-74'!E25)*1000/31</f>
        <v>12.924494355020123</v>
      </c>
      <c r="F25" s="567">
        <f>('C-75'!F25/'C-74'!F25)*1000/30</f>
        <v>12.998586620633523</v>
      </c>
      <c r="G25" s="567">
        <f>('C-75'!G25/'C-74'!G25)*1000/31</f>
        <v>13.088778970918364</v>
      </c>
      <c r="H25" s="567">
        <f>('C-75'!H25/'C-74'!H25)*1000/30</f>
        <v>12.799993412297919</v>
      </c>
      <c r="I25" s="567">
        <f>('C-75'!I25/'C-74'!I25)*1000/31</f>
        <v>12.863219594550037</v>
      </c>
      <c r="J25" s="567">
        <f>('C-75'!J25/'C-74'!J25)*1000/31</f>
        <v>12.887541210968459</v>
      </c>
      <c r="K25" s="567">
        <f>('C-75'!K25/'C-74'!K25)*1000/30</f>
        <v>12.965230236644953</v>
      </c>
      <c r="L25" s="567">
        <f>('C-75'!L25/'C-74'!L25)*1000/31</f>
        <v>12.879181396157568</v>
      </c>
      <c r="M25" s="567">
        <f>('C-75'!M25/'C-74'!M25)*1000/30</f>
        <v>12.897125244308276</v>
      </c>
      <c r="N25" s="567">
        <f>('C-75'!N25/'C-74'!N25)*1000/31</f>
        <v>12.875164440939972</v>
      </c>
    </row>
    <row r="26" spans="1:14" ht="12" customHeight="1">
      <c r="A26" s="269" t="s">
        <v>38</v>
      </c>
      <c r="B26" s="566">
        <f>('C-75'!B26/'C-74'!B26)*1000/365</f>
        <v>8.4916388704110677</v>
      </c>
      <c r="C26" s="567">
        <f>('C-75'!C26/'C-74'!C26)*1000/31</f>
        <v>8.5469210032980403</v>
      </c>
      <c r="D26" s="567">
        <f>('C-75'!D26/'C-74'!D26)*1000/28</f>
        <v>8.3007350525839083</v>
      </c>
      <c r="E26" s="567">
        <f>('C-75'!E26/'C-74'!E26)*1000/31</f>
        <v>8.3377674754683326</v>
      </c>
      <c r="F26" s="567">
        <f>('C-75'!F26/'C-74'!F26)*1000/30</f>
        <v>8.5045568903293631</v>
      </c>
      <c r="G26" s="567">
        <f>('C-75'!G26/'C-74'!G26)*1000/31</f>
        <v>8.6369644040902713</v>
      </c>
      <c r="H26" s="567">
        <f>('C-75'!H26/'C-74'!H26)*1000/30</f>
        <v>8.494974825211866</v>
      </c>
      <c r="I26" s="567">
        <f>('C-75'!I26/'C-74'!I26)*1000/31</f>
        <v>8.2971594038325041</v>
      </c>
      <c r="J26" s="567">
        <f>('C-75'!J26/'C-74'!J26)*1000/31</f>
        <v>8.4882137380191693</v>
      </c>
      <c r="K26" s="567">
        <f>('C-75'!K26/'C-74'!K26)*1000/30</f>
        <v>8.5274944147514695</v>
      </c>
      <c r="L26" s="567">
        <f>('C-75'!L26/'C-74'!L26)*1000/31</f>
        <v>8.5833522528940325</v>
      </c>
      <c r="M26" s="567">
        <f>('C-75'!M26/'C-74'!M26)*1000/30</f>
        <v>8.6130500649350665</v>
      </c>
      <c r="N26" s="567">
        <f>('C-75'!N26/'C-74'!N26)*1000/31</f>
        <v>8.5525605897658288</v>
      </c>
    </row>
    <row r="27" spans="1:14" ht="12" customHeight="1">
      <c r="A27" s="269" t="s">
        <v>39</v>
      </c>
      <c r="B27" s="566">
        <f>('C-75'!B27/'C-74'!B27)*1000/365</f>
        <v>11.768586554297272</v>
      </c>
      <c r="C27" s="567">
        <f>('C-75'!C27/'C-74'!C27)*1000/31</f>
        <v>11.865175456919063</v>
      </c>
      <c r="D27" s="567">
        <f>('C-75'!D27/'C-74'!D27)*1000/28</f>
        <v>11.738558717023396</v>
      </c>
      <c r="E27" s="567">
        <f>('C-75'!E27/'C-74'!E27)*1000/31</f>
        <v>11.839143157894739</v>
      </c>
      <c r="F27" s="567">
        <f>('C-75'!F27/'C-74'!F27)*1000/30</f>
        <v>11.778120421052632</v>
      </c>
      <c r="G27" s="567">
        <f>('C-75'!G27/'C-74'!G27)*1000/31</f>
        <v>11.682048947368424</v>
      </c>
      <c r="H27" s="567">
        <f>('C-75'!H27/'C-74'!H27)*1000/30</f>
        <v>11.578398468040149</v>
      </c>
      <c r="I27" s="567">
        <f>('C-75'!I27/'C-74'!I27)*1000/31</f>
        <v>11.56988761669896</v>
      </c>
      <c r="J27" s="567">
        <f>('C-75'!J27/'C-74'!J27)*1000/31</f>
        <v>11.597739957716701</v>
      </c>
      <c r="K27" s="567">
        <f>('C-75'!K27/'C-74'!K27)*1000/30</f>
        <v>11.853350643171808</v>
      </c>
      <c r="L27" s="567">
        <f>('C-75'!L27/'C-74'!L27)*1000/31</f>
        <v>11.827035356200531</v>
      </c>
      <c r="M27" s="567">
        <f>('C-75'!M27/'C-74'!M27)*1000/30</f>
        <v>11.913513415710502</v>
      </c>
      <c r="N27" s="567">
        <f>('C-75'!N27/'C-74'!N27)*1000/31</f>
        <v>11.984884554280674</v>
      </c>
    </row>
    <row r="28" spans="1:14" ht="12" customHeight="1">
      <c r="A28" s="269" t="s">
        <v>40</v>
      </c>
      <c r="B28" s="566">
        <f>('C-75'!B28/'C-74'!B28)*1000/365</f>
        <v>5.3978703702131483</v>
      </c>
      <c r="C28" s="567">
        <f>('C-75'!C28/'C-74'!C28)*1000/31</f>
        <v>4.9969708542713569</v>
      </c>
      <c r="D28" s="567">
        <f>('C-75'!D28/'C-74'!D28)*1000/28</f>
        <v>4.9903797287086764</v>
      </c>
      <c r="E28" s="567">
        <f>('C-75'!E28/'C-74'!E28)*1000/31</f>
        <v>5.4687799610894947</v>
      </c>
      <c r="F28" s="567">
        <f>('C-75'!F28/'C-74'!F28)*1000/30</f>
        <v>5.9731269223007066</v>
      </c>
      <c r="G28" s="567">
        <f>('C-75'!G28/'C-74'!G28)*1000/31</f>
        <v>6.0334790585123788</v>
      </c>
      <c r="H28" s="567">
        <f>('C-75'!H28/'C-74'!H28)*1000/30</f>
        <v>5.3744332661229048</v>
      </c>
      <c r="I28" s="567">
        <f>('C-75'!I28/'C-74'!I28)*1000/31</f>
        <v>4.8373955268618865</v>
      </c>
      <c r="J28" s="567">
        <f>('C-75'!J28/'C-74'!J28)*1000/31</f>
        <v>4.4136855612427102</v>
      </c>
      <c r="K28" s="567">
        <f>('C-75'!K28/'C-74'!K28)*1000/30</f>
        <v>4.8243267588558441</v>
      </c>
      <c r="L28" s="567">
        <f>('C-75'!L28/'C-74'!L28)*1000/31</f>
        <v>5.1329396282327586</v>
      </c>
      <c r="M28" s="567">
        <f>('C-75'!M28/'C-74'!M28)*1000/30</f>
        <v>5.2389677131824515</v>
      </c>
      <c r="N28" s="567">
        <f>('C-75'!N28/'C-74'!N28)*1000/31</f>
        <v>4.5751119956077195</v>
      </c>
    </row>
    <row r="29" spans="1:14" ht="12" customHeight="1">
      <c r="A29" s="217" t="s">
        <v>41</v>
      </c>
      <c r="B29" s="566">
        <f>('C-75'!B29/'C-74'!B29)*1000/365</f>
        <v>2.8753173012004836</v>
      </c>
      <c r="C29" s="567">
        <f>('C-75'!C29/'C-74'!C29)*1000/31</f>
        <v>3.5385795179232864</v>
      </c>
      <c r="D29" s="567">
        <f>('C-75'!D29/'C-74'!D29)*1000/28</f>
        <v>3.7998523383435447</v>
      </c>
      <c r="E29" s="567">
        <f>('C-75'!E29/'C-74'!E29)*1000/31</f>
        <v>3.4320725136682508</v>
      </c>
      <c r="F29" s="567">
        <f>('C-75'!F29/'C-74'!F29)*1000/30</f>
        <v>3.6284363398692809</v>
      </c>
      <c r="G29" s="567">
        <f>('C-75'!G29/'C-74'!G29)*1000/31</f>
        <v>3.1398322697734327</v>
      </c>
      <c r="H29" s="567">
        <f>('C-75'!H29/'C-74'!H29)*1000/30</f>
        <v>3.2013250202757506</v>
      </c>
      <c r="I29" s="567">
        <f>('C-75'!I29/'C-74'!I29)*1000/31</f>
        <v>2.7915121650633279</v>
      </c>
      <c r="J29" s="567">
        <f>('C-75'!J29/'C-74'!J29)*1000/31</f>
        <v>2.4822072104335802</v>
      </c>
      <c r="K29" s="567">
        <f>('C-75'!K29/'C-74'!K29)*1000/30</f>
        <v>2.3129531970995387</v>
      </c>
      <c r="L29" s="567">
        <f>('C-75'!L29/'C-74'!L29)*1000/31</f>
        <v>2.0603639643463496</v>
      </c>
      <c r="M29" s="567">
        <f>('C-75'!M29/'C-74'!M29)*1000/30</f>
        <v>2.063418353354177</v>
      </c>
      <c r="N29" s="567">
        <f>('C-75'!N29/'C-74'!N29)*1000/31</f>
        <v>1.9243567337656868</v>
      </c>
    </row>
    <row r="30" spans="1:14" ht="12" customHeight="1">
      <c r="A30" s="271" t="s">
        <v>111</v>
      </c>
      <c r="B30" s="566">
        <f>('C-75'!B30/'C-74'!B30)*1000/365</f>
        <v>2.4945046786932488</v>
      </c>
      <c r="C30" s="567">
        <f>('C-75'!C30/'C-74'!C30)*1000/31</f>
        <v>3.3497137481957222</v>
      </c>
      <c r="D30" s="567">
        <f>('C-75'!D30/'C-74'!D30)*1000/28</f>
        <v>3.5275500277932186</v>
      </c>
      <c r="E30" s="567">
        <f>('C-75'!E30/'C-74'!E30)*1000/31</f>
        <v>3.1812850035981355</v>
      </c>
      <c r="F30" s="567">
        <f>('C-75'!F30/'C-74'!F30)*1000/30</f>
        <v>3.3247871333964047</v>
      </c>
      <c r="G30" s="567">
        <f>('C-75'!G30/'C-74'!G30)*1000/31</f>
        <v>2.6465472949067022</v>
      </c>
      <c r="H30" s="567">
        <f>('C-75'!H30/'C-74'!H30)*1000/30</f>
        <v>2.6947771921418302</v>
      </c>
      <c r="I30" s="567">
        <f>('C-75'!I30/'C-74'!I30)*1000/31</f>
        <v>2.427690356077794</v>
      </c>
      <c r="J30" s="567">
        <f>('C-75'!J30/'C-74'!J30)*1000/31</f>
        <v>2.2767488184095668</v>
      </c>
      <c r="K30" s="567">
        <f>('C-75'!K30/'C-74'!K30)*1000/30</f>
        <v>1.9371152154793314</v>
      </c>
      <c r="L30" s="567">
        <f>('C-75'!L30/'C-74'!L30)*1000/31</f>
        <v>1.7254665352323328</v>
      </c>
      <c r="M30" s="567">
        <f>('C-75'!M30/'C-74'!M30)*1000/30</f>
        <v>1.4056317240152929</v>
      </c>
      <c r="N30" s="567">
        <f>('C-75'!N30/'C-74'!N30)*1000/31</f>
        <v>1.2097545917579873</v>
      </c>
    </row>
    <row r="31" spans="1:14" ht="12" customHeight="1">
      <c r="A31" s="271" t="s">
        <v>112</v>
      </c>
      <c r="B31" s="566">
        <f>('C-75'!B31/'C-74'!B31)*1000/365</f>
        <v>3.5217417113389176</v>
      </c>
      <c r="C31" s="567">
        <f>('C-75'!C31/'C-74'!C31)*1000/31</f>
        <v>3.8534085624993244</v>
      </c>
      <c r="D31" s="567">
        <f>('C-75'!D31/'C-74'!D31)*1000/28</f>
        <v>4.2723025919228448</v>
      </c>
      <c r="E31" s="567">
        <f>('C-75'!E31/'C-74'!E31)*1000/31</f>
        <v>3.8669958490463658</v>
      </c>
      <c r="F31" s="567">
        <f>('C-75'!F31/'C-74'!F31)*1000/30</f>
        <v>4.1629196225367746</v>
      </c>
      <c r="G31" s="567">
        <f>('C-75'!G31/'C-74'!G31)*1000/31</f>
        <v>3.9954307745670907</v>
      </c>
      <c r="H31" s="567">
        <f>('C-75'!H31/'C-74'!H31)*1000/30</f>
        <v>4.0815625867332779</v>
      </c>
      <c r="I31" s="567">
        <f>('C-75'!I31/'C-74'!I31)*1000/31</f>
        <v>3.4237475408952491</v>
      </c>
      <c r="J31" s="567">
        <f>('C-75'!J31/'C-74'!J31)*1000/31</f>
        <v>2.837941095913382</v>
      </c>
      <c r="K31" s="567">
        <f>('C-75'!K31/'C-74'!K31)*1000/30</f>
        <v>2.9382499268364062</v>
      </c>
      <c r="L31" s="567">
        <f>('C-75'!L31/'C-74'!L31)*1000/31</f>
        <v>2.6169623185130781</v>
      </c>
      <c r="M31" s="567">
        <f>('C-75'!M31/'C-74'!M31)*1000/30</f>
        <v>3.1227147766323022</v>
      </c>
      <c r="N31" s="567">
        <f>('C-75'!N31/'C-74'!N31)*1000/31</f>
        <v>3.0605922613366787</v>
      </c>
    </row>
    <row r="32" spans="1:14" ht="12" customHeight="1">
      <c r="A32" s="269" t="s">
        <v>44</v>
      </c>
      <c r="B32" s="566">
        <f>('C-75'!B32/'C-74'!B32)*1000/365</f>
        <v>3.7670523781339647</v>
      </c>
      <c r="C32" s="567">
        <f>('C-75'!C32/'C-74'!C32)*1000/31</f>
        <v>3.7716259844865045</v>
      </c>
      <c r="D32" s="567">
        <f>('C-75'!D32/'C-74'!D32)*1000/28</f>
        <v>3.8745081949824942</v>
      </c>
      <c r="E32" s="567">
        <f>('C-75'!E32/'C-74'!E32)*1000/31</f>
        <v>3.9952696715817693</v>
      </c>
      <c r="F32" s="567">
        <f>('C-75'!F32/'C-74'!F32)*1000/30</f>
        <v>4.0811123581322635</v>
      </c>
      <c r="G32" s="567">
        <f>('C-75'!G32/'C-74'!G32)*1000/31</f>
        <v>4.0798931188561225</v>
      </c>
      <c r="H32" s="567">
        <f>('C-75'!H32/'C-74'!H32)*1000/30</f>
        <v>3.8298823719094433</v>
      </c>
      <c r="I32" s="567">
        <f>('C-75'!I32/'C-74'!I32)*1000/31</f>
        <v>3.7020070598748891</v>
      </c>
      <c r="J32" s="567">
        <f>('C-75'!J32/'C-74'!J32)*1000/31</f>
        <v>3.5807994079535286</v>
      </c>
      <c r="K32" s="567">
        <f>('C-75'!K32/'C-74'!K32)*1000/30</f>
        <v>3.5094202412868629</v>
      </c>
      <c r="L32" s="567">
        <f>('C-75'!L32/'C-74'!L32)*1000/31</f>
        <v>3.5102394065009372</v>
      </c>
      <c r="M32" s="567">
        <f>('C-75'!M32/'C-74'!M32)*1000/30</f>
        <v>3.5788573766646388</v>
      </c>
      <c r="N32" s="567">
        <f>('C-75'!N32/'C-74'!N32)*1000/31</f>
        <v>3.6992252150490916</v>
      </c>
    </row>
    <row r="33" spans="1:14" ht="12" customHeight="1">
      <c r="A33" s="269" t="s">
        <v>45</v>
      </c>
      <c r="B33" s="566">
        <f>('C-75'!B33/'C-74'!B33)*1000/365</f>
        <v>3.6266166052776945</v>
      </c>
      <c r="C33" s="567">
        <f>('C-75'!C33/'C-74'!C33)*1000/31</f>
        <v>3.4935519900688985</v>
      </c>
      <c r="D33" s="567">
        <f>('C-75'!D33/'C-74'!D33)*1000/28</f>
        <v>4.1303980750559335</v>
      </c>
      <c r="E33" s="567">
        <f>('C-75'!E33/'C-74'!E33)*1000/31</f>
        <v>4.1277359633186261</v>
      </c>
      <c r="F33" s="567">
        <f>('C-75'!F33/'C-74'!F33)*1000/30</f>
        <v>4.1324016001391426</v>
      </c>
      <c r="G33" s="567">
        <f>('C-75'!G33/'C-74'!G33)*1000/31</f>
        <v>4.0815428147323507</v>
      </c>
      <c r="H33" s="567">
        <f>('C-75'!H33/'C-74'!H33)*1000/30</f>
        <v>3.9788595271210019</v>
      </c>
      <c r="I33" s="567">
        <f>('C-75'!I33/'C-74'!I33)*1000/31</f>
        <v>3.4873765118119131</v>
      </c>
      <c r="J33" s="567">
        <f>('C-75'!J33/'C-74'!J33)*1000/31</f>
        <v>3.1333901386048617</v>
      </c>
      <c r="K33" s="567">
        <f>('C-75'!K33/'C-74'!K33)*1000/30</f>
        <v>2.840769779044904</v>
      </c>
      <c r="L33" s="567">
        <f>('C-75'!L33/'C-74'!L33)*1000/31</f>
        <v>2.8931090954900478</v>
      </c>
      <c r="M33" s="567">
        <f>('C-75'!M33/'C-74'!M33)*1000/30</f>
        <v>3.2173025621936846</v>
      </c>
      <c r="N33" s="567">
        <f>('C-75'!N33/'C-74'!N33)*1000/31</f>
        <v>3.2952914267686726</v>
      </c>
    </row>
    <row r="34" spans="1:14" ht="12" customHeight="1">
      <c r="A34" s="217" t="s">
        <v>46</v>
      </c>
      <c r="B34" s="566">
        <f>('C-75'!B34/'C-74'!B34)*1000/365</f>
        <v>4.6884430717214229</v>
      </c>
      <c r="C34" s="567">
        <f>('C-75'!C34/'C-74'!C34)*1000/31</f>
        <v>4.4743630093546871</v>
      </c>
      <c r="D34" s="567">
        <f>('C-75'!D34/'C-74'!D34)*1000/28</f>
        <v>5.2209639762784432</v>
      </c>
      <c r="E34" s="567">
        <f>('C-75'!E34/'C-74'!E34)*1000/31</f>
        <v>5.2624536449177963</v>
      </c>
      <c r="F34" s="567">
        <f>('C-75'!F34/'C-74'!F34)*1000/30</f>
        <v>5.1093707706157732</v>
      </c>
      <c r="G34" s="567">
        <f>('C-75'!G34/'C-74'!G34)*1000/31</f>
        <v>5.0091720414592036</v>
      </c>
      <c r="H34" s="567">
        <f>('C-75'!H34/'C-74'!H34)*1000/30</f>
        <v>5.149987773854245</v>
      </c>
      <c r="I34" s="567">
        <f>('C-75'!I34/'C-74'!I34)*1000/31</f>
        <v>4.7319638498537211</v>
      </c>
      <c r="J34" s="567">
        <f>('C-75'!J34/'C-74'!J34)*1000/31</f>
        <v>4.5731145364952281</v>
      </c>
      <c r="K34" s="567">
        <f>('C-75'!K34/'C-74'!K34)*1000/30</f>
        <v>4.3519435036825511</v>
      </c>
      <c r="L34" s="567">
        <f>('C-75'!L34/'C-74'!L34)*1000/31</f>
        <v>4.180995688273855</v>
      </c>
      <c r="M34" s="567">
        <f>('C-75'!M34/'C-74'!M34)*1000/30</f>
        <v>4.267220128067259</v>
      </c>
      <c r="N34" s="567">
        <f>('C-75'!N34/'C-74'!N34)*1000/31</f>
        <v>4.0295163111861294</v>
      </c>
    </row>
    <row r="35" spans="1:14" ht="12" customHeight="1">
      <c r="A35" s="217" t="s">
        <v>47</v>
      </c>
      <c r="B35" s="566">
        <f>('C-75'!B35/'C-74'!B35)*1000/365</f>
        <v>3.9382426923259231</v>
      </c>
      <c r="C35" s="567">
        <f>('C-75'!C35/'C-74'!C35)*1000/31</f>
        <v>3.6359387510008014</v>
      </c>
      <c r="D35" s="567">
        <f>('C-75'!D35/'C-74'!D35)*1000/28</f>
        <v>4.1686281250000006</v>
      </c>
      <c r="E35" s="567">
        <f>('C-75'!E35/'C-74'!E35)*1000/31</f>
        <v>3.9252728209830234</v>
      </c>
      <c r="F35" s="567">
        <f>('C-75'!F35/'C-74'!F35)*1000/30</f>
        <v>4.263416408094435</v>
      </c>
      <c r="G35" s="567">
        <f>('C-75'!G35/'C-74'!G35)*1000/31</f>
        <v>3.7610118067171121</v>
      </c>
      <c r="H35" s="567">
        <f>('C-75'!H35/'C-74'!H35)*1000/30</f>
        <v>4.084965673289183</v>
      </c>
      <c r="I35" s="567">
        <f>('C-75'!I35/'C-74'!I35)*1000/31</f>
        <v>3.9285489694971152</v>
      </c>
      <c r="J35" s="567">
        <f>('C-75'!J35/'C-74'!J35)*1000/31</f>
        <v>3.9479558823529413</v>
      </c>
      <c r="K35" s="567">
        <f>('C-75'!K35/'C-74'!K35)*1000/30</f>
        <v>4.0732425239616621</v>
      </c>
      <c r="L35" s="567">
        <f>('C-75'!L35/'C-74'!L35)*1000/31</f>
        <v>3.7437256873527098</v>
      </c>
      <c r="M35" s="567">
        <f>('C-75'!M35/'C-74'!M35)*1000/30</f>
        <v>3.8786048358686953</v>
      </c>
      <c r="N35" s="567">
        <f>('C-75'!N35/'C-74'!N35)*1000/31</f>
        <v>3.9065079136690648</v>
      </c>
    </row>
    <row r="36" spans="1:14" ht="12" customHeight="1">
      <c r="A36" s="217" t="s">
        <v>48</v>
      </c>
      <c r="B36" s="566">
        <f>('C-75'!B36/'C-74'!B36)*1000/365</f>
        <v>4.2224169872847055</v>
      </c>
      <c r="C36" s="567">
        <f>('C-75'!C36/'C-74'!C36)*1000/31</f>
        <v>4.4623908372714194</v>
      </c>
      <c r="D36" s="567">
        <f>('C-75'!D36/'C-74'!D36)*1000/28</f>
        <v>5.0659770626581562</v>
      </c>
      <c r="E36" s="567">
        <f>('C-75'!E36/'C-74'!E36)*1000/31</f>
        <v>4.7702124227340077</v>
      </c>
      <c r="F36" s="567">
        <f>('C-75'!F36/'C-74'!F36)*1000/30</f>
        <v>4.3535657302758741</v>
      </c>
      <c r="G36" s="567">
        <f>('C-75'!G36/'C-74'!G36)*1000/31</f>
        <v>4.6640981365013792</v>
      </c>
      <c r="H36" s="567">
        <f>('C-75'!H36/'C-74'!H36)*1000/30</f>
        <v>4.5180252457953971</v>
      </c>
      <c r="I36" s="567">
        <f>('C-75'!I36/'C-74'!I36)*1000/31</f>
        <v>4.4328283731229137</v>
      </c>
      <c r="J36" s="567">
        <f>('C-75'!J36/'C-74'!J36)*1000/31</f>
        <v>4.1328410953833847</v>
      </c>
      <c r="K36" s="567">
        <f>('C-75'!K36/'C-74'!K36)*1000/30</f>
        <v>3.3809395490882959</v>
      </c>
      <c r="L36" s="567">
        <f>('C-75'!L36/'C-74'!L36)*1000/31</f>
        <v>2.9551217218327581</v>
      </c>
      <c r="M36" s="567">
        <f>('C-75'!M36/'C-74'!M36)*1000/30</f>
        <v>4.1594003800577388</v>
      </c>
      <c r="N36" s="567">
        <f>('C-75'!N36/'C-74'!N36)*1000/31</f>
        <v>3.7493558374113651</v>
      </c>
    </row>
    <row r="37" spans="1:14" ht="12" customHeight="1" thickBot="1">
      <c r="A37" s="272" t="s">
        <v>49</v>
      </c>
      <c r="B37" s="568">
        <f>('C-75'!B37/'C-74'!B37)*1000/365</f>
        <v>3.4144813655348947</v>
      </c>
      <c r="C37" s="569">
        <f>('C-75'!C37/'C-74'!C37)*1000/31</f>
        <v>5.4687480000000006</v>
      </c>
      <c r="D37" s="569">
        <f>('C-75'!D37/'C-74'!D37)*1000/28</f>
        <v>3.4004275700187967</v>
      </c>
      <c r="E37" s="569">
        <f>('C-75'!E37/'C-74'!E37)*1000/31</f>
        <v>3.199352659509203</v>
      </c>
      <c r="F37" s="569">
        <f>('C-75'!F37/'C-74'!F37)*1000/30</f>
        <v>3.2265396750000002</v>
      </c>
      <c r="G37" s="569">
        <f>('C-75'!G37/'C-74'!G37)*1000/31</f>
        <v>3.1103821248175181</v>
      </c>
      <c r="H37" s="569">
        <f>('C-75'!H37/'C-74'!H37)*1000/30</f>
        <v>3.1870213436713555</v>
      </c>
      <c r="I37" s="569">
        <f>('C-75'!I37/'C-74'!I37)*1000/31</f>
        <v>2.8856346897568161</v>
      </c>
      <c r="J37" s="569">
        <f>('C-75'!J37/'C-74'!J37)*1000/31</f>
        <v>2.7333123953313252</v>
      </c>
      <c r="K37" s="569">
        <f>('C-75'!K37/'C-74'!K37)*1000/30</f>
        <v>3.5153559462423316</v>
      </c>
      <c r="L37" s="569">
        <f>('C-75'!L37/'C-74'!L37)*1000/31</f>
        <v>3.5876428299319731</v>
      </c>
      <c r="M37" s="569">
        <f>('C-75'!M37/'C-74'!M37)*1000/30</f>
        <v>3.5980837322995467</v>
      </c>
      <c r="N37" s="569">
        <f>('C-75'!N37/'C-74'!N37)*1000/31</f>
        <v>3.0138185207941808</v>
      </c>
    </row>
    <row r="38" spans="1:14" ht="10" customHeight="1">
      <c r="A38" s="28" t="s">
        <v>238</v>
      </c>
      <c r="B38" s="538"/>
      <c r="C38" s="538"/>
      <c r="D38" s="538"/>
      <c r="E38" s="538"/>
      <c r="F38" s="538"/>
      <c r="G38" s="277"/>
      <c r="H38" s="277"/>
      <c r="I38" s="277"/>
      <c r="J38" s="277"/>
      <c r="K38" s="277"/>
      <c r="L38" s="277"/>
      <c r="M38" s="277"/>
      <c r="N38" s="277"/>
    </row>
    <row r="39" spans="1:14" ht="10" customHeight="1">
      <c r="A39" s="28" t="s">
        <v>192</v>
      </c>
      <c r="B39" s="538"/>
      <c r="C39" s="538"/>
      <c r="D39" s="538"/>
      <c r="E39" s="538"/>
      <c r="F39" s="538"/>
      <c r="G39" s="277"/>
      <c r="H39" s="277"/>
      <c r="I39" s="277"/>
      <c r="J39" s="277"/>
      <c r="K39" s="277"/>
      <c r="L39" s="277"/>
      <c r="M39" s="277"/>
      <c r="N39" s="277"/>
    </row>
    <row r="40" spans="1:14" ht="10" customHeight="1">
      <c r="A40" s="40" t="s">
        <v>261</v>
      </c>
      <c r="B40" s="538"/>
      <c r="C40" s="538"/>
      <c r="D40" s="538"/>
      <c r="E40" s="538"/>
      <c r="F40" s="538"/>
      <c r="G40" s="277"/>
      <c r="H40" s="277"/>
      <c r="I40" s="277"/>
      <c r="J40" s="277"/>
      <c r="K40" s="277"/>
      <c r="L40" s="277"/>
      <c r="M40" s="277"/>
      <c r="N40" s="277"/>
    </row>
    <row r="41" spans="1:14" ht="13" customHeight="1">
      <c r="A41" s="12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</row>
    <row r="42" spans="1:14" ht="13" customHeight="1">
      <c r="A42" s="141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</row>
    <row r="43" spans="1:14" ht="13" customHeight="1">
      <c r="A43" s="191"/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</row>
    <row r="44" spans="1:14" ht="13" customHeight="1">
      <c r="A44" s="31"/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</row>
    <row r="45" spans="1:14" ht="13" customHeight="1">
      <c r="A45" s="58"/>
      <c r="B45" s="277"/>
      <c r="C45" s="277"/>
      <c r="D45" s="277"/>
      <c r="E45" s="277"/>
      <c r="F45" s="277"/>
      <c r="G45" s="277"/>
      <c r="H45" s="277"/>
      <c r="I45" s="277"/>
      <c r="J45" s="277"/>
      <c r="K45" s="277"/>
      <c r="L45" s="277"/>
      <c r="M45" s="277"/>
      <c r="N45" s="277"/>
    </row>
    <row r="46" spans="1:14" ht="13" customHeight="1">
      <c r="A46" s="31"/>
      <c r="B46" s="277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</row>
    <row r="47" spans="1:14" ht="13" customHeight="1">
      <c r="A47" s="141"/>
      <c r="B47" s="277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</row>
    <row r="48" spans="1:14" ht="13" customHeight="1">
      <c r="A48" s="141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</row>
    <row r="49" spans="1:14" ht="13" customHeight="1">
      <c r="A49" s="141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</row>
    <row r="50" spans="1:14" ht="13" customHeight="1">
      <c r="A50" s="141"/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</row>
    <row r="51" spans="1:14" ht="13" customHeight="1">
      <c r="A51" s="141"/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</row>
    <row r="52" spans="1:14" ht="13" customHeight="1">
      <c r="A52" s="141"/>
      <c r="B52" s="277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</row>
    <row r="53" spans="1:14" ht="13" customHeight="1">
      <c r="A53" s="141"/>
      <c r="B53" s="277"/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77"/>
    </row>
    <row r="54" spans="1:14" ht="13" customHeight="1">
      <c r="A54" s="141"/>
      <c r="B54" s="277"/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77"/>
    </row>
    <row r="55" spans="1:14" ht="13" customHeight="1"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</row>
    <row r="56" spans="1:14" ht="13" customHeight="1"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</row>
    <row r="57" spans="1:14" ht="13" customHeight="1"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</row>
    <row r="58" spans="1:14" ht="13" customHeight="1"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Hoja78">
    <tabColor theme="9" tint="0.59999389629810485"/>
  </sheetPr>
  <dimension ref="A3:AE54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3" spans="1:31" ht="13" customHeight="1"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</row>
    <row r="4" spans="1:31" ht="13" customHeight="1">
      <c r="A4" s="511" t="s">
        <v>413</v>
      </c>
      <c r="B4" s="50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</row>
    <row r="5" spans="1:31" ht="13" customHeight="1">
      <c r="A5" s="515" t="s">
        <v>325</v>
      </c>
      <c r="B5" s="508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</row>
    <row r="6" spans="1:31" ht="5" customHeight="1" thickBot="1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P6" s="269"/>
      <c r="Q6" s="215"/>
      <c r="R6" s="276"/>
      <c r="S6" s="215"/>
      <c r="T6" s="215"/>
      <c r="U6" s="215"/>
      <c r="V6" s="215"/>
      <c r="W6" s="215"/>
      <c r="X6" s="215"/>
      <c r="Y6" s="215"/>
      <c r="Z6" s="215"/>
      <c r="AA6" s="215"/>
      <c r="AB6" s="215"/>
      <c r="AC6" s="215"/>
      <c r="AD6" s="215"/>
      <c r="AE6" s="217"/>
    </row>
    <row r="7" spans="1:31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  <c r="P7" s="217"/>
      <c r="Q7" s="215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  <c r="AC7" s="242"/>
      <c r="AD7" s="242"/>
      <c r="AE7" s="217"/>
    </row>
    <row r="8" spans="1:31" ht="15" customHeight="1">
      <c r="A8" s="530" t="s">
        <v>100</v>
      </c>
      <c r="B8" s="593">
        <f>SUM(C8:N8)</f>
        <v>2254980</v>
      </c>
      <c r="C8" s="560">
        <v>175426</v>
      </c>
      <c r="D8" s="560">
        <v>349431</v>
      </c>
      <c r="E8" s="560">
        <v>348257</v>
      </c>
      <c r="F8" s="560">
        <v>29029</v>
      </c>
      <c r="G8" s="560">
        <v>30695</v>
      </c>
      <c r="H8" s="560">
        <v>26334</v>
      </c>
      <c r="I8" s="560">
        <v>925</v>
      </c>
      <c r="J8" s="560">
        <v>7899</v>
      </c>
      <c r="K8" s="560">
        <v>3187</v>
      </c>
      <c r="L8" s="560">
        <v>76201</v>
      </c>
      <c r="M8" s="560">
        <v>836861</v>
      </c>
      <c r="N8" s="560">
        <v>370735</v>
      </c>
    </row>
    <row r="9" spans="1:31" ht="12" customHeight="1">
      <c r="A9" s="269" t="s">
        <v>21</v>
      </c>
      <c r="B9" s="600" t="s">
        <v>379</v>
      </c>
      <c r="C9" s="597" t="s">
        <v>379</v>
      </c>
      <c r="D9" s="597" t="s">
        <v>379</v>
      </c>
      <c r="E9" s="597" t="s">
        <v>379</v>
      </c>
      <c r="F9" s="597" t="s">
        <v>379</v>
      </c>
      <c r="G9" s="597" t="s">
        <v>379</v>
      </c>
      <c r="H9" s="597" t="s">
        <v>379</v>
      </c>
      <c r="I9" s="597" t="s">
        <v>379</v>
      </c>
      <c r="J9" s="597" t="s">
        <v>379</v>
      </c>
      <c r="K9" s="597" t="s">
        <v>379</v>
      </c>
      <c r="L9" s="597" t="s">
        <v>379</v>
      </c>
      <c r="M9" s="597" t="s">
        <v>379</v>
      </c>
      <c r="N9" s="597" t="s">
        <v>379</v>
      </c>
    </row>
    <row r="10" spans="1:31" ht="12" customHeight="1">
      <c r="A10" s="269" t="s">
        <v>22</v>
      </c>
      <c r="B10" s="594">
        <f>SUM(C10:N10)</f>
        <v>53</v>
      </c>
      <c r="C10" s="597" t="s">
        <v>379</v>
      </c>
      <c r="D10" s="597" t="s">
        <v>379</v>
      </c>
      <c r="E10" s="597" t="s">
        <v>379</v>
      </c>
      <c r="F10" s="597">
        <v>34</v>
      </c>
      <c r="G10" s="597">
        <v>19</v>
      </c>
      <c r="H10" s="597" t="s">
        <v>379</v>
      </c>
      <c r="I10" s="597" t="s">
        <v>379</v>
      </c>
      <c r="J10" s="597" t="s">
        <v>379</v>
      </c>
      <c r="K10" s="597" t="s">
        <v>379</v>
      </c>
      <c r="L10" s="597" t="s">
        <v>379</v>
      </c>
      <c r="M10" s="597" t="s">
        <v>379</v>
      </c>
      <c r="N10" s="597" t="s">
        <v>379</v>
      </c>
    </row>
    <row r="11" spans="1:31" ht="12" customHeight="1">
      <c r="A11" s="269" t="s">
        <v>23</v>
      </c>
      <c r="B11" s="600" t="s">
        <v>379</v>
      </c>
      <c r="C11" s="597" t="s">
        <v>379</v>
      </c>
      <c r="D11" s="597" t="s">
        <v>379</v>
      </c>
      <c r="E11" s="597" t="s">
        <v>379</v>
      </c>
      <c r="F11" s="597" t="s">
        <v>379</v>
      </c>
      <c r="G11" s="597" t="s">
        <v>379</v>
      </c>
      <c r="H11" s="597" t="s">
        <v>379</v>
      </c>
      <c r="I11" s="597" t="s">
        <v>379</v>
      </c>
      <c r="J11" s="597" t="s">
        <v>379</v>
      </c>
      <c r="K11" s="597" t="s">
        <v>379</v>
      </c>
      <c r="L11" s="597" t="s">
        <v>379</v>
      </c>
      <c r="M11" s="597" t="s">
        <v>379</v>
      </c>
      <c r="N11" s="597" t="s">
        <v>379</v>
      </c>
    </row>
    <row r="12" spans="1:31" ht="12" customHeight="1">
      <c r="A12" s="217" t="s">
        <v>24</v>
      </c>
      <c r="B12" s="594">
        <f>SUM(C12:N12)</f>
        <v>6520</v>
      </c>
      <c r="C12" s="597" t="s">
        <v>379</v>
      </c>
      <c r="D12" s="597" t="s">
        <v>379</v>
      </c>
      <c r="E12" s="597" t="s">
        <v>379</v>
      </c>
      <c r="F12" s="562">
        <v>95</v>
      </c>
      <c r="G12" s="562">
        <v>1432</v>
      </c>
      <c r="H12" s="562">
        <v>1534</v>
      </c>
      <c r="I12" s="562">
        <v>242</v>
      </c>
      <c r="J12" s="562">
        <v>20</v>
      </c>
      <c r="K12" s="597">
        <v>0</v>
      </c>
      <c r="L12" s="562">
        <v>258</v>
      </c>
      <c r="M12" s="562">
        <v>1530</v>
      </c>
      <c r="N12" s="562">
        <v>1409</v>
      </c>
    </row>
    <row r="13" spans="1:31" ht="12" customHeight="1">
      <c r="A13" s="217" t="s">
        <v>25</v>
      </c>
      <c r="B13" s="600" t="s">
        <v>379</v>
      </c>
      <c r="C13" s="597" t="s">
        <v>379</v>
      </c>
      <c r="D13" s="597" t="s">
        <v>379</v>
      </c>
      <c r="E13" s="597" t="s">
        <v>379</v>
      </c>
      <c r="F13" s="597" t="s">
        <v>379</v>
      </c>
      <c r="G13" s="597" t="s">
        <v>379</v>
      </c>
      <c r="H13" s="597" t="s">
        <v>379</v>
      </c>
      <c r="I13" s="597" t="s">
        <v>379</v>
      </c>
      <c r="J13" s="597" t="s">
        <v>379</v>
      </c>
      <c r="K13" s="597" t="s">
        <v>379</v>
      </c>
      <c r="L13" s="597" t="s">
        <v>379</v>
      </c>
      <c r="M13" s="597" t="s">
        <v>379</v>
      </c>
      <c r="N13" s="597" t="s">
        <v>379</v>
      </c>
    </row>
    <row r="14" spans="1:31" ht="12" customHeight="1">
      <c r="A14" s="271" t="s">
        <v>107</v>
      </c>
      <c r="B14" s="600" t="s">
        <v>379</v>
      </c>
      <c r="C14" s="597" t="s">
        <v>379</v>
      </c>
      <c r="D14" s="597" t="s">
        <v>379</v>
      </c>
      <c r="E14" s="597" t="s">
        <v>379</v>
      </c>
      <c r="F14" s="597" t="s">
        <v>379</v>
      </c>
      <c r="G14" s="597" t="s">
        <v>379</v>
      </c>
      <c r="H14" s="597" t="s">
        <v>379</v>
      </c>
      <c r="I14" s="597" t="s">
        <v>379</v>
      </c>
      <c r="J14" s="597" t="s">
        <v>379</v>
      </c>
      <c r="K14" s="597" t="s">
        <v>379</v>
      </c>
      <c r="L14" s="597" t="s">
        <v>379</v>
      </c>
      <c r="M14" s="597" t="s">
        <v>379</v>
      </c>
      <c r="N14" s="597" t="s">
        <v>379</v>
      </c>
    </row>
    <row r="15" spans="1:31" ht="12" customHeight="1">
      <c r="A15" s="271" t="s">
        <v>108</v>
      </c>
      <c r="B15" s="600" t="s">
        <v>379</v>
      </c>
      <c r="C15" s="597" t="s">
        <v>379</v>
      </c>
      <c r="D15" s="597" t="s">
        <v>379</v>
      </c>
      <c r="E15" s="597" t="s">
        <v>379</v>
      </c>
      <c r="F15" s="597" t="s">
        <v>379</v>
      </c>
      <c r="G15" s="597" t="s">
        <v>379</v>
      </c>
      <c r="H15" s="597" t="s">
        <v>379</v>
      </c>
      <c r="I15" s="597" t="s">
        <v>379</v>
      </c>
      <c r="J15" s="597" t="s">
        <v>379</v>
      </c>
      <c r="K15" s="597" t="s">
        <v>379</v>
      </c>
      <c r="L15" s="597" t="s">
        <v>379</v>
      </c>
      <c r="M15" s="597" t="s">
        <v>379</v>
      </c>
      <c r="N15" s="597" t="s">
        <v>379</v>
      </c>
    </row>
    <row r="16" spans="1:31" ht="12" customHeight="1">
      <c r="A16" s="271" t="s">
        <v>109</v>
      </c>
      <c r="B16" s="600" t="s">
        <v>379</v>
      </c>
      <c r="C16" s="597" t="s">
        <v>379</v>
      </c>
      <c r="D16" s="597" t="s">
        <v>379</v>
      </c>
      <c r="E16" s="597" t="s">
        <v>379</v>
      </c>
      <c r="F16" s="597" t="s">
        <v>379</v>
      </c>
      <c r="G16" s="597" t="s">
        <v>379</v>
      </c>
      <c r="H16" s="597" t="s">
        <v>379</v>
      </c>
      <c r="I16" s="597" t="s">
        <v>379</v>
      </c>
      <c r="J16" s="597" t="s">
        <v>379</v>
      </c>
      <c r="K16" s="597" t="s">
        <v>379</v>
      </c>
      <c r="L16" s="597" t="s">
        <v>379</v>
      </c>
      <c r="M16" s="597" t="s">
        <v>379</v>
      </c>
      <c r="N16" s="597" t="s">
        <v>379</v>
      </c>
    </row>
    <row r="17" spans="1:14" ht="12" customHeight="1">
      <c r="A17" s="269" t="s">
        <v>29</v>
      </c>
      <c r="B17" s="600" t="s">
        <v>379</v>
      </c>
      <c r="C17" s="597" t="s">
        <v>379</v>
      </c>
      <c r="D17" s="597" t="s">
        <v>379</v>
      </c>
      <c r="E17" s="597" t="s">
        <v>379</v>
      </c>
      <c r="F17" s="597" t="s">
        <v>379</v>
      </c>
      <c r="G17" s="597" t="s">
        <v>379</v>
      </c>
      <c r="H17" s="597" t="s">
        <v>379</v>
      </c>
      <c r="I17" s="597" t="s">
        <v>379</v>
      </c>
      <c r="J17" s="597" t="s">
        <v>379</v>
      </c>
      <c r="K17" s="597" t="s">
        <v>379</v>
      </c>
      <c r="L17" s="597" t="s">
        <v>379</v>
      </c>
      <c r="M17" s="597" t="s">
        <v>379</v>
      </c>
      <c r="N17" s="597" t="s">
        <v>379</v>
      </c>
    </row>
    <row r="18" spans="1:14" ht="12" customHeight="1">
      <c r="A18" s="217" t="s">
        <v>30</v>
      </c>
      <c r="B18" s="600" t="s">
        <v>379</v>
      </c>
      <c r="C18" s="597" t="s">
        <v>379</v>
      </c>
      <c r="D18" s="597" t="s">
        <v>379</v>
      </c>
      <c r="E18" s="597" t="s">
        <v>379</v>
      </c>
      <c r="F18" s="597" t="s">
        <v>379</v>
      </c>
      <c r="G18" s="597" t="s">
        <v>379</v>
      </c>
      <c r="H18" s="597" t="s">
        <v>379</v>
      </c>
      <c r="I18" s="597" t="s">
        <v>379</v>
      </c>
      <c r="J18" s="597" t="s">
        <v>379</v>
      </c>
      <c r="K18" s="597" t="s">
        <v>379</v>
      </c>
      <c r="L18" s="597" t="s">
        <v>379</v>
      </c>
      <c r="M18" s="597" t="s">
        <v>379</v>
      </c>
      <c r="N18" s="597" t="s">
        <v>379</v>
      </c>
    </row>
    <row r="19" spans="1:14" ht="12" customHeight="1">
      <c r="A19" s="217" t="s">
        <v>31</v>
      </c>
      <c r="B19" s="594">
        <f t="shared" ref="B19:B33" si="0">SUM(C19:N19)</f>
        <v>18461</v>
      </c>
      <c r="C19" s="597" t="s">
        <v>379</v>
      </c>
      <c r="D19" s="562">
        <v>230</v>
      </c>
      <c r="E19" s="562">
        <v>0</v>
      </c>
      <c r="F19" s="562">
        <v>5804</v>
      </c>
      <c r="G19" s="562">
        <v>9037</v>
      </c>
      <c r="H19" s="562">
        <v>2785</v>
      </c>
      <c r="I19" s="562">
        <v>605</v>
      </c>
      <c r="J19" s="597" t="s">
        <v>379</v>
      </c>
      <c r="K19" s="597" t="s">
        <v>379</v>
      </c>
      <c r="L19" s="597" t="s">
        <v>379</v>
      </c>
      <c r="M19" s="597" t="s">
        <v>379</v>
      </c>
      <c r="N19" s="597" t="s">
        <v>379</v>
      </c>
    </row>
    <row r="20" spans="1:14" ht="12" customHeight="1">
      <c r="A20" s="269" t="s">
        <v>32</v>
      </c>
      <c r="B20" s="600" t="s">
        <v>379</v>
      </c>
      <c r="C20" s="597" t="s">
        <v>379</v>
      </c>
      <c r="D20" s="597" t="s">
        <v>379</v>
      </c>
      <c r="E20" s="597" t="s">
        <v>379</v>
      </c>
      <c r="F20" s="597" t="s">
        <v>379</v>
      </c>
      <c r="G20" s="597" t="s">
        <v>379</v>
      </c>
      <c r="H20" s="597" t="s">
        <v>379</v>
      </c>
      <c r="I20" s="597" t="s">
        <v>379</v>
      </c>
      <c r="J20" s="597" t="s">
        <v>379</v>
      </c>
      <c r="K20" s="597" t="s">
        <v>379</v>
      </c>
      <c r="L20" s="597" t="s">
        <v>379</v>
      </c>
      <c r="M20" s="597" t="s">
        <v>379</v>
      </c>
      <c r="N20" s="597" t="s">
        <v>379</v>
      </c>
    </row>
    <row r="21" spans="1:14" ht="12" customHeight="1">
      <c r="A21" s="269" t="s">
        <v>33</v>
      </c>
      <c r="B21" s="594">
        <f t="shared" si="0"/>
        <v>1457</v>
      </c>
      <c r="C21" s="562">
        <v>296</v>
      </c>
      <c r="D21" s="562">
        <v>191</v>
      </c>
      <c r="E21" s="562">
        <v>50</v>
      </c>
      <c r="F21" s="562">
        <v>70</v>
      </c>
      <c r="G21" s="562">
        <v>58</v>
      </c>
      <c r="H21" s="562">
        <v>69</v>
      </c>
      <c r="I21" s="562">
        <v>78</v>
      </c>
      <c r="J21" s="562">
        <v>70</v>
      </c>
      <c r="K21" s="562">
        <v>54</v>
      </c>
      <c r="L21" s="562">
        <v>47</v>
      </c>
      <c r="M21" s="562">
        <v>190</v>
      </c>
      <c r="N21" s="562">
        <v>284</v>
      </c>
    </row>
    <row r="22" spans="1:14" ht="12" customHeight="1">
      <c r="A22" s="269" t="s">
        <v>34</v>
      </c>
      <c r="B22" s="594">
        <f t="shared" si="0"/>
        <v>85162</v>
      </c>
      <c r="C22" s="597" t="s">
        <v>379</v>
      </c>
      <c r="D22" s="597" t="s">
        <v>379</v>
      </c>
      <c r="E22" s="597" t="s">
        <v>379</v>
      </c>
      <c r="F22" s="597" t="s">
        <v>379</v>
      </c>
      <c r="G22" s="597" t="s">
        <v>379</v>
      </c>
      <c r="H22" s="597" t="s">
        <v>379</v>
      </c>
      <c r="I22" s="597" t="s">
        <v>379</v>
      </c>
      <c r="J22" s="597" t="s">
        <v>379</v>
      </c>
      <c r="K22" s="597" t="s">
        <v>379</v>
      </c>
      <c r="L22" s="562">
        <v>15916</v>
      </c>
      <c r="M22" s="562">
        <v>40131</v>
      </c>
      <c r="N22" s="562">
        <v>29115</v>
      </c>
    </row>
    <row r="23" spans="1:14" ht="12" customHeight="1">
      <c r="A23" s="269" t="s">
        <v>35</v>
      </c>
      <c r="B23" s="594">
        <f t="shared" si="0"/>
        <v>55889</v>
      </c>
      <c r="C23" s="597" t="s">
        <v>379</v>
      </c>
      <c r="D23" s="597" t="s">
        <v>379</v>
      </c>
      <c r="E23" s="597" t="s">
        <v>379</v>
      </c>
      <c r="F23" s="597" t="s">
        <v>379</v>
      </c>
      <c r="G23" s="597" t="s">
        <v>379</v>
      </c>
      <c r="H23" s="597" t="s">
        <v>379</v>
      </c>
      <c r="I23" s="597" t="s">
        <v>379</v>
      </c>
      <c r="J23" s="597" t="s">
        <v>379</v>
      </c>
      <c r="K23" s="597" t="s">
        <v>379</v>
      </c>
      <c r="L23" s="562">
        <v>25093</v>
      </c>
      <c r="M23" s="562">
        <v>27457</v>
      </c>
      <c r="N23" s="562">
        <v>3339</v>
      </c>
    </row>
    <row r="24" spans="1:14" ht="12" customHeight="1">
      <c r="A24" s="269" t="s">
        <v>36</v>
      </c>
      <c r="B24" s="594">
        <f t="shared" si="0"/>
        <v>57877</v>
      </c>
      <c r="C24" s="597" t="s">
        <v>379</v>
      </c>
      <c r="D24" s="562">
        <v>10346</v>
      </c>
      <c r="E24" s="562">
        <v>4500</v>
      </c>
      <c r="F24" s="562">
        <v>1980</v>
      </c>
      <c r="G24" s="562">
        <v>12248</v>
      </c>
      <c r="H24" s="562">
        <v>21818</v>
      </c>
      <c r="I24" s="597">
        <v>0</v>
      </c>
      <c r="J24" s="597">
        <v>0</v>
      </c>
      <c r="K24" s="597">
        <v>350</v>
      </c>
      <c r="L24" s="562">
        <v>330</v>
      </c>
      <c r="M24" s="562">
        <v>160</v>
      </c>
      <c r="N24" s="597">
        <v>6145</v>
      </c>
    </row>
    <row r="25" spans="1:14" ht="12" customHeight="1">
      <c r="A25" s="217" t="s">
        <v>37</v>
      </c>
      <c r="B25" s="594">
        <f t="shared" si="0"/>
        <v>94709</v>
      </c>
      <c r="C25" s="562">
        <v>26406</v>
      </c>
      <c r="D25" s="562">
        <v>27395</v>
      </c>
      <c r="E25" s="562">
        <v>27022</v>
      </c>
      <c r="F25" s="597" t="s">
        <v>379</v>
      </c>
      <c r="G25" s="597" t="s">
        <v>379</v>
      </c>
      <c r="H25" s="597" t="s">
        <v>379</v>
      </c>
      <c r="I25" s="597" t="s">
        <v>379</v>
      </c>
      <c r="J25" s="597" t="s">
        <v>379</v>
      </c>
      <c r="K25" s="597" t="s">
        <v>379</v>
      </c>
      <c r="L25" s="597" t="s">
        <v>379</v>
      </c>
      <c r="M25" s="597" t="s">
        <v>379</v>
      </c>
      <c r="N25" s="562">
        <v>13886</v>
      </c>
    </row>
    <row r="26" spans="1:14" ht="12" customHeight="1">
      <c r="A26" s="269" t="s">
        <v>38</v>
      </c>
      <c r="B26" s="594">
        <f t="shared" si="0"/>
        <v>37844</v>
      </c>
      <c r="C26" s="562">
        <v>2250</v>
      </c>
      <c r="D26" s="597">
        <v>31</v>
      </c>
      <c r="E26" s="562">
        <v>1305</v>
      </c>
      <c r="F26" s="562">
        <v>1808</v>
      </c>
      <c r="G26" s="597" t="s">
        <v>379</v>
      </c>
      <c r="H26" s="597" t="s">
        <v>379</v>
      </c>
      <c r="I26" s="597" t="s">
        <v>379</v>
      </c>
      <c r="J26" s="562">
        <v>1045</v>
      </c>
      <c r="K26" s="562">
        <v>940</v>
      </c>
      <c r="L26" s="562">
        <v>3795</v>
      </c>
      <c r="M26" s="562">
        <v>23106</v>
      </c>
      <c r="N26" s="562">
        <v>3564</v>
      </c>
    </row>
    <row r="27" spans="1:14" ht="12" customHeight="1">
      <c r="A27" s="269" t="s">
        <v>39</v>
      </c>
      <c r="B27" s="594">
        <f t="shared" si="0"/>
        <v>53650</v>
      </c>
      <c r="C27" s="597" t="s">
        <v>379</v>
      </c>
      <c r="D27" s="597" t="s">
        <v>379</v>
      </c>
      <c r="E27" s="597" t="s">
        <v>379</v>
      </c>
      <c r="F27" s="597" t="s">
        <v>379</v>
      </c>
      <c r="G27" s="597" t="s">
        <v>379</v>
      </c>
      <c r="H27" s="597" t="s">
        <v>379</v>
      </c>
      <c r="I27" s="597" t="s">
        <v>379</v>
      </c>
      <c r="J27" s="597" t="s">
        <v>379</v>
      </c>
      <c r="K27" s="597" t="s">
        <v>379</v>
      </c>
      <c r="L27" s="597">
        <v>29480</v>
      </c>
      <c r="M27" s="562">
        <v>24170</v>
      </c>
      <c r="N27" s="597" t="s">
        <v>379</v>
      </c>
    </row>
    <row r="28" spans="1:14" ht="12" customHeight="1">
      <c r="A28" s="269" t="s">
        <v>40</v>
      </c>
      <c r="B28" s="594">
        <f t="shared" si="0"/>
        <v>109742</v>
      </c>
      <c r="C28" s="562">
        <v>7804</v>
      </c>
      <c r="D28" s="562">
        <v>10868</v>
      </c>
      <c r="E28" s="562">
        <v>27954</v>
      </c>
      <c r="F28" s="562">
        <v>17126</v>
      </c>
      <c r="G28" s="562">
        <v>7481</v>
      </c>
      <c r="H28" s="562">
        <v>128</v>
      </c>
      <c r="I28" s="597" t="s">
        <v>379</v>
      </c>
      <c r="J28" s="562">
        <v>6764</v>
      </c>
      <c r="K28" s="562">
        <v>1843</v>
      </c>
      <c r="L28" s="597">
        <v>1282</v>
      </c>
      <c r="M28" s="562">
        <v>15685</v>
      </c>
      <c r="N28" s="562">
        <v>12807</v>
      </c>
    </row>
    <row r="29" spans="1:14" ht="12" customHeight="1">
      <c r="A29" s="217" t="s">
        <v>41</v>
      </c>
      <c r="B29" s="594">
        <f t="shared" si="0"/>
        <v>40810</v>
      </c>
      <c r="C29" s="562">
        <v>4471</v>
      </c>
      <c r="D29" s="562">
        <v>14130</v>
      </c>
      <c r="E29" s="562">
        <v>10930</v>
      </c>
      <c r="F29" s="562">
        <v>2347</v>
      </c>
      <c r="G29" s="562">
        <v>402</v>
      </c>
      <c r="H29" s="597" t="s">
        <v>379</v>
      </c>
      <c r="I29" s="597" t="s">
        <v>379</v>
      </c>
      <c r="J29" s="597" t="s">
        <v>379</v>
      </c>
      <c r="K29" s="597" t="s">
        <v>379</v>
      </c>
      <c r="L29" s="597" t="s">
        <v>379</v>
      </c>
      <c r="M29" s="562">
        <v>990</v>
      </c>
      <c r="N29" s="562">
        <v>7540</v>
      </c>
    </row>
    <row r="30" spans="1:14" ht="12" customHeight="1">
      <c r="A30" s="271" t="s">
        <v>111</v>
      </c>
      <c r="B30" s="594">
        <f t="shared" si="0"/>
        <v>31596</v>
      </c>
      <c r="C30" s="562">
        <v>2120</v>
      </c>
      <c r="D30" s="562">
        <v>10870</v>
      </c>
      <c r="E30" s="562">
        <v>8236</v>
      </c>
      <c r="F30" s="562">
        <v>1710</v>
      </c>
      <c r="G30" s="597" t="s">
        <v>379</v>
      </c>
      <c r="H30" s="597" t="s">
        <v>379</v>
      </c>
      <c r="I30" s="597" t="s">
        <v>379</v>
      </c>
      <c r="J30" s="597" t="s">
        <v>379</v>
      </c>
      <c r="K30" s="597" t="s">
        <v>379</v>
      </c>
      <c r="L30" s="597" t="s">
        <v>379</v>
      </c>
      <c r="M30" s="562">
        <v>1002</v>
      </c>
      <c r="N30" s="562">
        <v>7658</v>
      </c>
    </row>
    <row r="31" spans="1:14" ht="12" customHeight="1">
      <c r="A31" s="271" t="s">
        <v>112</v>
      </c>
      <c r="B31" s="594">
        <f t="shared" si="0"/>
        <v>8862</v>
      </c>
      <c r="C31" s="562">
        <v>2630</v>
      </c>
      <c r="D31" s="562">
        <v>2930</v>
      </c>
      <c r="E31" s="562">
        <v>2480</v>
      </c>
      <c r="F31" s="562">
        <v>402</v>
      </c>
      <c r="G31" s="562">
        <v>420</v>
      </c>
      <c r="H31" s="597" t="s">
        <v>379</v>
      </c>
      <c r="I31" s="597" t="s">
        <v>379</v>
      </c>
      <c r="J31" s="597" t="s">
        <v>379</v>
      </c>
      <c r="K31" s="597" t="s">
        <v>379</v>
      </c>
      <c r="L31" s="597" t="s">
        <v>379</v>
      </c>
      <c r="M31" s="597" t="s">
        <v>379</v>
      </c>
      <c r="N31" s="597" t="s">
        <v>379</v>
      </c>
    </row>
    <row r="32" spans="1:14" ht="12" customHeight="1">
      <c r="A32" s="269" t="s">
        <v>44</v>
      </c>
      <c r="B32" s="594">
        <f t="shared" si="0"/>
        <v>323548</v>
      </c>
      <c r="C32" s="562">
        <v>50950</v>
      </c>
      <c r="D32" s="562">
        <v>45340</v>
      </c>
      <c r="E32" s="562">
        <v>17085</v>
      </c>
      <c r="F32" s="597" t="s">
        <v>379</v>
      </c>
      <c r="G32" s="597" t="s">
        <v>379</v>
      </c>
      <c r="H32" s="597" t="s">
        <v>379</v>
      </c>
      <c r="I32" s="597" t="s">
        <v>379</v>
      </c>
      <c r="J32" s="597" t="s">
        <v>379</v>
      </c>
      <c r="K32" s="597" t="s">
        <v>379</v>
      </c>
      <c r="L32" s="597" t="s">
        <v>379</v>
      </c>
      <c r="M32" s="562">
        <v>43825</v>
      </c>
      <c r="N32" s="562">
        <v>166348</v>
      </c>
    </row>
    <row r="33" spans="1:14" ht="12" customHeight="1">
      <c r="A33" s="269" t="s">
        <v>45</v>
      </c>
      <c r="B33" s="594">
        <f t="shared" si="0"/>
        <v>1369610</v>
      </c>
      <c r="C33" s="562">
        <v>82970</v>
      </c>
      <c r="D33" s="562">
        <v>241230</v>
      </c>
      <c r="E33" s="562">
        <v>259625</v>
      </c>
      <c r="F33" s="597" t="s">
        <v>379</v>
      </c>
      <c r="G33" s="597" t="s">
        <v>379</v>
      </c>
      <c r="H33" s="597" t="s">
        <v>379</v>
      </c>
      <c r="I33" s="597" t="s">
        <v>379</v>
      </c>
      <c r="J33" s="597" t="s">
        <v>379</v>
      </c>
      <c r="K33" s="597" t="s">
        <v>379</v>
      </c>
      <c r="L33" s="597" t="s">
        <v>379</v>
      </c>
      <c r="M33" s="562">
        <v>659605</v>
      </c>
      <c r="N33" s="562">
        <v>126180</v>
      </c>
    </row>
    <row r="34" spans="1:14" ht="12" customHeight="1">
      <c r="A34" s="217" t="s">
        <v>46</v>
      </c>
      <c r="B34" s="600" t="s">
        <v>379</v>
      </c>
      <c r="C34" s="597" t="s">
        <v>379</v>
      </c>
      <c r="D34" s="597" t="s">
        <v>379</v>
      </c>
      <c r="E34" s="597" t="s">
        <v>379</v>
      </c>
      <c r="F34" s="597" t="s">
        <v>379</v>
      </c>
      <c r="G34" s="597" t="s">
        <v>379</v>
      </c>
      <c r="H34" s="597" t="s">
        <v>379</v>
      </c>
      <c r="I34" s="597" t="s">
        <v>379</v>
      </c>
      <c r="J34" s="597" t="s">
        <v>379</v>
      </c>
      <c r="K34" s="597" t="s">
        <v>379</v>
      </c>
      <c r="L34" s="597" t="s">
        <v>379</v>
      </c>
      <c r="M34" s="597" t="s">
        <v>379</v>
      </c>
      <c r="N34" s="597" t="s">
        <v>379</v>
      </c>
    </row>
    <row r="35" spans="1:14" ht="12" customHeight="1">
      <c r="A35" s="217" t="s">
        <v>47</v>
      </c>
      <c r="B35" s="600" t="s">
        <v>379</v>
      </c>
      <c r="C35" s="597" t="s">
        <v>379</v>
      </c>
      <c r="D35" s="597" t="s">
        <v>379</v>
      </c>
      <c r="E35" s="597" t="s">
        <v>379</v>
      </c>
      <c r="F35" s="597" t="s">
        <v>379</v>
      </c>
      <c r="G35" s="597" t="s">
        <v>379</v>
      </c>
      <c r="H35" s="597" t="s">
        <v>379</v>
      </c>
      <c r="I35" s="597" t="s">
        <v>379</v>
      </c>
      <c r="J35" s="597" t="s">
        <v>379</v>
      </c>
      <c r="K35" s="597" t="s">
        <v>379</v>
      </c>
      <c r="L35" s="597" t="s">
        <v>379</v>
      </c>
      <c r="M35" s="597" t="s">
        <v>379</v>
      </c>
      <c r="N35" s="597" t="s">
        <v>379</v>
      </c>
    </row>
    <row r="36" spans="1:14" ht="12" customHeight="1">
      <c r="A36" s="217" t="s">
        <v>48</v>
      </c>
      <c r="B36" s="600" t="s">
        <v>379</v>
      </c>
      <c r="C36" s="597" t="s">
        <v>379</v>
      </c>
      <c r="D36" s="597" t="s">
        <v>379</v>
      </c>
      <c r="E36" s="597" t="s">
        <v>379</v>
      </c>
      <c r="F36" s="597" t="s">
        <v>379</v>
      </c>
      <c r="G36" s="597" t="s">
        <v>379</v>
      </c>
      <c r="H36" s="597" t="s">
        <v>379</v>
      </c>
      <c r="I36" s="597" t="s">
        <v>379</v>
      </c>
      <c r="J36" s="597" t="s">
        <v>379</v>
      </c>
      <c r="K36" s="597" t="s">
        <v>379</v>
      </c>
      <c r="L36" s="597" t="s">
        <v>379</v>
      </c>
      <c r="M36" s="597" t="s">
        <v>379</v>
      </c>
      <c r="N36" s="597" t="s">
        <v>379</v>
      </c>
    </row>
    <row r="37" spans="1:14" ht="12" customHeight="1" thickBot="1">
      <c r="A37" s="272" t="s">
        <v>49</v>
      </c>
      <c r="B37" s="601" t="s">
        <v>379</v>
      </c>
      <c r="C37" s="599" t="s">
        <v>379</v>
      </c>
      <c r="D37" s="599" t="s">
        <v>379</v>
      </c>
      <c r="E37" s="599" t="s">
        <v>379</v>
      </c>
      <c r="F37" s="599" t="s">
        <v>379</v>
      </c>
      <c r="G37" s="599" t="s">
        <v>379</v>
      </c>
      <c r="H37" s="599" t="s">
        <v>379</v>
      </c>
      <c r="I37" s="599" t="s">
        <v>379</v>
      </c>
      <c r="J37" s="599" t="s">
        <v>379</v>
      </c>
      <c r="K37" s="599" t="s">
        <v>379</v>
      </c>
      <c r="L37" s="599" t="s">
        <v>379</v>
      </c>
      <c r="M37" s="599" t="s">
        <v>379</v>
      </c>
      <c r="N37" s="599" t="s">
        <v>379</v>
      </c>
    </row>
    <row r="38" spans="1:14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14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14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  <row r="49" spans="1:1" ht="13" customHeight="1">
      <c r="A49" s="141"/>
    </row>
    <row r="50" spans="1:1" ht="13" customHeight="1">
      <c r="A50" s="141"/>
    </row>
    <row r="51" spans="1:1" ht="13" customHeight="1">
      <c r="A51" s="141"/>
    </row>
    <row r="52" spans="1:1" ht="13" customHeight="1">
      <c r="A52" s="141"/>
    </row>
    <row r="53" spans="1:1" ht="13" customHeight="1">
      <c r="A53" s="141"/>
    </row>
    <row r="54" spans="1:1" ht="13" customHeight="1">
      <c r="A54" s="141"/>
    </row>
  </sheetData>
  <printOptions horizontalCentered="1" verticalCentered="1"/>
  <pageMargins left="0" right="0" top="0" bottom="0" header="0" footer="0"/>
  <pageSetup paperSize="9" orientation="landscape" horizontalDpi="4294967292"/>
  <headerFooter scaleWithDoc="0"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Hoja79">
    <tabColor theme="9" tint="0.59999389629810485"/>
  </sheetPr>
  <dimension ref="A4:N48"/>
  <sheetViews>
    <sheetView showGridLines="0" topLeftCell="A2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14" ht="13" customHeight="1">
      <c r="A4" s="511" t="s">
        <v>414</v>
      </c>
      <c r="B4" s="507"/>
    </row>
    <row r="5" spans="1:14" ht="13" customHeight="1">
      <c r="A5" s="515" t="s">
        <v>319</v>
      </c>
      <c r="B5" s="508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</row>
    <row r="6" spans="1:14" ht="5" customHeight="1" thickBot="1">
      <c r="A6" s="141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</row>
    <row r="7" spans="1:14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</row>
    <row r="8" spans="1:14" ht="15" customHeight="1">
      <c r="A8" s="530" t="s">
        <v>100</v>
      </c>
      <c r="B8" s="560">
        <v>4453</v>
      </c>
      <c r="C8" s="560">
        <v>331</v>
      </c>
      <c r="D8" s="560">
        <v>651</v>
      </c>
      <c r="E8" s="560">
        <v>655</v>
      </c>
      <c r="F8" s="560">
        <v>63</v>
      </c>
      <c r="G8" s="560">
        <v>55</v>
      </c>
      <c r="H8" s="560">
        <v>48</v>
      </c>
      <c r="I8" s="560">
        <v>2</v>
      </c>
      <c r="J8" s="560">
        <v>15</v>
      </c>
      <c r="K8" s="560">
        <v>6</v>
      </c>
      <c r="L8" s="560">
        <v>169</v>
      </c>
      <c r="M8" s="560">
        <v>1670</v>
      </c>
      <c r="N8" s="560">
        <v>788</v>
      </c>
    </row>
    <row r="9" spans="1:14" ht="12" customHeight="1">
      <c r="A9" s="269" t="s">
        <v>21</v>
      </c>
      <c r="B9" s="596" t="s">
        <v>379</v>
      </c>
      <c r="C9" s="597" t="s">
        <v>379</v>
      </c>
      <c r="D9" s="597" t="s">
        <v>379</v>
      </c>
      <c r="E9" s="597" t="s">
        <v>379</v>
      </c>
      <c r="F9" s="597" t="s">
        <v>379</v>
      </c>
      <c r="G9" s="597" t="s">
        <v>379</v>
      </c>
      <c r="H9" s="597" t="s">
        <v>379</v>
      </c>
      <c r="I9" s="597" t="s">
        <v>379</v>
      </c>
      <c r="J9" s="597" t="s">
        <v>379</v>
      </c>
      <c r="K9" s="597" t="s">
        <v>379</v>
      </c>
      <c r="L9" s="597" t="s">
        <v>379</v>
      </c>
      <c r="M9" s="597" t="s">
        <v>379</v>
      </c>
      <c r="N9" s="597" t="s">
        <v>379</v>
      </c>
    </row>
    <row r="10" spans="1:14" ht="12" customHeight="1">
      <c r="A10" s="269" t="s">
        <v>22</v>
      </c>
      <c r="B10" s="596">
        <f>SUM(C10:N10)</f>
        <v>0</v>
      </c>
      <c r="C10" s="597" t="s">
        <v>379</v>
      </c>
      <c r="D10" s="597" t="s">
        <v>379</v>
      </c>
      <c r="E10" s="597" t="s">
        <v>379</v>
      </c>
      <c r="F10" s="597">
        <v>0</v>
      </c>
      <c r="G10" s="597">
        <v>0</v>
      </c>
      <c r="H10" s="597" t="s">
        <v>379</v>
      </c>
      <c r="I10" s="597" t="s">
        <v>379</v>
      </c>
      <c r="J10" s="597" t="s">
        <v>379</v>
      </c>
      <c r="K10" s="597" t="s">
        <v>379</v>
      </c>
      <c r="L10" s="597" t="s">
        <v>379</v>
      </c>
      <c r="M10" s="597" t="s">
        <v>379</v>
      </c>
      <c r="N10" s="597" t="s">
        <v>379</v>
      </c>
    </row>
    <row r="11" spans="1:14" ht="12" customHeight="1">
      <c r="A11" s="269" t="s">
        <v>23</v>
      </c>
      <c r="B11" s="596" t="s">
        <v>379</v>
      </c>
      <c r="C11" s="597" t="s">
        <v>379</v>
      </c>
      <c r="D11" s="597" t="s">
        <v>379</v>
      </c>
      <c r="E11" s="597" t="s">
        <v>379</v>
      </c>
      <c r="F11" s="597" t="s">
        <v>379</v>
      </c>
      <c r="G11" s="597" t="s">
        <v>379</v>
      </c>
      <c r="H11" s="597" t="s">
        <v>379</v>
      </c>
      <c r="I11" s="597" t="s">
        <v>379</v>
      </c>
      <c r="J11" s="597" t="s">
        <v>379</v>
      </c>
      <c r="K11" s="597" t="s">
        <v>379</v>
      </c>
      <c r="L11" s="597" t="s">
        <v>379</v>
      </c>
      <c r="M11" s="597" t="s">
        <v>379</v>
      </c>
      <c r="N11" s="597" t="s">
        <v>379</v>
      </c>
    </row>
    <row r="12" spans="1:14" ht="12" customHeight="1">
      <c r="A12" s="217" t="s">
        <v>24</v>
      </c>
      <c r="B12" s="561">
        <f>SUM(C12:N12)</f>
        <v>18.299999999999997</v>
      </c>
      <c r="C12" s="597" t="s">
        <v>379</v>
      </c>
      <c r="D12" s="597" t="s">
        <v>379</v>
      </c>
      <c r="E12" s="597" t="s">
        <v>379</v>
      </c>
      <c r="F12" s="597">
        <v>0.2</v>
      </c>
      <c r="G12" s="562">
        <v>4</v>
      </c>
      <c r="H12" s="562">
        <v>4</v>
      </c>
      <c r="I12" s="562">
        <v>1</v>
      </c>
      <c r="J12" s="597">
        <v>0.1</v>
      </c>
      <c r="K12" s="597" t="s">
        <v>379</v>
      </c>
      <c r="L12" s="562">
        <v>1</v>
      </c>
      <c r="M12" s="562">
        <v>4</v>
      </c>
      <c r="N12" s="562">
        <v>4</v>
      </c>
    </row>
    <row r="13" spans="1:14" ht="12" customHeight="1">
      <c r="A13" s="217" t="s">
        <v>25</v>
      </c>
      <c r="B13" s="596" t="s">
        <v>379</v>
      </c>
      <c r="C13" s="597" t="s">
        <v>379</v>
      </c>
      <c r="D13" s="597" t="s">
        <v>379</v>
      </c>
      <c r="E13" s="597" t="s">
        <v>379</v>
      </c>
      <c r="F13" s="597" t="s">
        <v>379</v>
      </c>
      <c r="G13" s="597" t="s">
        <v>379</v>
      </c>
      <c r="H13" s="597" t="s">
        <v>379</v>
      </c>
      <c r="I13" s="597" t="s">
        <v>379</v>
      </c>
      <c r="J13" s="597" t="s">
        <v>379</v>
      </c>
      <c r="K13" s="597" t="s">
        <v>379</v>
      </c>
      <c r="L13" s="597" t="s">
        <v>379</v>
      </c>
      <c r="M13" s="597" t="s">
        <v>379</v>
      </c>
      <c r="N13" s="597" t="s">
        <v>379</v>
      </c>
    </row>
    <row r="14" spans="1:14" ht="12" customHeight="1">
      <c r="A14" s="271" t="s">
        <v>107</v>
      </c>
      <c r="B14" s="596" t="s">
        <v>379</v>
      </c>
      <c r="C14" s="597" t="s">
        <v>379</v>
      </c>
      <c r="D14" s="597" t="s">
        <v>379</v>
      </c>
      <c r="E14" s="597" t="s">
        <v>379</v>
      </c>
      <c r="F14" s="597" t="s">
        <v>379</v>
      </c>
      <c r="G14" s="597" t="s">
        <v>379</v>
      </c>
      <c r="H14" s="597" t="s">
        <v>379</v>
      </c>
      <c r="I14" s="597" t="s">
        <v>379</v>
      </c>
      <c r="J14" s="597" t="s">
        <v>379</v>
      </c>
      <c r="K14" s="597" t="s">
        <v>379</v>
      </c>
      <c r="L14" s="597" t="s">
        <v>379</v>
      </c>
      <c r="M14" s="597" t="s">
        <v>379</v>
      </c>
      <c r="N14" s="597" t="s">
        <v>379</v>
      </c>
    </row>
    <row r="15" spans="1:14" ht="12" customHeight="1">
      <c r="A15" s="271" t="s">
        <v>108</v>
      </c>
      <c r="B15" s="596" t="s">
        <v>379</v>
      </c>
      <c r="C15" s="597" t="s">
        <v>379</v>
      </c>
      <c r="D15" s="597" t="s">
        <v>379</v>
      </c>
      <c r="E15" s="597" t="s">
        <v>379</v>
      </c>
      <c r="F15" s="597" t="s">
        <v>379</v>
      </c>
      <c r="G15" s="597" t="s">
        <v>379</v>
      </c>
      <c r="H15" s="597" t="s">
        <v>379</v>
      </c>
      <c r="I15" s="597" t="s">
        <v>379</v>
      </c>
      <c r="J15" s="597" t="s">
        <v>379</v>
      </c>
      <c r="K15" s="597" t="s">
        <v>379</v>
      </c>
      <c r="L15" s="597" t="s">
        <v>379</v>
      </c>
      <c r="M15" s="597" t="s">
        <v>379</v>
      </c>
      <c r="N15" s="597" t="s">
        <v>379</v>
      </c>
    </row>
    <row r="16" spans="1:14" ht="12" customHeight="1">
      <c r="A16" s="271" t="s">
        <v>109</v>
      </c>
      <c r="B16" s="596" t="s">
        <v>379</v>
      </c>
      <c r="C16" s="597" t="s">
        <v>379</v>
      </c>
      <c r="D16" s="597" t="s">
        <v>379</v>
      </c>
      <c r="E16" s="597" t="s">
        <v>379</v>
      </c>
      <c r="F16" s="597" t="s">
        <v>379</v>
      </c>
      <c r="G16" s="597" t="s">
        <v>379</v>
      </c>
      <c r="H16" s="597" t="s">
        <v>379</v>
      </c>
      <c r="I16" s="597" t="s">
        <v>379</v>
      </c>
      <c r="J16" s="597" t="s">
        <v>379</v>
      </c>
      <c r="K16" s="597" t="s">
        <v>379</v>
      </c>
      <c r="L16" s="597" t="s">
        <v>379</v>
      </c>
      <c r="M16" s="597" t="s">
        <v>379</v>
      </c>
      <c r="N16" s="597" t="s">
        <v>379</v>
      </c>
    </row>
    <row r="17" spans="1:14" ht="12" customHeight="1">
      <c r="A17" s="269" t="s">
        <v>29</v>
      </c>
      <c r="B17" s="596" t="s">
        <v>379</v>
      </c>
      <c r="C17" s="597" t="s">
        <v>379</v>
      </c>
      <c r="D17" s="597" t="s">
        <v>379</v>
      </c>
      <c r="E17" s="597" t="s">
        <v>379</v>
      </c>
      <c r="F17" s="597" t="s">
        <v>379</v>
      </c>
      <c r="G17" s="597" t="s">
        <v>379</v>
      </c>
      <c r="H17" s="597" t="s">
        <v>379</v>
      </c>
      <c r="I17" s="597" t="s">
        <v>379</v>
      </c>
      <c r="J17" s="597" t="s">
        <v>379</v>
      </c>
      <c r="K17" s="597" t="s">
        <v>379</v>
      </c>
      <c r="L17" s="597" t="s">
        <v>379</v>
      </c>
      <c r="M17" s="597" t="s">
        <v>379</v>
      </c>
      <c r="N17" s="597" t="s">
        <v>379</v>
      </c>
    </row>
    <row r="18" spans="1:14" ht="12" customHeight="1">
      <c r="A18" s="217" t="s">
        <v>30</v>
      </c>
      <c r="B18" s="596" t="s">
        <v>379</v>
      </c>
      <c r="C18" s="597" t="s">
        <v>379</v>
      </c>
      <c r="D18" s="597" t="s">
        <v>379</v>
      </c>
      <c r="E18" s="597" t="s">
        <v>379</v>
      </c>
      <c r="F18" s="597" t="s">
        <v>379</v>
      </c>
      <c r="G18" s="597" t="s">
        <v>379</v>
      </c>
      <c r="H18" s="597" t="s">
        <v>379</v>
      </c>
      <c r="I18" s="597" t="s">
        <v>379</v>
      </c>
      <c r="J18" s="597" t="s">
        <v>379</v>
      </c>
      <c r="K18" s="597" t="s">
        <v>379</v>
      </c>
      <c r="L18" s="597" t="s">
        <v>379</v>
      </c>
      <c r="M18" s="597" t="s">
        <v>379</v>
      </c>
      <c r="N18" s="597" t="s">
        <v>379</v>
      </c>
    </row>
    <row r="19" spans="1:14" ht="12" customHeight="1">
      <c r="A19" s="217" t="s">
        <v>31</v>
      </c>
      <c r="B19" s="561">
        <f>SUM(C19:N19)</f>
        <v>28.3</v>
      </c>
      <c r="C19" s="597" t="s">
        <v>379</v>
      </c>
      <c r="D19" s="597">
        <v>0.3</v>
      </c>
      <c r="E19" s="597">
        <v>0</v>
      </c>
      <c r="F19" s="562">
        <v>10</v>
      </c>
      <c r="G19" s="562">
        <v>13</v>
      </c>
      <c r="H19" s="562">
        <v>4</v>
      </c>
      <c r="I19" s="562">
        <v>1</v>
      </c>
      <c r="J19" s="597" t="s">
        <v>379</v>
      </c>
      <c r="K19" s="597" t="s">
        <v>379</v>
      </c>
      <c r="L19" s="597" t="s">
        <v>379</v>
      </c>
      <c r="M19" s="597" t="s">
        <v>379</v>
      </c>
      <c r="N19" s="597" t="s">
        <v>379</v>
      </c>
    </row>
    <row r="20" spans="1:14" ht="12" customHeight="1">
      <c r="A20" s="269" t="s">
        <v>32</v>
      </c>
      <c r="B20" s="596" t="s">
        <v>379</v>
      </c>
      <c r="C20" s="597" t="s">
        <v>379</v>
      </c>
      <c r="D20" s="597" t="s">
        <v>379</v>
      </c>
      <c r="E20" s="597" t="s">
        <v>379</v>
      </c>
      <c r="F20" s="597" t="s">
        <v>379</v>
      </c>
      <c r="G20" s="597" t="s">
        <v>379</v>
      </c>
      <c r="H20" s="597" t="s">
        <v>379</v>
      </c>
      <c r="I20" s="597" t="s">
        <v>379</v>
      </c>
      <c r="J20" s="597" t="s">
        <v>379</v>
      </c>
      <c r="K20" s="597" t="s">
        <v>379</v>
      </c>
      <c r="L20" s="597" t="s">
        <v>379</v>
      </c>
      <c r="M20" s="597" t="s">
        <v>379</v>
      </c>
      <c r="N20" s="597" t="s">
        <v>379</v>
      </c>
    </row>
    <row r="21" spans="1:14" ht="12" customHeight="1">
      <c r="A21" s="269" t="s">
        <v>33</v>
      </c>
      <c r="B21" s="561">
        <f t="shared" ref="B21:B33" si="0">SUM(C21:N21)</f>
        <v>3.6</v>
      </c>
      <c r="C21" s="562">
        <v>0.8</v>
      </c>
      <c r="D21" s="562">
        <v>0.5</v>
      </c>
      <c r="E21" s="562">
        <v>0</v>
      </c>
      <c r="F21" s="562">
        <v>0</v>
      </c>
      <c r="G21" s="562">
        <v>0</v>
      </c>
      <c r="H21" s="562">
        <v>0</v>
      </c>
      <c r="I21" s="562">
        <v>0</v>
      </c>
      <c r="J21" s="562">
        <v>0.2</v>
      </c>
      <c r="K21" s="562">
        <v>0</v>
      </c>
      <c r="L21" s="562">
        <v>0.1</v>
      </c>
      <c r="M21" s="562">
        <v>1</v>
      </c>
      <c r="N21" s="562">
        <v>1</v>
      </c>
    </row>
    <row r="22" spans="1:14" ht="12" customHeight="1">
      <c r="A22" s="269" t="s">
        <v>34</v>
      </c>
      <c r="B22" s="561">
        <f t="shared" si="0"/>
        <v>188</v>
      </c>
      <c r="C22" s="597" t="s">
        <v>379</v>
      </c>
      <c r="D22" s="597" t="s">
        <v>379</v>
      </c>
      <c r="E22" s="597" t="s">
        <v>379</v>
      </c>
      <c r="F22" s="597" t="s">
        <v>379</v>
      </c>
      <c r="G22" s="597" t="s">
        <v>379</v>
      </c>
      <c r="H22" s="597" t="s">
        <v>379</v>
      </c>
      <c r="I22" s="597" t="s">
        <v>379</v>
      </c>
      <c r="J22" s="597" t="s">
        <v>379</v>
      </c>
      <c r="K22" s="597" t="s">
        <v>379</v>
      </c>
      <c r="L22" s="562">
        <v>34</v>
      </c>
      <c r="M22" s="562">
        <v>91</v>
      </c>
      <c r="N22" s="562">
        <v>63</v>
      </c>
    </row>
    <row r="23" spans="1:14" ht="12" customHeight="1">
      <c r="A23" s="269" t="s">
        <v>35</v>
      </c>
      <c r="B23" s="561">
        <f t="shared" si="0"/>
        <v>149</v>
      </c>
      <c r="C23" s="597" t="s">
        <v>379</v>
      </c>
      <c r="D23" s="597" t="s">
        <v>379</v>
      </c>
      <c r="E23" s="597" t="s">
        <v>379</v>
      </c>
      <c r="F23" s="597" t="s">
        <v>379</v>
      </c>
      <c r="G23" s="597" t="s">
        <v>379</v>
      </c>
      <c r="H23" s="597" t="s">
        <v>379</v>
      </c>
      <c r="I23" s="597" t="s">
        <v>379</v>
      </c>
      <c r="J23" s="597" t="s">
        <v>379</v>
      </c>
      <c r="K23" s="597" t="s">
        <v>379</v>
      </c>
      <c r="L23" s="562">
        <v>71</v>
      </c>
      <c r="M23" s="562">
        <v>70</v>
      </c>
      <c r="N23" s="562">
        <v>8</v>
      </c>
    </row>
    <row r="24" spans="1:14" ht="12" customHeight="1">
      <c r="A24" s="269" t="s">
        <v>36</v>
      </c>
      <c r="B24" s="561">
        <f t="shared" si="0"/>
        <v>104.6</v>
      </c>
      <c r="C24" s="597" t="s">
        <v>379</v>
      </c>
      <c r="D24" s="562">
        <v>18</v>
      </c>
      <c r="E24" s="562">
        <v>8</v>
      </c>
      <c r="F24" s="562">
        <v>4</v>
      </c>
      <c r="G24" s="562">
        <v>23</v>
      </c>
      <c r="H24" s="562">
        <v>39</v>
      </c>
      <c r="I24" s="597" t="s">
        <v>379</v>
      </c>
      <c r="J24" s="597" t="s">
        <v>379</v>
      </c>
      <c r="K24" s="597">
        <v>0.6</v>
      </c>
      <c r="L24" s="562">
        <v>1</v>
      </c>
      <c r="M24" s="562">
        <v>0</v>
      </c>
      <c r="N24" s="597">
        <v>11</v>
      </c>
    </row>
    <row r="25" spans="1:14" ht="12" customHeight="1">
      <c r="A25" s="217" t="s">
        <v>37</v>
      </c>
      <c r="B25" s="561">
        <f t="shared" si="0"/>
        <v>182</v>
      </c>
      <c r="C25" s="562">
        <v>48</v>
      </c>
      <c r="D25" s="562">
        <v>54</v>
      </c>
      <c r="E25" s="562">
        <v>53</v>
      </c>
      <c r="F25" s="597" t="s">
        <v>379</v>
      </c>
      <c r="G25" s="597" t="s">
        <v>379</v>
      </c>
      <c r="H25" s="597" t="s">
        <v>379</v>
      </c>
      <c r="I25" s="597" t="s">
        <v>379</v>
      </c>
      <c r="J25" s="597" t="s">
        <v>379</v>
      </c>
      <c r="K25" s="597" t="s">
        <v>379</v>
      </c>
      <c r="L25" s="597" t="s">
        <v>379</v>
      </c>
      <c r="M25" s="597" t="s">
        <v>379</v>
      </c>
      <c r="N25" s="562">
        <v>27</v>
      </c>
    </row>
    <row r="26" spans="1:14" ht="12" customHeight="1">
      <c r="A26" s="269" t="s">
        <v>38</v>
      </c>
      <c r="B26" s="561">
        <f t="shared" si="0"/>
        <v>76.849999999999994</v>
      </c>
      <c r="C26" s="562">
        <v>3</v>
      </c>
      <c r="D26" s="597">
        <v>0.04</v>
      </c>
      <c r="E26" s="597">
        <v>1.81</v>
      </c>
      <c r="F26" s="562">
        <v>3</v>
      </c>
      <c r="G26" s="597" t="s">
        <v>379</v>
      </c>
      <c r="H26" s="597" t="s">
        <v>379</v>
      </c>
      <c r="I26" s="597" t="s">
        <v>379</v>
      </c>
      <c r="J26" s="562">
        <v>3</v>
      </c>
      <c r="K26" s="562">
        <v>2</v>
      </c>
      <c r="L26" s="562">
        <v>9</v>
      </c>
      <c r="M26" s="562">
        <v>47</v>
      </c>
      <c r="N26" s="562">
        <v>8</v>
      </c>
    </row>
    <row r="27" spans="1:14" ht="12" customHeight="1">
      <c r="A27" s="269" t="s">
        <v>39</v>
      </c>
      <c r="B27" s="561">
        <f t="shared" si="0"/>
        <v>108</v>
      </c>
      <c r="C27" s="597" t="s">
        <v>379</v>
      </c>
      <c r="D27" s="597" t="s">
        <v>379</v>
      </c>
      <c r="E27" s="597" t="s">
        <v>379</v>
      </c>
      <c r="F27" s="597" t="s">
        <v>379</v>
      </c>
      <c r="G27" s="597" t="s">
        <v>379</v>
      </c>
      <c r="H27" s="597" t="s">
        <v>379</v>
      </c>
      <c r="I27" s="597" t="s">
        <v>379</v>
      </c>
      <c r="J27" s="597" t="s">
        <v>379</v>
      </c>
      <c r="K27" s="597" t="s">
        <v>379</v>
      </c>
      <c r="L27" s="597">
        <v>51</v>
      </c>
      <c r="M27" s="562">
        <v>57</v>
      </c>
      <c r="N27" s="597" t="s">
        <v>379</v>
      </c>
    </row>
    <row r="28" spans="1:14" ht="12" customHeight="1">
      <c r="A28" s="269" t="s">
        <v>40</v>
      </c>
      <c r="B28" s="561">
        <f t="shared" si="0"/>
        <v>218.92500000000001</v>
      </c>
      <c r="C28" s="562">
        <v>15</v>
      </c>
      <c r="D28" s="562">
        <v>21</v>
      </c>
      <c r="E28" s="562">
        <v>58</v>
      </c>
      <c r="F28" s="562">
        <v>42</v>
      </c>
      <c r="G28" s="562">
        <v>15</v>
      </c>
      <c r="H28" s="597" t="s">
        <v>379</v>
      </c>
      <c r="I28" s="597" t="s">
        <v>379</v>
      </c>
      <c r="J28" s="562">
        <v>12</v>
      </c>
      <c r="K28" s="562">
        <v>3</v>
      </c>
      <c r="L28" s="597">
        <v>1.925</v>
      </c>
      <c r="M28" s="562">
        <v>28</v>
      </c>
      <c r="N28" s="562">
        <v>23</v>
      </c>
    </row>
    <row r="29" spans="1:14" ht="12" customHeight="1">
      <c r="A29" s="217" t="s">
        <v>41</v>
      </c>
      <c r="B29" s="561">
        <f t="shared" si="0"/>
        <v>80</v>
      </c>
      <c r="C29" s="562">
        <f>C30+C31</f>
        <v>9</v>
      </c>
      <c r="D29" s="562">
        <f>D30+D31</f>
        <v>27</v>
      </c>
      <c r="E29" s="562">
        <f>E30+E31</f>
        <v>20</v>
      </c>
      <c r="F29" s="562">
        <f>F30+F31</f>
        <v>4</v>
      </c>
      <c r="G29" s="562">
        <v>1</v>
      </c>
      <c r="H29" s="597" t="s">
        <v>379</v>
      </c>
      <c r="I29" s="597" t="s">
        <v>379</v>
      </c>
      <c r="J29" s="597" t="s">
        <v>379</v>
      </c>
      <c r="K29" s="597" t="s">
        <v>379</v>
      </c>
      <c r="L29" s="597" t="s">
        <v>379</v>
      </c>
      <c r="M29" s="562">
        <v>2</v>
      </c>
      <c r="N29" s="562">
        <v>17</v>
      </c>
    </row>
    <row r="30" spans="1:14" ht="12" customHeight="1">
      <c r="A30" s="271" t="s">
        <v>111</v>
      </c>
      <c r="B30" s="561">
        <f t="shared" si="0"/>
        <v>64</v>
      </c>
      <c r="C30" s="562">
        <v>4</v>
      </c>
      <c r="D30" s="562">
        <v>22</v>
      </c>
      <c r="E30" s="562">
        <v>16</v>
      </c>
      <c r="F30" s="562">
        <v>3</v>
      </c>
      <c r="G30" s="597" t="s">
        <v>379</v>
      </c>
      <c r="H30" s="597" t="s">
        <v>379</v>
      </c>
      <c r="I30" s="597" t="s">
        <v>379</v>
      </c>
      <c r="J30" s="597" t="s">
        <v>379</v>
      </c>
      <c r="K30" s="597" t="s">
        <v>379</v>
      </c>
      <c r="L30" s="597" t="s">
        <v>379</v>
      </c>
      <c r="M30" s="562">
        <v>2</v>
      </c>
      <c r="N30" s="562">
        <v>17</v>
      </c>
    </row>
    <row r="31" spans="1:14" ht="12" customHeight="1">
      <c r="A31" s="271" t="s">
        <v>112</v>
      </c>
      <c r="B31" s="561">
        <f t="shared" si="0"/>
        <v>16</v>
      </c>
      <c r="C31" s="562">
        <v>5</v>
      </c>
      <c r="D31" s="562">
        <v>5</v>
      </c>
      <c r="E31" s="562">
        <v>4</v>
      </c>
      <c r="F31" s="562">
        <v>1</v>
      </c>
      <c r="G31" s="597">
        <v>1</v>
      </c>
      <c r="H31" s="597" t="s">
        <v>379</v>
      </c>
      <c r="I31" s="597" t="s">
        <v>379</v>
      </c>
      <c r="J31" s="597" t="s">
        <v>379</v>
      </c>
      <c r="K31" s="597" t="s">
        <v>379</v>
      </c>
      <c r="L31" s="597" t="s">
        <v>379</v>
      </c>
      <c r="M31" s="597" t="s">
        <v>379</v>
      </c>
      <c r="N31" s="597" t="s">
        <v>379</v>
      </c>
    </row>
    <row r="32" spans="1:14" ht="12" customHeight="1">
      <c r="A32" s="269" t="s">
        <v>44</v>
      </c>
      <c r="B32" s="561">
        <f t="shared" si="0"/>
        <v>634</v>
      </c>
      <c r="C32" s="562">
        <v>102</v>
      </c>
      <c r="D32" s="562">
        <v>84</v>
      </c>
      <c r="E32" s="562">
        <v>34</v>
      </c>
      <c r="F32" s="597" t="s">
        <v>379</v>
      </c>
      <c r="G32" s="597" t="s">
        <v>379</v>
      </c>
      <c r="H32" s="597" t="s">
        <v>379</v>
      </c>
      <c r="I32" s="597" t="s">
        <v>379</v>
      </c>
      <c r="J32" s="597" t="s">
        <v>379</v>
      </c>
      <c r="K32" s="597" t="s">
        <v>379</v>
      </c>
      <c r="L32" s="597" t="s">
        <v>379</v>
      </c>
      <c r="M32" s="562">
        <v>81</v>
      </c>
      <c r="N32" s="562">
        <v>333</v>
      </c>
    </row>
    <row r="33" spans="1:14" ht="12" customHeight="1">
      <c r="A33" s="269" t="s">
        <v>45</v>
      </c>
      <c r="B33" s="561">
        <f t="shared" si="0"/>
        <v>2661</v>
      </c>
      <c r="C33" s="562">
        <v>154</v>
      </c>
      <c r="D33" s="562">
        <v>447</v>
      </c>
      <c r="E33" s="562">
        <v>479</v>
      </c>
      <c r="F33" s="597" t="s">
        <v>379</v>
      </c>
      <c r="G33" s="597" t="s">
        <v>379</v>
      </c>
      <c r="H33" s="597" t="s">
        <v>379</v>
      </c>
      <c r="I33" s="597" t="s">
        <v>379</v>
      </c>
      <c r="J33" s="597" t="s">
        <v>379</v>
      </c>
      <c r="K33" s="597" t="s">
        <v>379</v>
      </c>
      <c r="L33" s="597" t="s">
        <v>379</v>
      </c>
      <c r="M33" s="562">
        <v>1289</v>
      </c>
      <c r="N33" s="562">
        <v>292</v>
      </c>
    </row>
    <row r="34" spans="1:14" ht="12" customHeight="1">
      <c r="A34" s="217" t="s">
        <v>46</v>
      </c>
      <c r="B34" s="596" t="s">
        <v>379</v>
      </c>
      <c r="C34" s="597" t="s">
        <v>379</v>
      </c>
      <c r="D34" s="597" t="s">
        <v>379</v>
      </c>
      <c r="E34" s="597" t="s">
        <v>379</v>
      </c>
      <c r="F34" s="597" t="s">
        <v>379</v>
      </c>
      <c r="G34" s="597" t="s">
        <v>379</v>
      </c>
      <c r="H34" s="597" t="s">
        <v>379</v>
      </c>
      <c r="I34" s="597" t="s">
        <v>379</v>
      </c>
      <c r="J34" s="597" t="s">
        <v>379</v>
      </c>
      <c r="K34" s="597" t="s">
        <v>379</v>
      </c>
      <c r="L34" s="597" t="s">
        <v>379</v>
      </c>
      <c r="M34" s="597" t="s">
        <v>379</v>
      </c>
      <c r="N34" s="597" t="s">
        <v>379</v>
      </c>
    </row>
    <row r="35" spans="1:14" ht="12" customHeight="1">
      <c r="A35" s="217" t="s">
        <v>47</v>
      </c>
      <c r="B35" s="596" t="s">
        <v>379</v>
      </c>
      <c r="C35" s="597" t="s">
        <v>379</v>
      </c>
      <c r="D35" s="597" t="s">
        <v>379</v>
      </c>
      <c r="E35" s="597" t="s">
        <v>379</v>
      </c>
      <c r="F35" s="597" t="s">
        <v>379</v>
      </c>
      <c r="G35" s="597" t="s">
        <v>379</v>
      </c>
      <c r="H35" s="597" t="s">
        <v>379</v>
      </c>
      <c r="I35" s="597" t="s">
        <v>379</v>
      </c>
      <c r="J35" s="597" t="s">
        <v>379</v>
      </c>
      <c r="K35" s="597" t="s">
        <v>379</v>
      </c>
      <c r="L35" s="597" t="s">
        <v>379</v>
      </c>
      <c r="M35" s="597" t="s">
        <v>379</v>
      </c>
      <c r="N35" s="597" t="s">
        <v>379</v>
      </c>
    </row>
    <row r="36" spans="1:14" ht="12" customHeight="1">
      <c r="A36" s="217" t="s">
        <v>48</v>
      </c>
      <c r="B36" s="596" t="s">
        <v>379</v>
      </c>
      <c r="C36" s="597" t="s">
        <v>379</v>
      </c>
      <c r="D36" s="597" t="s">
        <v>379</v>
      </c>
      <c r="E36" s="597" t="s">
        <v>379</v>
      </c>
      <c r="F36" s="597" t="s">
        <v>379</v>
      </c>
      <c r="G36" s="597" t="s">
        <v>379</v>
      </c>
      <c r="H36" s="597" t="s">
        <v>379</v>
      </c>
      <c r="I36" s="597" t="s">
        <v>379</v>
      </c>
      <c r="J36" s="597" t="s">
        <v>379</v>
      </c>
      <c r="K36" s="597" t="s">
        <v>379</v>
      </c>
      <c r="L36" s="597" t="s">
        <v>379</v>
      </c>
      <c r="M36" s="597" t="s">
        <v>379</v>
      </c>
      <c r="N36" s="597" t="s">
        <v>379</v>
      </c>
    </row>
    <row r="37" spans="1:14" ht="12" customHeight="1" thickBot="1">
      <c r="A37" s="272" t="s">
        <v>49</v>
      </c>
      <c r="B37" s="598" t="s">
        <v>379</v>
      </c>
      <c r="C37" s="599" t="s">
        <v>379</v>
      </c>
      <c r="D37" s="599" t="s">
        <v>379</v>
      </c>
      <c r="E37" s="599" t="s">
        <v>379</v>
      </c>
      <c r="F37" s="599" t="s">
        <v>379</v>
      </c>
      <c r="G37" s="599" t="s">
        <v>379</v>
      </c>
      <c r="H37" s="599" t="s">
        <v>379</v>
      </c>
      <c r="I37" s="599" t="s">
        <v>379</v>
      </c>
      <c r="J37" s="599" t="s">
        <v>379</v>
      </c>
      <c r="K37" s="599" t="s">
        <v>379</v>
      </c>
      <c r="L37" s="599" t="s">
        <v>379</v>
      </c>
      <c r="M37" s="599" t="s">
        <v>379</v>
      </c>
      <c r="N37" s="599" t="s">
        <v>379</v>
      </c>
    </row>
    <row r="38" spans="1:14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14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14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</sheetData>
  <printOptions horizontalCentered="1" verticalCentered="1"/>
  <pageMargins left="0" right="0" top="0" bottom="0" header="0" footer="0"/>
  <pageSetup paperSize="9" orientation="landscape" horizontalDpi="4294967292"/>
  <headerFooter scaleWithDoc="0"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Hoja80">
    <tabColor theme="9" tint="0.59999389629810485"/>
  </sheetPr>
  <dimension ref="A4:N48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14" ht="13" customHeight="1">
      <c r="A4" s="511" t="s">
        <v>587</v>
      </c>
      <c r="B4" s="507"/>
    </row>
    <row r="5" spans="1:14" ht="13" customHeight="1">
      <c r="A5" s="514" t="s">
        <v>595</v>
      </c>
      <c r="B5" s="507"/>
    </row>
    <row r="6" spans="1:14" ht="5" customHeight="1" thickBot="1"/>
    <row r="7" spans="1:14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</row>
    <row r="8" spans="1:14" ht="15" customHeight="1">
      <c r="A8" s="530" t="s">
        <v>100</v>
      </c>
      <c r="B8" s="555">
        <f>'C-78'!B8/'C-77'!B8*1000</f>
        <v>1.9747403524643234</v>
      </c>
      <c r="C8" s="602">
        <f>'C-78'!C8/'C-77'!C8*1000</f>
        <v>1.8868354747870897</v>
      </c>
      <c r="D8" s="602">
        <f>'C-78'!D8/'C-77'!D8*1000</f>
        <v>1.8630287524575668</v>
      </c>
      <c r="E8" s="602">
        <f>'C-78'!E8/'C-77'!E8*1000</f>
        <v>1.8807949301808722</v>
      </c>
      <c r="F8" s="602">
        <f>'C-78'!F8/'C-77'!F8*1000</f>
        <v>2.1702435495538941</v>
      </c>
      <c r="G8" s="602">
        <f>'C-78'!G8/'C-77'!G8*1000</f>
        <v>1.7918227724385078</v>
      </c>
      <c r="H8" s="602">
        <f>'C-78'!H8/'C-77'!H8*1000</f>
        <v>1.8227386648439279</v>
      </c>
      <c r="I8" s="602">
        <f>'C-78'!I8/'C-77'!I8*1000</f>
        <v>2.1621621621621623</v>
      </c>
      <c r="J8" s="602">
        <f>'C-78'!J8/'C-77'!J8*1000</f>
        <v>1.8989745537409799</v>
      </c>
      <c r="K8" s="602">
        <f>'C-78'!K8/'C-77'!K8*1000</f>
        <v>1.8826482585503608</v>
      </c>
      <c r="L8" s="602">
        <f>'C-78'!L8/'C-77'!L8*1000</f>
        <v>2.2178186637970634</v>
      </c>
      <c r="M8" s="602">
        <f>'C-78'!M8/'C-77'!M8*1000</f>
        <v>1.9955524274640593</v>
      </c>
      <c r="N8" s="602">
        <f>'C-78'!N8/'C-77'!N8*1000</f>
        <v>2.1255074379273604</v>
      </c>
    </row>
    <row r="9" spans="1:14" ht="12" customHeight="1">
      <c r="A9" s="269" t="s">
        <v>21</v>
      </c>
      <c r="B9" s="555" t="s">
        <v>81</v>
      </c>
      <c r="C9" s="556" t="s">
        <v>81</v>
      </c>
      <c r="D9" s="556" t="s">
        <v>81</v>
      </c>
      <c r="E9" s="556" t="s">
        <v>81</v>
      </c>
      <c r="F9" s="556" t="s">
        <v>81</v>
      </c>
      <c r="G9" s="556" t="s">
        <v>81</v>
      </c>
      <c r="H9" s="556" t="s">
        <v>81</v>
      </c>
      <c r="I9" s="556" t="s">
        <v>81</v>
      </c>
      <c r="J9" s="556" t="s">
        <v>81</v>
      </c>
      <c r="K9" s="556" t="s">
        <v>81</v>
      </c>
      <c r="L9" s="556" t="s">
        <v>81</v>
      </c>
      <c r="M9" s="556" t="s">
        <v>81</v>
      </c>
      <c r="N9" s="556" t="s">
        <v>81</v>
      </c>
    </row>
    <row r="10" spans="1:14" ht="12" customHeight="1">
      <c r="A10" s="269" t="s">
        <v>22</v>
      </c>
      <c r="B10" s="555">
        <f>'C-78'!B10/'C-77'!B10*1000</f>
        <v>0</v>
      </c>
      <c r="C10" s="556" t="s">
        <v>81</v>
      </c>
      <c r="D10" s="556" t="s">
        <v>81</v>
      </c>
      <c r="E10" s="556" t="s">
        <v>81</v>
      </c>
      <c r="F10" s="556">
        <f>'C-78'!F10/'C-77'!F10*1000</f>
        <v>0</v>
      </c>
      <c r="G10" s="556">
        <f>'C-78'!G10/'C-77'!G10*1000</f>
        <v>0</v>
      </c>
      <c r="H10" s="556" t="s">
        <v>81</v>
      </c>
      <c r="I10" s="556" t="s">
        <v>81</v>
      </c>
      <c r="J10" s="556" t="s">
        <v>81</v>
      </c>
      <c r="K10" s="556" t="s">
        <v>81</v>
      </c>
      <c r="L10" s="556" t="s">
        <v>81</v>
      </c>
      <c r="M10" s="556" t="s">
        <v>81</v>
      </c>
      <c r="N10" s="556" t="s">
        <v>81</v>
      </c>
    </row>
    <row r="11" spans="1:14" ht="12" customHeight="1">
      <c r="A11" s="269" t="s">
        <v>23</v>
      </c>
      <c r="B11" s="555" t="s">
        <v>81</v>
      </c>
      <c r="C11" s="556" t="s">
        <v>81</v>
      </c>
      <c r="D11" s="556" t="s">
        <v>81</v>
      </c>
      <c r="E11" s="556" t="s">
        <v>81</v>
      </c>
      <c r="F11" s="556" t="s">
        <v>81</v>
      </c>
      <c r="G11" s="556" t="s">
        <v>81</v>
      </c>
      <c r="H11" s="556" t="s">
        <v>81</v>
      </c>
      <c r="I11" s="556" t="s">
        <v>81</v>
      </c>
      <c r="J11" s="556" t="s">
        <v>81</v>
      </c>
      <c r="K11" s="556" t="s">
        <v>81</v>
      </c>
      <c r="L11" s="556" t="s">
        <v>81</v>
      </c>
      <c r="M11" s="556" t="s">
        <v>81</v>
      </c>
      <c r="N11" s="556" t="s">
        <v>81</v>
      </c>
    </row>
    <row r="12" spans="1:14" ht="12" customHeight="1">
      <c r="A12" s="217" t="s">
        <v>24</v>
      </c>
      <c r="B12" s="555">
        <f>'C-78'!B12/'C-77'!B12*1000</f>
        <v>2.8067484662576683</v>
      </c>
      <c r="C12" s="556" t="s">
        <v>81</v>
      </c>
      <c r="D12" s="556" t="s">
        <v>81</v>
      </c>
      <c r="E12" s="556" t="s">
        <v>81</v>
      </c>
      <c r="F12" s="556">
        <f>'C-78'!F12/'C-77'!F12*1000</f>
        <v>2.1052631578947367</v>
      </c>
      <c r="G12" s="556">
        <f>'C-78'!G12/'C-77'!G12*1000</f>
        <v>2.7932960893854748</v>
      </c>
      <c r="H12" s="556">
        <f>'C-78'!H12/'C-77'!H12*1000</f>
        <v>2.6075619295958279</v>
      </c>
      <c r="I12" s="556">
        <f>'C-78'!I12/'C-77'!I12*1000</f>
        <v>4.1322314049586781</v>
      </c>
      <c r="J12" s="556">
        <f>'C-78'!J12/'C-77'!J12*1000</f>
        <v>5</v>
      </c>
      <c r="K12" s="556" t="s">
        <v>81</v>
      </c>
      <c r="L12" s="556">
        <f>'C-78'!L12/'C-77'!L12*1000</f>
        <v>3.8759689922480618</v>
      </c>
      <c r="M12" s="556">
        <f>'C-78'!M12/'C-77'!M12*1000</f>
        <v>2.6143790849673203</v>
      </c>
      <c r="N12" s="556">
        <f>'C-78'!N12/'C-77'!N12*1000</f>
        <v>2.8388928317955999</v>
      </c>
    </row>
    <row r="13" spans="1:14" ht="12" customHeight="1">
      <c r="A13" s="217" t="s">
        <v>25</v>
      </c>
      <c r="B13" s="555" t="s">
        <v>81</v>
      </c>
      <c r="C13" s="556" t="s">
        <v>81</v>
      </c>
      <c r="D13" s="556" t="s">
        <v>81</v>
      </c>
      <c r="E13" s="556" t="s">
        <v>81</v>
      </c>
      <c r="F13" s="556" t="s">
        <v>81</v>
      </c>
      <c r="G13" s="556" t="s">
        <v>81</v>
      </c>
      <c r="H13" s="556" t="s">
        <v>81</v>
      </c>
      <c r="I13" s="556" t="s">
        <v>81</v>
      </c>
      <c r="J13" s="556" t="s">
        <v>81</v>
      </c>
      <c r="K13" s="556" t="s">
        <v>81</v>
      </c>
      <c r="L13" s="556" t="s">
        <v>81</v>
      </c>
      <c r="M13" s="556" t="s">
        <v>81</v>
      </c>
      <c r="N13" s="556" t="s">
        <v>81</v>
      </c>
    </row>
    <row r="14" spans="1:14" ht="12" customHeight="1">
      <c r="A14" s="271" t="s">
        <v>107</v>
      </c>
      <c r="B14" s="555" t="s">
        <v>81</v>
      </c>
      <c r="C14" s="556" t="s">
        <v>81</v>
      </c>
      <c r="D14" s="556" t="s">
        <v>81</v>
      </c>
      <c r="E14" s="556" t="s">
        <v>81</v>
      </c>
      <c r="F14" s="556" t="s">
        <v>81</v>
      </c>
      <c r="G14" s="556" t="s">
        <v>81</v>
      </c>
      <c r="H14" s="556" t="s">
        <v>81</v>
      </c>
      <c r="I14" s="556" t="s">
        <v>81</v>
      </c>
      <c r="J14" s="556" t="s">
        <v>81</v>
      </c>
      <c r="K14" s="556" t="s">
        <v>81</v>
      </c>
      <c r="L14" s="556" t="s">
        <v>81</v>
      </c>
      <c r="M14" s="556" t="s">
        <v>81</v>
      </c>
      <c r="N14" s="556" t="s">
        <v>81</v>
      </c>
    </row>
    <row r="15" spans="1:14" ht="12" customHeight="1">
      <c r="A15" s="271" t="s">
        <v>108</v>
      </c>
      <c r="B15" s="555" t="s">
        <v>81</v>
      </c>
      <c r="C15" s="556" t="s">
        <v>81</v>
      </c>
      <c r="D15" s="556" t="s">
        <v>81</v>
      </c>
      <c r="E15" s="556" t="s">
        <v>81</v>
      </c>
      <c r="F15" s="556" t="s">
        <v>81</v>
      </c>
      <c r="G15" s="556" t="s">
        <v>81</v>
      </c>
      <c r="H15" s="556" t="s">
        <v>81</v>
      </c>
      <c r="I15" s="556" t="s">
        <v>81</v>
      </c>
      <c r="J15" s="556" t="s">
        <v>81</v>
      </c>
      <c r="K15" s="556" t="s">
        <v>81</v>
      </c>
      <c r="L15" s="556" t="s">
        <v>81</v>
      </c>
      <c r="M15" s="556" t="s">
        <v>81</v>
      </c>
      <c r="N15" s="556" t="s">
        <v>81</v>
      </c>
    </row>
    <row r="16" spans="1:14" ht="12" customHeight="1">
      <c r="A16" s="271" t="s">
        <v>109</v>
      </c>
      <c r="B16" s="555" t="s">
        <v>81</v>
      </c>
      <c r="C16" s="556" t="s">
        <v>81</v>
      </c>
      <c r="D16" s="556" t="s">
        <v>81</v>
      </c>
      <c r="E16" s="556" t="s">
        <v>81</v>
      </c>
      <c r="F16" s="556" t="s">
        <v>81</v>
      </c>
      <c r="G16" s="556" t="s">
        <v>81</v>
      </c>
      <c r="H16" s="556" t="s">
        <v>81</v>
      </c>
      <c r="I16" s="556" t="s">
        <v>81</v>
      </c>
      <c r="J16" s="556" t="s">
        <v>81</v>
      </c>
      <c r="K16" s="556" t="s">
        <v>81</v>
      </c>
      <c r="L16" s="556" t="s">
        <v>81</v>
      </c>
      <c r="M16" s="556" t="s">
        <v>81</v>
      </c>
      <c r="N16" s="556" t="s">
        <v>81</v>
      </c>
    </row>
    <row r="17" spans="1:14" ht="12" customHeight="1">
      <c r="A17" s="269" t="s">
        <v>29</v>
      </c>
      <c r="B17" s="555" t="s">
        <v>81</v>
      </c>
      <c r="C17" s="556" t="s">
        <v>81</v>
      </c>
      <c r="D17" s="556" t="s">
        <v>81</v>
      </c>
      <c r="E17" s="556" t="s">
        <v>81</v>
      </c>
      <c r="F17" s="556" t="s">
        <v>81</v>
      </c>
      <c r="G17" s="556" t="s">
        <v>81</v>
      </c>
      <c r="H17" s="556" t="s">
        <v>81</v>
      </c>
      <c r="I17" s="556" t="s">
        <v>81</v>
      </c>
      <c r="J17" s="556" t="s">
        <v>81</v>
      </c>
      <c r="K17" s="556" t="s">
        <v>81</v>
      </c>
      <c r="L17" s="556" t="s">
        <v>81</v>
      </c>
      <c r="M17" s="556" t="s">
        <v>81</v>
      </c>
      <c r="N17" s="556" t="s">
        <v>81</v>
      </c>
    </row>
    <row r="18" spans="1:14" ht="12" customHeight="1">
      <c r="A18" s="217" t="s">
        <v>30</v>
      </c>
      <c r="B18" s="555" t="s">
        <v>81</v>
      </c>
      <c r="C18" s="556" t="s">
        <v>81</v>
      </c>
      <c r="D18" s="556" t="s">
        <v>81</v>
      </c>
      <c r="E18" s="556" t="s">
        <v>81</v>
      </c>
      <c r="F18" s="556" t="s">
        <v>81</v>
      </c>
      <c r="G18" s="556" t="s">
        <v>81</v>
      </c>
      <c r="H18" s="556" t="s">
        <v>81</v>
      </c>
      <c r="I18" s="556" t="s">
        <v>81</v>
      </c>
      <c r="J18" s="556" t="s">
        <v>81</v>
      </c>
      <c r="K18" s="556" t="s">
        <v>81</v>
      </c>
      <c r="L18" s="556" t="s">
        <v>81</v>
      </c>
      <c r="M18" s="556" t="s">
        <v>81</v>
      </c>
      <c r="N18" s="556" t="s">
        <v>81</v>
      </c>
    </row>
    <row r="19" spans="1:14" ht="12" customHeight="1">
      <c r="A19" s="217" t="s">
        <v>31</v>
      </c>
      <c r="B19" s="555">
        <f>'C-78'!B19/'C-77'!B19*1000</f>
        <v>1.5329613780401929</v>
      </c>
      <c r="C19" s="556" t="s">
        <v>81</v>
      </c>
      <c r="D19" s="556">
        <f>'C-78'!D19/'C-77'!D19*1000</f>
        <v>1.3043478260869563</v>
      </c>
      <c r="E19" s="556" t="s">
        <v>81</v>
      </c>
      <c r="F19" s="556">
        <f>'C-78'!F19/'C-77'!F19*1000</f>
        <v>1.7229496898690559</v>
      </c>
      <c r="G19" s="556">
        <f>'C-78'!G19/'C-77'!G19*1000</f>
        <v>1.4385304857806795</v>
      </c>
      <c r="H19" s="556">
        <f>'C-78'!H19/'C-77'!H19*1000</f>
        <v>1.4362657091561939</v>
      </c>
      <c r="I19" s="556">
        <f>'C-78'!I19/'C-77'!I19*1000</f>
        <v>1.6528925619834711</v>
      </c>
      <c r="J19" s="556" t="s">
        <v>81</v>
      </c>
      <c r="K19" s="556" t="s">
        <v>81</v>
      </c>
      <c r="L19" s="556" t="s">
        <v>81</v>
      </c>
      <c r="M19" s="556" t="s">
        <v>81</v>
      </c>
      <c r="N19" s="556" t="s">
        <v>81</v>
      </c>
    </row>
    <row r="20" spans="1:14" ht="12" customHeight="1">
      <c r="A20" s="269" t="s">
        <v>32</v>
      </c>
      <c r="B20" s="555" t="s">
        <v>81</v>
      </c>
      <c r="C20" s="556" t="s">
        <v>81</v>
      </c>
      <c r="D20" s="556" t="s">
        <v>81</v>
      </c>
      <c r="E20" s="556" t="s">
        <v>81</v>
      </c>
      <c r="F20" s="556" t="s">
        <v>81</v>
      </c>
      <c r="G20" s="556" t="s">
        <v>81</v>
      </c>
      <c r="H20" s="556" t="s">
        <v>81</v>
      </c>
      <c r="I20" s="556" t="s">
        <v>81</v>
      </c>
      <c r="J20" s="556" t="s">
        <v>81</v>
      </c>
      <c r="K20" s="556" t="s">
        <v>81</v>
      </c>
      <c r="L20" s="556" t="s">
        <v>81</v>
      </c>
      <c r="M20" s="556" t="s">
        <v>81</v>
      </c>
      <c r="N20" s="556" t="s">
        <v>81</v>
      </c>
    </row>
    <row r="21" spans="1:14" ht="12" customHeight="1">
      <c r="A21" s="269" t="s">
        <v>33</v>
      </c>
      <c r="B21" s="555">
        <f>'C-78'!B21/'C-77'!B21*1000</f>
        <v>2.4708304735758406</v>
      </c>
      <c r="C21" s="556">
        <f>'C-78'!C21/'C-77'!C21*1000</f>
        <v>2.7027027027027026</v>
      </c>
      <c r="D21" s="556">
        <f>'C-78'!D21/'C-77'!D21*1000</f>
        <v>2.6178010471204192</v>
      </c>
      <c r="E21" s="556">
        <f>'C-78'!E21/'C-77'!E21*1000</f>
        <v>0</v>
      </c>
      <c r="F21" s="556">
        <f>'C-78'!F21/'C-77'!F21*1000</f>
        <v>0</v>
      </c>
      <c r="G21" s="556">
        <f>'C-78'!G21/'C-77'!G21*1000</f>
        <v>0</v>
      </c>
      <c r="H21" s="556">
        <f>'C-78'!H21/'C-77'!H21*1000</f>
        <v>0</v>
      </c>
      <c r="I21" s="556">
        <f>'C-78'!I21/'C-77'!I21*1000</f>
        <v>0</v>
      </c>
      <c r="J21" s="556">
        <f>'C-78'!J21/'C-77'!J21*1000</f>
        <v>2.8571428571428572</v>
      </c>
      <c r="K21" s="556">
        <f>'C-78'!K21/'C-77'!K21*1000</f>
        <v>0</v>
      </c>
      <c r="L21" s="556">
        <f>'C-78'!L21/'C-77'!L21*1000</f>
        <v>2.1276595744680851</v>
      </c>
      <c r="M21" s="556">
        <f>'C-78'!M21/'C-77'!M21*1000</f>
        <v>5.2631578947368416</v>
      </c>
      <c r="N21" s="556">
        <f>'C-78'!N21/'C-77'!N21*1000</f>
        <v>3.5211267605633805</v>
      </c>
    </row>
    <row r="22" spans="1:14" ht="12" customHeight="1">
      <c r="A22" s="269" t="s">
        <v>34</v>
      </c>
      <c r="B22" s="555">
        <f>'C-78'!B22/'C-77'!B22*1000</f>
        <v>2.2075573612644135</v>
      </c>
      <c r="C22" s="556" t="s">
        <v>81</v>
      </c>
      <c r="D22" s="556" t="s">
        <v>81</v>
      </c>
      <c r="E22" s="556" t="s">
        <v>81</v>
      </c>
      <c r="F22" s="556" t="s">
        <v>81</v>
      </c>
      <c r="G22" s="556" t="s">
        <v>81</v>
      </c>
      <c r="H22" s="556" t="s">
        <v>81</v>
      </c>
      <c r="I22" s="556" t="s">
        <v>81</v>
      </c>
      <c r="J22" s="556" t="s">
        <v>81</v>
      </c>
      <c r="K22" s="556" t="s">
        <v>81</v>
      </c>
      <c r="L22" s="556">
        <f>'C-78'!L22/'C-77'!L22*1000</f>
        <v>2.1362151294295049</v>
      </c>
      <c r="M22" s="556">
        <f>'C-78'!M22/'C-77'!M22*1000</f>
        <v>2.2675736961451247</v>
      </c>
      <c r="N22" s="556">
        <f>'C-78'!N22/'C-77'!N22*1000</f>
        <v>2.1638330757341575</v>
      </c>
    </row>
    <row r="23" spans="1:14" ht="12" customHeight="1">
      <c r="A23" s="269" t="s">
        <v>35</v>
      </c>
      <c r="B23" s="555">
        <f>'C-78'!B23/'C-77'!B23*1000</f>
        <v>2.6659986759469665</v>
      </c>
      <c r="C23" s="556" t="s">
        <v>81</v>
      </c>
      <c r="D23" s="556" t="s">
        <v>81</v>
      </c>
      <c r="E23" s="556" t="s">
        <v>81</v>
      </c>
      <c r="F23" s="556" t="s">
        <v>81</v>
      </c>
      <c r="G23" s="556" t="s">
        <v>81</v>
      </c>
      <c r="H23" s="556" t="s">
        <v>81</v>
      </c>
      <c r="I23" s="556" t="s">
        <v>81</v>
      </c>
      <c r="J23" s="556" t="s">
        <v>81</v>
      </c>
      <c r="K23" s="556" t="s">
        <v>81</v>
      </c>
      <c r="L23" s="556">
        <f>'C-78'!L23/'C-77'!L23*1000</f>
        <v>2.8294743553979198</v>
      </c>
      <c r="M23" s="556">
        <f>'C-78'!M23/'C-77'!M23*1000</f>
        <v>2.5494409440215611</v>
      </c>
      <c r="N23" s="556">
        <f>'C-78'!N23/'C-77'!N23*1000</f>
        <v>2.395926924228811</v>
      </c>
    </row>
    <row r="24" spans="1:14" ht="12" customHeight="1">
      <c r="A24" s="269" t="s">
        <v>36</v>
      </c>
      <c r="B24" s="555">
        <f>'C-78'!B24/'C-77'!B24*1000</f>
        <v>1.8072809578934637</v>
      </c>
      <c r="C24" s="556" t="s">
        <v>81</v>
      </c>
      <c r="D24" s="556">
        <f>'C-78'!D24/'C-77'!D24*1000</f>
        <v>1.7398028223468005</v>
      </c>
      <c r="E24" s="556">
        <f>'C-78'!E24/'C-77'!E24*1000</f>
        <v>1.7777777777777779</v>
      </c>
      <c r="F24" s="556">
        <f>'C-78'!F24/'C-77'!F24*1000</f>
        <v>2.0202020202020203</v>
      </c>
      <c r="G24" s="556">
        <f>'C-78'!G24/'C-77'!G24*1000</f>
        <v>1.8778576094056172</v>
      </c>
      <c r="H24" s="556">
        <f>'C-78'!H24/'C-77'!H24*1000</f>
        <v>1.7875148959574663</v>
      </c>
      <c r="I24" s="556" t="s">
        <v>81</v>
      </c>
      <c r="J24" s="556" t="s">
        <v>81</v>
      </c>
      <c r="K24" s="556">
        <f>'C-78'!K24/'C-77'!K24*1000</f>
        <v>1.7142857142857142</v>
      </c>
      <c r="L24" s="556">
        <f>'C-78'!L24/'C-77'!L24*1000</f>
        <v>3.0303030303030303</v>
      </c>
      <c r="M24" s="556">
        <f>'C-78'!M24/'C-77'!M24*1000</f>
        <v>0</v>
      </c>
      <c r="N24" s="556" t="s">
        <v>81</v>
      </c>
    </row>
    <row r="25" spans="1:14" ht="12" customHeight="1">
      <c r="A25" s="217" t="s">
        <v>37</v>
      </c>
      <c r="B25" s="555">
        <f>'C-78'!B25/'C-77'!B25*1000</f>
        <v>1.9216758702974375</v>
      </c>
      <c r="C25" s="556">
        <f>'C-78'!C25/'C-77'!C25*1000</f>
        <v>1.8177686889343332</v>
      </c>
      <c r="D25" s="556">
        <f>'C-78'!D25/'C-77'!D25*1000</f>
        <v>1.9711626209162254</v>
      </c>
      <c r="E25" s="556">
        <f>'C-78'!E25/'C-77'!E25*1000</f>
        <v>1.961364813855377</v>
      </c>
      <c r="F25" s="556" t="s">
        <v>81</v>
      </c>
      <c r="G25" s="556" t="s">
        <v>81</v>
      </c>
      <c r="H25" s="556" t="s">
        <v>81</v>
      </c>
      <c r="I25" s="556" t="s">
        <v>81</v>
      </c>
      <c r="J25" s="556" t="s">
        <v>81</v>
      </c>
      <c r="K25" s="556" t="s">
        <v>81</v>
      </c>
      <c r="L25" s="556" t="s">
        <v>81</v>
      </c>
      <c r="M25" s="556" t="s">
        <v>81</v>
      </c>
      <c r="N25" s="556">
        <f>'C-78'!N25/'C-77'!N25*1000</f>
        <v>1.9444044361227135</v>
      </c>
    </row>
    <row r="26" spans="1:14" ht="12" customHeight="1">
      <c r="A26" s="269" t="s">
        <v>38</v>
      </c>
      <c r="B26" s="555">
        <f>'C-78'!B26/'C-77'!B26*1000</f>
        <v>2.0307049994715145</v>
      </c>
      <c r="C26" s="556">
        <f>'C-78'!C26/'C-77'!C26*1000</f>
        <v>1.3333333333333333</v>
      </c>
      <c r="D26" s="556">
        <f>'C-78'!D26/'C-77'!D26*1000</f>
        <v>1.2903225806451613</v>
      </c>
      <c r="E26" s="556">
        <f>'C-78'!E26/'C-77'!E26*1000</f>
        <v>1.3869731800766285</v>
      </c>
      <c r="F26" s="556">
        <f>'C-78'!F26/'C-77'!F26*1000</f>
        <v>1.6592920353982301</v>
      </c>
      <c r="G26" s="556" t="s">
        <v>81</v>
      </c>
      <c r="H26" s="556" t="s">
        <v>81</v>
      </c>
      <c r="I26" s="556" t="s">
        <v>81</v>
      </c>
      <c r="J26" s="556">
        <f>'C-78'!J26/'C-77'!J26*1000</f>
        <v>2.8708133971291865</v>
      </c>
      <c r="K26" s="556">
        <f>'C-78'!K26/'C-77'!K26*1000</f>
        <v>2.1276595744680851</v>
      </c>
      <c r="L26" s="556">
        <f>'C-78'!L26/'C-77'!L26*1000</f>
        <v>2.3715415019762847</v>
      </c>
      <c r="M26" s="556">
        <f>'C-78'!M26/'C-77'!M26*1000</f>
        <v>2.0341036960096943</v>
      </c>
      <c r="N26" s="556">
        <f>'C-78'!N26/'C-77'!N26*1000</f>
        <v>2.244668911335578</v>
      </c>
    </row>
    <row r="27" spans="1:14" ht="12" customHeight="1">
      <c r="A27" s="269" t="s">
        <v>39</v>
      </c>
      <c r="B27" s="555">
        <f>'C-78'!B27/'C-77'!B27*1000</f>
        <v>2.0130475302889095</v>
      </c>
      <c r="C27" s="556" t="s">
        <v>81</v>
      </c>
      <c r="D27" s="556" t="s">
        <v>81</v>
      </c>
      <c r="E27" s="556" t="s">
        <v>81</v>
      </c>
      <c r="F27" s="556" t="s">
        <v>81</v>
      </c>
      <c r="G27" s="556" t="s">
        <v>81</v>
      </c>
      <c r="H27" s="556" t="s">
        <v>81</v>
      </c>
      <c r="I27" s="556" t="s">
        <v>81</v>
      </c>
      <c r="J27" s="556" t="s">
        <v>81</v>
      </c>
      <c r="K27" s="556" t="s">
        <v>81</v>
      </c>
      <c r="L27" s="556">
        <f>'C-78'!L27/'C-77'!L27*1000</f>
        <v>1.7299864314789688</v>
      </c>
      <c r="M27" s="556">
        <f>'C-78'!M27/'C-77'!M27*1000</f>
        <v>2.3582954075299956</v>
      </c>
      <c r="N27" s="556" t="s">
        <v>81</v>
      </c>
    </row>
    <row r="28" spans="1:14" ht="12" customHeight="1">
      <c r="A28" s="269" t="s">
        <v>40</v>
      </c>
      <c r="B28" s="555">
        <f>'C-78'!B28/'C-77'!B28*1000</f>
        <v>1.9949062346230249</v>
      </c>
      <c r="C28" s="556">
        <f>'C-78'!C28/'C-77'!C28*1000</f>
        <v>1.9220912352639672</v>
      </c>
      <c r="D28" s="556">
        <f>'C-78'!D28/'C-77'!D28*1000</f>
        <v>1.9322782480677216</v>
      </c>
      <c r="E28" s="556">
        <f>'C-78'!E28/'C-77'!E28*1000</f>
        <v>2.0748372325964084</v>
      </c>
      <c r="F28" s="556">
        <f>'C-78'!F28/'C-77'!F28*1000</f>
        <v>2.4524115380123788</v>
      </c>
      <c r="G28" s="556">
        <f>'C-78'!G28/'C-77'!G28*1000</f>
        <v>2.0050795348215482</v>
      </c>
      <c r="H28" s="556" t="s">
        <v>81</v>
      </c>
      <c r="I28" s="556" t="s">
        <v>81</v>
      </c>
      <c r="J28" s="556">
        <f>'C-78'!J28/'C-77'!J28*1000</f>
        <v>1.7740981667652278</v>
      </c>
      <c r="K28" s="556">
        <f>'C-78'!K28/'C-77'!K28*1000</f>
        <v>1.6277807921866521</v>
      </c>
      <c r="L28" s="556" t="s">
        <v>81</v>
      </c>
      <c r="M28" s="556">
        <f>'C-78'!M28/'C-77'!M28*1000</f>
        <v>1.7851450430347464</v>
      </c>
      <c r="N28" s="556">
        <f>'C-78'!N28/'C-77'!N28*1000</f>
        <v>1.7958928710861248</v>
      </c>
    </row>
    <row r="29" spans="1:14" ht="12" customHeight="1">
      <c r="A29" s="217" t="s">
        <v>41</v>
      </c>
      <c r="B29" s="555">
        <f>'C-78'!B29/'C-77'!B29*1000</f>
        <v>1.9603038470962999</v>
      </c>
      <c r="C29" s="556">
        <f>'C-78'!C29/'C-77'!C29*1000</f>
        <v>2.0129724893759784</v>
      </c>
      <c r="D29" s="556">
        <f>'C-78'!D29/'C-77'!D29*1000</f>
        <v>1.910828025477707</v>
      </c>
      <c r="E29" s="556">
        <f>'C-78'!E29/'C-77'!E29*1000</f>
        <v>1.8298261665141813</v>
      </c>
      <c r="F29" s="556">
        <f>'C-78'!F29/'C-77'!F29*1000</f>
        <v>1.7043033659991478</v>
      </c>
      <c r="G29" s="556">
        <f>'C-78'!G29/'C-77'!G29*1000</f>
        <v>2.4875621890547261</v>
      </c>
      <c r="H29" s="556" t="s">
        <v>81</v>
      </c>
      <c r="I29" s="556" t="s">
        <v>81</v>
      </c>
      <c r="J29" s="556" t="s">
        <v>81</v>
      </c>
      <c r="K29" s="556" t="s">
        <v>81</v>
      </c>
      <c r="L29" s="556" t="s">
        <v>81</v>
      </c>
      <c r="M29" s="556">
        <f>'C-78'!M29/'C-77'!M29*1000</f>
        <v>2.0202020202020203</v>
      </c>
      <c r="N29" s="556">
        <f>'C-78'!N29/'C-77'!N29*1000</f>
        <v>2.2546419098143238</v>
      </c>
    </row>
    <row r="30" spans="1:14" ht="12" customHeight="1">
      <c r="A30" s="271" t="s">
        <v>111</v>
      </c>
      <c r="B30" s="555">
        <f>'C-78'!B30/'C-77'!B30*1000</f>
        <v>2.025572857323712</v>
      </c>
      <c r="C30" s="556">
        <f>'C-78'!C30/'C-77'!C30*1000</f>
        <v>1.8867924528301887</v>
      </c>
      <c r="D30" s="556">
        <f>'C-78'!D30/'C-77'!D30*1000</f>
        <v>2.0239190432382705</v>
      </c>
      <c r="E30" s="556">
        <f>'C-78'!E30/'C-77'!E30*1000</f>
        <v>1.9426906265177271</v>
      </c>
      <c r="F30" s="556">
        <f>'C-78'!F30/'C-77'!F30*1000</f>
        <v>1.7543859649122808</v>
      </c>
      <c r="G30" s="556" t="s">
        <v>81</v>
      </c>
      <c r="H30" s="556" t="s">
        <v>81</v>
      </c>
      <c r="I30" s="556" t="s">
        <v>81</v>
      </c>
      <c r="J30" s="556" t="s">
        <v>81</v>
      </c>
      <c r="K30" s="556" t="s">
        <v>81</v>
      </c>
      <c r="L30" s="556" t="s">
        <v>81</v>
      </c>
      <c r="M30" s="556">
        <f>'C-78'!M30/'C-77'!M30*1000</f>
        <v>1.996007984031936</v>
      </c>
      <c r="N30" s="556">
        <f>'C-78'!N30/'C-77'!N30*1000</f>
        <v>2.2199007573779057</v>
      </c>
    </row>
    <row r="31" spans="1:14" ht="12" customHeight="1">
      <c r="A31" s="271" t="s">
        <v>112</v>
      </c>
      <c r="B31" s="555">
        <f>'C-78'!B31/'C-77'!B31*1000</f>
        <v>1.8054615211013316</v>
      </c>
      <c r="C31" s="556">
        <f>'C-78'!C31/'C-77'!C31*1000</f>
        <v>1.9011406844106464</v>
      </c>
      <c r="D31" s="556">
        <f>'C-78'!D31/'C-77'!D31*1000</f>
        <v>1.7064846416382253</v>
      </c>
      <c r="E31" s="556">
        <f>'C-78'!E31/'C-77'!E31*1000</f>
        <v>1.6129032258064515</v>
      </c>
      <c r="F31" s="556">
        <f>'C-78'!F31/'C-77'!F31*1000</f>
        <v>2.4875621890547261</v>
      </c>
      <c r="G31" s="556">
        <f>'C-78'!G31/'C-77'!G31*1000</f>
        <v>2.3809523809523814</v>
      </c>
      <c r="H31" s="556" t="s">
        <v>81</v>
      </c>
      <c r="I31" s="556" t="s">
        <v>81</v>
      </c>
      <c r="J31" s="556" t="s">
        <v>81</v>
      </c>
      <c r="K31" s="556" t="s">
        <v>81</v>
      </c>
      <c r="L31" s="556" t="s">
        <v>81</v>
      </c>
      <c r="M31" s="556" t="s">
        <v>81</v>
      </c>
      <c r="N31" s="556" t="s">
        <v>81</v>
      </c>
    </row>
    <row r="32" spans="1:14" ht="12" customHeight="1">
      <c r="A32" s="269" t="s">
        <v>44</v>
      </c>
      <c r="B32" s="555">
        <f>'C-78'!B32/'C-77'!B32*1000</f>
        <v>1.9595237800882712</v>
      </c>
      <c r="C32" s="556">
        <f>'C-78'!C32/'C-77'!C32*1000</f>
        <v>2.001962708537782</v>
      </c>
      <c r="D32" s="556">
        <f>'C-78'!D32/'C-77'!D32*1000</f>
        <v>1.8526687251874723</v>
      </c>
      <c r="E32" s="556">
        <f>'C-78'!E32/'C-77'!E32*1000</f>
        <v>1.9900497512437809</v>
      </c>
      <c r="F32" s="556" t="s">
        <v>81</v>
      </c>
      <c r="G32" s="556" t="s">
        <v>81</v>
      </c>
      <c r="H32" s="556" t="s">
        <v>81</v>
      </c>
      <c r="I32" s="556" t="s">
        <v>81</v>
      </c>
      <c r="J32" s="556" t="s">
        <v>81</v>
      </c>
      <c r="K32" s="556" t="s">
        <v>81</v>
      </c>
      <c r="L32" s="556" t="s">
        <v>81</v>
      </c>
      <c r="M32" s="556">
        <f>'C-78'!M32/'C-77'!M32*1000</f>
        <v>1.8482601254991442</v>
      </c>
      <c r="N32" s="556">
        <f>'C-78'!N32/'C-77'!N32*1000</f>
        <v>2.0018274941688508</v>
      </c>
    </row>
    <row r="33" spans="1:14" ht="12" customHeight="1">
      <c r="A33" s="269" t="s">
        <v>45</v>
      </c>
      <c r="B33" s="555">
        <f>'C-78'!B33/'C-77'!B33*1000</f>
        <v>1.9428888515708853</v>
      </c>
      <c r="C33" s="556">
        <f>'C-78'!C33/'C-77'!C33*1000</f>
        <v>1.8560925635771965</v>
      </c>
      <c r="D33" s="556">
        <f>'C-78'!D33/'C-77'!D33*1000</f>
        <v>1.8530033577913196</v>
      </c>
      <c r="E33" s="556">
        <f>'C-78'!E33/'C-77'!E33*1000</f>
        <v>1.844968704862783</v>
      </c>
      <c r="F33" s="556" t="s">
        <v>81</v>
      </c>
      <c r="G33" s="556" t="s">
        <v>81</v>
      </c>
      <c r="H33" s="556" t="s">
        <v>81</v>
      </c>
      <c r="I33" s="556" t="s">
        <v>81</v>
      </c>
      <c r="J33" s="556" t="s">
        <v>81</v>
      </c>
      <c r="K33" s="556" t="s">
        <v>81</v>
      </c>
      <c r="L33" s="556" t="s">
        <v>81</v>
      </c>
      <c r="M33" s="556">
        <f>'C-78'!M33/'C-77'!M33*1000</f>
        <v>1.9541998620386443</v>
      </c>
      <c r="N33" s="556">
        <f>'C-78'!N33/'C-77'!N33*1000</f>
        <v>2.3141543826279918</v>
      </c>
    </row>
    <row r="34" spans="1:14" ht="12" customHeight="1">
      <c r="A34" s="217" t="s">
        <v>46</v>
      </c>
      <c r="B34" s="555" t="s">
        <v>81</v>
      </c>
      <c r="C34" s="556" t="s">
        <v>81</v>
      </c>
      <c r="D34" s="556" t="s">
        <v>81</v>
      </c>
      <c r="E34" s="556" t="s">
        <v>81</v>
      </c>
      <c r="F34" s="556" t="s">
        <v>81</v>
      </c>
      <c r="G34" s="556" t="s">
        <v>81</v>
      </c>
      <c r="H34" s="556" t="s">
        <v>81</v>
      </c>
      <c r="I34" s="556" t="s">
        <v>81</v>
      </c>
      <c r="J34" s="556" t="s">
        <v>81</v>
      </c>
      <c r="K34" s="556" t="s">
        <v>81</v>
      </c>
      <c r="L34" s="556" t="s">
        <v>81</v>
      </c>
      <c r="M34" s="556" t="s">
        <v>81</v>
      </c>
      <c r="N34" s="556" t="s">
        <v>81</v>
      </c>
    </row>
    <row r="35" spans="1:14" ht="12" customHeight="1">
      <c r="A35" s="217" t="s">
        <v>47</v>
      </c>
      <c r="B35" s="555" t="s">
        <v>81</v>
      </c>
      <c r="C35" s="556" t="s">
        <v>81</v>
      </c>
      <c r="D35" s="556" t="s">
        <v>81</v>
      </c>
      <c r="E35" s="556" t="s">
        <v>81</v>
      </c>
      <c r="F35" s="556" t="s">
        <v>81</v>
      </c>
      <c r="G35" s="556" t="s">
        <v>81</v>
      </c>
      <c r="H35" s="556" t="s">
        <v>81</v>
      </c>
      <c r="I35" s="556" t="s">
        <v>81</v>
      </c>
      <c r="J35" s="556" t="s">
        <v>81</v>
      </c>
      <c r="K35" s="556" t="s">
        <v>81</v>
      </c>
      <c r="L35" s="556" t="s">
        <v>81</v>
      </c>
      <c r="M35" s="556" t="s">
        <v>81</v>
      </c>
      <c r="N35" s="556" t="s">
        <v>81</v>
      </c>
    </row>
    <row r="36" spans="1:14" ht="12" customHeight="1">
      <c r="A36" s="217" t="s">
        <v>48</v>
      </c>
      <c r="B36" s="555" t="s">
        <v>81</v>
      </c>
      <c r="C36" s="556" t="s">
        <v>81</v>
      </c>
      <c r="D36" s="556" t="s">
        <v>81</v>
      </c>
      <c r="E36" s="556" t="s">
        <v>81</v>
      </c>
      <c r="F36" s="556" t="s">
        <v>81</v>
      </c>
      <c r="G36" s="556" t="s">
        <v>81</v>
      </c>
      <c r="H36" s="556" t="s">
        <v>81</v>
      </c>
      <c r="I36" s="556" t="s">
        <v>81</v>
      </c>
      <c r="J36" s="556" t="s">
        <v>81</v>
      </c>
      <c r="K36" s="556" t="s">
        <v>81</v>
      </c>
      <c r="L36" s="556" t="s">
        <v>81</v>
      </c>
      <c r="M36" s="556" t="s">
        <v>81</v>
      </c>
      <c r="N36" s="556" t="s">
        <v>81</v>
      </c>
    </row>
    <row r="37" spans="1:14" ht="12" customHeight="1" thickBot="1">
      <c r="A37" s="272" t="s">
        <v>49</v>
      </c>
      <c r="B37" s="557" t="s">
        <v>81</v>
      </c>
      <c r="C37" s="558" t="s">
        <v>81</v>
      </c>
      <c r="D37" s="558" t="s">
        <v>81</v>
      </c>
      <c r="E37" s="558" t="s">
        <v>81</v>
      </c>
      <c r="F37" s="558" t="s">
        <v>81</v>
      </c>
      <c r="G37" s="558" t="s">
        <v>81</v>
      </c>
      <c r="H37" s="558" t="s">
        <v>81</v>
      </c>
      <c r="I37" s="558" t="s">
        <v>81</v>
      </c>
      <c r="J37" s="558" t="s">
        <v>81</v>
      </c>
      <c r="K37" s="558" t="s">
        <v>81</v>
      </c>
      <c r="L37" s="558" t="s">
        <v>81</v>
      </c>
      <c r="M37" s="558" t="s">
        <v>81</v>
      </c>
      <c r="N37" s="558" t="s">
        <v>81</v>
      </c>
    </row>
    <row r="38" spans="1:14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</row>
    <row r="39" spans="1:14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</row>
    <row r="40" spans="1:14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</sheetData>
  <printOptions horizontalCentered="1" verticalCentered="1"/>
  <pageMargins left="0" right="0" top="0" bottom="0" header="0" footer="0"/>
  <pageSetup paperSize="9" orientation="landscape" horizontalDpi="4294967292"/>
  <headerFooter scaleWithDoc="0"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Hoja81">
    <tabColor theme="9" tint="0.59999389629810485"/>
  </sheetPr>
  <dimension ref="A4:O48"/>
  <sheetViews>
    <sheetView showGridLines="0" topLeftCell="A2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15" ht="13" customHeight="1">
      <c r="A4" s="511" t="s">
        <v>416</v>
      </c>
      <c r="B4" s="507"/>
    </row>
    <row r="5" spans="1:15" ht="13" customHeight="1">
      <c r="A5" s="515" t="s">
        <v>325</v>
      </c>
      <c r="B5" s="508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</row>
    <row r="6" spans="1:15" ht="5" customHeight="1" thickBot="1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</row>
    <row r="7" spans="1:15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  <c r="O7" s="274"/>
    </row>
    <row r="8" spans="1:15" ht="15" customHeight="1">
      <c r="A8" s="530" t="s">
        <v>100</v>
      </c>
      <c r="B8" s="559">
        <v>340347</v>
      </c>
      <c r="C8" s="559">
        <v>15981</v>
      </c>
      <c r="D8" s="559">
        <v>63845</v>
      </c>
      <c r="E8" s="559">
        <v>56706</v>
      </c>
      <c r="F8" s="559">
        <v>6058</v>
      </c>
      <c r="G8" s="559">
        <v>3127</v>
      </c>
      <c r="H8" s="559">
        <v>1735</v>
      </c>
      <c r="I8" s="559">
        <v>125</v>
      </c>
      <c r="J8" s="559">
        <v>0</v>
      </c>
      <c r="K8" s="559">
        <v>25</v>
      </c>
      <c r="L8" s="559">
        <v>19712</v>
      </c>
      <c r="M8" s="559">
        <v>144908</v>
      </c>
      <c r="N8" s="559">
        <v>28125</v>
      </c>
    </row>
    <row r="9" spans="1:15" ht="12" customHeight="1">
      <c r="A9" s="269" t="s">
        <v>21</v>
      </c>
      <c r="B9" s="603" t="s">
        <v>415</v>
      </c>
      <c r="C9" s="604" t="s">
        <v>415</v>
      </c>
      <c r="D9" s="604" t="s">
        <v>415</v>
      </c>
      <c r="E9" s="604" t="s">
        <v>415</v>
      </c>
      <c r="F9" s="604" t="s">
        <v>415</v>
      </c>
      <c r="G9" s="604" t="s">
        <v>415</v>
      </c>
      <c r="H9" s="604" t="s">
        <v>415</v>
      </c>
      <c r="I9" s="604" t="s">
        <v>415</v>
      </c>
      <c r="J9" s="604" t="s">
        <v>415</v>
      </c>
      <c r="K9" s="604" t="s">
        <v>415</v>
      </c>
      <c r="L9" s="604" t="s">
        <v>415</v>
      </c>
      <c r="M9" s="604" t="s">
        <v>415</v>
      </c>
      <c r="N9" s="604" t="s">
        <v>415</v>
      </c>
    </row>
    <row r="10" spans="1:15" ht="12" customHeight="1">
      <c r="A10" s="269" t="s">
        <v>22</v>
      </c>
      <c r="B10" s="603" t="s">
        <v>415</v>
      </c>
      <c r="C10" s="604" t="s">
        <v>415</v>
      </c>
      <c r="D10" s="604" t="s">
        <v>415</v>
      </c>
      <c r="E10" s="604" t="s">
        <v>415</v>
      </c>
      <c r="F10" s="604" t="s">
        <v>415</v>
      </c>
      <c r="G10" s="604" t="s">
        <v>415</v>
      </c>
      <c r="H10" s="604" t="s">
        <v>415</v>
      </c>
      <c r="I10" s="604" t="s">
        <v>415</v>
      </c>
      <c r="J10" s="604" t="s">
        <v>415</v>
      </c>
      <c r="K10" s="604" t="s">
        <v>415</v>
      </c>
      <c r="L10" s="604" t="s">
        <v>415</v>
      </c>
      <c r="M10" s="604" t="s">
        <v>415</v>
      </c>
      <c r="N10" s="604" t="s">
        <v>415</v>
      </c>
    </row>
    <row r="11" spans="1:15" ht="12" customHeight="1">
      <c r="A11" s="269" t="s">
        <v>23</v>
      </c>
      <c r="B11" s="603" t="s">
        <v>415</v>
      </c>
      <c r="C11" s="604" t="s">
        <v>415</v>
      </c>
      <c r="D11" s="604" t="s">
        <v>415</v>
      </c>
      <c r="E11" s="604" t="s">
        <v>415</v>
      </c>
      <c r="F11" s="604" t="s">
        <v>415</v>
      </c>
      <c r="G11" s="604" t="s">
        <v>415</v>
      </c>
      <c r="H11" s="604" t="s">
        <v>415</v>
      </c>
      <c r="I11" s="604" t="s">
        <v>415</v>
      </c>
      <c r="J11" s="604" t="s">
        <v>415</v>
      </c>
      <c r="K11" s="604" t="s">
        <v>415</v>
      </c>
      <c r="L11" s="604" t="s">
        <v>415</v>
      </c>
      <c r="M11" s="604" t="s">
        <v>415</v>
      </c>
      <c r="N11" s="604" t="s">
        <v>415</v>
      </c>
    </row>
    <row r="12" spans="1:15" ht="12" customHeight="1">
      <c r="A12" s="217" t="s">
        <v>24</v>
      </c>
      <c r="B12" s="603" t="s">
        <v>415</v>
      </c>
      <c r="C12" s="604" t="s">
        <v>415</v>
      </c>
      <c r="D12" s="604" t="s">
        <v>415</v>
      </c>
      <c r="E12" s="604" t="s">
        <v>415</v>
      </c>
      <c r="F12" s="604" t="s">
        <v>415</v>
      </c>
      <c r="G12" s="604" t="s">
        <v>415</v>
      </c>
      <c r="H12" s="604" t="s">
        <v>415</v>
      </c>
      <c r="I12" s="604" t="s">
        <v>415</v>
      </c>
      <c r="J12" s="604" t="s">
        <v>415</v>
      </c>
      <c r="K12" s="604" t="s">
        <v>415</v>
      </c>
      <c r="L12" s="604" t="s">
        <v>415</v>
      </c>
      <c r="M12" s="604" t="s">
        <v>415</v>
      </c>
      <c r="N12" s="604" t="s">
        <v>415</v>
      </c>
    </row>
    <row r="13" spans="1:15" ht="12" customHeight="1">
      <c r="A13" s="217" t="s">
        <v>25</v>
      </c>
      <c r="B13" s="603" t="s">
        <v>415</v>
      </c>
      <c r="C13" s="604" t="s">
        <v>415</v>
      </c>
      <c r="D13" s="604" t="s">
        <v>415</v>
      </c>
      <c r="E13" s="604" t="s">
        <v>415</v>
      </c>
      <c r="F13" s="604" t="s">
        <v>415</v>
      </c>
      <c r="G13" s="604" t="s">
        <v>415</v>
      </c>
      <c r="H13" s="604" t="s">
        <v>415</v>
      </c>
      <c r="I13" s="604" t="s">
        <v>415</v>
      </c>
      <c r="J13" s="604" t="s">
        <v>415</v>
      </c>
      <c r="K13" s="604" t="s">
        <v>415</v>
      </c>
      <c r="L13" s="604" t="s">
        <v>415</v>
      </c>
      <c r="M13" s="604" t="s">
        <v>415</v>
      </c>
      <c r="N13" s="604" t="s">
        <v>415</v>
      </c>
    </row>
    <row r="14" spans="1:15" ht="12" customHeight="1">
      <c r="A14" s="271" t="s">
        <v>107</v>
      </c>
      <c r="B14" s="603" t="s">
        <v>415</v>
      </c>
      <c r="C14" s="604" t="s">
        <v>415</v>
      </c>
      <c r="D14" s="604" t="s">
        <v>415</v>
      </c>
      <c r="E14" s="604" t="s">
        <v>415</v>
      </c>
      <c r="F14" s="604" t="s">
        <v>415</v>
      </c>
      <c r="G14" s="604" t="s">
        <v>415</v>
      </c>
      <c r="H14" s="604" t="s">
        <v>415</v>
      </c>
      <c r="I14" s="604" t="s">
        <v>415</v>
      </c>
      <c r="J14" s="604" t="s">
        <v>415</v>
      </c>
      <c r="K14" s="604" t="s">
        <v>415</v>
      </c>
      <c r="L14" s="604" t="s">
        <v>415</v>
      </c>
      <c r="M14" s="604" t="s">
        <v>415</v>
      </c>
      <c r="N14" s="604" t="s">
        <v>415</v>
      </c>
    </row>
    <row r="15" spans="1:15" ht="12" customHeight="1">
      <c r="A15" s="271" t="s">
        <v>108</v>
      </c>
      <c r="B15" s="603" t="s">
        <v>415</v>
      </c>
      <c r="C15" s="604" t="s">
        <v>415</v>
      </c>
      <c r="D15" s="604" t="s">
        <v>415</v>
      </c>
      <c r="E15" s="604" t="s">
        <v>415</v>
      </c>
      <c r="F15" s="604" t="s">
        <v>415</v>
      </c>
      <c r="G15" s="604" t="s">
        <v>415</v>
      </c>
      <c r="H15" s="604" t="s">
        <v>415</v>
      </c>
      <c r="I15" s="604" t="s">
        <v>415</v>
      </c>
      <c r="J15" s="604" t="s">
        <v>415</v>
      </c>
      <c r="K15" s="604" t="s">
        <v>415</v>
      </c>
      <c r="L15" s="604" t="s">
        <v>415</v>
      </c>
      <c r="M15" s="604" t="s">
        <v>415</v>
      </c>
      <c r="N15" s="604" t="s">
        <v>415</v>
      </c>
    </row>
    <row r="16" spans="1:15" ht="12" customHeight="1">
      <c r="A16" s="271" t="s">
        <v>109</v>
      </c>
      <c r="B16" s="603" t="s">
        <v>415</v>
      </c>
      <c r="C16" s="604" t="s">
        <v>415</v>
      </c>
      <c r="D16" s="604" t="s">
        <v>415</v>
      </c>
      <c r="E16" s="604" t="s">
        <v>415</v>
      </c>
      <c r="F16" s="604" t="s">
        <v>415</v>
      </c>
      <c r="G16" s="604" t="s">
        <v>415</v>
      </c>
      <c r="H16" s="604" t="s">
        <v>415</v>
      </c>
      <c r="I16" s="604" t="s">
        <v>415</v>
      </c>
      <c r="J16" s="604" t="s">
        <v>415</v>
      </c>
      <c r="K16" s="604" t="s">
        <v>415</v>
      </c>
      <c r="L16" s="604" t="s">
        <v>415</v>
      </c>
      <c r="M16" s="604" t="s">
        <v>415</v>
      </c>
      <c r="N16" s="604" t="s">
        <v>415</v>
      </c>
    </row>
    <row r="17" spans="1:14" ht="12" customHeight="1">
      <c r="A17" s="269" t="s">
        <v>29</v>
      </c>
      <c r="B17" s="603" t="s">
        <v>415</v>
      </c>
      <c r="C17" s="604" t="s">
        <v>415</v>
      </c>
      <c r="D17" s="604" t="s">
        <v>415</v>
      </c>
      <c r="E17" s="604" t="s">
        <v>415</v>
      </c>
      <c r="F17" s="604" t="s">
        <v>415</v>
      </c>
      <c r="G17" s="604" t="s">
        <v>415</v>
      </c>
      <c r="H17" s="604" t="s">
        <v>415</v>
      </c>
      <c r="I17" s="604" t="s">
        <v>415</v>
      </c>
      <c r="J17" s="604" t="s">
        <v>415</v>
      </c>
      <c r="K17" s="604" t="s">
        <v>415</v>
      </c>
      <c r="L17" s="604" t="s">
        <v>415</v>
      </c>
      <c r="M17" s="604" t="s">
        <v>415</v>
      </c>
      <c r="N17" s="604" t="s">
        <v>415</v>
      </c>
    </row>
    <row r="18" spans="1:14" ht="12" customHeight="1">
      <c r="A18" s="217" t="s">
        <v>30</v>
      </c>
      <c r="B18" s="603" t="s">
        <v>415</v>
      </c>
      <c r="C18" s="604" t="s">
        <v>415</v>
      </c>
      <c r="D18" s="604" t="s">
        <v>415</v>
      </c>
      <c r="E18" s="604" t="s">
        <v>415</v>
      </c>
      <c r="F18" s="604" t="s">
        <v>415</v>
      </c>
      <c r="G18" s="604" t="s">
        <v>415</v>
      </c>
      <c r="H18" s="604" t="s">
        <v>415</v>
      </c>
      <c r="I18" s="604" t="s">
        <v>415</v>
      </c>
      <c r="J18" s="604" t="s">
        <v>415</v>
      </c>
      <c r="K18" s="604" t="s">
        <v>415</v>
      </c>
      <c r="L18" s="604" t="s">
        <v>415</v>
      </c>
      <c r="M18" s="604" t="s">
        <v>415</v>
      </c>
      <c r="N18" s="604" t="s">
        <v>415</v>
      </c>
    </row>
    <row r="19" spans="1:14" ht="12" customHeight="1">
      <c r="A19" s="217" t="s">
        <v>31</v>
      </c>
      <c r="B19" s="550">
        <v>1325</v>
      </c>
      <c r="C19" s="604">
        <v>0</v>
      </c>
      <c r="D19" s="604">
        <v>0</v>
      </c>
      <c r="E19" s="604">
        <v>0</v>
      </c>
      <c r="F19" s="604">
        <v>407</v>
      </c>
      <c r="G19" s="604">
        <v>501</v>
      </c>
      <c r="H19" s="604">
        <v>292</v>
      </c>
      <c r="I19" s="604">
        <v>125</v>
      </c>
      <c r="J19" s="604">
        <v>0</v>
      </c>
      <c r="K19" s="604">
        <v>0</v>
      </c>
      <c r="L19" s="604">
        <v>0</v>
      </c>
      <c r="M19" s="604">
        <v>0</v>
      </c>
      <c r="N19" s="604">
        <v>0</v>
      </c>
    </row>
    <row r="20" spans="1:14" ht="12" customHeight="1">
      <c r="A20" s="269" t="s">
        <v>32</v>
      </c>
      <c r="B20" s="603" t="s">
        <v>415</v>
      </c>
      <c r="C20" s="604" t="s">
        <v>415</v>
      </c>
      <c r="D20" s="604" t="s">
        <v>415</v>
      </c>
      <c r="E20" s="604" t="s">
        <v>415</v>
      </c>
      <c r="F20" s="604" t="s">
        <v>415</v>
      </c>
      <c r="G20" s="604" t="s">
        <v>415</v>
      </c>
      <c r="H20" s="604" t="s">
        <v>415</v>
      </c>
      <c r="I20" s="604" t="s">
        <v>415</v>
      </c>
      <c r="J20" s="604" t="s">
        <v>415</v>
      </c>
      <c r="K20" s="604" t="s">
        <v>415</v>
      </c>
      <c r="L20" s="604" t="s">
        <v>415</v>
      </c>
      <c r="M20" s="604" t="s">
        <v>415</v>
      </c>
      <c r="N20" s="604" t="s">
        <v>415</v>
      </c>
    </row>
    <row r="21" spans="1:14" ht="12" customHeight="1">
      <c r="A21" s="269" t="s">
        <v>33</v>
      </c>
      <c r="B21" s="603" t="s">
        <v>415</v>
      </c>
      <c r="C21" s="604" t="s">
        <v>415</v>
      </c>
      <c r="D21" s="604" t="s">
        <v>415</v>
      </c>
      <c r="E21" s="604" t="s">
        <v>415</v>
      </c>
      <c r="F21" s="604" t="s">
        <v>415</v>
      </c>
      <c r="G21" s="604" t="s">
        <v>415</v>
      </c>
      <c r="H21" s="604" t="s">
        <v>415</v>
      </c>
      <c r="I21" s="604" t="s">
        <v>415</v>
      </c>
      <c r="J21" s="604" t="s">
        <v>415</v>
      </c>
      <c r="K21" s="604" t="s">
        <v>415</v>
      </c>
      <c r="L21" s="604" t="s">
        <v>415</v>
      </c>
      <c r="M21" s="604" t="s">
        <v>415</v>
      </c>
      <c r="N21" s="604" t="s">
        <v>415</v>
      </c>
    </row>
    <row r="22" spans="1:14" ht="12" customHeight="1">
      <c r="A22" s="269" t="s">
        <v>34</v>
      </c>
      <c r="B22" s="550">
        <v>8496</v>
      </c>
      <c r="C22" s="604">
        <v>0</v>
      </c>
      <c r="D22" s="604">
        <v>0</v>
      </c>
      <c r="E22" s="604">
        <v>0</v>
      </c>
      <c r="F22" s="604">
        <v>0</v>
      </c>
      <c r="G22" s="604">
        <v>0</v>
      </c>
      <c r="H22" s="604">
        <v>0</v>
      </c>
      <c r="I22" s="604">
        <v>0</v>
      </c>
      <c r="J22" s="604">
        <v>0</v>
      </c>
      <c r="K22" s="604">
        <v>0</v>
      </c>
      <c r="L22" s="604">
        <v>2946</v>
      </c>
      <c r="M22" s="604">
        <v>3592</v>
      </c>
      <c r="N22" s="604">
        <v>1958</v>
      </c>
    </row>
    <row r="23" spans="1:14" ht="12" customHeight="1">
      <c r="A23" s="269" t="s">
        <v>35</v>
      </c>
      <c r="B23" s="550">
        <v>33535</v>
      </c>
      <c r="C23" s="604">
        <v>0</v>
      </c>
      <c r="D23" s="604">
        <v>0</v>
      </c>
      <c r="E23" s="604">
        <v>0</v>
      </c>
      <c r="F23" s="604">
        <v>0</v>
      </c>
      <c r="G23" s="604">
        <v>0</v>
      </c>
      <c r="H23" s="604">
        <v>0</v>
      </c>
      <c r="I23" s="604">
        <v>0</v>
      </c>
      <c r="J23" s="604">
        <v>0</v>
      </c>
      <c r="K23" s="604">
        <v>0</v>
      </c>
      <c r="L23" s="604">
        <v>16176</v>
      </c>
      <c r="M23" s="604">
        <v>15206</v>
      </c>
      <c r="N23" s="604">
        <v>2153</v>
      </c>
    </row>
    <row r="24" spans="1:14" ht="12" customHeight="1">
      <c r="A24" s="269" t="s">
        <v>36</v>
      </c>
      <c r="B24" s="550">
        <v>7123</v>
      </c>
      <c r="C24" s="604">
        <v>0</v>
      </c>
      <c r="D24" s="604">
        <v>3880</v>
      </c>
      <c r="E24" s="604">
        <v>410</v>
      </c>
      <c r="F24" s="604">
        <v>25</v>
      </c>
      <c r="G24" s="604">
        <v>965</v>
      </c>
      <c r="H24" s="604">
        <v>1363</v>
      </c>
      <c r="I24" s="604">
        <v>0</v>
      </c>
      <c r="J24" s="604">
        <v>0</v>
      </c>
      <c r="K24" s="604">
        <v>0</v>
      </c>
      <c r="L24" s="604">
        <v>0</v>
      </c>
      <c r="M24" s="604">
        <v>25</v>
      </c>
      <c r="N24" s="604">
        <v>455</v>
      </c>
    </row>
    <row r="25" spans="1:14" ht="12" customHeight="1">
      <c r="A25" s="217" t="s">
        <v>37</v>
      </c>
      <c r="B25" s="550">
        <v>17224</v>
      </c>
      <c r="C25" s="604">
        <v>4501</v>
      </c>
      <c r="D25" s="604">
        <v>4606</v>
      </c>
      <c r="E25" s="604">
        <v>4540</v>
      </c>
      <c r="F25" s="604">
        <v>0</v>
      </c>
      <c r="G25" s="604">
        <v>0</v>
      </c>
      <c r="H25" s="604">
        <v>0</v>
      </c>
      <c r="I25" s="604">
        <v>0</v>
      </c>
      <c r="J25" s="604">
        <v>0</v>
      </c>
      <c r="K25" s="604">
        <v>0</v>
      </c>
      <c r="L25" s="604">
        <v>0</v>
      </c>
      <c r="M25" s="604">
        <v>0</v>
      </c>
      <c r="N25" s="604">
        <v>3577</v>
      </c>
    </row>
    <row r="26" spans="1:14" ht="12" customHeight="1">
      <c r="A26" s="269" t="s">
        <v>38</v>
      </c>
      <c r="B26" s="550">
        <v>2596</v>
      </c>
      <c r="C26" s="604">
        <v>0</v>
      </c>
      <c r="D26" s="604">
        <v>0</v>
      </c>
      <c r="E26" s="604">
        <v>0</v>
      </c>
      <c r="F26" s="604">
        <v>0</v>
      </c>
      <c r="G26" s="604">
        <v>0</v>
      </c>
      <c r="H26" s="604">
        <v>0</v>
      </c>
      <c r="I26" s="604">
        <v>0</v>
      </c>
      <c r="J26" s="604">
        <v>0</v>
      </c>
      <c r="K26" s="604">
        <v>25</v>
      </c>
      <c r="L26" s="604">
        <v>590</v>
      </c>
      <c r="M26" s="604">
        <v>1506</v>
      </c>
      <c r="N26" s="604">
        <v>475</v>
      </c>
    </row>
    <row r="27" spans="1:14" ht="12" customHeight="1">
      <c r="A27" s="269" t="s">
        <v>39</v>
      </c>
      <c r="B27" s="550">
        <f>SUM(C27:N27)</f>
        <v>0</v>
      </c>
      <c r="C27" s="604" t="s">
        <v>415</v>
      </c>
      <c r="D27" s="604" t="s">
        <v>415</v>
      </c>
      <c r="E27" s="604" t="s">
        <v>415</v>
      </c>
      <c r="F27" s="604" t="s">
        <v>415</v>
      </c>
      <c r="G27" s="604" t="s">
        <v>415</v>
      </c>
      <c r="H27" s="604" t="s">
        <v>415</v>
      </c>
      <c r="I27" s="604" t="s">
        <v>415</v>
      </c>
      <c r="J27" s="604" t="s">
        <v>415</v>
      </c>
      <c r="K27" s="604" t="s">
        <v>415</v>
      </c>
      <c r="L27" s="604" t="s">
        <v>415</v>
      </c>
      <c r="M27" s="604" t="s">
        <v>415</v>
      </c>
      <c r="N27" s="604" t="s">
        <v>415</v>
      </c>
    </row>
    <row r="28" spans="1:14" ht="12" customHeight="1">
      <c r="A28" s="269" t="s">
        <v>40</v>
      </c>
      <c r="B28" s="550">
        <v>8975</v>
      </c>
      <c r="C28" s="604">
        <v>555</v>
      </c>
      <c r="D28" s="604">
        <v>1464</v>
      </c>
      <c r="E28" s="604">
        <v>2104</v>
      </c>
      <c r="F28" s="604">
        <v>1948</v>
      </c>
      <c r="G28" s="604">
        <v>1319</v>
      </c>
      <c r="H28" s="604">
        <v>80</v>
      </c>
      <c r="I28" s="604">
        <v>0</v>
      </c>
      <c r="J28" s="604">
        <v>0</v>
      </c>
      <c r="K28" s="604">
        <v>0</v>
      </c>
      <c r="L28" s="604">
        <v>0</v>
      </c>
      <c r="M28" s="604">
        <v>301</v>
      </c>
      <c r="N28" s="604">
        <v>1204</v>
      </c>
    </row>
    <row r="29" spans="1:14" ht="12" customHeight="1">
      <c r="A29" s="217" t="s">
        <v>41</v>
      </c>
      <c r="B29" s="550">
        <v>17723</v>
      </c>
      <c r="C29" s="604">
        <v>3620</v>
      </c>
      <c r="D29" s="604">
        <v>5650</v>
      </c>
      <c r="E29" s="604">
        <v>2192</v>
      </c>
      <c r="F29" s="604">
        <v>3678</v>
      </c>
      <c r="G29" s="604">
        <v>342</v>
      </c>
      <c r="H29" s="604">
        <v>0</v>
      </c>
      <c r="I29" s="604">
        <v>0</v>
      </c>
      <c r="J29" s="604">
        <v>0</v>
      </c>
      <c r="K29" s="604">
        <v>0</v>
      </c>
      <c r="L29" s="604">
        <v>0</v>
      </c>
      <c r="M29" s="604">
        <v>998</v>
      </c>
      <c r="N29" s="604">
        <v>1243</v>
      </c>
    </row>
    <row r="30" spans="1:14" ht="12" customHeight="1">
      <c r="A30" s="271" t="s">
        <v>111</v>
      </c>
      <c r="B30" s="550">
        <v>11049</v>
      </c>
      <c r="C30" s="604">
        <v>680</v>
      </c>
      <c r="D30" s="604">
        <v>3240</v>
      </c>
      <c r="E30" s="604">
        <v>1410</v>
      </c>
      <c r="F30" s="604">
        <v>3398</v>
      </c>
      <c r="G30" s="604">
        <v>80</v>
      </c>
      <c r="H30" s="604">
        <v>0</v>
      </c>
      <c r="I30" s="604">
        <v>0</v>
      </c>
      <c r="J30" s="604">
        <v>0</v>
      </c>
      <c r="K30" s="604">
        <v>0</v>
      </c>
      <c r="L30" s="604">
        <v>0</v>
      </c>
      <c r="M30" s="604">
        <v>998</v>
      </c>
      <c r="N30" s="604">
        <v>1243</v>
      </c>
    </row>
    <row r="31" spans="1:14" ht="12" customHeight="1">
      <c r="A31" s="271" t="s">
        <v>112</v>
      </c>
      <c r="B31" s="550">
        <v>6674</v>
      </c>
      <c r="C31" s="604">
        <v>2940</v>
      </c>
      <c r="D31" s="604">
        <v>2410</v>
      </c>
      <c r="E31" s="604">
        <v>782</v>
      </c>
      <c r="F31" s="604">
        <v>280</v>
      </c>
      <c r="G31" s="604">
        <v>262</v>
      </c>
      <c r="H31" s="604">
        <v>0</v>
      </c>
      <c r="I31" s="604">
        <v>0</v>
      </c>
      <c r="J31" s="604">
        <v>0</v>
      </c>
      <c r="K31" s="604">
        <v>0</v>
      </c>
      <c r="L31" s="604">
        <v>0</v>
      </c>
      <c r="M31" s="604">
        <v>0</v>
      </c>
      <c r="N31" s="604">
        <v>0</v>
      </c>
    </row>
    <row r="32" spans="1:14" ht="12" customHeight="1">
      <c r="A32" s="269" t="s">
        <v>44</v>
      </c>
      <c r="B32" s="550">
        <v>18675</v>
      </c>
      <c r="C32" s="604">
        <v>7305</v>
      </c>
      <c r="D32" s="604">
        <v>4270</v>
      </c>
      <c r="E32" s="604">
        <v>5300</v>
      </c>
      <c r="F32" s="604">
        <v>0</v>
      </c>
      <c r="G32" s="604">
        <v>0</v>
      </c>
      <c r="H32" s="604">
        <v>0</v>
      </c>
      <c r="I32" s="604">
        <v>0</v>
      </c>
      <c r="J32" s="604">
        <v>0</v>
      </c>
      <c r="K32" s="604">
        <v>0</v>
      </c>
      <c r="L32" s="604">
        <v>0</v>
      </c>
      <c r="M32" s="604">
        <v>0</v>
      </c>
      <c r="N32" s="604">
        <v>1800</v>
      </c>
    </row>
    <row r="33" spans="1:14" ht="12" customHeight="1">
      <c r="A33" s="269" t="s">
        <v>45</v>
      </c>
      <c r="B33" s="550">
        <v>224675</v>
      </c>
      <c r="C33" s="604">
        <v>0</v>
      </c>
      <c r="D33" s="604">
        <v>43975</v>
      </c>
      <c r="E33" s="604">
        <v>42160</v>
      </c>
      <c r="F33" s="604">
        <v>0</v>
      </c>
      <c r="G33" s="604">
        <v>0</v>
      </c>
      <c r="H33" s="604">
        <v>0</v>
      </c>
      <c r="I33" s="604">
        <v>0</v>
      </c>
      <c r="J33" s="604">
        <v>0</v>
      </c>
      <c r="K33" s="604">
        <v>0</v>
      </c>
      <c r="L33" s="604">
        <v>0</v>
      </c>
      <c r="M33" s="604">
        <v>123280</v>
      </c>
      <c r="N33" s="604">
        <v>15260</v>
      </c>
    </row>
    <row r="34" spans="1:14" ht="12" customHeight="1">
      <c r="A34" s="217" t="s">
        <v>46</v>
      </c>
      <c r="B34" s="603" t="s">
        <v>415</v>
      </c>
      <c r="C34" s="604" t="s">
        <v>415</v>
      </c>
      <c r="D34" s="604" t="s">
        <v>415</v>
      </c>
      <c r="E34" s="604" t="s">
        <v>415</v>
      </c>
      <c r="F34" s="604" t="s">
        <v>415</v>
      </c>
      <c r="G34" s="604" t="s">
        <v>415</v>
      </c>
      <c r="H34" s="604" t="s">
        <v>415</v>
      </c>
      <c r="I34" s="604" t="s">
        <v>415</v>
      </c>
      <c r="J34" s="604" t="s">
        <v>415</v>
      </c>
      <c r="K34" s="604" t="s">
        <v>415</v>
      </c>
      <c r="L34" s="604" t="s">
        <v>415</v>
      </c>
      <c r="M34" s="604" t="s">
        <v>415</v>
      </c>
      <c r="N34" s="604" t="s">
        <v>415</v>
      </c>
    </row>
    <row r="35" spans="1:14" ht="12" customHeight="1">
      <c r="A35" s="217" t="s">
        <v>47</v>
      </c>
      <c r="B35" s="603" t="s">
        <v>415</v>
      </c>
      <c r="C35" s="604" t="s">
        <v>415</v>
      </c>
      <c r="D35" s="604" t="s">
        <v>415</v>
      </c>
      <c r="E35" s="604" t="s">
        <v>415</v>
      </c>
      <c r="F35" s="604" t="s">
        <v>415</v>
      </c>
      <c r="G35" s="604" t="s">
        <v>415</v>
      </c>
      <c r="H35" s="604" t="s">
        <v>415</v>
      </c>
      <c r="I35" s="604" t="s">
        <v>415</v>
      </c>
      <c r="J35" s="604" t="s">
        <v>415</v>
      </c>
      <c r="K35" s="604" t="s">
        <v>415</v>
      </c>
      <c r="L35" s="604" t="s">
        <v>415</v>
      </c>
      <c r="M35" s="604" t="s">
        <v>415</v>
      </c>
      <c r="N35" s="604" t="s">
        <v>415</v>
      </c>
    </row>
    <row r="36" spans="1:14" ht="12" customHeight="1">
      <c r="A36" s="217" t="s">
        <v>48</v>
      </c>
      <c r="B36" s="603" t="s">
        <v>415</v>
      </c>
      <c r="C36" s="604" t="s">
        <v>415</v>
      </c>
      <c r="D36" s="604" t="s">
        <v>415</v>
      </c>
      <c r="E36" s="604" t="s">
        <v>415</v>
      </c>
      <c r="F36" s="604" t="s">
        <v>415</v>
      </c>
      <c r="G36" s="604" t="s">
        <v>415</v>
      </c>
      <c r="H36" s="604" t="s">
        <v>415</v>
      </c>
      <c r="I36" s="604" t="s">
        <v>415</v>
      </c>
      <c r="J36" s="604" t="s">
        <v>415</v>
      </c>
      <c r="K36" s="604" t="s">
        <v>415</v>
      </c>
      <c r="L36" s="604" t="s">
        <v>415</v>
      </c>
      <c r="M36" s="604" t="s">
        <v>415</v>
      </c>
      <c r="N36" s="604" t="s">
        <v>415</v>
      </c>
    </row>
    <row r="37" spans="1:14" ht="12" customHeight="1" thickBot="1">
      <c r="A37" s="272" t="s">
        <v>49</v>
      </c>
      <c r="B37" s="605" t="s">
        <v>415</v>
      </c>
      <c r="C37" s="606" t="s">
        <v>415</v>
      </c>
      <c r="D37" s="606" t="s">
        <v>415</v>
      </c>
      <c r="E37" s="606" t="s">
        <v>415</v>
      </c>
      <c r="F37" s="606" t="s">
        <v>415</v>
      </c>
      <c r="G37" s="606" t="s">
        <v>415</v>
      </c>
      <c r="H37" s="606" t="s">
        <v>415</v>
      </c>
      <c r="I37" s="606" t="s">
        <v>415</v>
      </c>
      <c r="J37" s="606" t="s">
        <v>415</v>
      </c>
      <c r="K37" s="606" t="s">
        <v>415</v>
      </c>
      <c r="L37" s="606" t="s">
        <v>415</v>
      </c>
      <c r="M37" s="606" t="s">
        <v>415</v>
      </c>
      <c r="N37" s="606" t="s">
        <v>415</v>
      </c>
    </row>
    <row r="38" spans="1:14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14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14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Hoja82">
    <tabColor theme="9" tint="0.59999389629810485"/>
  </sheetPr>
  <dimension ref="A4:O48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15" ht="13" customHeight="1">
      <c r="A4" s="511" t="s">
        <v>417</v>
      </c>
      <c r="B4" s="507"/>
    </row>
    <row r="5" spans="1:15" ht="13" customHeight="1">
      <c r="A5" s="515" t="s">
        <v>319</v>
      </c>
      <c r="B5" s="508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</row>
    <row r="6" spans="1:15" ht="5" customHeight="1" thickBot="1">
      <c r="A6" s="141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</row>
    <row r="7" spans="1:15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  <c r="O7" s="274"/>
    </row>
    <row r="8" spans="1:15" ht="15" customHeight="1">
      <c r="A8" s="530" t="s">
        <v>100</v>
      </c>
      <c r="B8" s="607">
        <v>657</v>
      </c>
      <c r="C8" s="607">
        <v>28.8</v>
      </c>
      <c r="D8" s="607">
        <v>114.5</v>
      </c>
      <c r="E8" s="607">
        <v>102.5</v>
      </c>
      <c r="F8" s="607">
        <v>8.6</v>
      </c>
      <c r="G8" s="607">
        <v>4.7</v>
      </c>
      <c r="H8" s="607">
        <v>3</v>
      </c>
      <c r="I8" s="607">
        <v>0.2</v>
      </c>
      <c r="J8" s="608" t="s">
        <v>382</v>
      </c>
      <c r="K8" s="607">
        <v>0.1</v>
      </c>
      <c r="L8" s="607">
        <v>44.5</v>
      </c>
      <c r="M8" s="607">
        <v>290.5</v>
      </c>
      <c r="N8" s="607">
        <v>59.7</v>
      </c>
    </row>
    <row r="9" spans="1:15" ht="12" customHeight="1">
      <c r="A9" s="269" t="s">
        <v>21</v>
      </c>
      <c r="B9" s="609" t="s">
        <v>382</v>
      </c>
      <c r="C9" s="610" t="s">
        <v>382</v>
      </c>
      <c r="D9" s="610" t="s">
        <v>382</v>
      </c>
      <c r="E9" s="610" t="s">
        <v>382</v>
      </c>
      <c r="F9" s="610" t="s">
        <v>382</v>
      </c>
      <c r="G9" s="610" t="s">
        <v>382</v>
      </c>
      <c r="H9" s="610" t="s">
        <v>382</v>
      </c>
      <c r="I9" s="610" t="s">
        <v>382</v>
      </c>
      <c r="J9" s="610" t="s">
        <v>382</v>
      </c>
      <c r="K9" s="610" t="s">
        <v>382</v>
      </c>
      <c r="L9" s="610" t="s">
        <v>382</v>
      </c>
      <c r="M9" s="610" t="s">
        <v>382</v>
      </c>
      <c r="N9" s="610" t="s">
        <v>382</v>
      </c>
    </row>
    <row r="10" spans="1:15" ht="12" customHeight="1">
      <c r="A10" s="269" t="s">
        <v>22</v>
      </c>
      <c r="B10" s="609" t="s">
        <v>382</v>
      </c>
      <c r="C10" s="610" t="s">
        <v>382</v>
      </c>
      <c r="D10" s="610" t="s">
        <v>382</v>
      </c>
      <c r="E10" s="610" t="s">
        <v>382</v>
      </c>
      <c r="F10" s="610" t="s">
        <v>382</v>
      </c>
      <c r="G10" s="610" t="s">
        <v>382</v>
      </c>
      <c r="H10" s="610" t="s">
        <v>382</v>
      </c>
      <c r="I10" s="610" t="s">
        <v>382</v>
      </c>
      <c r="J10" s="610" t="s">
        <v>382</v>
      </c>
      <c r="K10" s="610" t="s">
        <v>382</v>
      </c>
      <c r="L10" s="610" t="s">
        <v>382</v>
      </c>
      <c r="M10" s="610" t="s">
        <v>382</v>
      </c>
      <c r="N10" s="610" t="s">
        <v>382</v>
      </c>
    </row>
    <row r="11" spans="1:15" ht="12" customHeight="1">
      <c r="A11" s="269" t="s">
        <v>23</v>
      </c>
      <c r="B11" s="609" t="s">
        <v>382</v>
      </c>
      <c r="C11" s="610" t="s">
        <v>382</v>
      </c>
      <c r="D11" s="610" t="s">
        <v>382</v>
      </c>
      <c r="E11" s="610" t="s">
        <v>382</v>
      </c>
      <c r="F11" s="610" t="s">
        <v>382</v>
      </c>
      <c r="G11" s="610" t="s">
        <v>382</v>
      </c>
      <c r="H11" s="610" t="s">
        <v>382</v>
      </c>
      <c r="I11" s="610" t="s">
        <v>382</v>
      </c>
      <c r="J11" s="610" t="s">
        <v>382</v>
      </c>
      <c r="K11" s="610" t="s">
        <v>382</v>
      </c>
      <c r="L11" s="610" t="s">
        <v>382</v>
      </c>
      <c r="M11" s="610" t="s">
        <v>382</v>
      </c>
      <c r="N11" s="610" t="s">
        <v>382</v>
      </c>
    </row>
    <row r="12" spans="1:15" ht="12" customHeight="1">
      <c r="A12" s="217" t="s">
        <v>24</v>
      </c>
      <c r="B12" s="609" t="s">
        <v>382</v>
      </c>
      <c r="C12" s="610" t="s">
        <v>382</v>
      </c>
      <c r="D12" s="610" t="s">
        <v>382</v>
      </c>
      <c r="E12" s="610" t="s">
        <v>382</v>
      </c>
      <c r="F12" s="610" t="s">
        <v>382</v>
      </c>
      <c r="G12" s="610" t="s">
        <v>382</v>
      </c>
      <c r="H12" s="610" t="s">
        <v>382</v>
      </c>
      <c r="I12" s="610" t="s">
        <v>382</v>
      </c>
      <c r="J12" s="610" t="s">
        <v>382</v>
      </c>
      <c r="K12" s="610" t="s">
        <v>382</v>
      </c>
      <c r="L12" s="610" t="s">
        <v>382</v>
      </c>
      <c r="M12" s="610" t="s">
        <v>382</v>
      </c>
      <c r="N12" s="610" t="s">
        <v>382</v>
      </c>
    </row>
    <row r="13" spans="1:15" ht="12" customHeight="1">
      <c r="A13" s="217" t="s">
        <v>25</v>
      </c>
      <c r="B13" s="609" t="s">
        <v>382</v>
      </c>
      <c r="C13" s="610" t="s">
        <v>382</v>
      </c>
      <c r="D13" s="610" t="s">
        <v>382</v>
      </c>
      <c r="E13" s="610" t="s">
        <v>382</v>
      </c>
      <c r="F13" s="610" t="s">
        <v>382</v>
      </c>
      <c r="G13" s="610" t="s">
        <v>382</v>
      </c>
      <c r="H13" s="610" t="s">
        <v>382</v>
      </c>
      <c r="I13" s="610" t="s">
        <v>382</v>
      </c>
      <c r="J13" s="610" t="s">
        <v>382</v>
      </c>
      <c r="K13" s="610" t="s">
        <v>382</v>
      </c>
      <c r="L13" s="610" t="s">
        <v>382</v>
      </c>
      <c r="M13" s="610" t="s">
        <v>382</v>
      </c>
      <c r="N13" s="610" t="s">
        <v>382</v>
      </c>
    </row>
    <row r="14" spans="1:15" ht="12" customHeight="1">
      <c r="A14" s="271" t="s">
        <v>107</v>
      </c>
      <c r="B14" s="609" t="s">
        <v>382</v>
      </c>
      <c r="C14" s="610" t="s">
        <v>382</v>
      </c>
      <c r="D14" s="610" t="s">
        <v>382</v>
      </c>
      <c r="E14" s="610" t="s">
        <v>382</v>
      </c>
      <c r="F14" s="610" t="s">
        <v>382</v>
      </c>
      <c r="G14" s="610" t="s">
        <v>382</v>
      </c>
      <c r="H14" s="610" t="s">
        <v>382</v>
      </c>
      <c r="I14" s="610" t="s">
        <v>382</v>
      </c>
      <c r="J14" s="610" t="s">
        <v>382</v>
      </c>
      <c r="K14" s="610" t="s">
        <v>382</v>
      </c>
      <c r="L14" s="610" t="s">
        <v>382</v>
      </c>
      <c r="M14" s="610" t="s">
        <v>382</v>
      </c>
      <c r="N14" s="610" t="s">
        <v>382</v>
      </c>
    </row>
    <row r="15" spans="1:15" ht="12" customHeight="1">
      <c r="A15" s="271" t="s">
        <v>108</v>
      </c>
      <c r="B15" s="609" t="s">
        <v>382</v>
      </c>
      <c r="C15" s="610" t="s">
        <v>382</v>
      </c>
      <c r="D15" s="610" t="s">
        <v>382</v>
      </c>
      <c r="E15" s="610" t="s">
        <v>382</v>
      </c>
      <c r="F15" s="610" t="s">
        <v>382</v>
      </c>
      <c r="G15" s="610" t="s">
        <v>382</v>
      </c>
      <c r="H15" s="610" t="s">
        <v>382</v>
      </c>
      <c r="I15" s="610" t="s">
        <v>382</v>
      </c>
      <c r="J15" s="610" t="s">
        <v>382</v>
      </c>
      <c r="K15" s="610" t="s">
        <v>382</v>
      </c>
      <c r="L15" s="610" t="s">
        <v>382</v>
      </c>
      <c r="M15" s="610" t="s">
        <v>382</v>
      </c>
      <c r="N15" s="610" t="s">
        <v>382</v>
      </c>
    </row>
    <row r="16" spans="1:15" ht="12" customHeight="1">
      <c r="A16" s="271" t="s">
        <v>109</v>
      </c>
      <c r="B16" s="609" t="s">
        <v>382</v>
      </c>
      <c r="C16" s="610" t="s">
        <v>382</v>
      </c>
      <c r="D16" s="610" t="s">
        <v>382</v>
      </c>
      <c r="E16" s="610" t="s">
        <v>382</v>
      </c>
      <c r="F16" s="610" t="s">
        <v>382</v>
      </c>
      <c r="G16" s="610" t="s">
        <v>382</v>
      </c>
      <c r="H16" s="610" t="s">
        <v>382</v>
      </c>
      <c r="I16" s="610" t="s">
        <v>382</v>
      </c>
      <c r="J16" s="610" t="s">
        <v>382</v>
      </c>
      <c r="K16" s="610" t="s">
        <v>382</v>
      </c>
      <c r="L16" s="610" t="s">
        <v>382</v>
      </c>
      <c r="M16" s="610" t="s">
        <v>382</v>
      </c>
      <c r="N16" s="610" t="s">
        <v>382</v>
      </c>
    </row>
    <row r="17" spans="1:14" ht="12" customHeight="1">
      <c r="A17" s="269" t="s">
        <v>29</v>
      </c>
      <c r="B17" s="609" t="s">
        <v>382</v>
      </c>
      <c r="C17" s="610" t="s">
        <v>382</v>
      </c>
      <c r="D17" s="610" t="s">
        <v>382</v>
      </c>
      <c r="E17" s="610" t="s">
        <v>382</v>
      </c>
      <c r="F17" s="610" t="s">
        <v>382</v>
      </c>
      <c r="G17" s="610" t="s">
        <v>382</v>
      </c>
      <c r="H17" s="610" t="s">
        <v>382</v>
      </c>
      <c r="I17" s="610" t="s">
        <v>382</v>
      </c>
      <c r="J17" s="610" t="s">
        <v>382</v>
      </c>
      <c r="K17" s="610" t="s">
        <v>382</v>
      </c>
      <c r="L17" s="610" t="s">
        <v>382</v>
      </c>
      <c r="M17" s="610" t="s">
        <v>382</v>
      </c>
      <c r="N17" s="610" t="s">
        <v>382</v>
      </c>
    </row>
    <row r="18" spans="1:14" ht="12" customHeight="1">
      <c r="A18" s="217" t="s">
        <v>30</v>
      </c>
      <c r="B18" s="609" t="s">
        <v>382</v>
      </c>
      <c r="C18" s="610" t="s">
        <v>382</v>
      </c>
      <c r="D18" s="610" t="s">
        <v>382</v>
      </c>
      <c r="E18" s="610" t="s">
        <v>382</v>
      </c>
      <c r="F18" s="610" t="s">
        <v>382</v>
      </c>
      <c r="G18" s="610" t="s">
        <v>382</v>
      </c>
      <c r="H18" s="610" t="s">
        <v>382</v>
      </c>
      <c r="I18" s="610" t="s">
        <v>382</v>
      </c>
      <c r="J18" s="610" t="s">
        <v>382</v>
      </c>
      <c r="K18" s="610" t="s">
        <v>382</v>
      </c>
      <c r="L18" s="610" t="s">
        <v>382</v>
      </c>
      <c r="M18" s="610" t="s">
        <v>382</v>
      </c>
      <c r="N18" s="610" t="s">
        <v>382</v>
      </c>
    </row>
    <row r="19" spans="1:14" ht="12" customHeight="1">
      <c r="A19" s="217" t="s">
        <v>31</v>
      </c>
      <c r="B19" s="611">
        <v>2</v>
      </c>
      <c r="C19" s="610">
        <v>0</v>
      </c>
      <c r="D19" s="610">
        <v>0</v>
      </c>
      <c r="E19" s="610">
        <v>0</v>
      </c>
      <c r="F19" s="610">
        <v>0.5</v>
      </c>
      <c r="G19" s="610">
        <v>0.6</v>
      </c>
      <c r="H19" s="610">
        <v>0.45500000000000002</v>
      </c>
      <c r="I19" s="610">
        <v>0.2</v>
      </c>
      <c r="J19" s="610" t="s">
        <v>382</v>
      </c>
      <c r="K19" s="610" t="s">
        <v>382</v>
      </c>
      <c r="L19" s="610" t="s">
        <v>382</v>
      </c>
      <c r="M19" s="610" t="s">
        <v>382</v>
      </c>
      <c r="N19" s="610" t="s">
        <v>382</v>
      </c>
    </row>
    <row r="20" spans="1:14" ht="12" customHeight="1">
      <c r="A20" s="269" t="s">
        <v>32</v>
      </c>
      <c r="B20" s="609" t="s">
        <v>382</v>
      </c>
      <c r="C20" s="610" t="s">
        <v>382</v>
      </c>
      <c r="D20" s="610" t="s">
        <v>382</v>
      </c>
      <c r="E20" s="610" t="s">
        <v>382</v>
      </c>
      <c r="F20" s="610" t="s">
        <v>382</v>
      </c>
      <c r="G20" s="610" t="s">
        <v>382</v>
      </c>
      <c r="H20" s="610" t="s">
        <v>382</v>
      </c>
      <c r="I20" s="610" t="s">
        <v>382</v>
      </c>
      <c r="J20" s="610" t="s">
        <v>382</v>
      </c>
      <c r="K20" s="610" t="s">
        <v>382</v>
      </c>
      <c r="L20" s="610" t="s">
        <v>382</v>
      </c>
      <c r="M20" s="610" t="s">
        <v>382</v>
      </c>
      <c r="N20" s="610" t="s">
        <v>382</v>
      </c>
    </row>
    <row r="21" spans="1:14" ht="12" customHeight="1">
      <c r="A21" s="269" t="s">
        <v>33</v>
      </c>
      <c r="B21" s="609" t="s">
        <v>382</v>
      </c>
      <c r="C21" s="610" t="s">
        <v>382</v>
      </c>
      <c r="D21" s="610" t="s">
        <v>382</v>
      </c>
      <c r="E21" s="610" t="s">
        <v>382</v>
      </c>
      <c r="F21" s="610" t="s">
        <v>382</v>
      </c>
      <c r="G21" s="610" t="s">
        <v>382</v>
      </c>
      <c r="H21" s="610" t="s">
        <v>382</v>
      </c>
      <c r="I21" s="610" t="s">
        <v>382</v>
      </c>
      <c r="J21" s="610" t="s">
        <v>382</v>
      </c>
      <c r="K21" s="610" t="s">
        <v>382</v>
      </c>
      <c r="L21" s="610" t="s">
        <v>382</v>
      </c>
      <c r="M21" s="610" t="s">
        <v>382</v>
      </c>
      <c r="N21" s="610" t="s">
        <v>382</v>
      </c>
    </row>
    <row r="22" spans="1:14" ht="12" customHeight="1">
      <c r="A22" s="269" t="s">
        <v>34</v>
      </c>
      <c r="B22" s="611">
        <v>12</v>
      </c>
      <c r="C22" s="610" t="s">
        <v>382</v>
      </c>
      <c r="D22" s="610" t="s">
        <v>382</v>
      </c>
      <c r="E22" s="610" t="s">
        <v>382</v>
      </c>
      <c r="F22" s="610" t="s">
        <v>382</v>
      </c>
      <c r="G22" s="610" t="s">
        <v>382</v>
      </c>
      <c r="H22" s="610" t="s">
        <v>382</v>
      </c>
      <c r="I22" s="610" t="s">
        <v>382</v>
      </c>
      <c r="J22" s="610" t="s">
        <v>382</v>
      </c>
      <c r="K22" s="610" t="s">
        <v>382</v>
      </c>
      <c r="L22" s="610">
        <v>4.0999999999999996</v>
      </c>
      <c r="M22" s="610">
        <v>5.0999999999999996</v>
      </c>
      <c r="N22" s="610">
        <v>3.1</v>
      </c>
    </row>
    <row r="23" spans="1:14" ht="12" customHeight="1">
      <c r="A23" s="269" t="s">
        <v>35</v>
      </c>
      <c r="B23" s="611">
        <v>77</v>
      </c>
      <c r="C23" s="610" t="s">
        <v>382</v>
      </c>
      <c r="D23" s="610" t="s">
        <v>382</v>
      </c>
      <c r="E23" s="610" t="s">
        <v>382</v>
      </c>
      <c r="F23" s="610" t="s">
        <v>382</v>
      </c>
      <c r="G23" s="610" t="s">
        <v>382</v>
      </c>
      <c r="H23" s="610" t="s">
        <v>382</v>
      </c>
      <c r="I23" s="610" t="s">
        <v>382</v>
      </c>
      <c r="J23" s="610" t="s">
        <v>382</v>
      </c>
      <c r="K23" s="610" t="s">
        <v>382</v>
      </c>
      <c r="L23" s="610">
        <v>38.700000000000003</v>
      </c>
      <c r="M23" s="610">
        <v>34.4</v>
      </c>
      <c r="N23" s="610">
        <v>4</v>
      </c>
    </row>
    <row r="24" spans="1:14" ht="12" customHeight="1">
      <c r="A24" s="269" t="s">
        <v>36</v>
      </c>
      <c r="B24" s="611">
        <v>13</v>
      </c>
      <c r="C24" s="610" t="s">
        <v>382</v>
      </c>
      <c r="D24" s="610">
        <v>7.2</v>
      </c>
      <c r="E24" s="610">
        <v>0.8</v>
      </c>
      <c r="F24" s="610">
        <v>0</v>
      </c>
      <c r="G24" s="610">
        <v>1.8</v>
      </c>
      <c r="H24" s="610">
        <v>2.5</v>
      </c>
      <c r="I24" s="610" t="s">
        <v>382</v>
      </c>
      <c r="J24" s="610" t="s">
        <v>382</v>
      </c>
      <c r="K24" s="610" t="s">
        <v>382</v>
      </c>
      <c r="L24" s="610" t="s">
        <v>382</v>
      </c>
      <c r="M24" s="610">
        <v>0</v>
      </c>
      <c r="N24" s="610">
        <v>0.8</v>
      </c>
    </row>
    <row r="25" spans="1:14" ht="12" customHeight="1">
      <c r="A25" s="217" t="s">
        <v>37</v>
      </c>
      <c r="B25" s="611">
        <v>37</v>
      </c>
      <c r="C25" s="610">
        <v>10.3</v>
      </c>
      <c r="D25" s="610">
        <v>9.6999999999999993</v>
      </c>
      <c r="E25" s="610">
        <v>9.6</v>
      </c>
      <c r="F25" s="610" t="s">
        <v>382</v>
      </c>
      <c r="G25" s="610" t="s">
        <v>382</v>
      </c>
      <c r="H25" s="610" t="s">
        <v>382</v>
      </c>
      <c r="I25" s="610" t="s">
        <v>382</v>
      </c>
      <c r="J25" s="610" t="s">
        <v>382</v>
      </c>
      <c r="K25" s="610" t="s">
        <v>382</v>
      </c>
      <c r="L25" s="610" t="s">
        <v>382</v>
      </c>
      <c r="M25" s="610" t="s">
        <v>382</v>
      </c>
      <c r="N25" s="610">
        <v>7.6</v>
      </c>
    </row>
    <row r="26" spans="1:14" ht="12" customHeight="1">
      <c r="A26" s="269" t="s">
        <v>38</v>
      </c>
      <c r="B26" s="611">
        <v>6</v>
      </c>
      <c r="C26" s="610" t="s">
        <v>382</v>
      </c>
      <c r="D26" s="610" t="s">
        <v>382</v>
      </c>
      <c r="E26" s="610" t="s">
        <v>382</v>
      </c>
      <c r="F26" s="610" t="s">
        <v>382</v>
      </c>
      <c r="G26" s="610" t="s">
        <v>382</v>
      </c>
      <c r="H26" s="610" t="s">
        <v>382</v>
      </c>
      <c r="I26" s="610" t="s">
        <v>382</v>
      </c>
      <c r="J26" s="610" t="s">
        <v>382</v>
      </c>
      <c r="K26" s="610">
        <v>0.1</v>
      </c>
      <c r="L26" s="610">
        <v>1.7</v>
      </c>
      <c r="M26" s="610">
        <v>3.5</v>
      </c>
      <c r="N26" s="610">
        <v>1</v>
      </c>
    </row>
    <row r="27" spans="1:14" ht="12" customHeight="1">
      <c r="A27" s="269" t="s">
        <v>39</v>
      </c>
      <c r="B27" s="611">
        <f>SUM(C27:N27)</f>
        <v>0</v>
      </c>
      <c r="C27" s="610" t="s">
        <v>382</v>
      </c>
      <c r="D27" s="610" t="s">
        <v>382</v>
      </c>
      <c r="E27" s="610" t="s">
        <v>382</v>
      </c>
      <c r="F27" s="610" t="s">
        <v>382</v>
      </c>
      <c r="G27" s="610" t="s">
        <v>382</v>
      </c>
      <c r="H27" s="610" t="s">
        <v>382</v>
      </c>
      <c r="I27" s="610" t="s">
        <v>382</v>
      </c>
      <c r="J27" s="610" t="s">
        <v>382</v>
      </c>
      <c r="K27" s="610" t="s">
        <v>382</v>
      </c>
      <c r="L27" s="610" t="s">
        <v>382</v>
      </c>
      <c r="M27" s="610" t="s">
        <v>382</v>
      </c>
      <c r="N27" s="610" t="s">
        <v>382</v>
      </c>
    </row>
    <row r="28" spans="1:14" ht="12" customHeight="1">
      <c r="A28" s="269" t="s">
        <v>40</v>
      </c>
      <c r="B28" s="611">
        <v>10</v>
      </c>
      <c r="C28" s="610">
        <v>0.6</v>
      </c>
      <c r="D28" s="610">
        <v>1.6</v>
      </c>
      <c r="E28" s="610">
        <v>2.5</v>
      </c>
      <c r="F28" s="610">
        <v>2.2999999999999998</v>
      </c>
      <c r="G28" s="610">
        <v>1.7</v>
      </c>
      <c r="H28" s="610">
        <v>0.1</v>
      </c>
      <c r="I28" s="610" t="s">
        <v>382</v>
      </c>
      <c r="J28" s="610" t="s">
        <v>382</v>
      </c>
      <c r="K28" s="610" t="s">
        <v>382</v>
      </c>
      <c r="L28" s="610" t="s">
        <v>382</v>
      </c>
      <c r="M28" s="610">
        <v>0.3</v>
      </c>
      <c r="N28" s="610">
        <v>1.3</v>
      </c>
    </row>
    <row r="29" spans="1:14" ht="12" customHeight="1">
      <c r="A29" s="217" t="s">
        <v>41</v>
      </c>
      <c r="B29" s="611">
        <v>31</v>
      </c>
      <c r="C29" s="610">
        <v>6.2</v>
      </c>
      <c r="D29" s="610">
        <v>10.5</v>
      </c>
      <c r="E29" s="610">
        <v>4.0999999999999996</v>
      </c>
      <c r="F29" s="610">
        <v>5.7</v>
      </c>
      <c r="G29" s="610">
        <v>0.6</v>
      </c>
      <c r="H29" s="610" t="s">
        <v>382</v>
      </c>
      <c r="I29" s="610" t="s">
        <v>382</v>
      </c>
      <c r="J29" s="610" t="s">
        <v>382</v>
      </c>
      <c r="K29" s="610" t="s">
        <v>382</v>
      </c>
      <c r="L29" s="610" t="s">
        <v>382</v>
      </c>
      <c r="M29" s="610">
        <v>1.7</v>
      </c>
      <c r="N29" s="610">
        <v>2.1</v>
      </c>
    </row>
    <row r="30" spans="1:14" ht="12" customHeight="1">
      <c r="A30" s="271" t="s">
        <v>111</v>
      </c>
      <c r="B30" s="611">
        <v>18</v>
      </c>
      <c r="C30" s="610">
        <v>1.2</v>
      </c>
      <c r="D30" s="610">
        <v>5.5</v>
      </c>
      <c r="E30" s="610">
        <v>2.4</v>
      </c>
      <c r="F30" s="610">
        <v>5.2</v>
      </c>
      <c r="G30" s="610">
        <v>0.1</v>
      </c>
      <c r="H30" s="610" t="s">
        <v>382</v>
      </c>
      <c r="I30" s="610" t="s">
        <v>382</v>
      </c>
      <c r="J30" s="610" t="s">
        <v>382</v>
      </c>
      <c r="K30" s="610" t="s">
        <v>382</v>
      </c>
      <c r="L30" s="610" t="s">
        <v>382</v>
      </c>
      <c r="M30" s="610">
        <v>1.7</v>
      </c>
      <c r="N30" s="610">
        <v>2.1</v>
      </c>
    </row>
    <row r="31" spans="1:14" ht="12" customHeight="1">
      <c r="A31" s="271" t="s">
        <v>112</v>
      </c>
      <c r="B31" s="611">
        <v>13</v>
      </c>
      <c r="C31" s="610">
        <v>5</v>
      </c>
      <c r="D31" s="610">
        <v>5</v>
      </c>
      <c r="E31" s="610">
        <v>1.7</v>
      </c>
      <c r="F31" s="610">
        <v>0.5</v>
      </c>
      <c r="G31" s="610">
        <v>0.5</v>
      </c>
      <c r="H31" s="610" t="s">
        <v>382</v>
      </c>
      <c r="I31" s="610" t="s">
        <v>382</v>
      </c>
      <c r="J31" s="610" t="s">
        <v>382</v>
      </c>
      <c r="K31" s="610" t="s">
        <v>382</v>
      </c>
      <c r="L31" s="610" t="s">
        <v>382</v>
      </c>
      <c r="M31" s="610" t="s">
        <v>382</v>
      </c>
      <c r="N31" s="610" t="s">
        <v>382</v>
      </c>
    </row>
    <row r="32" spans="1:14" ht="12" customHeight="1">
      <c r="A32" s="269" t="s">
        <v>44</v>
      </c>
      <c r="B32" s="611">
        <v>30</v>
      </c>
      <c r="C32" s="610">
        <v>11.7</v>
      </c>
      <c r="D32" s="610">
        <v>5.8</v>
      </c>
      <c r="E32" s="610">
        <v>9</v>
      </c>
      <c r="F32" s="610" t="s">
        <v>382</v>
      </c>
      <c r="G32" s="610" t="s">
        <v>382</v>
      </c>
      <c r="H32" s="610" t="s">
        <v>382</v>
      </c>
      <c r="I32" s="610" t="s">
        <v>382</v>
      </c>
      <c r="J32" s="610" t="s">
        <v>382</v>
      </c>
      <c r="K32" s="610" t="s">
        <v>382</v>
      </c>
      <c r="L32" s="610" t="s">
        <v>382</v>
      </c>
      <c r="M32" s="610" t="s">
        <v>382</v>
      </c>
      <c r="N32" s="610">
        <v>3.2</v>
      </c>
    </row>
    <row r="33" spans="1:14" ht="12" customHeight="1">
      <c r="A33" s="269" t="s">
        <v>45</v>
      </c>
      <c r="B33" s="611">
        <v>438</v>
      </c>
      <c r="C33" s="610" t="s">
        <v>382</v>
      </c>
      <c r="D33" s="610">
        <v>79.599999999999994</v>
      </c>
      <c r="E33" s="610">
        <v>76.599999999999994</v>
      </c>
      <c r="F33" s="610" t="s">
        <v>382</v>
      </c>
      <c r="G33" s="610" t="s">
        <v>382</v>
      </c>
      <c r="H33" s="610" t="s">
        <v>382</v>
      </c>
      <c r="I33" s="610" t="s">
        <v>382</v>
      </c>
      <c r="J33" s="610" t="s">
        <v>382</v>
      </c>
      <c r="K33" s="610" t="s">
        <v>382</v>
      </c>
      <c r="L33" s="610" t="s">
        <v>382</v>
      </c>
      <c r="M33" s="610">
        <v>245.3</v>
      </c>
      <c r="N33" s="610">
        <v>36.700000000000003</v>
      </c>
    </row>
    <row r="34" spans="1:14" ht="12" customHeight="1">
      <c r="A34" s="217" t="s">
        <v>46</v>
      </c>
      <c r="B34" s="609" t="s">
        <v>382</v>
      </c>
      <c r="C34" s="610" t="s">
        <v>382</v>
      </c>
      <c r="D34" s="610" t="s">
        <v>382</v>
      </c>
      <c r="E34" s="610" t="s">
        <v>382</v>
      </c>
      <c r="F34" s="610" t="s">
        <v>382</v>
      </c>
      <c r="G34" s="610" t="s">
        <v>382</v>
      </c>
      <c r="H34" s="610" t="s">
        <v>382</v>
      </c>
      <c r="I34" s="610" t="s">
        <v>382</v>
      </c>
      <c r="J34" s="610" t="s">
        <v>382</v>
      </c>
      <c r="K34" s="610" t="s">
        <v>382</v>
      </c>
      <c r="L34" s="610" t="s">
        <v>382</v>
      </c>
      <c r="M34" s="610" t="s">
        <v>382</v>
      </c>
      <c r="N34" s="610" t="s">
        <v>382</v>
      </c>
    </row>
    <row r="35" spans="1:14" ht="12" customHeight="1">
      <c r="A35" s="217" t="s">
        <v>47</v>
      </c>
      <c r="B35" s="609" t="s">
        <v>382</v>
      </c>
      <c r="C35" s="610" t="s">
        <v>382</v>
      </c>
      <c r="D35" s="610" t="s">
        <v>382</v>
      </c>
      <c r="E35" s="610" t="s">
        <v>382</v>
      </c>
      <c r="F35" s="610" t="s">
        <v>382</v>
      </c>
      <c r="G35" s="610" t="s">
        <v>382</v>
      </c>
      <c r="H35" s="610" t="s">
        <v>382</v>
      </c>
      <c r="I35" s="610" t="s">
        <v>382</v>
      </c>
      <c r="J35" s="610" t="s">
        <v>382</v>
      </c>
      <c r="K35" s="610" t="s">
        <v>382</v>
      </c>
      <c r="L35" s="610" t="s">
        <v>382</v>
      </c>
      <c r="M35" s="610" t="s">
        <v>382</v>
      </c>
      <c r="N35" s="610" t="s">
        <v>382</v>
      </c>
    </row>
    <row r="36" spans="1:14" ht="12" customHeight="1">
      <c r="A36" s="217" t="s">
        <v>48</v>
      </c>
      <c r="B36" s="609" t="s">
        <v>382</v>
      </c>
      <c r="C36" s="610" t="s">
        <v>382</v>
      </c>
      <c r="D36" s="610" t="s">
        <v>382</v>
      </c>
      <c r="E36" s="610" t="s">
        <v>382</v>
      </c>
      <c r="F36" s="610" t="s">
        <v>382</v>
      </c>
      <c r="G36" s="610" t="s">
        <v>382</v>
      </c>
      <c r="H36" s="610" t="s">
        <v>382</v>
      </c>
      <c r="I36" s="610" t="s">
        <v>382</v>
      </c>
      <c r="J36" s="610" t="s">
        <v>382</v>
      </c>
      <c r="K36" s="610" t="s">
        <v>382</v>
      </c>
      <c r="L36" s="610" t="s">
        <v>382</v>
      </c>
      <c r="M36" s="610" t="s">
        <v>382</v>
      </c>
      <c r="N36" s="610" t="s">
        <v>382</v>
      </c>
    </row>
    <row r="37" spans="1:14" ht="12" customHeight="1" thickBot="1">
      <c r="A37" s="272" t="s">
        <v>49</v>
      </c>
      <c r="B37" s="612" t="s">
        <v>382</v>
      </c>
      <c r="C37" s="613" t="s">
        <v>382</v>
      </c>
      <c r="D37" s="613" t="s">
        <v>382</v>
      </c>
      <c r="E37" s="613" t="s">
        <v>382</v>
      </c>
      <c r="F37" s="613" t="s">
        <v>382</v>
      </c>
      <c r="G37" s="613" t="s">
        <v>382</v>
      </c>
      <c r="H37" s="613" t="s">
        <v>382</v>
      </c>
      <c r="I37" s="613" t="s">
        <v>382</v>
      </c>
      <c r="J37" s="613" t="s">
        <v>382</v>
      </c>
      <c r="K37" s="613" t="s">
        <v>382</v>
      </c>
      <c r="L37" s="613" t="s">
        <v>382</v>
      </c>
      <c r="M37" s="613" t="s">
        <v>382</v>
      </c>
      <c r="N37" s="613" t="s">
        <v>382</v>
      </c>
    </row>
    <row r="38" spans="1:14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14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14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Hoja83">
    <tabColor theme="9" tint="0.59999389629810485"/>
  </sheetPr>
  <dimension ref="A4:N48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14" ht="13" customHeight="1">
      <c r="A4" s="511" t="s">
        <v>418</v>
      </c>
      <c r="B4" s="507"/>
    </row>
    <row r="5" spans="1:14" ht="13" customHeight="1">
      <c r="A5" s="514" t="s">
        <v>595</v>
      </c>
      <c r="B5" s="507"/>
    </row>
    <row r="6" spans="1:14" ht="5" customHeight="1" thickBot="1"/>
    <row r="7" spans="1:14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</row>
    <row r="8" spans="1:14" ht="15" customHeight="1">
      <c r="A8" s="530" t="s">
        <v>100</v>
      </c>
      <c r="B8" s="602">
        <f>'C-81'!B8/'C-80'!B8*1000</f>
        <v>1.9303828151856781</v>
      </c>
      <c r="C8" s="602">
        <f>'C-81'!C8/'C-80'!C8*1000</f>
        <v>1.8021400412990425</v>
      </c>
      <c r="D8" s="602">
        <f>'C-81'!D8/'C-80'!D8*1000</f>
        <v>1.7934059049259927</v>
      </c>
      <c r="E8" s="602">
        <f>'C-81'!E8/'C-80'!E8*1000</f>
        <v>1.8075688639650125</v>
      </c>
      <c r="F8" s="602">
        <f>'C-81'!F8/'C-80'!F8*1000</f>
        <v>1.4196104324859689</v>
      </c>
      <c r="G8" s="602">
        <f>'C-81'!G8/'C-80'!G8*1000</f>
        <v>1.5030380556443876</v>
      </c>
      <c r="H8" s="602">
        <f>'C-81'!H8/'C-80'!H8*1000</f>
        <v>1.7291066282420748</v>
      </c>
      <c r="I8" s="602">
        <f>'C-81'!I8/'C-80'!I8*1000</f>
        <v>1.6</v>
      </c>
      <c r="J8" s="602" t="s">
        <v>81</v>
      </c>
      <c r="K8" s="602">
        <f>'C-81'!K8/'C-80'!K8*1000</f>
        <v>4</v>
      </c>
      <c r="L8" s="602">
        <f>'C-81'!L8/'C-80'!L8*1000</f>
        <v>2.257508116883117</v>
      </c>
      <c r="M8" s="602">
        <f>'C-81'!M8/'C-80'!M8*1000</f>
        <v>2.0047202362878513</v>
      </c>
      <c r="N8" s="602">
        <f>'C-81'!N8/'C-80'!N8*1000</f>
        <v>2.1226666666666669</v>
      </c>
    </row>
    <row r="9" spans="1:14" ht="12" customHeight="1">
      <c r="A9" s="269" t="s">
        <v>21</v>
      </c>
      <c r="B9" s="555" t="s">
        <v>81</v>
      </c>
      <c r="C9" s="556" t="s">
        <v>81</v>
      </c>
      <c r="D9" s="556" t="s">
        <v>81</v>
      </c>
      <c r="E9" s="556" t="s">
        <v>81</v>
      </c>
      <c r="F9" s="556" t="s">
        <v>81</v>
      </c>
      <c r="G9" s="556" t="s">
        <v>81</v>
      </c>
      <c r="H9" s="556" t="s">
        <v>81</v>
      </c>
      <c r="I9" s="556" t="s">
        <v>81</v>
      </c>
      <c r="J9" s="556" t="s">
        <v>81</v>
      </c>
      <c r="K9" s="556" t="s">
        <v>81</v>
      </c>
      <c r="L9" s="556" t="s">
        <v>81</v>
      </c>
      <c r="M9" s="556" t="s">
        <v>81</v>
      </c>
      <c r="N9" s="556" t="s">
        <v>81</v>
      </c>
    </row>
    <row r="10" spans="1:14" ht="12" customHeight="1">
      <c r="A10" s="269" t="s">
        <v>22</v>
      </c>
      <c r="B10" s="555" t="s">
        <v>81</v>
      </c>
      <c r="C10" s="556" t="s">
        <v>81</v>
      </c>
      <c r="D10" s="556" t="s">
        <v>81</v>
      </c>
      <c r="E10" s="556" t="s">
        <v>81</v>
      </c>
      <c r="F10" s="556" t="s">
        <v>81</v>
      </c>
      <c r="G10" s="556" t="s">
        <v>81</v>
      </c>
      <c r="H10" s="556" t="s">
        <v>81</v>
      </c>
      <c r="I10" s="556" t="s">
        <v>81</v>
      </c>
      <c r="J10" s="556" t="s">
        <v>81</v>
      </c>
      <c r="K10" s="556" t="s">
        <v>81</v>
      </c>
      <c r="L10" s="556" t="s">
        <v>81</v>
      </c>
      <c r="M10" s="556" t="s">
        <v>81</v>
      </c>
      <c r="N10" s="556" t="s">
        <v>81</v>
      </c>
    </row>
    <row r="11" spans="1:14" ht="12" customHeight="1">
      <c r="A11" s="269" t="s">
        <v>23</v>
      </c>
      <c r="B11" s="555" t="s">
        <v>81</v>
      </c>
      <c r="C11" s="556" t="s">
        <v>81</v>
      </c>
      <c r="D11" s="556" t="s">
        <v>81</v>
      </c>
      <c r="E11" s="556" t="s">
        <v>81</v>
      </c>
      <c r="F11" s="556" t="s">
        <v>81</v>
      </c>
      <c r="G11" s="556" t="s">
        <v>81</v>
      </c>
      <c r="H11" s="556" t="s">
        <v>81</v>
      </c>
      <c r="I11" s="556" t="s">
        <v>81</v>
      </c>
      <c r="J11" s="556" t="s">
        <v>81</v>
      </c>
      <c r="K11" s="556" t="s">
        <v>81</v>
      </c>
      <c r="L11" s="556" t="s">
        <v>81</v>
      </c>
      <c r="M11" s="556" t="s">
        <v>81</v>
      </c>
      <c r="N11" s="556" t="s">
        <v>81</v>
      </c>
    </row>
    <row r="12" spans="1:14" ht="12" customHeight="1">
      <c r="A12" s="217" t="s">
        <v>24</v>
      </c>
      <c r="B12" s="555" t="s">
        <v>81</v>
      </c>
      <c r="C12" s="556" t="s">
        <v>81</v>
      </c>
      <c r="D12" s="556" t="s">
        <v>81</v>
      </c>
      <c r="E12" s="556" t="s">
        <v>81</v>
      </c>
      <c r="F12" s="556" t="s">
        <v>81</v>
      </c>
      <c r="G12" s="556" t="s">
        <v>81</v>
      </c>
      <c r="H12" s="556" t="s">
        <v>81</v>
      </c>
      <c r="I12" s="556" t="s">
        <v>81</v>
      </c>
      <c r="J12" s="556" t="s">
        <v>81</v>
      </c>
      <c r="K12" s="556" t="s">
        <v>81</v>
      </c>
      <c r="L12" s="556" t="s">
        <v>81</v>
      </c>
      <c r="M12" s="556" t="s">
        <v>81</v>
      </c>
      <c r="N12" s="556" t="s">
        <v>81</v>
      </c>
    </row>
    <row r="13" spans="1:14" ht="12" customHeight="1">
      <c r="A13" s="217" t="s">
        <v>25</v>
      </c>
      <c r="B13" s="555" t="s">
        <v>81</v>
      </c>
      <c r="C13" s="556" t="s">
        <v>81</v>
      </c>
      <c r="D13" s="556" t="s">
        <v>81</v>
      </c>
      <c r="E13" s="556" t="s">
        <v>81</v>
      </c>
      <c r="F13" s="556" t="s">
        <v>81</v>
      </c>
      <c r="G13" s="556" t="s">
        <v>81</v>
      </c>
      <c r="H13" s="556" t="s">
        <v>81</v>
      </c>
      <c r="I13" s="556" t="s">
        <v>81</v>
      </c>
      <c r="J13" s="556" t="s">
        <v>81</v>
      </c>
      <c r="K13" s="556" t="s">
        <v>81</v>
      </c>
      <c r="L13" s="556" t="s">
        <v>81</v>
      </c>
      <c r="M13" s="556" t="s">
        <v>81</v>
      </c>
      <c r="N13" s="556" t="s">
        <v>81</v>
      </c>
    </row>
    <row r="14" spans="1:14" ht="12" customHeight="1">
      <c r="A14" s="271" t="s">
        <v>107</v>
      </c>
      <c r="B14" s="555" t="s">
        <v>81</v>
      </c>
      <c r="C14" s="556" t="s">
        <v>81</v>
      </c>
      <c r="D14" s="556" t="s">
        <v>81</v>
      </c>
      <c r="E14" s="556" t="s">
        <v>81</v>
      </c>
      <c r="F14" s="556" t="s">
        <v>81</v>
      </c>
      <c r="G14" s="556" t="s">
        <v>81</v>
      </c>
      <c r="H14" s="556" t="s">
        <v>81</v>
      </c>
      <c r="I14" s="556" t="s">
        <v>81</v>
      </c>
      <c r="J14" s="556" t="s">
        <v>81</v>
      </c>
      <c r="K14" s="556" t="s">
        <v>81</v>
      </c>
      <c r="L14" s="556" t="s">
        <v>81</v>
      </c>
      <c r="M14" s="556" t="s">
        <v>81</v>
      </c>
      <c r="N14" s="556" t="s">
        <v>81</v>
      </c>
    </row>
    <row r="15" spans="1:14" ht="12" customHeight="1">
      <c r="A15" s="271" t="s">
        <v>108</v>
      </c>
      <c r="B15" s="555" t="s">
        <v>81</v>
      </c>
      <c r="C15" s="556" t="s">
        <v>81</v>
      </c>
      <c r="D15" s="556" t="s">
        <v>81</v>
      </c>
      <c r="E15" s="556" t="s">
        <v>81</v>
      </c>
      <c r="F15" s="556" t="s">
        <v>81</v>
      </c>
      <c r="G15" s="556" t="s">
        <v>81</v>
      </c>
      <c r="H15" s="556" t="s">
        <v>81</v>
      </c>
      <c r="I15" s="556" t="s">
        <v>81</v>
      </c>
      <c r="J15" s="556" t="s">
        <v>81</v>
      </c>
      <c r="K15" s="556" t="s">
        <v>81</v>
      </c>
      <c r="L15" s="556" t="s">
        <v>81</v>
      </c>
      <c r="M15" s="556" t="s">
        <v>81</v>
      </c>
      <c r="N15" s="556" t="s">
        <v>81</v>
      </c>
    </row>
    <row r="16" spans="1:14" ht="12" customHeight="1">
      <c r="A16" s="271" t="s">
        <v>109</v>
      </c>
      <c r="B16" s="555" t="s">
        <v>81</v>
      </c>
      <c r="C16" s="556" t="s">
        <v>81</v>
      </c>
      <c r="D16" s="556" t="s">
        <v>81</v>
      </c>
      <c r="E16" s="556" t="s">
        <v>81</v>
      </c>
      <c r="F16" s="556" t="s">
        <v>81</v>
      </c>
      <c r="G16" s="556" t="s">
        <v>81</v>
      </c>
      <c r="H16" s="556" t="s">
        <v>81</v>
      </c>
      <c r="I16" s="556" t="s">
        <v>81</v>
      </c>
      <c r="J16" s="556" t="s">
        <v>81</v>
      </c>
      <c r="K16" s="556" t="s">
        <v>81</v>
      </c>
      <c r="L16" s="556" t="s">
        <v>81</v>
      </c>
      <c r="M16" s="556" t="s">
        <v>81</v>
      </c>
      <c r="N16" s="556" t="s">
        <v>81</v>
      </c>
    </row>
    <row r="17" spans="1:14" ht="12" customHeight="1">
      <c r="A17" s="269" t="s">
        <v>29</v>
      </c>
      <c r="B17" s="555" t="s">
        <v>81</v>
      </c>
      <c r="C17" s="556" t="s">
        <v>81</v>
      </c>
      <c r="D17" s="556" t="s">
        <v>81</v>
      </c>
      <c r="E17" s="556" t="s">
        <v>81</v>
      </c>
      <c r="F17" s="556" t="s">
        <v>81</v>
      </c>
      <c r="G17" s="556" t="s">
        <v>81</v>
      </c>
      <c r="H17" s="556" t="s">
        <v>81</v>
      </c>
      <c r="I17" s="556" t="s">
        <v>81</v>
      </c>
      <c r="J17" s="556" t="s">
        <v>81</v>
      </c>
      <c r="K17" s="556" t="s">
        <v>81</v>
      </c>
      <c r="L17" s="556" t="s">
        <v>81</v>
      </c>
      <c r="M17" s="556" t="s">
        <v>81</v>
      </c>
      <c r="N17" s="556" t="s">
        <v>81</v>
      </c>
    </row>
    <row r="18" spans="1:14" ht="12" customHeight="1">
      <c r="A18" s="217" t="s">
        <v>30</v>
      </c>
      <c r="B18" s="555" t="s">
        <v>81</v>
      </c>
      <c r="C18" s="556" t="s">
        <v>81</v>
      </c>
      <c r="D18" s="556" t="s">
        <v>81</v>
      </c>
      <c r="E18" s="556" t="s">
        <v>81</v>
      </c>
      <c r="F18" s="556" t="s">
        <v>81</v>
      </c>
      <c r="G18" s="556" t="s">
        <v>81</v>
      </c>
      <c r="H18" s="556" t="s">
        <v>81</v>
      </c>
      <c r="I18" s="556" t="s">
        <v>81</v>
      </c>
      <c r="J18" s="556" t="s">
        <v>81</v>
      </c>
      <c r="K18" s="556" t="s">
        <v>81</v>
      </c>
      <c r="L18" s="556" t="s">
        <v>81</v>
      </c>
      <c r="M18" s="556" t="s">
        <v>81</v>
      </c>
      <c r="N18" s="556" t="s">
        <v>81</v>
      </c>
    </row>
    <row r="19" spans="1:14" ht="12" customHeight="1">
      <c r="A19" s="217" t="s">
        <v>31</v>
      </c>
      <c r="B19" s="555">
        <f>'C-81'!B19/'C-80'!B19*1000</f>
        <v>1.5094339622641508</v>
      </c>
      <c r="C19" s="556" t="s">
        <v>81</v>
      </c>
      <c r="D19" s="556" t="s">
        <v>81</v>
      </c>
      <c r="E19" s="556" t="s">
        <v>81</v>
      </c>
      <c r="F19" s="556">
        <f>'C-81'!F19/'C-80'!F19*1000</f>
        <v>1.2285012285012284</v>
      </c>
      <c r="G19" s="556">
        <f>'C-81'!G19/'C-80'!G19*1000</f>
        <v>1.1976047904191616</v>
      </c>
      <c r="H19" s="556">
        <f>'C-81'!H19/'C-80'!H19*1000</f>
        <v>1.5582191780821919</v>
      </c>
      <c r="I19" s="556">
        <f>'C-81'!I19/'C-80'!I19*1000</f>
        <v>1.6</v>
      </c>
      <c r="J19" s="556" t="s">
        <v>81</v>
      </c>
      <c r="K19" s="556" t="s">
        <v>81</v>
      </c>
      <c r="L19" s="556" t="s">
        <v>81</v>
      </c>
      <c r="M19" s="556" t="s">
        <v>81</v>
      </c>
      <c r="N19" s="556" t="s">
        <v>81</v>
      </c>
    </row>
    <row r="20" spans="1:14" ht="12" customHeight="1">
      <c r="A20" s="269" t="s">
        <v>32</v>
      </c>
      <c r="B20" s="555" t="s">
        <v>81</v>
      </c>
      <c r="C20" s="556" t="s">
        <v>81</v>
      </c>
      <c r="D20" s="556" t="s">
        <v>81</v>
      </c>
      <c r="E20" s="556" t="s">
        <v>81</v>
      </c>
      <c r="F20" s="556" t="s">
        <v>81</v>
      </c>
      <c r="G20" s="556" t="s">
        <v>81</v>
      </c>
      <c r="H20" s="556" t="s">
        <v>81</v>
      </c>
      <c r="I20" s="556" t="s">
        <v>81</v>
      </c>
      <c r="J20" s="556" t="s">
        <v>81</v>
      </c>
      <c r="K20" s="556" t="s">
        <v>81</v>
      </c>
      <c r="L20" s="556" t="s">
        <v>81</v>
      </c>
      <c r="M20" s="556" t="s">
        <v>81</v>
      </c>
      <c r="N20" s="556" t="s">
        <v>81</v>
      </c>
    </row>
    <row r="21" spans="1:14" ht="12" customHeight="1">
      <c r="A21" s="269" t="s">
        <v>33</v>
      </c>
      <c r="B21" s="555" t="s">
        <v>81</v>
      </c>
      <c r="C21" s="556" t="s">
        <v>81</v>
      </c>
      <c r="D21" s="556" t="s">
        <v>81</v>
      </c>
      <c r="E21" s="556" t="s">
        <v>81</v>
      </c>
      <c r="F21" s="556" t="s">
        <v>81</v>
      </c>
      <c r="G21" s="556" t="s">
        <v>81</v>
      </c>
      <c r="H21" s="556" t="s">
        <v>81</v>
      </c>
      <c r="I21" s="556" t="s">
        <v>81</v>
      </c>
      <c r="J21" s="556" t="s">
        <v>81</v>
      </c>
      <c r="K21" s="556" t="s">
        <v>81</v>
      </c>
      <c r="L21" s="556" t="s">
        <v>81</v>
      </c>
      <c r="M21" s="556" t="s">
        <v>81</v>
      </c>
      <c r="N21" s="556" t="s">
        <v>81</v>
      </c>
    </row>
    <row r="22" spans="1:14" ht="12" customHeight="1">
      <c r="A22" s="269" t="s">
        <v>34</v>
      </c>
      <c r="B22" s="555">
        <f>'C-81'!B22/'C-80'!B22*1000</f>
        <v>1.4124293785310735</v>
      </c>
      <c r="C22" s="556" t="s">
        <v>81</v>
      </c>
      <c r="D22" s="556" t="s">
        <v>81</v>
      </c>
      <c r="E22" s="556" t="s">
        <v>81</v>
      </c>
      <c r="F22" s="556" t="s">
        <v>81</v>
      </c>
      <c r="G22" s="556" t="s">
        <v>81</v>
      </c>
      <c r="H22" s="556" t="s">
        <v>81</v>
      </c>
      <c r="I22" s="556" t="s">
        <v>81</v>
      </c>
      <c r="J22" s="556" t="s">
        <v>81</v>
      </c>
      <c r="K22" s="556" t="s">
        <v>81</v>
      </c>
      <c r="L22" s="556">
        <f>'C-81'!L22/'C-80'!L22*1000</f>
        <v>1.3917175831636115</v>
      </c>
      <c r="M22" s="556">
        <f>'C-81'!M22/'C-80'!M22*1000</f>
        <v>1.4198218262806235</v>
      </c>
      <c r="N22" s="556">
        <f>'C-81'!N22/'C-80'!N22*1000</f>
        <v>1.5832482124616956</v>
      </c>
    </row>
    <row r="23" spans="1:14" ht="12" customHeight="1">
      <c r="A23" s="269" t="s">
        <v>35</v>
      </c>
      <c r="B23" s="555">
        <f>'C-81'!B23/'C-80'!B23*1000</f>
        <v>2.2961085433129567</v>
      </c>
      <c r="C23" s="556" t="s">
        <v>81</v>
      </c>
      <c r="D23" s="556" t="s">
        <v>81</v>
      </c>
      <c r="E23" s="556" t="s">
        <v>81</v>
      </c>
      <c r="F23" s="556" t="s">
        <v>81</v>
      </c>
      <c r="G23" s="556" t="s">
        <v>81</v>
      </c>
      <c r="H23" s="556" t="s">
        <v>81</v>
      </c>
      <c r="I23" s="556" t="s">
        <v>81</v>
      </c>
      <c r="J23" s="556" t="s">
        <v>81</v>
      </c>
      <c r="K23" s="556" t="s">
        <v>81</v>
      </c>
      <c r="L23" s="556">
        <f>'C-81'!L23/'C-80'!L23*1000</f>
        <v>2.3924332344213655</v>
      </c>
      <c r="M23" s="556">
        <f>'C-81'!M23/'C-80'!M23*1000</f>
        <v>2.2622648954360121</v>
      </c>
      <c r="N23" s="556">
        <f>'C-81'!N23/'C-80'!N23*1000</f>
        <v>1.8578727357176035</v>
      </c>
    </row>
    <row r="24" spans="1:14" ht="12" customHeight="1">
      <c r="A24" s="269" t="s">
        <v>36</v>
      </c>
      <c r="B24" s="555">
        <f>'C-81'!B24/'C-80'!B24*1000</f>
        <v>1.8250737048996208</v>
      </c>
      <c r="C24" s="556" t="s">
        <v>81</v>
      </c>
      <c r="D24" s="556">
        <f>'C-81'!D24/'C-80'!D24*1000</f>
        <v>1.8556701030927834</v>
      </c>
      <c r="E24" s="556">
        <f>'C-81'!E24/'C-80'!E24*1000</f>
        <v>1.9512195121951221</v>
      </c>
      <c r="F24" s="556">
        <f>'C-81'!F24/'C-80'!F24*1000</f>
        <v>0</v>
      </c>
      <c r="G24" s="556">
        <f>'C-81'!G24/'C-80'!G24*1000</f>
        <v>1.8652849740932642</v>
      </c>
      <c r="H24" s="556">
        <f>'C-81'!H24/'C-80'!H24*1000</f>
        <v>1.8341892883345561</v>
      </c>
      <c r="I24" s="556" t="s">
        <v>81</v>
      </c>
      <c r="J24" s="556" t="s">
        <v>81</v>
      </c>
      <c r="K24" s="556" t="s">
        <v>81</v>
      </c>
      <c r="L24" s="556" t="s">
        <v>81</v>
      </c>
      <c r="M24" s="556">
        <f>'C-81'!M24/'C-80'!M24*1000</f>
        <v>0</v>
      </c>
      <c r="N24" s="556">
        <f>'C-81'!N24/'C-80'!N24*1000</f>
        <v>1.7582417582417582</v>
      </c>
    </row>
    <row r="25" spans="1:14" ht="12" customHeight="1">
      <c r="A25" s="217" t="s">
        <v>37</v>
      </c>
      <c r="B25" s="555">
        <f>'C-81'!B25/'C-80'!B25*1000</f>
        <v>2.1481653506734792</v>
      </c>
      <c r="C25" s="556">
        <f>'C-81'!C25/'C-80'!C25*1000</f>
        <v>2.2883803599200179</v>
      </c>
      <c r="D25" s="556">
        <f>'C-81'!D25/'C-80'!D25*1000</f>
        <v>2.1059487624837168</v>
      </c>
      <c r="E25" s="556">
        <f>'C-81'!E25/'C-80'!E25*1000</f>
        <v>2.1145374449339207</v>
      </c>
      <c r="F25" s="556" t="s">
        <v>81</v>
      </c>
      <c r="G25" s="556" t="s">
        <v>81</v>
      </c>
      <c r="H25" s="556" t="s">
        <v>81</v>
      </c>
      <c r="I25" s="556" t="s">
        <v>81</v>
      </c>
      <c r="J25" s="556" t="s">
        <v>81</v>
      </c>
      <c r="K25" s="556" t="s">
        <v>81</v>
      </c>
      <c r="L25" s="556" t="s">
        <v>81</v>
      </c>
      <c r="M25" s="556" t="s">
        <v>81</v>
      </c>
      <c r="N25" s="556">
        <f>'C-81'!N25/'C-80'!N25*1000</f>
        <v>2.1246854906346102</v>
      </c>
    </row>
    <row r="26" spans="1:14" ht="12" customHeight="1">
      <c r="A26" s="269" t="s">
        <v>38</v>
      </c>
      <c r="B26" s="555">
        <f>'C-81'!B26/'C-80'!B26*1000</f>
        <v>2.3112480739599386</v>
      </c>
      <c r="C26" s="556" t="s">
        <v>81</v>
      </c>
      <c r="D26" s="556" t="s">
        <v>81</v>
      </c>
      <c r="E26" s="556" t="s">
        <v>81</v>
      </c>
      <c r="F26" s="556" t="s">
        <v>81</v>
      </c>
      <c r="G26" s="556" t="s">
        <v>81</v>
      </c>
      <c r="H26" s="556" t="s">
        <v>81</v>
      </c>
      <c r="I26" s="556" t="s">
        <v>81</v>
      </c>
      <c r="J26" s="556" t="s">
        <v>81</v>
      </c>
      <c r="K26" s="556">
        <f>'C-81'!K26/'C-80'!K26*1000</f>
        <v>4</v>
      </c>
      <c r="L26" s="556">
        <f>'C-81'!L26/'C-80'!L26*1000</f>
        <v>2.8813559322033901</v>
      </c>
      <c r="M26" s="556">
        <f>'C-81'!M26/'C-80'!M26*1000</f>
        <v>2.3240371845949537</v>
      </c>
      <c r="N26" s="556">
        <f>'C-81'!N26/'C-80'!N26*1000</f>
        <v>2.1052631578947367</v>
      </c>
    </row>
    <row r="27" spans="1:14" ht="12" customHeight="1">
      <c r="A27" s="269" t="s">
        <v>39</v>
      </c>
      <c r="B27" s="555" t="s">
        <v>81</v>
      </c>
      <c r="C27" s="556" t="s">
        <v>81</v>
      </c>
      <c r="D27" s="556" t="s">
        <v>81</v>
      </c>
      <c r="E27" s="556" t="s">
        <v>81</v>
      </c>
      <c r="F27" s="556" t="s">
        <v>81</v>
      </c>
      <c r="G27" s="556" t="s">
        <v>81</v>
      </c>
      <c r="H27" s="556" t="s">
        <v>81</v>
      </c>
      <c r="I27" s="556" t="s">
        <v>81</v>
      </c>
      <c r="J27" s="556" t="s">
        <v>81</v>
      </c>
      <c r="K27" s="556" t="s">
        <v>81</v>
      </c>
      <c r="L27" s="556" t="s">
        <v>81</v>
      </c>
      <c r="M27" s="556" t="s">
        <v>81</v>
      </c>
      <c r="N27" s="556" t="s">
        <v>81</v>
      </c>
    </row>
    <row r="28" spans="1:14" ht="12" customHeight="1">
      <c r="A28" s="269" t="s">
        <v>40</v>
      </c>
      <c r="B28" s="555">
        <f>'C-81'!B28/'C-80'!B28*1000</f>
        <v>1.1142061281337048</v>
      </c>
      <c r="C28" s="556">
        <f>'C-81'!C28/'C-80'!C28*1000</f>
        <v>1.0810810810810811</v>
      </c>
      <c r="D28" s="556">
        <f>'C-81'!D28/'C-80'!D28*1000</f>
        <v>1.0928961748633881</v>
      </c>
      <c r="E28" s="556">
        <f>'C-81'!E28/'C-80'!E28*1000</f>
        <v>1.188212927756654</v>
      </c>
      <c r="F28" s="556">
        <f>'C-81'!F28/'C-80'!F28*1000</f>
        <v>1.1806981519507185</v>
      </c>
      <c r="G28" s="556">
        <f>'C-81'!G28/'C-80'!G28*1000</f>
        <v>1.288855193328279</v>
      </c>
      <c r="H28" s="556">
        <f>'C-81'!H28/'C-80'!H28*1000</f>
        <v>1.25</v>
      </c>
      <c r="I28" s="556" t="s">
        <v>81</v>
      </c>
      <c r="J28" s="556" t="s">
        <v>81</v>
      </c>
      <c r="K28" s="556" t="s">
        <v>81</v>
      </c>
      <c r="L28" s="556" t="s">
        <v>81</v>
      </c>
      <c r="M28" s="556">
        <f>'C-81'!M28/'C-80'!M28*1000</f>
        <v>0.99667774086378724</v>
      </c>
      <c r="N28" s="556">
        <f>'C-81'!N28/'C-80'!N28*1000</f>
        <v>1.0797342192691031</v>
      </c>
    </row>
    <row r="29" spans="1:14" ht="12" customHeight="1">
      <c r="A29" s="217" t="s">
        <v>41</v>
      </c>
      <c r="B29" s="555">
        <f>'C-81'!B29/'C-80'!B29*1000</f>
        <v>1.7491395361959037</v>
      </c>
      <c r="C29" s="556">
        <f>'C-81'!C29/'C-80'!C29*1000</f>
        <v>1.7127071823204421</v>
      </c>
      <c r="D29" s="556">
        <f>'C-81'!D29/'C-80'!D29*1000</f>
        <v>1.8584070796460177</v>
      </c>
      <c r="E29" s="556">
        <f>'C-81'!E29/'C-80'!E29*1000</f>
        <v>1.8704379562043794</v>
      </c>
      <c r="F29" s="556">
        <f>'C-81'!F29/'C-80'!F29*1000</f>
        <v>1.5497553017944534</v>
      </c>
      <c r="G29" s="556">
        <f>'C-81'!G29/'C-80'!G29*1000</f>
        <v>1.7543859649122808</v>
      </c>
      <c r="H29" s="556" t="s">
        <v>81</v>
      </c>
      <c r="I29" s="556" t="s">
        <v>81</v>
      </c>
      <c r="J29" s="556" t="s">
        <v>81</v>
      </c>
      <c r="K29" s="556" t="s">
        <v>81</v>
      </c>
      <c r="L29" s="556" t="s">
        <v>81</v>
      </c>
      <c r="M29" s="556">
        <f>'C-81'!M29/'C-80'!M29*1000</f>
        <v>1.7034068136272544</v>
      </c>
      <c r="N29" s="556">
        <f>'C-81'!N29/'C-80'!N29*1000</f>
        <v>1.6894609814963799</v>
      </c>
    </row>
    <row r="30" spans="1:14" ht="12" customHeight="1">
      <c r="A30" s="271" t="s">
        <v>111</v>
      </c>
      <c r="B30" s="555">
        <f>'C-81'!B30/'C-80'!B30*1000</f>
        <v>1.629106706489275</v>
      </c>
      <c r="C30" s="556">
        <f>'C-81'!C30/'C-80'!C30*1000</f>
        <v>1.7647058823529411</v>
      </c>
      <c r="D30" s="556">
        <f>'C-81'!D30/'C-80'!D30*1000</f>
        <v>1.6975308641975309</v>
      </c>
      <c r="E30" s="556">
        <f>'C-81'!E30/'C-80'!E30*1000</f>
        <v>1.7021276595744681</v>
      </c>
      <c r="F30" s="556">
        <f>'C-81'!F30/'C-80'!F30*1000</f>
        <v>1.5303119482048264</v>
      </c>
      <c r="G30" s="556">
        <f>'C-81'!G30/'C-80'!G30*1000</f>
        <v>1.25</v>
      </c>
      <c r="H30" s="556" t="s">
        <v>81</v>
      </c>
      <c r="I30" s="556" t="s">
        <v>81</v>
      </c>
      <c r="J30" s="556" t="s">
        <v>81</v>
      </c>
      <c r="K30" s="556" t="s">
        <v>81</v>
      </c>
      <c r="L30" s="556" t="s">
        <v>81</v>
      </c>
      <c r="M30" s="556">
        <f>'C-81'!M30/'C-80'!M30*1000</f>
        <v>1.7034068136272544</v>
      </c>
      <c r="N30" s="556">
        <f>'C-81'!N30/'C-80'!N30*1000</f>
        <v>1.6894609814963799</v>
      </c>
    </row>
    <row r="31" spans="1:14" ht="12" customHeight="1">
      <c r="A31" s="271" t="s">
        <v>112</v>
      </c>
      <c r="B31" s="555">
        <f>'C-81'!B31/'C-80'!B31*1000</f>
        <v>1.947857356907402</v>
      </c>
      <c r="C31" s="556">
        <f>'C-81'!C31/'C-80'!C31*1000</f>
        <v>1.7006802721088434</v>
      </c>
      <c r="D31" s="556">
        <f>'C-81'!D31/'C-80'!D31*1000</f>
        <v>2.0746887966804981</v>
      </c>
      <c r="E31" s="556">
        <f>'C-81'!E31/'C-80'!E31*1000</f>
        <v>2.1739130434782608</v>
      </c>
      <c r="F31" s="556">
        <f>'C-81'!F31/'C-80'!F31*1000</f>
        <v>1.7857142857142856</v>
      </c>
      <c r="G31" s="556">
        <f>'C-81'!G31/'C-80'!G31*1000</f>
        <v>1.9083969465648853</v>
      </c>
      <c r="H31" s="556" t="s">
        <v>81</v>
      </c>
      <c r="I31" s="556" t="s">
        <v>81</v>
      </c>
      <c r="J31" s="556" t="s">
        <v>81</v>
      </c>
      <c r="K31" s="556" t="s">
        <v>81</v>
      </c>
      <c r="L31" s="556" t="s">
        <v>81</v>
      </c>
      <c r="M31" s="556" t="s">
        <v>81</v>
      </c>
      <c r="N31" s="556" t="s">
        <v>81</v>
      </c>
    </row>
    <row r="32" spans="1:14" ht="12" customHeight="1">
      <c r="A32" s="269" t="s">
        <v>44</v>
      </c>
      <c r="B32" s="555">
        <f>'C-81'!B32/'C-80'!B32*1000</f>
        <v>1.606425702811245</v>
      </c>
      <c r="C32" s="556">
        <f>'C-81'!C32/'C-80'!C32*1000</f>
        <v>1.6016427104722792</v>
      </c>
      <c r="D32" s="556">
        <f>'C-81'!D32/'C-80'!D32*1000</f>
        <v>1.3583138173302107</v>
      </c>
      <c r="E32" s="556">
        <f>'C-81'!E32/'C-80'!E32*1000</f>
        <v>1.6981132075471699</v>
      </c>
      <c r="F32" s="556" t="s">
        <v>81</v>
      </c>
      <c r="G32" s="556" t="s">
        <v>81</v>
      </c>
      <c r="H32" s="556" t="s">
        <v>81</v>
      </c>
      <c r="I32" s="556" t="s">
        <v>81</v>
      </c>
      <c r="J32" s="556" t="s">
        <v>81</v>
      </c>
      <c r="K32" s="556" t="s">
        <v>81</v>
      </c>
      <c r="L32" s="556" t="s">
        <v>81</v>
      </c>
      <c r="M32" s="556" t="s">
        <v>81</v>
      </c>
      <c r="N32" s="556">
        <f>'C-81'!N32/'C-80'!N32*1000</f>
        <v>1.7777777777777779</v>
      </c>
    </row>
    <row r="33" spans="1:14" ht="12" customHeight="1">
      <c r="A33" s="269" t="s">
        <v>45</v>
      </c>
      <c r="B33" s="555">
        <f>'C-81'!B33/'C-80'!B33*1000</f>
        <v>1.949482585957494</v>
      </c>
      <c r="C33" s="556" t="s">
        <v>81</v>
      </c>
      <c r="D33" s="556">
        <f>'C-81'!D33/'C-80'!D33*1000</f>
        <v>1.8101193860147808</v>
      </c>
      <c r="E33" s="556">
        <f>'C-81'!E33/'C-80'!E33*1000</f>
        <v>1.8168880455407967</v>
      </c>
      <c r="F33" s="556" t="s">
        <v>81</v>
      </c>
      <c r="G33" s="556" t="s">
        <v>81</v>
      </c>
      <c r="H33" s="556" t="s">
        <v>81</v>
      </c>
      <c r="I33" s="556" t="s">
        <v>81</v>
      </c>
      <c r="J33" s="556" t="s">
        <v>81</v>
      </c>
      <c r="K33" s="556" t="s">
        <v>81</v>
      </c>
      <c r="L33" s="556" t="s">
        <v>81</v>
      </c>
      <c r="M33" s="556">
        <f>'C-81'!M33/'C-80'!M33*1000</f>
        <v>1.9897793640493187</v>
      </c>
      <c r="N33" s="556">
        <f>'C-81'!N33/'C-80'!N33*1000</f>
        <v>2.4049803407601575</v>
      </c>
    </row>
    <row r="34" spans="1:14" ht="12" customHeight="1">
      <c r="A34" s="217" t="s">
        <v>46</v>
      </c>
      <c r="B34" s="555" t="s">
        <v>81</v>
      </c>
      <c r="C34" s="556" t="s">
        <v>81</v>
      </c>
      <c r="D34" s="556" t="s">
        <v>81</v>
      </c>
      <c r="E34" s="556" t="s">
        <v>81</v>
      </c>
      <c r="F34" s="556" t="s">
        <v>81</v>
      </c>
      <c r="G34" s="556" t="s">
        <v>81</v>
      </c>
      <c r="H34" s="556" t="s">
        <v>81</v>
      </c>
      <c r="I34" s="556" t="s">
        <v>81</v>
      </c>
      <c r="J34" s="556" t="s">
        <v>81</v>
      </c>
      <c r="K34" s="556" t="s">
        <v>81</v>
      </c>
      <c r="L34" s="556" t="s">
        <v>81</v>
      </c>
      <c r="M34" s="556" t="s">
        <v>81</v>
      </c>
      <c r="N34" s="556" t="s">
        <v>81</v>
      </c>
    </row>
    <row r="35" spans="1:14" ht="12" customHeight="1">
      <c r="A35" s="217" t="s">
        <v>47</v>
      </c>
      <c r="B35" s="555" t="s">
        <v>81</v>
      </c>
      <c r="C35" s="556" t="s">
        <v>81</v>
      </c>
      <c r="D35" s="556" t="s">
        <v>81</v>
      </c>
      <c r="E35" s="556" t="s">
        <v>81</v>
      </c>
      <c r="F35" s="556" t="s">
        <v>81</v>
      </c>
      <c r="G35" s="556" t="s">
        <v>81</v>
      </c>
      <c r="H35" s="556" t="s">
        <v>81</v>
      </c>
      <c r="I35" s="556" t="s">
        <v>81</v>
      </c>
      <c r="J35" s="556" t="s">
        <v>81</v>
      </c>
      <c r="K35" s="556" t="s">
        <v>81</v>
      </c>
      <c r="L35" s="556" t="s">
        <v>81</v>
      </c>
      <c r="M35" s="556" t="s">
        <v>81</v>
      </c>
      <c r="N35" s="556" t="s">
        <v>81</v>
      </c>
    </row>
    <row r="36" spans="1:14" ht="12" customHeight="1">
      <c r="A36" s="217" t="s">
        <v>48</v>
      </c>
      <c r="B36" s="555" t="s">
        <v>81</v>
      </c>
      <c r="C36" s="556" t="s">
        <v>81</v>
      </c>
      <c r="D36" s="556" t="s">
        <v>81</v>
      </c>
      <c r="E36" s="556" t="s">
        <v>81</v>
      </c>
      <c r="F36" s="556" t="s">
        <v>81</v>
      </c>
      <c r="G36" s="556" t="s">
        <v>81</v>
      </c>
      <c r="H36" s="556" t="s">
        <v>81</v>
      </c>
      <c r="I36" s="556" t="s">
        <v>81</v>
      </c>
      <c r="J36" s="556" t="s">
        <v>81</v>
      </c>
      <c r="K36" s="556" t="s">
        <v>81</v>
      </c>
      <c r="L36" s="556" t="s">
        <v>81</v>
      </c>
      <c r="M36" s="556" t="s">
        <v>81</v>
      </c>
      <c r="N36" s="556" t="s">
        <v>81</v>
      </c>
    </row>
    <row r="37" spans="1:14" ht="12" customHeight="1" thickBot="1">
      <c r="A37" s="272" t="s">
        <v>49</v>
      </c>
      <c r="B37" s="557" t="s">
        <v>81</v>
      </c>
      <c r="C37" s="558" t="s">
        <v>81</v>
      </c>
      <c r="D37" s="558" t="s">
        <v>81</v>
      </c>
      <c r="E37" s="558" t="s">
        <v>81</v>
      </c>
      <c r="F37" s="558" t="s">
        <v>81</v>
      </c>
      <c r="G37" s="558" t="s">
        <v>81</v>
      </c>
      <c r="H37" s="558" t="s">
        <v>81</v>
      </c>
      <c r="I37" s="558" t="s">
        <v>81</v>
      </c>
      <c r="J37" s="558" t="s">
        <v>81</v>
      </c>
      <c r="K37" s="558" t="s">
        <v>81</v>
      </c>
      <c r="L37" s="558" t="s">
        <v>81</v>
      </c>
      <c r="M37" s="558" t="s">
        <v>81</v>
      </c>
      <c r="N37" s="558" t="s">
        <v>81</v>
      </c>
    </row>
    <row r="38" spans="1:14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</row>
    <row r="39" spans="1:14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</row>
    <row r="40" spans="1:14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Hoja84">
    <tabColor theme="9" tint="0.59999389629810485"/>
  </sheetPr>
  <dimension ref="A4:AB48"/>
  <sheetViews>
    <sheetView showGridLines="0" topLeftCell="A2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28" ht="13" customHeight="1">
      <c r="A4" s="511" t="s">
        <v>419</v>
      </c>
      <c r="B4" s="507"/>
    </row>
    <row r="5" spans="1:28" ht="13" customHeight="1">
      <c r="A5" s="515" t="s">
        <v>325</v>
      </c>
      <c r="B5" s="508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</row>
    <row r="6" spans="1:28" ht="5" customHeight="1" thickBot="1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</row>
    <row r="7" spans="1:28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</row>
    <row r="8" spans="1:28" ht="15" customHeight="1">
      <c r="A8" s="530" t="s">
        <v>100</v>
      </c>
      <c r="B8" s="593">
        <v>4304515</v>
      </c>
      <c r="C8" s="559">
        <v>389239</v>
      </c>
      <c r="D8" s="559">
        <v>1517905</v>
      </c>
      <c r="E8" s="559">
        <v>1106158</v>
      </c>
      <c r="F8" s="559">
        <v>169154</v>
      </c>
      <c r="G8" s="559">
        <v>198334</v>
      </c>
      <c r="H8" s="559">
        <v>94685</v>
      </c>
      <c r="I8" s="559">
        <v>93134</v>
      </c>
      <c r="J8" s="559">
        <v>57534</v>
      </c>
      <c r="K8" s="559">
        <v>103656</v>
      </c>
      <c r="L8" s="559">
        <v>17890</v>
      </c>
      <c r="M8" s="559">
        <v>314301</v>
      </c>
      <c r="N8" s="559">
        <v>242525</v>
      </c>
    </row>
    <row r="9" spans="1:28" ht="12" customHeight="1">
      <c r="A9" s="269" t="s">
        <v>21</v>
      </c>
      <c r="B9" s="600" t="s">
        <v>415</v>
      </c>
      <c r="C9" s="604" t="s">
        <v>415</v>
      </c>
      <c r="D9" s="604" t="s">
        <v>415</v>
      </c>
      <c r="E9" s="604" t="s">
        <v>415</v>
      </c>
      <c r="F9" s="604" t="s">
        <v>415</v>
      </c>
      <c r="G9" s="604" t="s">
        <v>415</v>
      </c>
      <c r="H9" s="604" t="s">
        <v>415</v>
      </c>
      <c r="I9" s="604" t="s">
        <v>415</v>
      </c>
      <c r="J9" s="604" t="s">
        <v>415</v>
      </c>
      <c r="K9" s="604" t="s">
        <v>415</v>
      </c>
      <c r="L9" s="604" t="s">
        <v>415</v>
      </c>
      <c r="M9" s="604" t="s">
        <v>415</v>
      </c>
      <c r="N9" s="604" t="s">
        <v>415</v>
      </c>
    </row>
    <row r="10" spans="1:28" ht="12" customHeight="1">
      <c r="A10" s="269" t="s">
        <v>22</v>
      </c>
      <c r="B10" s="594">
        <f>SUM(C10:N10)</f>
        <v>18515</v>
      </c>
      <c r="C10" s="604">
        <v>0</v>
      </c>
      <c r="D10" s="604">
        <v>0</v>
      </c>
      <c r="E10" s="604">
        <v>0</v>
      </c>
      <c r="F10" s="604">
        <v>3642</v>
      </c>
      <c r="G10" s="604">
        <v>5041</v>
      </c>
      <c r="H10" s="604">
        <v>0</v>
      </c>
      <c r="I10" s="604">
        <v>0</v>
      </c>
      <c r="J10" s="604">
        <v>0</v>
      </c>
      <c r="K10" s="604">
        <v>0</v>
      </c>
      <c r="L10" s="604">
        <v>0</v>
      </c>
      <c r="M10" s="604">
        <v>3545</v>
      </c>
      <c r="N10" s="604">
        <v>6287</v>
      </c>
    </row>
    <row r="11" spans="1:28" ht="12" customHeight="1">
      <c r="A11" s="269" t="s">
        <v>23</v>
      </c>
      <c r="B11" s="600" t="s">
        <v>415</v>
      </c>
      <c r="C11" s="604" t="s">
        <v>415</v>
      </c>
      <c r="D11" s="604" t="s">
        <v>415</v>
      </c>
      <c r="E11" s="604" t="s">
        <v>415</v>
      </c>
      <c r="F11" s="604" t="s">
        <v>415</v>
      </c>
      <c r="G11" s="604" t="s">
        <v>415</v>
      </c>
      <c r="H11" s="604" t="s">
        <v>415</v>
      </c>
      <c r="I11" s="604" t="s">
        <v>415</v>
      </c>
      <c r="J11" s="604" t="s">
        <v>415</v>
      </c>
      <c r="K11" s="604" t="s">
        <v>415</v>
      </c>
      <c r="L11" s="604" t="s">
        <v>415</v>
      </c>
      <c r="M11" s="604" t="s">
        <v>415</v>
      </c>
      <c r="N11" s="604" t="s">
        <v>415</v>
      </c>
    </row>
    <row r="12" spans="1:28" ht="12" customHeight="1">
      <c r="A12" s="217" t="s">
        <v>24</v>
      </c>
      <c r="B12" s="594">
        <f>SUM(C12:N12)</f>
        <v>249612</v>
      </c>
      <c r="C12" s="604">
        <v>1020</v>
      </c>
      <c r="D12" s="604">
        <v>0</v>
      </c>
      <c r="E12" s="604">
        <v>0</v>
      </c>
      <c r="F12" s="604">
        <v>308</v>
      </c>
      <c r="G12" s="604">
        <v>117496</v>
      </c>
      <c r="H12" s="604">
        <v>53784</v>
      </c>
      <c r="I12" s="604">
        <v>33678</v>
      </c>
      <c r="J12" s="604">
        <v>27040</v>
      </c>
      <c r="K12" s="604">
        <v>5786</v>
      </c>
      <c r="L12" s="604">
        <v>3792</v>
      </c>
      <c r="M12" s="604">
        <v>4433</v>
      </c>
      <c r="N12" s="604">
        <v>2275</v>
      </c>
    </row>
    <row r="13" spans="1:28" ht="12" customHeight="1">
      <c r="A13" s="217" t="s">
        <v>25</v>
      </c>
      <c r="B13" s="594">
        <f t="shared" ref="B13:B33" si="0">SUM(C13:N13)</f>
        <v>165750</v>
      </c>
      <c r="C13" s="604">
        <v>12870</v>
      </c>
      <c r="D13" s="604">
        <v>5669</v>
      </c>
      <c r="E13" s="604">
        <v>18420</v>
      </c>
      <c r="F13" s="604">
        <v>12680</v>
      </c>
      <c r="G13" s="604">
        <v>10728</v>
      </c>
      <c r="H13" s="604">
        <v>6980</v>
      </c>
      <c r="I13" s="604">
        <v>44034</v>
      </c>
      <c r="J13" s="604">
        <v>30030</v>
      </c>
      <c r="K13" s="604">
        <v>24339</v>
      </c>
      <c r="L13" s="604">
        <v>0</v>
      </c>
      <c r="M13" s="604">
        <v>0</v>
      </c>
      <c r="N13" s="604">
        <v>0</v>
      </c>
    </row>
    <row r="14" spans="1:28" ht="12" customHeight="1">
      <c r="A14" s="271" t="s">
        <v>107</v>
      </c>
      <c r="B14" s="594">
        <f t="shared" si="0"/>
        <v>126012</v>
      </c>
      <c r="C14" s="604">
        <v>12870</v>
      </c>
      <c r="D14" s="604">
        <v>5669</v>
      </c>
      <c r="E14" s="604">
        <v>18420</v>
      </c>
      <c r="F14" s="604">
        <v>12680</v>
      </c>
      <c r="G14" s="604">
        <v>10728</v>
      </c>
      <c r="H14" s="604">
        <v>6980</v>
      </c>
      <c r="I14" s="604">
        <v>29204</v>
      </c>
      <c r="J14" s="604">
        <v>13180</v>
      </c>
      <c r="K14" s="604">
        <v>16281</v>
      </c>
      <c r="L14" s="604">
        <v>0</v>
      </c>
      <c r="M14" s="604">
        <v>0</v>
      </c>
      <c r="N14" s="604">
        <v>0</v>
      </c>
      <c r="P14" s="242"/>
      <c r="Q14" s="270"/>
      <c r="R14" s="270"/>
      <c r="S14" s="270"/>
      <c r="T14" s="270"/>
      <c r="U14" s="270"/>
      <c r="V14" s="270"/>
      <c r="W14" s="270"/>
      <c r="X14" s="270"/>
      <c r="Y14" s="270"/>
      <c r="Z14" s="270"/>
      <c r="AA14" s="270"/>
      <c r="AB14" s="270"/>
    </row>
    <row r="15" spans="1:28" ht="12" customHeight="1">
      <c r="A15" s="271" t="s">
        <v>108</v>
      </c>
      <c r="B15" s="594">
        <f t="shared" si="0"/>
        <v>39738</v>
      </c>
      <c r="C15" s="604">
        <v>0</v>
      </c>
      <c r="D15" s="604">
        <v>0</v>
      </c>
      <c r="E15" s="604">
        <v>0</v>
      </c>
      <c r="F15" s="604">
        <v>0</v>
      </c>
      <c r="G15" s="604">
        <v>0</v>
      </c>
      <c r="H15" s="604">
        <v>0</v>
      </c>
      <c r="I15" s="604">
        <v>14830</v>
      </c>
      <c r="J15" s="604">
        <v>16850</v>
      </c>
      <c r="K15" s="604">
        <v>8058</v>
      </c>
      <c r="L15" s="604">
        <v>0</v>
      </c>
      <c r="M15" s="604">
        <v>0</v>
      </c>
      <c r="N15" s="604">
        <v>0</v>
      </c>
      <c r="P15" s="242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</row>
    <row r="16" spans="1:28" ht="12" customHeight="1">
      <c r="A16" s="271" t="s">
        <v>109</v>
      </c>
      <c r="B16" s="594">
        <f t="shared" si="0"/>
        <v>0</v>
      </c>
      <c r="C16" s="604" t="s">
        <v>415</v>
      </c>
      <c r="D16" s="604" t="s">
        <v>415</v>
      </c>
      <c r="E16" s="604" t="s">
        <v>415</v>
      </c>
      <c r="F16" s="604" t="s">
        <v>415</v>
      </c>
      <c r="G16" s="604" t="s">
        <v>415</v>
      </c>
      <c r="H16" s="604" t="s">
        <v>415</v>
      </c>
      <c r="I16" s="604" t="s">
        <v>415</v>
      </c>
      <c r="J16" s="604" t="s">
        <v>415</v>
      </c>
      <c r="K16" s="604" t="s">
        <v>415</v>
      </c>
      <c r="L16" s="604" t="s">
        <v>415</v>
      </c>
      <c r="M16" s="604" t="s">
        <v>415</v>
      </c>
      <c r="N16" s="604" t="s">
        <v>415</v>
      </c>
    </row>
    <row r="17" spans="1:27" ht="12" customHeight="1">
      <c r="A17" s="269" t="s">
        <v>29</v>
      </c>
      <c r="B17" s="594">
        <f t="shared" si="0"/>
        <v>5255</v>
      </c>
      <c r="C17" s="604">
        <v>0</v>
      </c>
      <c r="D17" s="604">
        <v>0</v>
      </c>
      <c r="E17" s="604">
        <v>0</v>
      </c>
      <c r="F17" s="604">
        <v>0</v>
      </c>
      <c r="G17" s="604">
        <v>1808</v>
      </c>
      <c r="H17" s="604">
        <v>2558</v>
      </c>
      <c r="I17" s="604">
        <v>794</v>
      </c>
      <c r="J17" s="604">
        <v>95</v>
      </c>
      <c r="K17" s="604">
        <v>0</v>
      </c>
      <c r="L17" s="604">
        <v>0</v>
      </c>
      <c r="M17" s="604">
        <v>0</v>
      </c>
      <c r="N17" s="604">
        <v>0</v>
      </c>
    </row>
    <row r="18" spans="1:27" ht="12" customHeight="1">
      <c r="A18" s="217" t="s">
        <v>30</v>
      </c>
      <c r="B18" s="594">
        <f t="shared" si="0"/>
        <v>7076</v>
      </c>
      <c r="C18" s="604">
        <v>2117</v>
      </c>
      <c r="D18" s="604">
        <v>2009</v>
      </c>
      <c r="E18" s="604">
        <v>2950</v>
      </c>
      <c r="F18" s="604">
        <v>0</v>
      </c>
      <c r="G18" s="604">
        <v>0</v>
      </c>
      <c r="H18" s="604">
        <v>0</v>
      </c>
      <c r="I18" s="604">
        <v>0</v>
      </c>
      <c r="J18" s="604">
        <v>0</v>
      </c>
      <c r="K18" s="604">
        <v>0</v>
      </c>
      <c r="L18" s="604">
        <v>0</v>
      </c>
      <c r="M18" s="604">
        <v>0</v>
      </c>
      <c r="N18" s="604">
        <v>0</v>
      </c>
    </row>
    <row r="19" spans="1:27" ht="12" customHeight="1">
      <c r="A19" s="217" t="s">
        <v>31</v>
      </c>
      <c r="B19" s="594">
        <f t="shared" si="0"/>
        <v>91432</v>
      </c>
      <c r="C19" s="604">
        <v>269</v>
      </c>
      <c r="D19" s="604">
        <v>10095</v>
      </c>
      <c r="E19" s="604">
        <v>0</v>
      </c>
      <c r="F19" s="604">
        <v>18929</v>
      </c>
      <c r="G19" s="604">
        <v>33765</v>
      </c>
      <c r="H19" s="604">
        <v>17920</v>
      </c>
      <c r="I19" s="604">
        <v>10195</v>
      </c>
      <c r="J19" s="604">
        <v>259</v>
      </c>
      <c r="K19" s="604">
        <v>0</v>
      </c>
      <c r="L19" s="604">
        <v>0</v>
      </c>
      <c r="M19" s="604">
        <v>0</v>
      </c>
      <c r="N19" s="604">
        <v>0</v>
      </c>
    </row>
    <row r="20" spans="1:27" ht="12" customHeight="1">
      <c r="A20" s="269" t="s">
        <v>32</v>
      </c>
      <c r="B20" s="594">
        <f t="shared" si="0"/>
        <v>0</v>
      </c>
      <c r="C20" s="604" t="s">
        <v>415</v>
      </c>
      <c r="D20" s="604" t="s">
        <v>415</v>
      </c>
      <c r="E20" s="604" t="s">
        <v>415</v>
      </c>
      <c r="F20" s="604" t="s">
        <v>415</v>
      </c>
      <c r="G20" s="604" t="s">
        <v>415</v>
      </c>
      <c r="H20" s="604" t="s">
        <v>415</v>
      </c>
      <c r="I20" s="604" t="s">
        <v>415</v>
      </c>
      <c r="J20" s="604" t="s">
        <v>415</v>
      </c>
      <c r="K20" s="604" t="s">
        <v>415</v>
      </c>
      <c r="L20" s="604" t="s">
        <v>415</v>
      </c>
      <c r="M20" s="604" t="s">
        <v>415</v>
      </c>
      <c r="N20" s="604" t="s">
        <v>415</v>
      </c>
    </row>
    <row r="21" spans="1:27" ht="12" customHeight="1">
      <c r="A21" s="269" t="s">
        <v>33</v>
      </c>
      <c r="B21" s="594">
        <f t="shared" si="0"/>
        <v>140446</v>
      </c>
      <c r="C21" s="604">
        <v>4375</v>
      </c>
      <c r="D21" s="604">
        <v>1940</v>
      </c>
      <c r="E21" s="604">
        <v>493</v>
      </c>
      <c r="F21" s="604">
        <v>8785</v>
      </c>
      <c r="G21" s="604">
        <v>13049</v>
      </c>
      <c r="H21" s="604">
        <v>12622</v>
      </c>
      <c r="I21" s="604">
        <v>4433</v>
      </c>
      <c r="J21" s="604">
        <v>27</v>
      </c>
      <c r="K21" s="604">
        <v>73463</v>
      </c>
      <c r="L21" s="604">
        <v>11712</v>
      </c>
      <c r="M21" s="604">
        <v>8030</v>
      </c>
      <c r="N21" s="604">
        <v>1517</v>
      </c>
    </row>
    <row r="22" spans="1:27" ht="12" customHeight="1">
      <c r="A22" s="269" t="s">
        <v>34</v>
      </c>
      <c r="B22" s="594">
        <f t="shared" si="0"/>
        <v>367427</v>
      </c>
      <c r="C22" s="604">
        <v>189715</v>
      </c>
      <c r="D22" s="604">
        <v>143455</v>
      </c>
      <c r="E22" s="604">
        <v>34257</v>
      </c>
      <c r="F22" s="604">
        <v>0</v>
      </c>
      <c r="G22" s="604">
        <v>0</v>
      </c>
      <c r="H22" s="604">
        <v>0</v>
      </c>
      <c r="I22" s="604">
        <v>0</v>
      </c>
      <c r="J22" s="604">
        <v>0</v>
      </c>
      <c r="K22" s="604">
        <v>0</v>
      </c>
      <c r="L22" s="604">
        <v>0</v>
      </c>
      <c r="M22" s="604">
        <v>0</v>
      </c>
      <c r="N22" s="604">
        <v>0</v>
      </c>
    </row>
    <row r="23" spans="1:27" ht="12" customHeight="1">
      <c r="A23" s="269" t="s">
        <v>35</v>
      </c>
      <c r="B23" s="594">
        <f t="shared" si="0"/>
        <v>723937</v>
      </c>
      <c r="C23" s="604">
        <v>72269</v>
      </c>
      <c r="D23" s="604">
        <v>409417</v>
      </c>
      <c r="E23" s="604">
        <v>191281</v>
      </c>
      <c r="F23" s="604">
        <v>50970</v>
      </c>
      <c r="G23" s="604">
        <v>0</v>
      </c>
      <c r="H23" s="604">
        <v>0</v>
      </c>
      <c r="I23" s="604">
        <v>0</v>
      </c>
      <c r="J23" s="604">
        <v>0</v>
      </c>
      <c r="K23" s="604">
        <v>0</v>
      </c>
      <c r="L23" s="604">
        <v>0</v>
      </c>
      <c r="M23" s="604">
        <v>0</v>
      </c>
      <c r="N23" s="604">
        <v>0</v>
      </c>
    </row>
    <row r="24" spans="1:27" ht="12" customHeight="1">
      <c r="A24" s="269" t="s">
        <v>36</v>
      </c>
      <c r="B24" s="594">
        <f t="shared" si="0"/>
        <v>149074</v>
      </c>
      <c r="C24" s="604">
        <v>0</v>
      </c>
      <c r="D24" s="604">
        <v>129101</v>
      </c>
      <c r="E24" s="604">
        <v>17153</v>
      </c>
      <c r="F24" s="604">
        <v>2820</v>
      </c>
      <c r="G24" s="604">
        <v>0</v>
      </c>
      <c r="H24" s="604">
        <v>0</v>
      </c>
      <c r="I24" s="604">
        <v>0</v>
      </c>
      <c r="J24" s="604">
        <v>0</v>
      </c>
      <c r="K24" s="604">
        <v>0</v>
      </c>
      <c r="L24" s="604">
        <v>0</v>
      </c>
      <c r="M24" s="604">
        <v>0</v>
      </c>
      <c r="N24" s="604">
        <v>0</v>
      </c>
    </row>
    <row r="25" spans="1:27" ht="12" customHeight="1">
      <c r="A25" s="217" t="s">
        <v>37</v>
      </c>
      <c r="B25" s="594">
        <f t="shared" si="0"/>
        <v>35281</v>
      </c>
      <c r="C25" s="604">
        <v>8362</v>
      </c>
      <c r="D25" s="604">
        <v>9222</v>
      </c>
      <c r="E25" s="604">
        <v>9111</v>
      </c>
      <c r="F25" s="604">
        <v>0</v>
      </c>
      <c r="G25" s="604">
        <v>0</v>
      </c>
      <c r="H25" s="604">
        <v>0</v>
      </c>
      <c r="I25" s="604">
        <v>0</v>
      </c>
      <c r="J25" s="604">
        <v>0</v>
      </c>
      <c r="K25" s="604">
        <v>0</v>
      </c>
      <c r="L25" s="604">
        <v>0</v>
      </c>
      <c r="M25" s="604">
        <v>0</v>
      </c>
      <c r="N25" s="604">
        <v>8586</v>
      </c>
    </row>
    <row r="26" spans="1:27" ht="12" customHeight="1">
      <c r="A26" s="269" t="s">
        <v>38</v>
      </c>
      <c r="B26" s="594">
        <f t="shared" si="0"/>
        <v>2550</v>
      </c>
      <c r="C26" s="604">
        <v>0</v>
      </c>
      <c r="D26" s="604">
        <v>0</v>
      </c>
      <c r="E26" s="604">
        <v>0</v>
      </c>
      <c r="F26" s="604">
        <v>0</v>
      </c>
      <c r="G26" s="604">
        <v>0</v>
      </c>
      <c r="H26" s="604">
        <v>0</v>
      </c>
      <c r="I26" s="604">
        <v>0</v>
      </c>
      <c r="J26" s="604">
        <v>83</v>
      </c>
      <c r="K26" s="604">
        <v>68</v>
      </c>
      <c r="L26" s="604">
        <v>1206</v>
      </c>
      <c r="M26" s="604">
        <v>1193</v>
      </c>
      <c r="N26" s="604">
        <v>0</v>
      </c>
    </row>
    <row r="27" spans="1:27" ht="12" customHeight="1">
      <c r="A27" s="269" t="s">
        <v>39</v>
      </c>
      <c r="B27" s="594">
        <f t="shared" si="0"/>
        <v>0</v>
      </c>
      <c r="C27" s="604" t="s">
        <v>415</v>
      </c>
      <c r="D27" s="604" t="s">
        <v>415</v>
      </c>
      <c r="E27" s="604" t="s">
        <v>415</v>
      </c>
      <c r="F27" s="604" t="s">
        <v>415</v>
      </c>
      <c r="G27" s="604" t="s">
        <v>415</v>
      </c>
      <c r="H27" s="604" t="s">
        <v>415</v>
      </c>
      <c r="I27" s="604" t="s">
        <v>415</v>
      </c>
      <c r="J27" s="604" t="s">
        <v>415</v>
      </c>
      <c r="K27" s="604" t="s">
        <v>415</v>
      </c>
      <c r="L27" s="604" t="s">
        <v>415</v>
      </c>
      <c r="M27" s="604" t="s">
        <v>415</v>
      </c>
      <c r="N27" s="604" t="s">
        <v>415</v>
      </c>
    </row>
    <row r="28" spans="1:27" ht="12" customHeight="1">
      <c r="A28" s="269" t="s">
        <v>40</v>
      </c>
      <c r="B28" s="594">
        <f t="shared" si="0"/>
        <v>172759</v>
      </c>
      <c r="C28" s="604">
        <v>8709</v>
      </c>
      <c r="D28" s="604">
        <v>14447</v>
      </c>
      <c r="E28" s="604">
        <v>67873</v>
      </c>
      <c r="F28" s="604">
        <v>60150</v>
      </c>
      <c r="G28" s="604">
        <v>14737</v>
      </c>
      <c r="H28" s="604">
        <v>821</v>
      </c>
      <c r="I28" s="604">
        <v>0</v>
      </c>
      <c r="J28" s="604">
        <v>0</v>
      </c>
      <c r="K28" s="604">
        <v>0</v>
      </c>
      <c r="L28" s="604">
        <v>1180</v>
      </c>
      <c r="M28" s="604">
        <v>1089</v>
      </c>
      <c r="N28" s="604">
        <v>3753</v>
      </c>
    </row>
    <row r="29" spans="1:27" ht="12" customHeight="1">
      <c r="A29" s="217" t="s">
        <v>41</v>
      </c>
      <c r="B29" s="594">
        <f t="shared" si="0"/>
        <v>78918</v>
      </c>
      <c r="C29" s="604">
        <v>13360</v>
      </c>
      <c r="D29" s="604">
        <v>31370</v>
      </c>
      <c r="E29" s="604">
        <v>16400</v>
      </c>
      <c r="F29" s="604">
        <v>10870</v>
      </c>
      <c r="G29" s="604">
        <v>1710</v>
      </c>
      <c r="H29" s="604">
        <v>0</v>
      </c>
      <c r="I29" s="604">
        <v>0</v>
      </c>
      <c r="J29" s="604">
        <v>0</v>
      </c>
      <c r="K29" s="604">
        <v>0</v>
      </c>
      <c r="L29" s="604">
        <v>0</v>
      </c>
      <c r="M29" s="604">
        <v>1221</v>
      </c>
      <c r="N29" s="604">
        <v>3987</v>
      </c>
    </row>
    <row r="30" spans="1:27" ht="12" customHeight="1">
      <c r="A30" s="271" t="s">
        <v>111</v>
      </c>
      <c r="B30" s="594">
        <f t="shared" si="0"/>
        <v>64567</v>
      </c>
      <c r="C30" s="604">
        <v>10870</v>
      </c>
      <c r="D30" s="604">
        <v>24120</v>
      </c>
      <c r="E30" s="604">
        <v>11789</v>
      </c>
      <c r="F30" s="604">
        <v>10870</v>
      </c>
      <c r="G30" s="604">
        <v>1710</v>
      </c>
      <c r="H30" s="604">
        <v>0</v>
      </c>
      <c r="I30" s="604">
        <v>0</v>
      </c>
      <c r="J30" s="604">
        <v>0</v>
      </c>
      <c r="K30" s="604">
        <v>0</v>
      </c>
      <c r="L30" s="604">
        <v>0</v>
      </c>
      <c r="M30" s="604">
        <v>1221</v>
      </c>
      <c r="N30" s="604">
        <v>3987</v>
      </c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  <c r="AA30" s="270"/>
    </row>
    <row r="31" spans="1:27" ht="12" customHeight="1">
      <c r="A31" s="271" t="s">
        <v>112</v>
      </c>
      <c r="B31" s="594">
        <f t="shared" si="0"/>
        <v>14351</v>
      </c>
      <c r="C31" s="604">
        <v>2490</v>
      </c>
      <c r="D31" s="604">
        <v>7250</v>
      </c>
      <c r="E31" s="604">
        <v>4611</v>
      </c>
      <c r="F31" s="604">
        <v>0</v>
      </c>
      <c r="G31" s="604">
        <v>0</v>
      </c>
      <c r="H31" s="604">
        <v>0</v>
      </c>
      <c r="I31" s="604">
        <v>0</v>
      </c>
      <c r="J31" s="604">
        <v>0</v>
      </c>
      <c r="K31" s="604">
        <v>0</v>
      </c>
      <c r="L31" s="604">
        <v>0</v>
      </c>
      <c r="M31" s="604">
        <v>0</v>
      </c>
      <c r="N31" s="604">
        <v>0</v>
      </c>
      <c r="P31" s="270"/>
      <c r="Q31" s="270"/>
      <c r="R31" s="270"/>
      <c r="S31" s="270"/>
      <c r="T31" s="270"/>
      <c r="U31" s="270"/>
      <c r="V31" s="270"/>
      <c r="W31" s="270"/>
      <c r="X31" s="270"/>
      <c r="Y31" s="270"/>
      <c r="Z31" s="270"/>
      <c r="AA31" s="270"/>
    </row>
    <row r="32" spans="1:27" ht="12" customHeight="1">
      <c r="A32" s="269" t="s">
        <v>44</v>
      </c>
      <c r="B32" s="594">
        <f t="shared" si="0"/>
        <v>464593</v>
      </c>
      <c r="C32" s="604">
        <v>76173</v>
      </c>
      <c r="D32" s="604">
        <v>38150</v>
      </c>
      <c r="E32" s="604">
        <v>168900</v>
      </c>
      <c r="F32" s="604">
        <v>0</v>
      </c>
      <c r="G32" s="604">
        <v>0</v>
      </c>
      <c r="H32" s="604">
        <v>0</v>
      </c>
      <c r="I32" s="604">
        <v>0</v>
      </c>
      <c r="J32" s="604">
        <v>0</v>
      </c>
      <c r="K32" s="604">
        <v>0</v>
      </c>
      <c r="L32" s="604">
        <v>0</v>
      </c>
      <c r="M32" s="604">
        <v>30860</v>
      </c>
      <c r="N32" s="604">
        <v>150510</v>
      </c>
    </row>
    <row r="33" spans="1:14" ht="12" customHeight="1">
      <c r="A33" s="269" t="s">
        <v>45</v>
      </c>
      <c r="B33" s="594">
        <f t="shared" si="0"/>
        <v>1631890</v>
      </c>
      <c r="C33" s="604">
        <v>0</v>
      </c>
      <c r="D33" s="604">
        <v>723030</v>
      </c>
      <c r="E33" s="604">
        <v>579320</v>
      </c>
      <c r="F33" s="604">
        <v>0</v>
      </c>
      <c r="G33" s="604">
        <v>0</v>
      </c>
      <c r="H33" s="604">
        <v>0</v>
      </c>
      <c r="I33" s="604">
        <v>0</v>
      </c>
      <c r="J33" s="604">
        <v>0</v>
      </c>
      <c r="K33" s="604">
        <v>0</v>
      </c>
      <c r="L33" s="604">
        <v>0</v>
      </c>
      <c r="M33" s="604">
        <v>263930</v>
      </c>
      <c r="N33" s="604">
        <v>65610</v>
      </c>
    </row>
    <row r="34" spans="1:14" ht="12" customHeight="1">
      <c r="A34" s="217" t="s">
        <v>46</v>
      </c>
      <c r="B34" s="600" t="s">
        <v>415</v>
      </c>
      <c r="C34" s="604" t="s">
        <v>415</v>
      </c>
      <c r="D34" s="604" t="s">
        <v>415</v>
      </c>
      <c r="E34" s="604" t="s">
        <v>415</v>
      </c>
      <c r="F34" s="604" t="s">
        <v>415</v>
      </c>
      <c r="G34" s="604" t="s">
        <v>415</v>
      </c>
      <c r="H34" s="604" t="s">
        <v>415</v>
      </c>
      <c r="I34" s="604" t="s">
        <v>415</v>
      </c>
      <c r="J34" s="604" t="s">
        <v>415</v>
      </c>
      <c r="K34" s="604" t="s">
        <v>415</v>
      </c>
      <c r="L34" s="604" t="s">
        <v>415</v>
      </c>
      <c r="M34" s="604" t="s">
        <v>415</v>
      </c>
      <c r="N34" s="604" t="s">
        <v>415</v>
      </c>
    </row>
    <row r="35" spans="1:14" ht="12" customHeight="1">
      <c r="A35" s="217" t="s">
        <v>47</v>
      </c>
      <c r="B35" s="600" t="s">
        <v>415</v>
      </c>
      <c r="C35" s="604" t="s">
        <v>415</v>
      </c>
      <c r="D35" s="604" t="s">
        <v>415</v>
      </c>
      <c r="E35" s="604" t="s">
        <v>415</v>
      </c>
      <c r="F35" s="604" t="s">
        <v>415</v>
      </c>
      <c r="G35" s="604" t="s">
        <v>415</v>
      </c>
      <c r="H35" s="604" t="s">
        <v>415</v>
      </c>
      <c r="I35" s="604" t="s">
        <v>415</v>
      </c>
      <c r="J35" s="604" t="s">
        <v>415</v>
      </c>
      <c r="K35" s="604" t="s">
        <v>415</v>
      </c>
      <c r="L35" s="604" t="s">
        <v>415</v>
      </c>
      <c r="M35" s="604" t="s">
        <v>415</v>
      </c>
      <c r="N35" s="604" t="s">
        <v>415</v>
      </c>
    </row>
    <row r="36" spans="1:14" ht="12" customHeight="1">
      <c r="A36" s="217" t="s">
        <v>48</v>
      </c>
      <c r="B36" s="600" t="s">
        <v>415</v>
      </c>
      <c r="C36" s="604" t="s">
        <v>415</v>
      </c>
      <c r="D36" s="604" t="s">
        <v>415</v>
      </c>
      <c r="E36" s="604" t="s">
        <v>415</v>
      </c>
      <c r="F36" s="604" t="s">
        <v>415</v>
      </c>
      <c r="G36" s="604" t="s">
        <v>415</v>
      </c>
      <c r="H36" s="604" t="s">
        <v>415</v>
      </c>
      <c r="I36" s="604" t="s">
        <v>415</v>
      </c>
      <c r="J36" s="604" t="s">
        <v>415</v>
      </c>
      <c r="K36" s="604" t="s">
        <v>415</v>
      </c>
      <c r="L36" s="604" t="s">
        <v>415</v>
      </c>
      <c r="M36" s="604" t="s">
        <v>415</v>
      </c>
      <c r="N36" s="604" t="s">
        <v>415</v>
      </c>
    </row>
    <row r="37" spans="1:14" ht="12" customHeight="1" thickBot="1">
      <c r="A37" s="272" t="s">
        <v>49</v>
      </c>
      <c r="B37" s="601" t="s">
        <v>415</v>
      </c>
      <c r="C37" s="606" t="s">
        <v>415</v>
      </c>
      <c r="D37" s="606" t="s">
        <v>415</v>
      </c>
      <c r="E37" s="606" t="s">
        <v>415</v>
      </c>
      <c r="F37" s="606" t="s">
        <v>415</v>
      </c>
      <c r="G37" s="606" t="s">
        <v>415</v>
      </c>
      <c r="H37" s="606" t="s">
        <v>415</v>
      </c>
      <c r="I37" s="606" t="s">
        <v>415</v>
      </c>
      <c r="J37" s="606" t="s">
        <v>415</v>
      </c>
      <c r="K37" s="606" t="s">
        <v>415</v>
      </c>
      <c r="L37" s="606" t="s">
        <v>415</v>
      </c>
      <c r="M37" s="606" t="s">
        <v>415</v>
      </c>
      <c r="N37" s="606" t="s">
        <v>415</v>
      </c>
    </row>
    <row r="38" spans="1:14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14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14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Hoja85">
    <tabColor theme="9" tint="0.59999389629810485"/>
  </sheetPr>
  <dimension ref="A4:AA48"/>
  <sheetViews>
    <sheetView showGridLines="0" topLeftCell="A2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27" ht="13" customHeight="1">
      <c r="A4" s="511" t="s">
        <v>420</v>
      </c>
      <c r="B4" s="507"/>
    </row>
    <row r="5" spans="1:27" ht="13" customHeight="1">
      <c r="A5" s="515" t="s">
        <v>319</v>
      </c>
      <c r="B5" s="508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</row>
    <row r="6" spans="1:27" ht="5" customHeight="1" thickBot="1">
      <c r="A6" s="141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</row>
    <row r="7" spans="1:27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</row>
    <row r="8" spans="1:27" ht="15" customHeight="1">
      <c r="A8" s="530" t="s">
        <v>100</v>
      </c>
      <c r="B8" s="614">
        <v>7742</v>
      </c>
      <c r="C8" s="607">
        <v>655</v>
      </c>
      <c r="D8" s="607">
        <v>2691</v>
      </c>
      <c r="E8" s="607">
        <v>1941</v>
      </c>
      <c r="F8" s="607">
        <v>283</v>
      </c>
      <c r="G8" s="607">
        <v>455</v>
      </c>
      <c r="H8" s="607">
        <v>223</v>
      </c>
      <c r="I8" s="607">
        <v>196</v>
      </c>
      <c r="J8" s="607">
        <v>135</v>
      </c>
      <c r="K8" s="607">
        <v>180</v>
      </c>
      <c r="L8" s="607">
        <v>32</v>
      </c>
      <c r="M8" s="607">
        <v>555</v>
      </c>
      <c r="N8" s="607">
        <v>397</v>
      </c>
    </row>
    <row r="9" spans="1:27" ht="12" customHeight="1">
      <c r="A9" s="269" t="s">
        <v>21</v>
      </c>
      <c r="B9" s="615" t="s">
        <v>415</v>
      </c>
      <c r="C9" s="610" t="s">
        <v>415</v>
      </c>
      <c r="D9" s="610" t="s">
        <v>415</v>
      </c>
      <c r="E9" s="610" t="s">
        <v>415</v>
      </c>
      <c r="F9" s="610" t="s">
        <v>415</v>
      </c>
      <c r="G9" s="610" t="s">
        <v>415</v>
      </c>
      <c r="H9" s="610" t="s">
        <v>415</v>
      </c>
      <c r="I9" s="610" t="s">
        <v>415</v>
      </c>
      <c r="J9" s="610" t="s">
        <v>415</v>
      </c>
      <c r="K9" s="610" t="s">
        <v>415</v>
      </c>
      <c r="L9" s="610" t="s">
        <v>415</v>
      </c>
      <c r="M9" s="610" t="s">
        <v>415</v>
      </c>
      <c r="N9" s="610" t="s">
        <v>415</v>
      </c>
    </row>
    <row r="10" spans="1:27" ht="12" customHeight="1">
      <c r="A10" s="269" t="s">
        <v>22</v>
      </c>
      <c r="B10" s="616">
        <f>SUM(C10:N10)</f>
        <v>16.900000000000002</v>
      </c>
      <c r="C10" s="610" t="s">
        <v>415</v>
      </c>
      <c r="D10" s="610" t="s">
        <v>415</v>
      </c>
      <c r="E10" s="610" t="s">
        <v>415</v>
      </c>
      <c r="F10" s="610">
        <v>5.2</v>
      </c>
      <c r="G10" s="610">
        <v>6.9</v>
      </c>
      <c r="H10" s="610" t="s">
        <v>415</v>
      </c>
      <c r="I10" s="610" t="s">
        <v>415</v>
      </c>
      <c r="J10" s="610" t="s">
        <v>415</v>
      </c>
      <c r="K10" s="610" t="s">
        <v>415</v>
      </c>
      <c r="L10" s="610" t="s">
        <v>415</v>
      </c>
      <c r="M10" s="610">
        <v>4.8</v>
      </c>
      <c r="N10" s="610">
        <v>0</v>
      </c>
    </row>
    <row r="11" spans="1:27" ht="12" customHeight="1">
      <c r="A11" s="269" t="s">
        <v>23</v>
      </c>
      <c r="B11" s="616">
        <f t="shared" ref="B11:B33" si="0">SUM(C11:N11)</f>
        <v>0</v>
      </c>
      <c r="C11" s="610" t="s">
        <v>415</v>
      </c>
      <c r="D11" s="610" t="s">
        <v>415</v>
      </c>
      <c r="E11" s="610" t="s">
        <v>415</v>
      </c>
      <c r="F11" s="610" t="s">
        <v>415</v>
      </c>
      <c r="G11" s="610" t="s">
        <v>415</v>
      </c>
      <c r="H11" s="610" t="s">
        <v>415</v>
      </c>
      <c r="I11" s="610" t="s">
        <v>415</v>
      </c>
      <c r="J11" s="610" t="s">
        <v>415</v>
      </c>
      <c r="K11" s="610" t="s">
        <v>415</v>
      </c>
      <c r="L11" s="610" t="s">
        <v>415</v>
      </c>
      <c r="M11" s="610" t="s">
        <v>415</v>
      </c>
      <c r="N11" s="610" t="s">
        <v>415</v>
      </c>
    </row>
    <row r="12" spans="1:27" ht="12" customHeight="1">
      <c r="A12" s="217" t="s">
        <v>24</v>
      </c>
      <c r="B12" s="616">
        <f t="shared" si="0"/>
        <v>733.90000000000009</v>
      </c>
      <c r="C12" s="610">
        <v>2.2999999999999998</v>
      </c>
      <c r="D12" s="610" t="s">
        <v>415</v>
      </c>
      <c r="E12" s="610" t="s">
        <v>415</v>
      </c>
      <c r="F12" s="610">
        <v>0.8</v>
      </c>
      <c r="G12" s="610">
        <v>347.2</v>
      </c>
      <c r="H12" s="610">
        <v>158.4</v>
      </c>
      <c r="I12" s="610">
        <v>99.6</v>
      </c>
      <c r="J12" s="610">
        <v>78.400000000000006</v>
      </c>
      <c r="K12" s="610">
        <v>16.8</v>
      </c>
      <c r="L12" s="610">
        <v>11.2</v>
      </c>
      <c r="M12" s="610">
        <v>13.1</v>
      </c>
      <c r="N12" s="610">
        <v>6.1</v>
      </c>
    </row>
    <row r="13" spans="1:27" ht="12" customHeight="1">
      <c r="A13" s="217" t="s">
        <v>25</v>
      </c>
      <c r="B13" s="616">
        <f t="shared" si="0"/>
        <v>286.3</v>
      </c>
      <c r="C13" s="610">
        <v>18.3</v>
      </c>
      <c r="D13" s="610">
        <v>9.5</v>
      </c>
      <c r="E13" s="610">
        <v>24.6</v>
      </c>
      <c r="F13" s="610">
        <v>19.600000000000001</v>
      </c>
      <c r="G13" s="610">
        <v>16.399999999999999</v>
      </c>
      <c r="H13" s="610">
        <v>15.3</v>
      </c>
      <c r="I13" s="610">
        <v>74.900000000000006</v>
      </c>
      <c r="J13" s="610">
        <v>56.4</v>
      </c>
      <c r="K13" s="610">
        <v>51.3</v>
      </c>
      <c r="L13" s="610" t="s">
        <v>415</v>
      </c>
      <c r="M13" s="610" t="s">
        <v>415</v>
      </c>
      <c r="N13" s="610" t="s">
        <v>415</v>
      </c>
    </row>
    <row r="14" spans="1:27" ht="12" customHeight="1">
      <c r="A14" s="271" t="s">
        <v>107</v>
      </c>
      <c r="B14" s="616">
        <f t="shared" si="0"/>
        <v>227.39999999999998</v>
      </c>
      <c r="C14" s="610">
        <v>18.3</v>
      </c>
      <c r="D14" s="610">
        <v>9.5</v>
      </c>
      <c r="E14" s="610">
        <v>24.6</v>
      </c>
      <c r="F14" s="610">
        <v>19.600000000000001</v>
      </c>
      <c r="G14" s="610">
        <v>16.399999999999999</v>
      </c>
      <c r="H14" s="610">
        <v>15.3</v>
      </c>
      <c r="I14" s="610">
        <v>53.5</v>
      </c>
      <c r="J14" s="610">
        <v>31.1</v>
      </c>
      <c r="K14" s="610">
        <v>39.1</v>
      </c>
      <c r="L14" s="610" t="s">
        <v>415</v>
      </c>
      <c r="M14" s="610" t="s">
        <v>415</v>
      </c>
      <c r="N14" s="610" t="s">
        <v>415</v>
      </c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  <c r="AA14" s="273"/>
    </row>
    <row r="15" spans="1:27" ht="12" customHeight="1">
      <c r="A15" s="271" t="s">
        <v>108</v>
      </c>
      <c r="B15" s="616">
        <f t="shared" si="0"/>
        <v>58.800000000000004</v>
      </c>
      <c r="C15" s="610" t="s">
        <v>415</v>
      </c>
      <c r="D15" s="610" t="s">
        <v>415</v>
      </c>
      <c r="E15" s="610" t="s">
        <v>415</v>
      </c>
      <c r="F15" s="610" t="s">
        <v>415</v>
      </c>
      <c r="G15" s="610" t="s">
        <v>415</v>
      </c>
      <c r="H15" s="610" t="s">
        <v>415</v>
      </c>
      <c r="I15" s="610">
        <v>21.4</v>
      </c>
      <c r="J15" s="610">
        <v>25.3</v>
      </c>
      <c r="K15" s="610">
        <v>12.1</v>
      </c>
      <c r="L15" s="610" t="s">
        <v>415</v>
      </c>
      <c r="M15" s="610" t="s">
        <v>415</v>
      </c>
      <c r="N15" s="610" t="s">
        <v>415</v>
      </c>
      <c r="P15" s="273"/>
      <c r="Q15" s="273"/>
      <c r="R15" s="273"/>
      <c r="S15" s="273"/>
      <c r="T15" s="273"/>
      <c r="U15" s="273"/>
      <c r="V15" s="273"/>
      <c r="W15" s="273"/>
      <c r="X15" s="273"/>
      <c r="Y15" s="273"/>
      <c r="Z15" s="273"/>
      <c r="AA15" s="273"/>
    </row>
    <row r="16" spans="1:27" ht="12" customHeight="1">
      <c r="A16" s="271" t="s">
        <v>109</v>
      </c>
      <c r="B16" s="615" t="s">
        <v>415</v>
      </c>
      <c r="C16" s="610" t="s">
        <v>415</v>
      </c>
      <c r="D16" s="610" t="s">
        <v>415</v>
      </c>
      <c r="E16" s="610" t="s">
        <v>415</v>
      </c>
      <c r="F16" s="610" t="s">
        <v>415</v>
      </c>
      <c r="G16" s="610" t="s">
        <v>415</v>
      </c>
      <c r="H16" s="610" t="s">
        <v>415</v>
      </c>
      <c r="I16" s="610" t="s">
        <v>415</v>
      </c>
      <c r="J16" s="610" t="s">
        <v>415</v>
      </c>
      <c r="K16" s="610" t="s">
        <v>415</v>
      </c>
      <c r="L16" s="610" t="s">
        <v>415</v>
      </c>
      <c r="M16" s="610" t="s">
        <v>415</v>
      </c>
      <c r="N16" s="610" t="s">
        <v>415</v>
      </c>
    </row>
    <row r="17" spans="1:27" ht="12" customHeight="1">
      <c r="A17" s="269" t="s">
        <v>29</v>
      </c>
      <c r="B17" s="616">
        <f t="shared" si="0"/>
        <v>3.3000000000000003</v>
      </c>
      <c r="C17" s="610" t="s">
        <v>415</v>
      </c>
      <c r="D17" s="610" t="s">
        <v>415</v>
      </c>
      <c r="E17" s="610" t="s">
        <v>415</v>
      </c>
      <c r="F17" s="610" t="s">
        <v>415</v>
      </c>
      <c r="G17" s="610" t="s">
        <v>415</v>
      </c>
      <c r="H17" s="610">
        <v>1.1000000000000001</v>
      </c>
      <c r="I17" s="610">
        <v>1.6</v>
      </c>
      <c r="J17" s="610">
        <v>0.5</v>
      </c>
      <c r="K17" s="610">
        <v>0.1</v>
      </c>
      <c r="L17" s="610" t="s">
        <v>415</v>
      </c>
      <c r="M17" s="610" t="s">
        <v>415</v>
      </c>
      <c r="N17" s="610" t="s">
        <v>415</v>
      </c>
    </row>
    <row r="18" spans="1:27" ht="12" customHeight="1">
      <c r="A18" s="217" t="s">
        <v>30</v>
      </c>
      <c r="B18" s="616">
        <f t="shared" si="0"/>
        <v>9.4</v>
      </c>
      <c r="C18" s="610">
        <v>3</v>
      </c>
      <c r="D18" s="610">
        <v>2.5</v>
      </c>
      <c r="E18" s="610">
        <v>3.9</v>
      </c>
      <c r="F18" s="610" t="s">
        <v>415</v>
      </c>
      <c r="G18" s="610" t="s">
        <v>415</v>
      </c>
      <c r="H18" s="610" t="s">
        <v>415</v>
      </c>
      <c r="I18" s="610" t="s">
        <v>415</v>
      </c>
      <c r="J18" s="610" t="s">
        <v>415</v>
      </c>
      <c r="K18" s="610" t="s">
        <v>415</v>
      </c>
      <c r="L18" s="610" t="s">
        <v>415</v>
      </c>
      <c r="M18" s="610" t="s">
        <v>415</v>
      </c>
      <c r="N18" s="610" t="s">
        <v>415</v>
      </c>
    </row>
    <row r="19" spans="1:27" ht="12" customHeight="1">
      <c r="A19" s="217" t="s">
        <v>31</v>
      </c>
      <c r="B19" s="616">
        <f t="shared" si="0"/>
        <v>120.2</v>
      </c>
      <c r="C19" s="610">
        <v>0.4</v>
      </c>
      <c r="D19" s="610">
        <v>13.6</v>
      </c>
      <c r="E19" s="610">
        <v>0</v>
      </c>
      <c r="F19" s="610">
        <v>23</v>
      </c>
      <c r="G19" s="610">
        <v>41.6</v>
      </c>
      <c r="H19" s="610">
        <v>27</v>
      </c>
      <c r="I19" s="610">
        <v>14.2</v>
      </c>
      <c r="J19" s="610">
        <v>0.4</v>
      </c>
      <c r="K19" s="610" t="s">
        <v>415</v>
      </c>
      <c r="L19" s="610" t="s">
        <v>415</v>
      </c>
      <c r="M19" s="610" t="s">
        <v>415</v>
      </c>
      <c r="N19" s="610" t="s">
        <v>415</v>
      </c>
    </row>
    <row r="20" spans="1:27" ht="12" customHeight="1">
      <c r="A20" s="269" t="s">
        <v>32</v>
      </c>
      <c r="B20" s="615" t="s">
        <v>415</v>
      </c>
      <c r="C20" s="610" t="s">
        <v>415</v>
      </c>
      <c r="D20" s="610" t="s">
        <v>415</v>
      </c>
      <c r="E20" s="610" t="s">
        <v>415</v>
      </c>
      <c r="F20" s="610" t="s">
        <v>415</v>
      </c>
      <c r="G20" s="610" t="s">
        <v>415</v>
      </c>
      <c r="H20" s="610" t="s">
        <v>415</v>
      </c>
      <c r="I20" s="610" t="s">
        <v>415</v>
      </c>
      <c r="J20" s="610" t="s">
        <v>415</v>
      </c>
      <c r="K20" s="610" t="s">
        <v>415</v>
      </c>
      <c r="L20" s="610" t="s">
        <v>415</v>
      </c>
      <c r="M20" s="610" t="s">
        <v>415</v>
      </c>
      <c r="N20" s="610" t="s">
        <v>415</v>
      </c>
    </row>
    <row r="21" spans="1:27" ht="12" customHeight="1">
      <c r="A21" s="269" t="s">
        <v>33</v>
      </c>
      <c r="B21" s="616">
        <f t="shared" si="0"/>
        <v>209.59999999999997</v>
      </c>
      <c r="C21" s="610">
        <v>6.1</v>
      </c>
      <c r="D21" s="610">
        <v>2.8</v>
      </c>
      <c r="E21" s="610">
        <v>0.8</v>
      </c>
      <c r="F21" s="610">
        <v>13.7</v>
      </c>
      <c r="G21" s="610">
        <v>17.7</v>
      </c>
      <c r="H21" s="610">
        <v>19.100000000000001</v>
      </c>
      <c r="I21" s="610">
        <v>6.6</v>
      </c>
      <c r="J21" s="610">
        <v>0</v>
      </c>
      <c r="K21" s="610">
        <v>111.9</v>
      </c>
      <c r="L21" s="610">
        <v>17.2</v>
      </c>
      <c r="M21" s="610">
        <v>11.1</v>
      </c>
      <c r="N21" s="610">
        <v>2.6</v>
      </c>
    </row>
    <row r="22" spans="1:27" ht="12" customHeight="1">
      <c r="A22" s="269" t="s">
        <v>34</v>
      </c>
      <c r="B22" s="616">
        <f t="shared" si="0"/>
        <v>645.69999999999993</v>
      </c>
      <c r="C22" s="610">
        <v>349.3</v>
      </c>
      <c r="D22" s="610">
        <v>235</v>
      </c>
      <c r="E22" s="610">
        <v>61.4</v>
      </c>
      <c r="F22" s="610" t="s">
        <v>415</v>
      </c>
      <c r="G22" s="610" t="s">
        <v>415</v>
      </c>
      <c r="H22" s="610" t="s">
        <v>415</v>
      </c>
      <c r="I22" s="610" t="s">
        <v>415</v>
      </c>
      <c r="J22" s="610" t="s">
        <v>415</v>
      </c>
      <c r="K22" s="610" t="s">
        <v>415</v>
      </c>
      <c r="L22" s="610" t="s">
        <v>415</v>
      </c>
      <c r="M22" s="610" t="s">
        <v>415</v>
      </c>
      <c r="N22" s="610" t="s">
        <v>415</v>
      </c>
    </row>
    <row r="23" spans="1:27" ht="12" customHeight="1">
      <c r="A23" s="269" t="s">
        <v>35</v>
      </c>
      <c r="B23" s="616">
        <f t="shared" si="0"/>
        <v>1305.6999999999998</v>
      </c>
      <c r="C23" s="610">
        <v>103.5</v>
      </c>
      <c r="D23" s="610">
        <v>714.2</v>
      </c>
      <c r="E23" s="610">
        <v>376.4</v>
      </c>
      <c r="F23" s="610">
        <v>111.6</v>
      </c>
      <c r="G23" s="610" t="s">
        <v>415</v>
      </c>
      <c r="H23" s="610" t="s">
        <v>415</v>
      </c>
      <c r="I23" s="610" t="s">
        <v>415</v>
      </c>
      <c r="J23" s="610" t="s">
        <v>415</v>
      </c>
      <c r="K23" s="610" t="s">
        <v>415</v>
      </c>
      <c r="L23" s="610" t="s">
        <v>415</v>
      </c>
      <c r="M23" s="610" t="s">
        <v>415</v>
      </c>
      <c r="N23" s="610" t="s">
        <v>415</v>
      </c>
    </row>
    <row r="24" spans="1:27" ht="12" customHeight="1">
      <c r="A24" s="269" t="s">
        <v>36</v>
      </c>
      <c r="B24" s="616">
        <f t="shared" si="0"/>
        <v>279.5</v>
      </c>
      <c r="C24" s="610">
        <v>0</v>
      </c>
      <c r="D24" s="610">
        <v>235.4</v>
      </c>
      <c r="E24" s="610">
        <v>39.200000000000003</v>
      </c>
      <c r="F24" s="610">
        <v>4.9000000000000004</v>
      </c>
      <c r="G24" s="610" t="s">
        <v>415</v>
      </c>
      <c r="H24" s="610" t="s">
        <v>415</v>
      </c>
      <c r="I24" s="610" t="s">
        <v>415</v>
      </c>
      <c r="J24" s="610" t="s">
        <v>415</v>
      </c>
      <c r="K24" s="610" t="s">
        <v>415</v>
      </c>
      <c r="L24" s="610" t="s">
        <v>415</v>
      </c>
      <c r="M24" s="610" t="s">
        <v>415</v>
      </c>
      <c r="N24" s="610" t="s">
        <v>415</v>
      </c>
    </row>
    <row r="25" spans="1:27" ht="12" customHeight="1">
      <c r="A25" s="217" t="s">
        <v>37</v>
      </c>
      <c r="B25" s="616">
        <f t="shared" si="0"/>
        <v>53.600000000000009</v>
      </c>
      <c r="C25" s="610">
        <v>12.8</v>
      </c>
      <c r="D25" s="610">
        <v>13.9</v>
      </c>
      <c r="E25" s="610">
        <v>13.7</v>
      </c>
      <c r="F25" s="610" t="s">
        <v>415</v>
      </c>
      <c r="G25" s="610" t="s">
        <v>415</v>
      </c>
      <c r="H25" s="610" t="s">
        <v>415</v>
      </c>
      <c r="I25" s="610" t="s">
        <v>415</v>
      </c>
      <c r="J25" s="610" t="s">
        <v>415</v>
      </c>
      <c r="K25" s="610" t="s">
        <v>415</v>
      </c>
      <c r="L25" s="610" t="s">
        <v>415</v>
      </c>
      <c r="M25" s="610" t="s">
        <v>415</v>
      </c>
      <c r="N25" s="610">
        <v>13.2</v>
      </c>
    </row>
    <row r="26" spans="1:27" ht="12" customHeight="1">
      <c r="A26" s="269" t="s">
        <v>38</v>
      </c>
      <c r="B26" s="616">
        <f t="shared" si="0"/>
        <v>4.4000000000000004</v>
      </c>
      <c r="C26" s="610" t="s">
        <v>415</v>
      </c>
      <c r="D26" s="610" t="s">
        <v>415</v>
      </c>
      <c r="E26" s="610" t="s">
        <v>415</v>
      </c>
      <c r="F26" s="610" t="s">
        <v>415</v>
      </c>
      <c r="G26" s="610" t="s">
        <v>415</v>
      </c>
      <c r="H26" s="610" t="s">
        <v>415</v>
      </c>
      <c r="I26" s="610" t="s">
        <v>415</v>
      </c>
      <c r="J26" s="610">
        <v>0.1</v>
      </c>
      <c r="K26" s="610">
        <v>1.1000000000000001</v>
      </c>
      <c r="L26" s="610">
        <v>1.7</v>
      </c>
      <c r="M26" s="610">
        <v>1.5</v>
      </c>
      <c r="N26" s="610" t="s">
        <v>415</v>
      </c>
    </row>
    <row r="27" spans="1:27" ht="12" customHeight="1">
      <c r="A27" s="269" t="s">
        <v>39</v>
      </c>
      <c r="B27" s="615" t="s">
        <v>415</v>
      </c>
      <c r="C27" s="610" t="s">
        <v>415</v>
      </c>
      <c r="D27" s="610" t="s">
        <v>415</v>
      </c>
      <c r="E27" s="610" t="s">
        <v>415</v>
      </c>
      <c r="F27" s="610" t="s">
        <v>415</v>
      </c>
      <c r="G27" s="610" t="s">
        <v>415</v>
      </c>
      <c r="H27" s="610" t="s">
        <v>415</v>
      </c>
      <c r="I27" s="610" t="s">
        <v>415</v>
      </c>
      <c r="J27" s="610" t="s">
        <v>415</v>
      </c>
      <c r="K27" s="610" t="s">
        <v>415</v>
      </c>
      <c r="L27" s="610" t="s">
        <v>415</v>
      </c>
      <c r="M27" s="610" t="s">
        <v>415</v>
      </c>
      <c r="N27" s="610" t="s">
        <v>415</v>
      </c>
    </row>
    <row r="28" spans="1:27" ht="12" customHeight="1">
      <c r="A28" s="269" t="s">
        <v>40</v>
      </c>
      <c r="B28" s="616">
        <f t="shared" si="0"/>
        <v>237.39999999999998</v>
      </c>
      <c r="C28" s="610">
        <v>12</v>
      </c>
      <c r="D28" s="610">
        <v>19.3</v>
      </c>
      <c r="E28" s="610">
        <v>92.3</v>
      </c>
      <c r="F28" s="610">
        <v>83.7</v>
      </c>
      <c r="G28" s="610">
        <v>20.6</v>
      </c>
      <c r="H28" s="610">
        <v>1.2</v>
      </c>
      <c r="I28" s="610">
        <v>0</v>
      </c>
      <c r="J28" s="610">
        <v>0</v>
      </c>
      <c r="K28" s="610">
        <v>0</v>
      </c>
      <c r="L28" s="610">
        <v>1.6</v>
      </c>
      <c r="M28" s="610">
        <v>1.5</v>
      </c>
      <c r="N28" s="610">
        <v>5.2</v>
      </c>
    </row>
    <row r="29" spans="1:27" ht="12" customHeight="1">
      <c r="A29" s="217" t="s">
        <v>41</v>
      </c>
      <c r="B29" s="616">
        <f t="shared" si="0"/>
        <v>148.29999999999998</v>
      </c>
      <c r="C29" s="610">
        <v>23.8</v>
      </c>
      <c r="D29" s="610">
        <v>60.4</v>
      </c>
      <c r="E29" s="610">
        <v>31.5</v>
      </c>
      <c r="F29" s="610">
        <v>20.5</v>
      </c>
      <c r="G29" s="610">
        <v>3</v>
      </c>
      <c r="H29" s="610">
        <v>0</v>
      </c>
      <c r="I29" s="610">
        <v>0</v>
      </c>
      <c r="J29" s="610">
        <v>0</v>
      </c>
      <c r="K29" s="610">
        <v>0</v>
      </c>
      <c r="L29" s="610">
        <v>0</v>
      </c>
      <c r="M29" s="610">
        <v>2.2000000000000002</v>
      </c>
      <c r="N29" s="610">
        <v>6.9</v>
      </c>
    </row>
    <row r="30" spans="1:27" ht="12" customHeight="1">
      <c r="A30" s="271" t="s">
        <v>111</v>
      </c>
      <c r="B30" s="616">
        <f t="shared" si="0"/>
        <v>122.2</v>
      </c>
      <c r="C30" s="610">
        <v>19.3</v>
      </c>
      <c r="D30" s="610">
        <v>46.9</v>
      </c>
      <c r="E30" s="610">
        <v>23.4</v>
      </c>
      <c r="F30" s="610">
        <v>20.5</v>
      </c>
      <c r="G30" s="610">
        <v>3</v>
      </c>
      <c r="H30" s="610">
        <v>0</v>
      </c>
      <c r="I30" s="610">
        <v>0</v>
      </c>
      <c r="J30" s="610">
        <v>0</v>
      </c>
      <c r="K30" s="610">
        <v>0</v>
      </c>
      <c r="L30" s="610">
        <v>0</v>
      </c>
      <c r="M30" s="610">
        <v>2.2000000000000002</v>
      </c>
      <c r="N30" s="610">
        <v>6.9</v>
      </c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  <c r="AA30" s="273"/>
    </row>
    <row r="31" spans="1:27" ht="12" customHeight="1">
      <c r="A31" s="271" t="s">
        <v>112</v>
      </c>
      <c r="B31" s="616">
        <f t="shared" si="0"/>
        <v>26</v>
      </c>
      <c r="C31" s="610">
        <v>4.5</v>
      </c>
      <c r="D31" s="610">
        <v>13.5</v>
      </c>
      <c r="E31" s="610">
        <v>8</v>
      </c>
      <c r="F31" s="610">
        <v>0</v>
      </c>
      <c r="G31" s="610" t="s">
        <v>415</v>
      </c>
      <c r="H31" s="610" t="s">
        <v>415</v>
      </c>
      <c r="I31" s="610" t="s">
        <v>415</v>
      </c>
      <c r="J31" s="610" t="s">
        <v>415</v>
      </c>
      <c r="K31" s="610" t="s">
        <v>415</v>
      </c>
      <c r="L31" s="610" t="s">
        <v>415</v>
      </c>
      <c r="M31" s="610" t="s">
        <v>415</v>
      </c>
      <c r="N31" s="610" t="s">
        <v>415</v>
      </c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  <c r="AA31" s="273"/>
    </row>
    <row r="32" spans="1:27" ht="12" customHeight="1">
      <c r="A32" s="269" t="s">
        <v>44</v>
      </c>
      <c r="B32" s="616">
        <f t="shared" si="0"/>
        <v>673.4</v>
      </c>
      <c r="C32" s="610">
        <v>123</v>
      </c>
      <c r="D32" s="610">
        <v>53.2</v>
      </c>
      <c r="E32" s="610">
        <v>229.7</v>
      </c>
      <c r="F32" s="610">
        <v>0</v>
      </c>
      <c r="G32" s="610">
        <v>0</v>
      </c>
      <c r="H32" s="610">
        <v>0</v>
      </c>
      <c r="I32" s="610">
        <v>0</v>
      </c>
      <c r="J32" s="610">
        <v>0</v>
      </c>
      <c r="K32" s="610">
        <v>0</v>
      </c>
      <c r="L32" s="610">
        <v>0</v>
      </c>
      <c r="M32" s="610">
        <v>29.8</v>
      </c>
      <c r="N32" s="610">
        <v>237.7</v>
      </c>
    </row>
    <row r="33" spans="1:14" ht="12" customHeight="1">
      <c r="A33" s="269" t="s">
        <v>45</v>
      </c>
      <c r="B33" s="616">
        <f t="shared" si="0"/>
        <v>3016.2</v>
      </c>
      <c r="C33" s="610" t="s">
        <v>415</v>
      </c>
      <c r="D33" s="610">
        <v>1331.5</v>
      </c>
      <c r="E33" s="610">
        <v>1068.0999999999999</v>
      </c>
      <c r="F33" s="610">
        <v>0</v>
      </c>
      <c r="G33" s="610">
        <v>0</v>
      </c>
      <c r="H33" s="610">
        <v>0</v>
      </c>
      <c r="I33" s="610">
        <v>0</v>
      </c>
      <c r="J33" s="610">
        <v>0</v>
      </c>
      <c r="K33" s="610">
        <v>0</v>
      </c>
      <c r="L33" s="610">
        <v>0</v>
      </c>
      <c r="M33" s="610">
        <v>491.1</v>
      </c>
      <c r="N33" s="610">
        <v>125.5</v>
      </c>
    </row>
    <row r="34" spans="1:14" ht="12" customHeight="1">
      <c r="A34" s="217" t="s">
        <v>46</v>
      </c>
      <c r="B34" s="615" t="s">
        <v>415</v>
      </c>
      <c r="C34" s="610" t="s">
        <v>415</v>
      </c>
      <c r="D34" s="610" t="s">
        <v>415</v>
      </c>
      <c r="E34" s="610" t="s">
        <v>415</v>
      </c>
      <c r="F34" s="610" t="s">
        <v>415</v>
      </c>
      <c r="G34" s="610" t="s">
        <v>415</v>
      </c>
      <c r="H34" s="610" t="s">
        <v>415</v>
      </c>
      <c r="I34" s="610" t="s">
        <v>415</v>
      </c>
      <c r="J34" s="610" t="s">
        <v>415</v>
      </c>
      <c r="K34" s="610" t="s">
        <v>415</v>
      </c>
      <c r="L34" s="610" t="s">
        <v>415</v>
      </c>
      <c r="M34" s="610" t="s">
        <v>415</v>
      </c>
      <c r="N34" s="610" t="s">
        <v>415</v>
      </c>
    </row>
    <row r="35" spans="1:14" ht="12" customHeight="1">
      <c r="A35" s="217" t="s">
        <v>47</v>
      </c>
      <c r="B35" s="615" t="s">
        <v>415</v>
      </c>
      <c r="C35" s="610" t="s">
        <v>415</v>
      </c>
      <c r="D35" s="610" t="s">
        <v>415</v>
      </c>
      <c r="E35" s="610" t="s">
        <v>415</v>
      </c>
      <c r="F35" s="610" t="s">
        <v>415</v>
      </c>
      <c r="G35" s="610" t="s">
        <v>415</v>
      </c>
      <c r="H35" s="610" t="s">
        <v>415</v>
      </c>
      <c r="I35" s="610" t="s">
        <v>415</v>
      </c>
      <c r="J35" s="610" t="s">
        <v>415</v>
      </c>
      <c r="K35" s="610" t="s">
        <v>415</v>
      </c>
      <c r="L35" s="610" t="s">
        <v>415</v>
      </c>
      <c r="M35" s="610" t="s">
        <v>415</v>
      </c>
      <c r="N35" s="610" t="s">
        <v>415</v>
      </c>
    </row>
    <row r="36" spans="1:14" ht="12" customHeight="1">
      <c r="A36" s="217" t="s">
        <v>48</v>
      </c>
      <c r="B36" s="615" t="s">
        <v>415</v>
      </c>
      <c r="C36" s="610" t="s">
        <v>415</v>
      </c>
      <c r="D36" s="610" t="s">
        <v>415</v>
      </c>
      <c r="E36" s="610" t="s">
        <v>415</v>
      </c>
      <c r="F36" s="610" t="s">
        <v>415</v>
      </c>
      <c r="G36" s="610" t="s">
        <v>415</v>
      </c>
      <c r="H36" s="610" t="s">
        <v>415</v>
      </c>
      <c r="I36" s="610" t="s">
        <v>415</v>
      </c>
      <c r="J36" s="610" t="s">
        <v>415</v>
      </c>
      <c r="K36" s="610" t="s">
        <v>415</v>
      </c>
      <c r="L36" s="610" t="s">
        <v>415</v>
      </c>
      <c r="M36" s="610" t="s">
        <v>415</v>
      </c>
      <c r="N36" s="610" t="s">
        <v>415</v>
      </c>
    </row>
    <row r="37" spans="1:14" ht="12" customHeight="1" thickBot="1">
      <c r="A37" s="272" t="s">
        <v>49</v>
      </c>
      <c r="B37" s="617" t="s">
        <v>415</v>
      </c>
      <c r="C37" s="613" t="s">
        <v>415</v>
      </c>
      <c r="D37" s="613" t="s">
        <v>415</v>
      </c>
      <c r="E37" s="613" t="s">
        <v>415</v>
      </c>
      <c r="F37" s="613" t="s">
        <v>415</v>
      </c>
      <c r="G37" s="613" t="s">
        <v>415</v>
      </c>
      <c r="H37" s="613" t="s">
        <v>415</v>
      </c>
      <c r="I37" s="613" t="s">
        <v>415</v>
      </c>
      <c r="J37" s="613" t="s">
        <v>415</v>
      </c>
      <c r="K37" s="613" t="s">
        <v>415</v>
      </c>
      <c r="L37" s="613" t="s">
        <v>415</v>
      </c>
      <c r="M37" s="613" t="s">
        <v>415</v>
      </c>
      <c r="N37" s="613" t="s">
        <v>415</v>
      </c>
    </row>
    <row r="38" spans="1:14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  <c r="J38" s="242"/>
      <c r="K38" s="242"/>
      <c r="L38" s="242"/>
      <c r="M38" s="242"/>
      <c r="N38" s="242"/>
    </row>
    <row r="39" spans="1:14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  <c r="J39" s="242"/>
      <c r="K39" s="242"/>
      <c r="L39" s="242"/>
      <c r="M39" s="242"/>
      <c r="N39" s="242"/>
    </row>
    <row r="40" spans="1:14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  <c r="J40" s="242"/>
      <c r="K40" s="242"/>
      <c r="L40" s="242"/>
      <c r="M40" s="242"/>
      <c r="N40" s="242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Hoja86">
    <tabColor theme="9" tint="0.59999389629810485"/>
  </sheetPr>
  <dimension ref="A4:N48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3" customWidth="1"/>
    <col min="2" max="2" width="8" style="213" customWidth="1"/>
    <col min="3" max="14" width="8.59765625" style="213" customWidth="1"/>
    <col min="15" max="16384" width="7" style="213"/>
  </cols>
  <sheetData>
    <row r="4" spans="1:14" ht="13" customHeight="1">
      <c r="A4" s="511" t="s">
        <v>421</v>
      </c>
      <c r="B4" s="507"/>
    </row>
    <row r="5" spans="1:14" ht="13" customHeight="1">
      <c r="A5" s="514" t="s">
        <v>595</v>
      </c>
      <c r="B5" s="507"/>
    </row>
    <row r="6" spans="1:14" ht="5" customHeight="1" thickBot="1"/>
    <row r="7" spans="1:14" ht="15" customHeight="1">
      <c r="A7" s="519" t="s">
        <v>18</v>
      </c>
      <c r="B7" s="520" t="s">
        <v>118</v>
      </c>
      <c r="C7" s="519" t="s">
        <v>57</v>
      </c>
      <c r="D7" s="519" t="s">
        <v>58</v>
      </c>
      <c r="E7" s="519" t="s">
        <v>59</v>
      </c>
      <c r="F7" s="519" t="s">
        <v>60</v>
      </c>
      <c r="G7" s="519" t="s">
        <v>61</v>
      </c>
      <c r="H7" s="519" t="s">
        <v>62</v>
      </c>
      <c r="I7" s="519" t="s">
        <v>63</v>
      </c>
      <c r="J7" s="519" t="s">
        <v>64</v>
      </c>
      <c r="K7" s="519" t="s">
        <v>65</v>
      </c>
      <c r="L7" s="519" t="s">
        <v>66</v>
      </c>
      <c r="M7" s="519" t="s">
        <v>67</v>
      </c>
      <c r="N7" s="519" t="s">
        <v>68</v>
      </c>
    </row>
    <row r="8" spans="1:14" ht="15" customHeight="1">
      <c r="A8" s="530" t="s">
        <v>100</v>
      </c>
      <c r="B8" s="602">
        <f>'C-84'!B8/'C-83'!B8*1000</f>
        <v>1.7985766108376902</v>
      </c>
      <c r="C8" s="602">
        <f>'C-84'!C8/'C-83'!C8*1000</f>
        <v>1.682770739828229</v>
      </c>
      <c r="D8" s="602">
        <f>'C-84'!D8/'C-83'!D8*1000</f>
        <v>1.7728382211007936</v>
      </c>
      <c r="E8" s="602">
        <f>'C-84'!E8/'C-83'!E8*1000</f>
        <v>1.7547222006259504</v>
      </c>
      <c r="F8" s="602">
        <f>'C-84'!F8/'C-83'!F8*1000</f>
        <v>1.6730316752781489</v>
      </c>
      <c r="G8" s="602">
        <f>'C-84'!G8/'C-83'!G8*1000</f>
        <v>2.2941099357649217</v>
      </c>
      <c r="H8" s="602">
        <f>'C-84'!H8/'C-83'!H8*1000</f>
        <v>2.3551776944605796</v>
      </c>
      <c r="I8" s="602">
        <f>'C-84'!I8/'C-83'!I8*1000</f>
        <v>2.1044945991796764</v>
      </c>
      <c r="J8" s="602">
        <f>'C-84'!J8/'C-83'!J8*1000</f>
        <v>2.3464386275941185</v>
      </c>
      <c r="K8" s="602">
        <f>'C-84'!K8/'C-83'!K8*1000</f>
        <v>1.7365130817318823</v>
      </c>
      <c r="L8" s="602">
        <f>'C-84'!L8/'C-83'!L8*1000</f>
        <v>1.7887087758524316</v>
      </c>
      <c r="M8" s="602">
        <f>'C-84'!M8/'C-83'!M8*1000</f>
        <v>1.765823207689444</v>
      </c>
      <c r="N8" s="602">
        <f>'C-84'!N8/'C-83'!N8*1000</f>
        <v>1.6369446448819709</v>
      </c>
    </row>
    <row r="9" spans="1:14" ht="12" customHeight="1">
      <c r="A9" s="269" t="s">
        <v>21</v>
      </c>
      <c r="B9" s="555" t="s">
        <v>81</v>
      </c>
      <c r="C9" s="556" t="s">
        <v>81</v>
      </c>
      <c r="D9" s="556" t="s">
        <v>81</v>
      </c>
      <c r="E9" s="556" t="s">
        <v>81</v>
      </c>
      <c r="F9" s="556" t="s">
        <v>81</v>
      </c>
      <c r="G9" s="556" t="s">
        <v>81</v>
      </c>
      <c r="H9" s="556" t="s">
        <v>81</v>
      </c>
      <c r="I9" s="556" t="s">
        <v>81</v>
      </c>
      <c r="J9" s="556" t="s">
        <v>81</v>
      </c>
      <c r="K9" s="556" t="s">
        <v>81</v>
      </c>
      <c r="L9" s="556" t="s">
        <v>81</v>
      </c>
      <c r="M9" s="556" t="s">
        <v>81</v>
      </c>
      <c r="N9" s="556" t="s">
        <v>81</v>
      </c>
    </row>
    <row r="10" spans="1:14" ht="12" customHeight="1">
      <c r="A10" s="269" t="s">
        <v>22</v>
      </c>
      <c r="B10" s="555">
        <f>'C-84'!B10/'C-83'!B10*1000</f>
        <v>0.91277342695112085</v>
      </c>
      <c r="C10" s="556" t="s">
        <v>81</v>
      </c>
      <c r="D10" s="556" t="s">
        <v>81</v>
      </c>
      <c r="E10" s="556" t="s">
        <v>81</v>
      </c>
      <c r="F10" s="556">
        <f>'C-84'!F10/'C-83'!F10*1000</f>
        <v>1.4277869302581001</v>
      </c>
      <c r="G10" s="556">
        <f>'C-84'!G10/'C-83'!G10*1000</f>
        <v>1.3687760365006942</v>
      </c>
      <c r="H10" s="556" t="s">
        <v>81</v>
      </c>
      <c r="I10" s="556" t="s">
        <v>81</v>
      </c>
      <c r="J10" s="556" t="s">
        <v>81</v>
      </c>
      <c r="K10" s="556" t="s">
        <v>81</v>
      </c>
      <c r="L10" s="556" t="s">
        <v>81</v>
      </c>
      <c r="M10" s="556">
        <f>'C-84'!M10/'C-83'!M10*1000</f>
        <v>1.3540197461212975</v>
      </c>
      <c r="N10" s="556" t="s">
        <v>81</v>
      </c>
    </row>
    <row r="11" spans="1:14" ht="12" customHeight="1">
      <c r="A11" s="269" t="s">
        <v>23</v>
      </c>
      <c r="B11" s="555" t="s">
        <v>81</v>
      </c>
      <c r="C11" s="556" t="s">
        <v>81</v>
      </c>
      <c r="D11" s="556" t="s">
        <v>81</v>
      </c>
      <c r="E11" s="556" t="s">
        <v>81</v>
      </c>
      <c r="F11" s="556" t="s">
        <v>81</v>
      </c>
      <c r="G11" s="556" t="s">
        <v>81</v>
      </c>
      <c r="H11" s="556" t="s">
        <v>81</v>
      </c>
      <c r="I11" s="556" t="s">
        <v>81</v>
      </c>
      <c r="J11" s="556" t="s">
        <v>81</v>
      </c>
      <c r="K11" s="556" t="s">
        <v>81</v>
      </c>
      <c r="L11" s="556" t="s">
        <v>81</v>
      </c>
      <c r="M11" s="556" t="s">
        <v>81</v>
      </c>
      <c r="N11" s="556" t="s">
        <v>81</v>
      </c>
    </row>
    <row r="12" spans="1:14" ht="12" customHeight="1">
      <c r="A12" s="217" t="s">
        <v>24</v>
      </c>
      <c r="B12" s="555">
        <f>'C-84'!B12/'C-83'!B12*1000</f>
        <v>2.9401631331827001</v>
      </c>
      <c r="C12" s="556">
        <f>'C-84'!C12/'C-83'!C12*1000</f>
        <v>2.2549019607843133</v>
      </c>
      <c r="D12" s="556" t="s">
        <v>81</v>
      </c>
      <c r="E12" s="556" t="s">
        <v>81</v>
      </c>
      <c r="F12" s="556">
        <f>'C-84'!F12/'C-83'!F12*1000</f>
        <v>2.5974025974025974</v>
      </c>
      <c r="G12" s="556">
        <f>'C-84'!G12/'C-83'!G12*1000</f>
        <v>2.9549942125689386</v>
      </c>
      <c r="H12" s="556">
        <f>'C-84'!H12/'C-83'!H12*1000</f>
        <v>2.9451137884872827</v>
      </c>
      <c r="I12" s="556">
        <f>'C-84'!I12/'C-83'!I12*1000</f>
        <v>2.9574202743630855</v>
      </c>
      <c r="J12" s="556">
        <f>'C-84'!J12/'C-83'!J12*1000</f>
        <v>2.8994082840236688</v>
      </c>
      <c r="K12" s="556">
        <f>'C-84'!K12/'C-83'!K12*1000</f>
        <v>2.9035603180089877</v>
      </c>
      <c r="L12" s="556">
        <f>'C-84'!L12/'C-83'!L12*1000</f>
        <v>2.9535864978902953</v>
      </c>
      <c r="M12" s="556">
        <f>'C-84'!M12/'C-83'!M12*1000</f>
        <v>2.9551094067223098</v>
      </c>
      <c r="N12" s="556">
        <f>'C-84'!N12/'C-83'!N12*1000</f>
        <v>2.6813186813186811</v>
      </c>
    </row>
    <row r="13" spans="1:14" ht="12" customHeight="1">
      <c r="A13" s="217" t="s">
        <v>25</v>
      </c>
      <c r="B13" s="555">
        <f>'C-84'!B13/'C-83'!B13*1000</f>
        <v>1.7273001508295627</v>
      </c>
      <c r="C13" s="556" t="s">
        <v>81</v>
      </c>
      <c r="D13" s="556" t="s">
        <v>81</v>
      </c>
      <c r="E13" s="556" t="s">
        <v>81</v>
      </c>
      <c r="F13" s="556" t="s">
        <v>81</v>
      </c>
      <c r="G13" s="556">
        <f>'C-84'!G13/'C-83'!G13*1000</f>
        <v>1.5287099179716628</v>
      </c>
      <c r="H13" s="556">
        <f>'C-84'!H13/'C-83'!H13*1000</f>
        <v>2.1919770773638967</v>
      </c>
      <c r="I13" s="556">
        <f>'C-84'!I13/'C-83'!I13*1000</f>
        <v>1.7009583503656267</v>
      </c>
      <c r="J13" s="556">
        <f>'C-84'!J13/'C-83'!J13*1000</f>
        <v>1.878121878121878</v>
      </c>
      <c r="K13" s="556">
        <f>'C-84'!K13/'C-83'!K13*1000</f>
        <v>2.1077283372365341</v>
      </c>
      <c r="L13" s="556" t="s">
        <v>81</v>
      </c>
      <c r="M13" s="556" t="s">
        <v>81</v>
      </c>
      <c r="N13" s="556" t="s">
        <v>81</v>
      </c>
    </row>
    <row r="14" spans="1:14" ht="12" customHeight="1">
      <c r="A14" s="271" t="s">
        <v>107</v>
      </c>
      <c r="B14" s="555">
        <f>'C-84'!B14/'C-83'!B14*1000</f>
        <v>1.8045900390439005</v>
      </c>
      <c r="C14" s="556" t="s">
        <v>81</v>
      </c>
      <c r="D14" s="556" t="s">
        <v>81</v>
      </c>
      <c r="E14" s="556" t="s">
        <v>81</v>
      </c>
      <c r="F14" s="556" t="s">
        <v>81</v>
      </c>
      <c r="G14" s="556">
        <f>'C-84'!G14/'C-83'!G14*1000</f>
        <v>1.5287099179716628</v>
      </c>
      <c r="H14" s="556">
        <f>'C-84'!H14/'C-83'!H14*1000</f>
        <v>2.1919770773638967</v>
      </c>
      <c r="I14" s="556">
        <f>'C-84'!I14/'C-83'!I14*1000</f>
        <v>1.8319408300232844</v>
      </c>
      <c r="J14" s="556">
        <f>'C-84'!J14/'C-83'!J14*1000</f>
        <v>2.3596358118361156</v>
      </c>
      <c r="K14" s="556">
        <f>'C-84'!K14/'C-83'!K14*1000</f>
        <v>2.4015723849886372</v>
      </c>
      <c r="L14" s="556" t="s">
        <v>81</v>
      </c>
      <c r="M14" s="556" t="s">
        <v>81</v>
      </c>
      <c r="N14" s="556" t="s">
        <v>81</v>
      </c>
    </row>
    <row r="15" spans="1:14" ht="12" customHeight="1">
      <c r="A15" s="271" t="s">
        <v>108</v>
      </c>
      <c r="B15" s="555">
        <f>'C-84'!B15/'C-83'!B15*1000</f>
        <v>1.4796919824852788</v>
      </c>
      <c r="C15" s="556" t="s">
        <v>81</v>
      </c>
      <c r="D15" s="556" t="s">
        <v>81</v>
      </c>
      <c r="E15" s="556" t="s">
        <v>81</v>
      </c>
      <c r="F15" s="556" t="s">
        <v>81</v>
      </c>
      <c r="G15" s="556" t="s">
        <v>81</v>
      </c>
      <c r="H15" s="556" t="s">
        <v>81</v>
      </c>
      <c r="I15" s="556">
        <f>'C-84'!I15/'C-83'!I15*1000</f>
        <v>1.4430209035738368</v>
      </c>
      <c r="J15" s="556">
        <f>'C-84'!J15/'C-83'!J15*1000</f>
        <v>1.5014836795252227</v>
      </c>
      <c r="K15" s="556">
        <f>'C-84'!K15/'C-83'!K15*1000</f>
        <v>1.5016133035492678</v>
      </c>
      <c r="L15" s="556" t="s">
        <v>81</v>
      </c>
      <c r="M15" s="556" t="s">
        <v>81</v>
      </c>
      <c r="N15" s="556" t="s">
        <v>81</v>
      </c>
    </row>
    <row r="16" spans="1:14" ht="12" customHeight="1">
      <c r="A16" s="271" t="s">
        <v>109</v>
      </c>
      <c r="B16" s="555" t="s">
        <v>81</v>
      </c>
      <c r="C16" s="556" t="s">
        <v>81</v>
      </c>
      <c r="D16" s="556" t="s">
        <v>81</v>
      </c>
      <c r="E16" s="556" t="s">
        <v>81</v>
      </c>
      <c r="F16" s="556" t="s">
        <v>81</v>
      </c>
      <c r="G16" s="556" t="s">
        <v>81</v>
      </c>
      <c r="H16" s="556" t="s">
        <v>81</v>
      </c>
      <c r="I16" s="556" t="s">
        <v>81</v>
      </c>
      <c r="J16" s="556" t="s">
        <v>81</v>
      </c>
      <c r="K16" s="556" t="s">
        <v>81</v>
      </c>
      <c r="L16" s="556" t="s">
        <v>81</v>
      </c>
      <c r="M16" s="556" t="s">
        <v>81</v>
      </c>
      <c r="N16" s="556" t="s">
        <v>81</v>
      </c>
    </row>
    <row r="17" spans="1:14" ht="12" customHeight="1">
      <c r="A17" s="269" t="s">
        <v>29</v>
      </c>
      <c r="B17" s="555">
        <f>'C-84'!B17/'C-83'!B17*1000</f>
        <v>0.62797335870599436</v>
      </c>
      <c r="C17" s="556" t="s">
        <v>81</v>
      </c>
      <c r="D17" s="556" t="s">
        <v>81</v>
      </c>
      <c r="E17" s="556" t="s">
        <v>81</v>
      </c>
      <c r="F17" s="556" t="s">
        <v>81</v>
      </c>
      <c r="G17" s="556" t="s">
        <v>81</v>
      </c>
      <c r="H17" s="556">
        <f>'C-84'!H17/'C-83'!H17*1000</f>
        <v>0.43002345582486323</v>
      </c>
      <c r="I17" s="556">
        <f>'C-84'!I17/'C-83'!I17*1000</f>
        <v>2.0151133501259446</v>
      </c>
      <c r="J17" s="556">
        <f>'C-84'!J17/'C-83'!J17*1000</f>
        <v>5.2631578947368416</v>
      </c>
      <c r="K17" s="556" t="s">
        <v>81</v>
      </c>
      <c r="L17" s="556" t="s">
        <v>81</v>
      </c>
      <c r="M17" s="556" t="s">
        <v>81</v>
      </c>
      <c r="N17" s="556" t="s">
        <v>81</v>
      </c>
    </row>
    <row r="18" spans="1:14" ht="12" customHeight="1">
      <c r="A18" s="217" t="s">
        <v>30</v>
      </c>
      <c r="B18" s="555">
        <f>'C-84'!B18/'C-83'!B18*1000</f>
        <v>1.3284341435839457</v>
      </c>
      <c r="C18" s="556">
        <f>'C-84'!C18/'C-83'!C18*1000</f>
        <v>1.4170996693434106</v>
      </c>
      <c r="D18" s="556">
        <f>'C-84'!D18/'C-83'!D18*1000</f>
        <v>1.2444001991040317</v>
      </c>
      <c r="E18" s="556">
        <f>'C-84'!E18/'C-83'!E18*1000</f>
        <v>1.3220338983050846</v>
      </c>
      <c r="F18" s="556" t="s">
        <v>81</v>
      </c>
      <c r="G18" s="556" t="s">
        <v>81</v>
      </c>
      <c r="H18" s="556" t="s">
        <v>81</v>
      </c>
      <c r="I18" s="556" t="s">
        <v>81</v>
      </c>
      <c r="J18" s="556" t="s">
        <v>81</v>
      </c>
      <c r="K18" s="556" t="s">
        <v>81</v>
      </c>
      <c r="L18" s="556" t="s">
        <v>81</v>
      </c>
      <c r="M18" s="556" t="s">
        <v>81</v>
      </c>
      <c r="N18" s="556" t="s">
        <v>81</v>
      </c>
    </row>
    <row r="19" spans="1:14" ht="12" customHeight="1">
      <c r="A19" s="217" t="s">
        <v>31</v>
      </c>
      <c r="B19" s="555">
        <f>'C-84'!B19/'C-83'!B19*1000</f>
        <v>1.31463820106746</v>
      </c>
      <c r="C19" s="556">
        <f>'C-84'!C19/'C-83'!C19*1000</f>
        <v>1.4869888475836432</v>
      </c>
      <c r="D19" s="556">
        <f>'C-84'!D19/'C-83'!D19*1000</f>
        <v>1.3472015849430412</v>
      </c>
      <c r="E19" s="556" t="s">
        <v>81</v>
      </c>
      <c r="F19" s="556">
        <f>'C-84'!F19/'C-83'!F19*1000</f>
        <v>1.215066828675577</v>
      </c>
      <c r="G19" s="556">
        <f>'C-84'!G19/'C-83'!G19*1000</f>
        <v>1.2320450170294686</v>
      </c>
      <c r="H19" s="556">
        <f>'C-84'!H19/'C-83'!H19*1000</f>
        <v>1.5066964285714286</v>
      </c>
      <c r="I19" s="556">
        <f>'C-84'!I19/'C-83'!I19*1000</f>
        <v>1.3928396272682686</v>
      </c>
      <c r="J19" s="556" t="s">
        <v>81</v>
      </c>
      <c r="K19" s="556" t="s">
        <v>81</v>
      </c>
      <c r="L19" s="556" t="s">
        <v>81</v>
      </c>
      <c r="M19" s="556" t="s">
        <v>81</v>
      </c>
      <c r="N19" s="556" t="s">
        <v>81</v>
      </c>
    </row>
    <row r="20" spans="1:14" ht="12" customHeight="1">
      <c r="A20" s="269" t="s">
        <v>32</v>
      </c>
      <c r="B20" s="555" t="s">
        <v>81</v>
      </c>
      <c r="C20" s="556" t="s">
        <v>81</v>
      </c>
      <c r="D20" s="556" t="s">
        <v>81</v>
      </c>
      <c r="E20" s="556" t="s">
        <v>81</v>
      </c>
      <c r="F20" s="556" t="s">
        <v>81</v>
      </c>
      <c r="G20" s="556" t="s">
        <v>81</v>
      </c>
      <c r="H20" s="556" t="s">
        <v>81</v>
      </c>
      <c r="I20" s="556" t="s">
        <v>81</v>
      </c>
      <c r="J20" s="556" t="s">
        <v>81</v>
      </c>
      <c r="K20" s="556" t="s">
        <v>81</v>
      </c>
      <c r="L20" s="556" t="s">
        <v>81</v>
      </c>
      <c r="M20" s="556" t="s">
        <v>81</v>
      </c>
      <c r="N20" s="556" t="s">
        <v>81</v>
      </c>
    </row>
    <row r="21" spans="1:14" ht="12" customHeight="1">
      <c r="A21" s="269" t="s">
        <v>33</v>
      </c>
      <c r="B21" s="555">
        <f>'C-84'!B21/'C-83'!B21*1000</f>
        <v>1.4923885336713041</v>
      </c>
      <c r="C21" s="556" t="s">
        <v>81</v>
      </c>
      <c r="D21" s="556" t="s">
        <v>81</v>
      </c>
      <c r="E21" s="556">
        <f>'C-84'!E21/'C-83'!E21*1000</f>
        <v>1.6227180527383369</v>
      </c>
      <c r="F21" s="556">
        <f>'C-84'!F21/'C-83'!F21*1000</f>
        <v>1.5594763801935116</v>
      </c>
      <c r="G21" s="556">
        <f>'C-84'!G21/'C-83'!G21*1000</f>
        <v>1.3564257797532377</v>
      </c>
      <c r="H21" s="556">
        <f>'C-84'!H21/'C-83'!H21*1000</f>
        <v>1.5132308667406118</v>
      </c>
      <c r="I21" s="556">
        <f>'C-84'!I21/'C-83'!I21*1000</f>
        <v>1.4888337468982631</v>
      </c>
      <c r="J21" s="556">
        <f>'C-84'!J21/'C-83'!J21*1000</f>
        <v>0</v>
      </c>
      <c r="K21" s="556">
        <f>'C-84'!K21/'C-83'!K21*1000</f>
        <v>1.5232157684820931</v>
      </c>
      <c r="L21" s="556">
        <f>'C-84'!L21/'C-83'!L21*1000</f>
        <v>1.4685792349726776</v>
      </c>
      <c r="M21" s="556">
        <f>'C-84'!M21/'C-83'!M21*1000</f>
        <v>1.3823163138231631</v>
      </c>
      <c r="N21" s="556">
        <f>'C-84'!N21/'C-83'!N21*1000</f>
        <v>1.7139090309822018</v>
      </c>
    </row>
    <row r="22" spans="1:14" ht="12" customHeight="1">
      <c r="A22" s="269" t="s">
        <v>34</v>
      </c>
      <c r="B22" s="555">
        <f>'C-84'!B22/'C-83'!B22*1000</f>
        <v>1.7573558829372906</v>
      </c>
      <c r="C22" s="556">
        <f>'C-84'!C22/'C-83'!C22*1000</f>
        <v>1.8411828268718868</v>
      </c>
      <c r="D22" s="556">
        <f>'C-84'!D22/'C-83'!D22*1000</f>
        <v>1.6381443658290056</v>
      </c>
      <c r="E22" s="556">
        <f>'C-84'!E22/'C-83'!E22*1000</f>
        <v>1.7923344134045596</v>
      </c>
      <c r="F22" s="556" t="s">
        <v>81</v>
      </c>
      <c r="G22" s="556" t="s">
        <v>81</v>
      </c>
      <c r="H22" s="556" t="s">
        <v>81</v>
      </c>
      <c r="I22" s="556" t="s">
        <v>81</v>
      </c>
      <c r="J22" s="556" t="s">
        <v>81</v>
      </c>
      <c r="K22" s="556" t="s">
        <v>81</v>
      </c>
      <c r="L22" s="556" t="s">
        <v>81</v>
      </c>
      <c r="M22" s="556" t="s">
        <v>81</v>
      </c>
      <c r="N22" s="556" t="s">
        <v>81</v>
      </c>
    </row>
    <row r="23" spans="1:14" ht="12" customHeight="1">
      <c r="A23" s="269" t="s">
        <v>35</v>
      </c>
      <c r="B23" s="555">
        <f>'C-84'!B23/'C-83'!B23*1000</f>
        <v>1.8036099826366103</v>
      </c>
      <c r="C23" s="556">
        <f>'C-84'!C23/'C-83'!C23*1000</f>
        <v>1.4321493309717859</v>
      </c>
      <c r="D23" s="556">
        <f>'C-84'!D23/'C-83'!D23*1000</f>
        <v>1.7444317163185703</v>
      </c>
      <c r="E23" s="556">
        <f>'C-84'!E23/'C-83'!E23*1000</f>
        <v>1.9677856138351431</v>
      </c>
      <c r="F23" s="556">
        <f>'C-84'!F23/'C-83'!F23*1000</f>
        <v>2.1895232489699823</v>
      </c>
      <c r="G23" s="556" t="s">
        <v>81</v>
      </c>
      <c r="H23" s="556" t="s">
        <v>81</v>
      </c>
      <c r="I23" s="556" t="s">
        <v>81</v>
      </c>
      <c r="J23" s="556" t="s">
        <v>81</v>
      </c>
      <c r="K23" s="556" t="s">
        <v>81</v>
      </c>
      <c r="L23" s="556" t="s">
        <v>81</v>
      </c>
      <c r="M23" s="556" t="s">
        <v>81</v>
      </c>
      <c r="N23" s="556" t="s">
        <v>81</v>
      </c>
    </row>
    <row r="24" spans="1:14" ht="12" customHeight="1">
      <c r="A24" s="269" t="s">
        <v>36</v>
      </c>
      <c r="B24" s="555">
        <f>'C-84'!B24/'C-83'!B24*1000</f>
        <v>1.8749077639293237</v>
      </c>
      <c r="C24" s="556" t="s">
        <v>81</v>
      </c>
      <c r="D24" s="556">
        <f>'C-84'!D24/'C-83'!D24*1000</f>
        <v>1.8233785950534853</v>
      </c>
      <c r="E24" s="556">
        <f>'C-84'!E24/'C-83'!E24*1000</f>
        <v>2.2853145222410074</v>
      </c>
      <c r="F24" s="556">
        <f>'C-84'!F24/'C-83'!F24*1000</f>
        <v>1.7375886524822697</v>
      </c>
      <c r="G24" s="556" t="s">
        <v>81</v>
      </c>
      <c r="H24" s="556" t="s">
        <v>81</v>
      </c>
      <c r="I24" s="556" t="s">
        <v>81</v>
      </c>
      <c r="J24" s="556" t="s">
        <v>81</v>
      </c>
      <c r="K24" s="556" t="s">
        <v>81</v>
      </c>
      <c r="L24" s="556" t="s">
        <v>81</v>
      </c>
      <c r="M24" s="556" t="s">
        <v>81</v>
      </c>
      <c r="N24" s="556" t="s">
        <v>81</v>
      </c>
    </row>
    <row r="25" spans="1:14" ht="12" customHeight="1">
      <c r="A25" s="217" t="s">
        <v>37</v>
      </c>
      <c r="B25" s="555">
        <f>'C-84'!B25/'C-83'!B25*1000</f>
        <v>1.5192313143051503</v>
      </c>
      <c r="C25" s="556">
        <f>'C-84'!C25/'C-83'!C25*1000</f>
        <v>1.5307342740971062</v>
      </c>
      <c r="D25" s="556">
        <f>'C-84'!D25/'C-83'!D25*1000</f>
        <v>1.507265235306875</v>
      </c>
      <c r="E25" s="556">
        <f>'C-84'!E25/'C-83'!E25*1000</f>
        <v>1.5036768741082207</v>
      </c>
      <c r="F25" s="556" t="s">
        <v>81</v>
      </c>
      <c r="G25" s="556" t="s">
        <v>81</v>
      </c>
      <c r="H25" s="556" t="s">
        <v>81</v>
      </c>
      <c r="I25" s="556" t="s">
        <v>81</v>
      </c>
      <c r="J25" s="556" t="s">
        <v>81</v>
      </c>
      <c r="K25" s="556" t="s">
        <v>81</v>
      </c>
      <c r="L25" s="556" t="s">
        <v>81</v>
      </c>
      <c r="M25" s="556" t="s">
        <v>81</v>
      </c>
      <c r="N25" s="556">
        <f>'C-84'!N25/'C-83'!N25*1000</f>
        <v>1.5373864430468203</v>
      </c>
    </row>
    <row r="26" spans="1:14" ht="12" customHeight="1">
      <c r="A26" s="269" t="s">
        <v>38</v>
      </c>
      <c r="B26" s="555">
        <f>'C-84'!B26/'C-83'!B26*1000</f>
        <v>1.7254901960784317</v>
      </c>
      <c r="C26" s="556" t="s">
        <v>81</v>
      </c>
      <c r="D26" s="556" t="s">
        <v>81</v>
      </c>
      <c r="E26" s="556" t="s">
        <v>81</v>
      </c>
      <c r="F26" s="556" t="s">
        <v>81</v>
      </c>
      <c r="G26" s="556" t="s">
        <v>81</v>
      </c>
      <c r="H26" s="556" t="s">
        <v>81</v>
      </c>
      <c r="I26" s="556" t="s">
        <v>81</v>
      </c>
      <c r="J26" s="556">
        <f>'C-84'!J26/'C-83'!J26*1000</f>
        <v>1.2048192771084338</v>
      </c>
      <c r="K26" s="556">
        <f>'C-84'!K26/'C-83'!K26*1000</f>
        <v>16.176470588235297</v>
      </c>
      <c r="L26" s="556">
        <f>'C-84'!L26/'C-83'!L26*1000</f>
        <v>1.4096185737976783</v>
      </c>
      <c r="M26" s="556">
        <f>'C-84'!M26/'C-83'!M26*1000</f>
        <v>1.2573344509639564</v>
      </c>
      <c r="N26" s="556" t="s">
        <v>81</v>
      </c>
    </row>
    <row r="27" spans="1:14" ht="12" customHeight="1">
      <c r="A27" s="269" t="s">
        <v>39</v>
      </c>
      <c r="B27" s="555" t="s">
        <v>81</v>
      </c>
      <c r="C27" s="556" t="s">
        <v>81</v>
      </c>
      <c r="D27" s="556" t="s">
        <v>81</v>
      </c>
      <c r="E27" s="556" t="s">
        <v>81</v>
      </c>
      <c r="F27" s="556" t="s">
        <v>81</v>
      </c>
      <c r="G27" s="556" t="s">
        <v>81</v>
      </c>
      <c r="H27" s="556" t="s">
        <v>81</v>
      </c>
      <c r="I27" s="556" t="s">
        <v>81</v>
      </c>
      <c r="J27" s="556" t="s">
        <v>81</v>
      </c>
      <c r="K27" s="556" t="s">
        <v>81</v>
      </c>
      <c r="L27" s="556" t="s">
        <v>81</v>
      </c>
      <c r="M27" s="556" t="s">
        <v>81</v>
      </c>
      <c r="N27" s="556" t="s">
        <v>81</v>
      </c>
    </row>
    <row r="28" spans="1:14" ht="12" customHeight="1">
      <c r="A28" s="269" t="s">
        <v>40</v>
      </c>
      <c r="B28" s="555">
        <f>'C-84'!B28/'C-83'!B28*1000</f>
        <v>1.3741686395498931</v>
      </c>
      <c r="C28" s="556">
        <f>'C-84'!C28/'C-83'!C28*1000</f>
        <v>1.3778849466069585</v>
      </c>
      <c r="D28" s="556">
        <f>'C-84'!D28/'C-83'!D28*1000</f>
        <v>1.335917491520731</v>
      </c>
      <c r="E28" s="556">
        <f>'C-84'!E28/'C-83'!E28*1000</f>
        <v>1.3598927408542425</v>
      </c>
      <c r="F28" s="556">
        <f>'C-84'!F28/'C-83'!F28*1000</f>
        <v>1.3915211970074812</v>
      </c>
      <c r="G28" s="556">
        <f>'C-84'!G28/'C-83'!G28*1000</f>
        <v>1.3978421659767932</v>
      </c>
      <c r="H28" s="556" t="s">
        <v>81</v>
      </c>
      <c r="I28" s="556" t="s">
        <v>81</v>
      </c>
      <c r="J28" s="556" t="s">
        <v>81</v>
      </c>
      <c r="K28" s="556" t="s">
        <v>81</v>
      </c>
      <c r="L28" s="556">
        <f>'C-84'!L28/'C-83'!L28*1000</f>
        <v>1.3559322033898307</v>
      </c>
      <c r="M28" s="556">
        <f>'C-84'!M28/'C-83'!M28*1000</f>
        <v>1.3774104683195594</v>
      </c>
      <c r="N28" s="556">
        <f>'C-84'!N28/'C-83'!N28*1000</f>
        <v>1.3855582200905943</v>
      </c>
    </row>
    <row r="29" spans="1:14" ht="12" customHeight="1">
      <c r="A29" s="217" t="s">
        <v>41</v>
      </c>
      <c r="B29" s="555">
        <f>'C-84'!B29/'C-83'!B29*1000</f>
        <v>1.879165716313135</v>
      </c>
      <c r="C29" s="556">
        <f>'C-84'!C29/'C-83'!C29*1000</f>
        <v>1.7814371257485031</v>
      </c>
      <c r="D29" s="556">
        <f>'C-84'!D29/'C-83'!D29*1000</f>
        <v>1.9254064392731909</v>
      </c>
      <c r="E29" s="556">
        <f>'C-84'!E29/'C-83'!E29*1000</f>
        <v>1.9207317073170731</v>
      </c>
      <c r="F29" s="556">
        <f>'C-84'!F29/'C-83'!F29*1000</f>
        <v>1.8859245630174795</v>
      </c>
      <c r="G29" s="556">
        <f>'C-84'!G29/'C-83'!G29*1000</f>
        <v>1.7543859649122808</v>
      </c>
      <c r="H29" s="556" t="s">
        <v>81</v>
      </c>
      <c r="I29" s="556" t="s">
        <v>81</v>
      </c>
      <c r="J29" s="556" t="s">
        <v>81</v>
      </c>
      <c r="K29" s="556" t="s">
        <v>81</v>
      </c>
      <c r="L29" s="556" t="s">
        <v>81</v>
      </c>
      <c r="M29" s="556">
        <f>'C-84'!M29/'C-83'!M29*1000</f>
        <v>1.801801801801802</v>
      </c>
      <c r="N29" s="556">
        <f>'C-84'!N29/'C-83'!N29*1000</f>
        <v>1.7306245297215952</v>
      </c>
    </row>
    <row r="30" spans="1:14" ht="12" customHeight="1">
      <c r="A30" s="271" t="s">
        <v>111</v>
      </c>
      <c r="B30" s="555">
        <f>'C-84'!B30/'C-83'!B30*1000</f>
        <v>1.8926076788452306</v>
      </c>
      <c r="C30" s="556">
        <f>'C-84'!C30/'C-83'!C30*1000</f>
        <v>1.7755289788408464</v>
      </c>
      <c r="D30" s="556">
        <f>'C-84'!D30/'C-83'!D30*1000</f>
        <v>1.9444444444444444</v>
      </c>
      <c r="E30" s="556">
        <f>'C-84'!E30/'C-83'!E30*1000</f>
        <v>1.9849011790652304</v>
      </c>
      <c r="F30" s="556">
        <f>'C-84'!F30/'C-83'!F30*1000</f>
        <v>1.8859245630174795</v>
      </c>
      <c r="G30" s="556">
        <f>'C-84'!G30/'C-83'!G30*1000</f>
        <v>1.7543859649122808</v>
      </c>
      <c r="H30" s="556" t="s">
        <v>81</v>
      </c>
      <c r="I30" s="556" t="s">
        <v>81</v>
      </c>
      <c r="J30" s="556" t="s">
        <v>81</v>
      </c>
      <c r="K30" s="556" t="s">
        <v>81</v>
      </c>
      <c r="L30" s="556" t="s">
        <v>81</v>
      </c>
      <c r="M30" s="556">
        <f>'C-84'!M30/'C-83'!M30*1000</f>
        <v>1.801801801801802</v>
      </c>
      <c r="N30" s="556">
        <f>'C-84'!N30/'C-83'!N30*1000</f>
        <v>1.7306245297215952</v>
      </c>
    </row>
    <row r="31" spans="1:14" ht="12" customHeight="1">
      <c r="A31" s="271" t="s">
        <v>112</v>
      </c>
      <c r="B31" s="555">
        <f>'C-84'!B31/'C-83'!B31*1000</f>
        <v>1.8117204376001672</v>
      </c>
      <c r="C31" s="556">
        <f>'C-84'!C31/'C-83'!C31*1000</f>
        <v>1.8072289156626506</v>
      </c>
      <c r="D31" s="556">
        <f>'C-84'!D31/'C-83'!D31*1000</f>
        <v>1.8620689655172413</v>
      </c>
      <c r="E31" s="556">
        <f>'C-84'!E31/'C-83'!E31*1000</f>
        <v>1.7349815658208632</v>
      </c>
      <c r="F31" s="556" t="s">
        <v>81</v>
      </c>
      <c r="G31" s="556" t="s">
        <v>81</v>
      </c>
      <c r="H31" s="556" t="s">
        <v>81</v>
      </c>
      <c r="I31" s="556" t="s">
        <v>81</v>
      </c>
      <c r="J31" s="556" t="s">
        <v>81</v>
      </c>
      <c r="K31" s="556" t="s">
        <v>81</v>
      </c>
      <c r="L31" s="556" t="s">
        <v>81</v>
      </c>
      <c r="M31" s="556" t="s">
        <v>81</v>
      </c>
      <c r="N31" s="556" t="s">
        <v>81</v>
      </c>
    </row>
    <row r="32" spans="1:14" ht="12" customHeight="1">
      <c r="A32" s="269" t="s">
        <v>44</v>
      </c>
      <c r="B32" s="555">
        <f>'C-84'!B32/'C-83'!B32*1000</f>
        <v>1.449440693251943</v>
      </c>
      <c r="C32" s="556">
        <f>'C-84'!C32/'C-83'!C32*1000</f>
        <v>1.614745382222047</v>
      </c>
      <c r="D32" s="556">
        <f>'C-84'!D32/'C-83'!D32*1000</f>
        <v>1.3944954128440368</v>
      </c>
      <c r="E32" s="556">
        <f>'C-84'!E32/'C-83'!E32*1000</f>
        <v>1.359976317347543</v>
      </c>
      <c r="F32" s="556" t="s">
        <v>81</v>
      </c>
      <c r="G32" s="556" t="s">
        <v>81</v>
      </c>
      <c r="H32" s="556" t="s">
        <v>81</v>
      </c>
      <c r="I32" s="556" t="s">
        <v>81</v>
      </c>
      <c r="J32" s="556" t="s">
        <v>81</v>
      </c>
      <c r="K32" s="556" t="s">
        <v>81</v>
      </c>
      <c r="L32" s="556" t="s">
        <v>81</v>
      </c>
      <c r="M32" s="556" t="s">
        <v>81</v>
      </c>
      <c r="N32" s="556">
        <f>'C-84'!N32/'C-83'!N32*1000</f>
        <v>1.579297056673975</v>
      </c>
    </row>
    <row r="33" spans="1:14" ht="12" customHeight="1">
      <c r="A33" s="269" t="s">
        <v>45</v>
      </c>
      <c r="B33" s="555">
        <f>'C-84'!B33/'C-83'!B33*1000</f>
        <v>1.8482863428294798</v>
      </c>
      <c r="C33" s="556" t="s">
        <v>81</v>
      </c>
      <c r="D33" s="556">
        <f>'C-84'!D33/'C-83'!D33*1000</f>
        <v>1.8415556754214901</v>
      </c>
      <c r="E33" s="556">
        <f>'C-84'!E33/'C-83'!E33*1000</f>
        <v>1.8437133190637298</v>
      </c>
      <c r="F33" s="556" t="s">
        <v>81</v>
      </c>
      <c r="G33" s="556" t="s">
        <v>81</v>
      </c>
      <c r="H33" s="556" t="s">
        <v>81</v>
      </c>
      <c r="I33" s="556" t="s">
        <v>81</v>
      </c>
      <c r="J33" s="556" t="s">
        <v>81</v>
      </c>
      <c r="K33" s="556" t="s">
        <v>81</v>
      </c>
      <c r="L33" s="556" t="s">
        <v>81</v>
      </c>
      <c r="M33" s="556">
        <f>'C-84'!M33/'C-83'!M33*1000</f>
        <v>1.8607206456257344</v>
      </c>
      <c r="N33" s="556">
        <f>'C-84'!N33/'C-83'!N33*1000</f>
        <v>1.9128181679622009</v>
      </c>
    </row>
    <row r="34" spans="1:14" ht="12" customHeight="1">
      <c r="A34" s="217" t="s">
        <v>46</v>
      </c>
      <c r="B34" s="555">
        <v>0</v>
      </c>
      <c r="C34" s="556" t="s">
        <v>81</v>
      </c>
      <c r="D34" s="556" t="s">
        <v>81</v>
      </c>
      <c r="E34" s="556" t="s">
        <v>81</v>
      </c>
      <c r="F34" s="556" t="s">
        <v>81</v>
      </c>
      <c r="G34" s="556" t="s">
        <v>81</v>
      </c>
      <c r="H34" s="556" t="s">
        <v>81</v>
      </c>
      <c r="I34" s="556" t="s">
        <v>81</v>
      </c>
      <c r="J34" s="556" t="s">
        <v>81</v>
      </c>
      <c r="K34" s="556" t="s">
        <v>81</v>
      </c>
      <c r="L34" s="556" t="s">
        <v>81</v>
      </c>
      <c r="M34" s="556" t="s">
        <v>81</v>
      </c>
      <c r="N34" s="556" t="s">
        <v>81</v>
      </c>
    </row>
    <row r="35" spans="1:14" ht="12" customHeight="1">
      <c r="A35" s="217" t="s">
        <v>47</v>
      </c>
      <c r="B35" s="555">
        <v>0</v>
      </c>
      <c r="C35" s="556" t="s">
        <v>81</v>
      </c>
      <c r="D35" s="556" t="s">
        <v>81</v>
      </c>
      <c r="E35" s="556" t="s">
        <v>81</v>
      </c>
      <c r="F35" s="556" t="s">
        <v>81</v>
      </c>
      <c r="G35" s="556" t="s">
        <v>81</v>
      </c>
      <c r="H35" s="556" t="s">
        <v>81</v>
      </c>
      <c r="I35" s="556" t="s">
        <v>81</v>
      </c>
      <c r="J35" s="556" t="s">
        <v>81</v>
      </c>
      <c r="K35" s="556" t="s">
        <v>81</v>
      </c>
      <c r="L35" s="556" t="s">
        <v>81</v>
      </c>
      <c r="M35" s="556" t="s">
        <v>81</v>
      </c>
      <c r="N35" s="556" t="s">
        <v>81</v>
      </c>
    </row>
    <row r="36" spans="1:14" ht="12" customHeight="1">
      <c r="A36" s="217" t="s">
        <v>48</v>
      </c>
      <c r="B36" s="555">
        <v>0</v>
      </c>
      <c r="C36" s="556" t="s">
        <v>81</v>
      </c>
      <c r="D36" s="556" t="s">
        <v>81</v>
      </c>
      <c r="E36" s="556" t="s">
        <v>81</v>
      </c>
      <c r="F36" s="556" t="s">
        <v>81</v>
      </c>
      <c r="G36" s="556" t="s">
        <v>81</v>
      </c>
      <c r="H36" s="556" t="s">
        <v>81</v>
      </c>
      <c r="I36" s="556" t="s">
        <v>81</v>
      </c>
      <c r="J36" s="556" t="s">
        <v>81</v>
      </c>
      <c r="K36" s="556" t="s">
        <v>81</v>
      </c>
      <c r="L36" s="556" t="s">
        <v>81</v>
      </c>
      <c r="M36" s="556" t="s">
        <v>81</v>
      </c>
      <c r="N36" s="556" t="s">
        <v>81</v>
      </c>
    </row>
    <row r="37" spans="1:14" ht="12" customHeight="1" thickBot="1">
      <c r="A37" s="272" t="s">
        <v>49</v>
      </c>
      <c r="B37" s="557">
        <v>0</v>
      </c>
      <c r="C37" s="558" t="s">
        <v>81</v>
      </c>
      <c r="D37" s="558" t="s">
        <v>81</v>
      </c>
      <c r="E37" s="558" t="s">
        <v>81</v>
      </c>
      <c r="F37" s="558" t="s">
        <v>81</v>
      </c>
      <c r="G37" s="558" t="s">
        <v>81</v>
      </c>
      <c r="H37" s="558" t="s">
        <v>81</v>
      </c>
      <c r="I37" s="558" t="s">
        <v>81</v>
      </c>
      <c r="J37" s="558" t="s">
        <v>81</v>
      </c>
      <c r="K37" s="558" t="s">
        <v>81</v>
      </c>
      <c r="L37" s="558" t="s">
        <v>81</v>
      </c>
      <c r="M37" s="558" t="s">
        <v>81</v>
      </c>
      <c r="N37" s="558" t="s">
        <v>81</v>
      </c>
    </row>
    <row r="38" spans="1:14" ht="10" customHeight="1">
      <c r="A38" s="28" t="s">
        <v>238</v>
      </c>
      <c r="B38" s="537"/>
      <c r="C38" s="537"/>
      <c r="D38" s="537"/>
      <c r="E38" s="537"/>
      <c r="F38" s="537"/>
      <c r="G38" s="242"/>
      <c r="H38" s="242"/>
      <c r="I38" s="242"/>
    </row>
    <row r="39" spans="1:14" ht="10" customHeight="1">
      <c r="A39" s="28" t="s">
        <v>192</v>
      </c>
      <c r="B39" s="537"/>
      <c r="C39" s="537"/>
      <c r="D39" s="537"/>
      <c r="E39" s="537"/>
      <c r="F39" s="537"/>
      <c r="G39" s="242"/>
      <c r="H39" s="242"/>
      <c r="I39" s="242"/>
    </row>
    <row r="40" spans="1:14" ht="10" customHeight="1">
      <c r="A40" s="40" t="s">
        <v>261</v>
      </c>
      <c r="B40" s="537"/>
      <c r="C40" s="537"/>
      <c r="D40" s="537"/>
      <c r="E40" s="537"/>
      <c r="F40" s="537"/>
      <c r="G40" s="242"/>
      <c r="H40" s="242"/>
      <c r="I40" s="242"/>
    </row>
    <row r="41" spans="1:14" ht="13" customHeight="1">
      <c r="A41" s="12"/>
    </row>
    <row r="42" spans="1:14" ht="13" customHeight="1">
      <c r="A42" s="141"/>
    </row>
    <row r="43" spans="1:14" ht="13" customHeight="1">
      <c r="A43" s="191"/>
    </row>
    <row r="44" spans="1:14" ht="13" customHeight="1">
      <c r="A44" s="31"/>
    </row>
    <row r="45" spans="1:14" ht="13" customHeight="1">
      <c r="A45" s="58"/>
    </row>
    <row r="46" spans="1:14" ht="13" customHeight="1">
      <c r="A46" s="31"/>
    </row>
    <row r="47" spans="1:14" ht="13" customHeight="1">
      <c r="A47" s="141"/>
    </row>
    <row r="48" spans="1:14" ht="13" customHeight="1">
      <c r="A48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Hoja87">
    <tabColor theme="9" tint="0.59999389629810485"/>
  </sheetPr>
  <dimension ref="A1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" customWidth="1"/>
    <col min="2" max="9" width="8" style="21" customWidth="1"/>
    <col min="10" max="16384" width="7" style="21"/>
  </cols>
  <sheetData/>
  <printOptions horizontalCentered="1" verticalCentered="1"/>
  <pageMargins left="0" right="0" top="0" bottom="0" header="0" footer="0"/>
  <pageSetup paperSize="9" orientation="landscape" horizontalDpi="0" verticalDpi="0"/>
  <headerFooter scaleWithDoc="0"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Hoja88">
    <tabColor theme="9" tint="0.59999389629810485"/>
  </sheetPr>
  <dimension ref="A4:R46"/>
  <sheetViews>
    <sheetView showGridLines="0" topLeftCell="A4" zoomScale="150" zoomScaleNormal="150" workbookViewId="0">
      <selection activeCell="K34" sqref="K34"/>
    </sheetView>
  </sheetViews>
  <sheetFormatPr baseColWidth="10" defaultColWidth="7" defaultRowHeight="13" customHeight="1"/>
  <cols>
    <col min="1" max="1" width="8.59765625" style="230" customWidth="1"/>
    <col min="2" max="2" width="8.796875" style="230" customWidth="1"/>
    <col min="3" max="10" width="9" style="230" customWidth="1"/>
    <col min="11" max="16384" width="7" style="230"/>
  </cols>
  <sheetData>
    <row r="4" spans="1:18" ht="13" customHeight="1">
      <c r="A4" s="622" t="s">
        <v>343</v>
      </c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</row>
    <row r="5" spans="1:18" ht="5" customHeight="1" thickBot="1"/>
    <row r="6" spans="1:18" ht="15" customHeight="1">
      <c r="A6" s="619" t="s">
        <v>115</v>
      </c>
      <c r="B6" s="619" t="s">
        <v>55</v>
      </c>
      <c r="C6" s="619">
        <v>2012</v>
      </c>
      <c r="D6" s="619">
        <v>2013</v>
      </c>
      <c r="E6" s="619">
        <v>2014</v>
      </c>
      <c r="F6" s="619">
        <v>2015</v>
      </c>
      <c r="G6" s="619">
        <v>2016</v>
      </c>
      <c r="H6" s="619">
        <v>2017</v>
      </c>
      <c r="I6" s="619">
        <v>2018</v>
      </c>
      <c r="J6" s="619" t="s">
        <v>239</v>
      </c>
    </row>
    <row r="7" spans="1:18" ht="7" customHeight="1"/>
    <row r="8" spans="1:18" ht="13" customHeight="1">
      <c r="A8" s="230" t="s">
        <v>5</v>
      </c>
      <c r="B8" s="230" t="s">
        <v>116</v>
      </c>
      <c r="C8" s="624">
        <v>766737</v>
      </c>
      <c r="D8" s="624">
        <v>784706</v>
      </c>
      <c r="E8" s="624">
        <v>719830</v>
      </c>
      <c r="F8" s="624">
        <v>657672</v>
      </c>
      <c r="G8" s="624">
        <v>665021</v>
      </c>
      <c r="H8" s="624">
        <v>667314</v>
      </c>
      <c r="I8" s="624">
        <v>705349</v>
      </c>
      <c r="J8" s="624">
        <v>699004</v>
      </c>
    </row>
    <row r="9" spans="1:18" ht="13" customHeight="1">
      <c r="B9" s="230" t="s">
        <v>422</v>
      </c>
      <c r="C9" s="624">
        <v>10215</v>
      </c>
      <c r="D9" s="624">
        <v>10499</v>
      </c>
      <c r="E9" s="624">
        <v>9607</v>
      </c>
      <c r="F9" s="624">
        <v>8987</v>
      </c>
      <c r="G9" s="624">
        <v>9175</v>
      </c>
      <c r="H9" s="624">
        <v>9416</v>
      </c>
      <c r="I9" s="624">
        <v>10009</v>
      </c>
      <c r="J9" s="624">
        <v>10051</v>
      </c>
    </row>
    <row r="10" spans="1:18" ht="13" customHeight="1">
      <c r="B10" s="230" t="s">
        <v>117</v>
      </c>
      <c r="C10" s="626">
        <f t="shared" ref="C10:J10" si="0">(C9/C8)*1000</f>
        <v>13.322690831406335</v>
      </c>
      <c r="D10" s="626">
        <f t="shared" si="0"/>
        <v>13.379533226456788</v>
      </c>
      <c r="E10" s="626">
        <f t="shared" si="0"/>
        <v>13.346206743258826</v>
      </c>
      <c r="F10" s="626">
        <f t="shared" si="0"/>
        <v>13.664866377160651</v>
      </c>
      <c r="G10" s="626">
        <f t="shared" si="0"/>
        <v>13.796556800461939</v>
      </c>
      <c r="H10" s="626">
        <f t="shared" si="0"/>
        <v>14.110298899768324</v>
      </c>
      <c r="I10" s="626">
        <f t="shared" si="0"/>
        <v>14.190138498814063</v>
      </c>
      <c r="J10" s="626">
        <f t="shared" si="0"/>
        <v>14.379030735160313</v>
      </c>
    </row>
    <row r="11" spans="1:18" ht="7" customHeight="1"/>
    <row r="12" spans="1:18" ht="13" customHeight="1">
      <c r="A12" s="230" t="s">
        <v>6</v>
      </c>
      <c r="B12" s="230" t="s">
        <v>116</v>
      </c>
      <c r="C12" s="624">
        <v>1599829</v>
      </c>
      <c r="D12" s="624">
        <v>1831541</v>
      </c>
      <c r="E12" s="624">
        <v>1889773</v>
      </c>
      <c r="F12" s="624">
        <v>1829016</v>
      </c>
      <c r="G12" s="624">
        <v>1928215</v>
      </c>
      <c r="H12" s="624">
        <v>2007199</v>
      </c>
      <c r="I12" s="624">
        <v>2015636</v>
      </c>
      <c r="J12" s="624">
        <v>2101612</v>
      </c>
    </row>
    <row r="13" spans="1:18" ht="13" customHeight="1">
      <c r="B13" s="230" t="s">
        <v>422</v>
      </c>
      <c r="C13" s="624">
        <v>95826</v>
      </c>
      <c r="D13" s="624">
        <v>110014</v>
      </c>
      <c r="E13" s="624">
        <v>116142</v>
      </c>
      <c r="F13" s="624">
        <v>116257</v>
      </c>
      <c r="G13" s="624">
        <v>124394</v>
      </c>
      <c r="H13" s="624">
        <v>131519</v>
      </c>
      <c r="I13" s="624">
        <v>134306</v>
      </c>
      <c r="J13" s="624">
        <v>141557</v>
      </c>
    </row>
    <row r="14" spans="1:18" ht="13" customHeight="1">
      <c r="B14" s="230" t="s">
        <v>117</v>
      </c>
      <c r="C14" s="626">
        <f t="shared" ref="C14:J14" si="1">(C13/C12)*1000</f>
        <v>59.897651561510642</v>
      </c>
      <c r="D14" s="626">
        <f t="shared" si="1"/>
        <v>60.066359420837429</v>
      </c>
      <c r="E14" s="626">
        <f t="shared" si="1"/>
        <v>61.458175135320488</v>
      </c>
      <c r="F14" s="626">
        <f t="shared" si="1"/>
        <v>63.562593219523499</v>
      </c>
      <c r="G14" s="626">
        <f t="shared" si="1"/>
        <v>64.512515461190787</v>
      </c>
      <c r="H14" s="626">
        <f t="shared" si="1"/>
        <v>65.523647630354532</v>
      </c>
      <c r="I14" s="626">
        <f t="shared" si="1"/>
        <v>66.632070473041765</v>
      </c>
      <c r="J14" s="626">
        <f t="shared" si="1"/>
        <v>67.356391189239503</v>
      </c>
    </row>
    <row r="15" spans="1:18" ht="7" customHeight="1"/>
    <row r="16" spans="1:18" ht="13" customHeight="1">
      <c r="A16" s="230" t="s">
        <v>7</v>
      </c>
      <c r="B16" s="230" t="s">
        <v>116</v>
      </c>
      <c r="C16" s="624">
        <v>1047040</v>
      </c>
      <c r="D16" s="624">
        <v>1084096</v>
      </c>
      <c r="E16" s="624">
        <v>1097918</v>
      </c>
      <c r="F16" s="624">
        <v>1105750</v>
      </c>
      <c r="G16" s="624">
        <v>1072158</v>
      </c>
      <c r="H16" s="624">
        <v>1050952</v>
      </c>
      <c r="I16" s="624">
        <v>1046948</v>
      </c>
      <c r="J16" s="624">
        <v>1027182</v>
      </c>
    </row>
    <row r="17" spans="1:18" ht="13" customHeight="1">
      <c r="B17" s="230" t="s">
        <v>422</v>
      </c>
      <c r="C17" s="624">
        <v>186292</v>
      </c>
      <c r="D17" s="624">
        <v>191533</v>
      </c>
      <c r="E17" s="624">
        <v>196466</v>
      </c>
      <c r="F17" s="624">
        <v>197818</v>
      </c>
      <c r="G17" s="624">
        <v>196621</v>
      </c>
      <c r="H17" s="624">
        <v>196101</v>
      </c>
      <c r="I17" s="624">
        <v>195504</v>
      </c>
      <c r="J17" s="624">
        <v>192652</v>
      </c>
    </row>
    <row r="18" spans="1:18" ht="13" customHeight="1" thickBot="1">
      <c r="A18" s="240"/>
      <c r="B18" s="618" t="s">
        <v>117</v>
      </c>
      <c r="C18" s="625">
        <f t="shared" ref="C18:J18" si="2">(C17/C16)*1000</f>
        <v>177.92252444987776</v>
      </c>
      <c r="D18" s="625">
        <f t="shared" si="2"/>
        <v>176.67531288741955</v>
      </c>
      <c r="E18" s="625">
        <f t="shared" si="2"/>
        <v>178.94414701280058</v>
      </c>
      <c r="F18" s="625">
        <f t="shared" si="2"/>
        <v>178.89938955460093</v>
      </c>
      <c r="G18" s="625">
        <f t="shared" si="2"/>
        <v>183.38808272661305</v>
      </c>
      <c r="H18" s="625">
        <f t="shared" si="2"/>
        <v>186.59367887401137</v>
      </c>
      <c r="I18" s="625">
        <f t="shared" si="2"/>
        <v>186.73706812563756</v>
      </c>
      <c r="J18" s="625">
        <f t="shared" si="2"/>
        <v>187.55390962847869</v>
      </c>
    </row>
    <row r="19" spans="1:18" ht="10" customHeight="1">
      <c r="A19" s="28" t="s">
        <v>238</v>
      </c>
    </row>
    <row r="20" spans="1:18" ht="10" customHeight="1">
      <c r="A20" s="621" t="s">
        <v>227</v>
      </c>
    </row>
    <row r="21" spans="1:18" ht="10" customHeight="1">
      <c r="A21" s="40" t="s">
        <v>261</v>
      </c>
    </row>
    <row r="22" spans="1:18" ht="10" customHeight="1">
      <c r="A22" s="40"/>
    </row>
    <row r="23" spans="1:18" ht="10" customHeight="1">
      <c r="A23" s="40"/>
    </row>
    <row r="24" spans="1:18" ht="10" customHeight="1">
      <c r="A24" s="40"/>
    </row>
    <row r="25" spans="1:18" ht="10" customHeight="1">
      <c r="A25" s="40"/>
    </row>
    <row r="26" spans="1:18" ht="10" customHeight="1">
      <c r="A26" s="40"/>
    </row>
    <row r="28" spans="1:18" ht="13" customHeight="1">
      <c r="A28" s="622" t="s">
        <v>473</v>
      </c>
    </row>
    <row r="29" spans="1:18" ht="13" customHeight="1">
      <c r="A29" s="623" t="s">
        <v>474</v>
      </c>
      <c r="B29" s="268"/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68"/>
      <c r="Q29" s="268"/>
      <c r="R29" s="268"/>
    </row>
    <row r="30" spans="1:18" ht="4" customHeight="1" thickBot="1">
      <c r="A30" s="230" t="s">
        <v>203</v>
      </c>
    </row>
    <row r="31" spans="1:18" ht="15" customHeight="1">
      <c r="A31" s="619" t="s">
        <v>115</v>
      </c>
      <c r="B31" s="619" t="s">
        <v>55</v>
      </c>
      <c r="C31" s="619">
        <v>2012</v>
      </c>
      <c r="D31" s="619">
        <v>2013</v>
      </c>
      <c r="E31" s="619">
        <v>2014</v>
      </c>
      <c r="F31" s="619">
        <v>2015</v>
      </c>
      <c r="G31" s="619">
        <v>2016</v>
      </c>
      <c r="H31" s="619">
        <v>2017</v>
      </c>
      <c r="I31" s="619">
        <v>2018</v>
      </c>
      <c r="J31" s="619" t="s">
        <v>239</v>
      </c>
    </row>
    <row r="32" spans="1:18" ht="7" customHeight="1"/>
    <row r="33" spans="1:10" ht="13" customHeight="1">
      <c r="A33" s="230" t="s">
        <v>5</v>
      </c>
      <c r="B33" s="230" t="s">
        <v>116</v>
      </c>
      <c r="C33" s="624">
        <v>93443</v>
      </c>
      <c r="D33" s="624">
        <v>104683</v>
      </c>
      <c r="E33" s="624">
        <v>99971</v>
      </c>
      <c r="F33" s="624">
        <v>91859</v>
      </c>
      <c r="G33" s="624">
        <v>90115</v>
      </c>
      <c r="H33" s="624">
        <v>81139</v>
      </c>
      <c r="I33" s="624">
        <v>77288</v>
      </c>
      <c r="J33" s="624">
        <v>71971</v>
      </c>
    </row>
    <row r="34" spans="1:10" ht="13" customHeight="1">
      <c r="B34" s="230" t="s">
        <v>422</v>
      </c>
      <c r="C34" s="624">
        <v>1186</v>
      </c>
      <c r="D34" s="624">
        <v>1326</v>
      </c>
      <c r="E34" s="624">
        <v>1312</v>
      </c>
      <c r="F34" s="624">
        <v>1205</v>
      </c>
      <c r="G34" s="624">
        <v>1170</v>
      </c>
      <c r="H34" s="624">
        <v>1059</v>
      </c>
      <c r="I34" s="624">
        <v>1036</v>
      </c>
      <c r="J34" s="624">
        <v>989</v>
      </c>
    </row>
    <row r="35" spans="1:10" ht="13" customHeight="1">
      <c r="B35" s="230" t="s">
        <v>117</v>
      </c>
      <c r="C35" s="626">
        <f t="shared" ref="C35:J35" si="3">(C34/C33)*1000</f>
        <v>12.69222948749505</v>
      </c>
      <c r="D35" s="626">
        <f t="shared" si="3"/>
        <v>12.666813140624553</v>
      </c>
      <c r="E35" s="626">
        <f t="shared" si="3"/>
        <v>13.123805903712077</v>
      </c>
      <c r="F35" s="626">
        <f t="shared" si="3"/>
        <v>13.117930741680183</v>
      </c>
      <c r="G35" s="626">
        <f t="shared" si="3"/>
        <v>12.983410087110913</v>
      </c>
      <c r="H35" s="626">
        <f t="shared" si="3"/>
        <v>13.051676752239985</v>
      </c>
      <c r="I35" s="626">
        <f t="shared" si="3"/>
        <v>13.404409481420142</v>
      </c>
      <c r="J35" s="626">
        <f t="shared" si="3"/>
        <v>13.741645940726126</v>
      </c>
    </row>
    <row r="36" spans="1:10" ht="7" customHeight="1">
      <c r="C36" s="626"/>
      <c r="D36" s="626"/>
      <c r="E36" s="626"/>
      <c r="F36" s="626"/>
      <c r="G36" s="626"/>
      <c r="H36" s="626"/>
      <c r="I36" s="626"/>
      <c r="J36" s="626"/>
    </row>
    <row r="37" spans="1:10" ht="13" customHeight="1">
      <c r="A37" s="230" t="s">
        <v>6</v>
      </c>
      <c r="B37" s="230" t="s">
        <v>116</v>
      </c>
      <c r="C37" s="624">
        <v>767182</v>
      </c>
      <c r="D37" s="624">
        <v>875255</v>
      </c>
      <c r="E37" s="624">
        <v>892131</v>
      </c>
      <c r="F37" s="624">
        <v>868815</v>
      </c>
      <c r="G37" s="624">
        <v>908816</v>
      </c>
      <c r="H37" s="624">
        <v>950421</v>
      </c>
      <c r="I37" s="624">
        <v>987246</v>
      </c>
      <c r="J37" s="624">
        <v>1054758</v>
      </c>
    </row>
    <row r="38" spans="1:10" ht="13" customHeight="1">
      <c r="B38" s="230" t="s">
        <v>422</v>
      </c>
      <c r="C38" s="624">
        <v>50075</v>
      </c>
      <c r="D38" s="624">
        <v>57304</v>
      </c>
      <c r="E38" s="624">
        <v>59737</v>
      </c>
      <c r="F38" s="624">
        <v>60204</v>
      </c>
      <c r="G38" s="624">
        <v>63662</v>
      </c>
      <c r="H38" s="624">
        <v>67417</v>
      </c>
      <c r="I38" s="624">
        <v>71176</v>
      </c>
      <c r="J38" s="624">
        <v>77874</v>
      </c>
    </row>
    <row r="39" spans="1:10" ht="13" customHeight="1">
      <c r="B39" s="230" t="s">
        <v>117</v>
      </c>
      <c r="C39" s="626">
        <f t="shared" ref="C39:J39" si="4">(C38/C37)*1000</f>
        <v>65.271343696802063</v>
      </c>
      <c r="D39" s="626">
        <f t="shared" si="4"/>
        <v>65.471205534387124</v>
      </c>
      <c r="E39" s="626">
        <f t="shared" si="4"/>
        <v>66.959897145150208</v>
      </c>
      <c r="F39" s="626">
        <f t="shared" si="4"/>
        <v>69.294383729562682</v>
      </c>
      <c r="G39" s="626">
        <f t="shared" si="4"/>
        <v>70.049382933399059</v>
      </c>
      <c r="H39" s="626">
        <f t="shared" si="4"/>
        <v>70.933828271892139</v>
      </c>
      <c r="I39" s="626">
        <f t="shared" si="4"/>
        <v>72.095506084603016</v>
      </c>
      <c r="J39" s="626">
        <f t="shared" si="4"/>
        <v>73.831153686438029</v>
      </c>
    </row>
    <row r="40" spans="1:10" ht="7" customHeight="1"/>
    <row r="41" spans="1:10" ht="13" customHeight="1">
      <c r="A41" s="230" t="s">
        <v>7</v>
      </c>
      <c r="B41" s="230" t="s">
        <v>116</v>
      </c>
      <c r="C41" s="624">
        <v>291757</v>
      </c>
      <c r="D41" s="624">
        <v>313386</v>
      </c>
      <c r="E41" s="624">
        <v>345335</v>
      </c>
      <c r="F41" s="624">
        <v>334236</v>
      </c>
      <c r="G41" s="624">
        <v>325835</v>
      </c>
      <c r="H41" s="624">
        <v>331736</v>
      </c>
      <c r="I41" s="624">
        <v>329967</v>
      </c>
      <c r="J41" s="624">
        <v>332385</v>
      </c>
    </row>
    <row r="42" spans="1:10" ht="13" customHeight="1">
      <c r="B42" s="230" t="s">
        <v>422</v>
      </c>
      <c r="C42" s="624">
        <v>67859</v>
      </c>
      <c r="D42" s="624">
        <v>73352</v>
      </c>
      <c r="E42" s="624">
        <v>80801</v>
      </c>
      <c r="F42" s="624">
        <v>78478</v>
      </c>
      <c r="G42" s="624">
        <v>79618</v>
      </c>
      <c r="H42" s="624">
        <v>80918</v>
      </c>
      <c r="I42" s="624">
        <v>82117</v>
      </c>
      <c r="J42" s="624">
        <v>81317</v>
      </c>
    </row>
    <row r="43" spans="1:10" ht="13" customHeight="1" thickBot="1">
      <c r="A43" s="240"/>
      <c r="B43" s="618" t="s">
        <v>117</v>
      </c>
      <c r="C43" s="625">
        <f t="shared" ref="C43:J43" si="5">(C42/C41)*1000</f>
        <v>232.58739293316015</v>
      </c>
      <c r="D43" s="625">
        <f t="shared" si="5"/>
        <v>234.06278519142526</v>
      </c>
      <c r="E43" s="625">
        <f t="shared" si="5"/>
        <v>233.97860048937989</v>
      </c>
      <c r="F43" s="625">
        <f t="shared" si="5"/>
        <v>234.79816656494214</v>
      </c>
      <c r="G43" s="625">
        <f t="shared" si="5"/>
        <v>244.35066828302669</v>
      </c>
      <c r="H43" s="625">
        <f t="shared" si="5"/>
        <v>243.92287843345312</v>
      </c>
      <c r="I43" s="625">
        <f t="shared" si="5"/>
        <v>248.86428036743069</v>
      </c>
      <c r="J43" s="625">
        <f t="shared" si="5"/>
        <v>244.64702077410234</v>
      </c>
    </row>
    <row r="44" spans="1:10" ht="10" customHeight="1">
      <c r="A44" s="28" t="s">
        <v>238</v>
      </c>
      <c r="B44" s="537"/>
      <c r="C44" s="620"/>
      <c r="D44" s="620"/>
      <c r="E44" s="620"/>
      <c r="F44" s="620"/>
      <c r="G44" s="620"/>
      <c r="H44" s="620"/>
      <c r="I44" s="620"/>
      <c r="J44" s="620"/>
    </row>
    <row r="45" spans="1:10" ht="10" customHeight="1">
      <c r="A45" s="28" t="s">
        <v>192</v>
      </c>
      <c r="B45" s="537"/>
      <c r="C45" s="620"/>
      <c r="D45" s="620"/>
      <c r="E45" s="620"/>
      <c r="F45" s="620"/>
      <c r="G45" s="620"/>
      <c r="H45" s="620"/>
      <c r="I45" s="620"/>
      <c r="J45" s="620"/>
    </row>
    <row r="46" spans="1:10" ht="10" customHeight="1">
      <c r="A46" s="40" t="s">
        <v>261</v>
      </c>
      <c r="B46" s="537"/>
      <c r="C46" s="620"/>
      <c r="D46" s="620"/>
      <c r="E46" s="620"/>
      <c r="F46" s="620"/>
      <c r="G46" s="620"/>
      <c r="H46" s="620"/>
      <c r="I46" s="620"/>
      <c r="J46" s="620"/>
    </row>
  </sheetData>
  <printOptions horizontalCentered="1" verticalCentered="1"/>
  <pageMargins left="0" right="0" top="0" bottom="0" header="0" footer="0"/>
  <pageSetup paperSize="9" orientation="portrait"/>
  <headerFooter scaleWithDoc="0" alignWithMargins="0"/>
  <rowBreaks count="1" manualBreakCount="1">
    <brk id="27" max="16383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syncVertical="1" syncRef="A1" transitionEvaluation="1" codeName="Hoja89">
    <tabColor theme="9" tint="0.59999389629810485"/>
  </sheetPr>
  <dimension ref="A1:I49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5" style="230" customWidth="1"/>
    <col min="2" max="7" width="9" style="230" customWidth="1"/>
    <col min="8" max="8" width="8" style="230" customWidth="1"/>
    <col min="9" max="16384" width="7" style="230"/>
  </cols>
  <sheetData>
    <row r="1" spans="1:9" ht="13" customHeight="1">
      <c r="B1" s="231"/>
    </row>
    <row r="3" spans="1:9" ht="13" customHeight="1">
      <c r="A3" s="647" t="s">
        <v>427</v>
      </c>
      <c r="B3" s="232"/>
      <c r="C3" s="232"/>
      <c r="D3" s="232"/>
      <c r="E3" s="232"/>
      <c r="F3" s="232"/>
      <c r="G3" s="232"/>
      <c r="H3" s="233"/>
      <c r="I3" s="233"/>
    </row>
    <row r="4" spans="1:9" ht="13" customHeight="1">
      <c r="A4" s="646" t="s">
        <v>424</v>
      </c>
      <c r="B4" s="232"/>
      <c r="C4" s="232"/>
      <c r="D4" s="232"/>
      <c r="E4" s="232"/>
      <c r="F4" s="232"/>
      <c r="G4" s="232"/>
      <c r="H4" s="233"/>
      <c r="I4" s="233"/>
    </row>
    <row r="5" spans="1:9" ht="4" customHeight="1" thickBot="1">
      <c r="A5" s="237"/>
      <c r="B5" s="237"/>
      <c r="C5" s="237"/>
      <c r="D5" s="237"/>
      <c r="E5" s="234"/>
      <c r="F5" s="234"/>
      <c r="G5" s="234"/>
      <c r="H5" s="234"/>
      <c r="I5" s="234"/>
    </row>
    <row r="6" spans="1:9" ht="13" customHeight="1">
      <c r="A6" s="1109" t="s">
        <v>18</v>
      </c>
      <c r="B6" s="1106">
        <v>2018</v>
      </c>
      <c r="C6" s="1107"/>
      <c r="D6" s="1108"/>
      <c r="E6" s="1107" t="s">
        <v>239</v>
      </c>
      <c r="F6" s="1107"/>
      <c r="G6" s="1107"/>
      <c r="H6" s="241"/>
      <c r="I6" s="241"/>
    </row>
    <row r="7" spans="1:9" ht="13" customHeight="1">
      <c r="A7" s="1110"/>
      <c r="B7" s="648" t="s">
        <v>116</v>
      </c>
      <c r="C7" s="627" t="s">
        <v>422</v>
      </c>
      <c r="D7" s="649" t="s">
        <v>117</v>
      </c>
      <c r="E7" s="627" t="s">
        <v>116</v>
      </c>
      <c r="F7" s="627" t="s">
        <v>422</v>
      </c>
      <c r="G7" s="627" t="s">
        <v>117</v>
      </c>
      <c r="H7" s="234"/>
      <c r="I7" s="234"/>
    </row>
    <row r="8" spans="1:9" ht="15" customHeight="1">
      <c r="A8" s="628" t="s">
        <v>106</v>
      </c>
      <c r="B8" s="630">
        <f>(B10+B11+B12+B13+B14+B18+B19+B20+B21+B22+B23+B24+B25+B26+B27+B28+B29+B30+B33+B34+B35+B36+B37+B38)</f>
        <v>705349</v>
      </c>
      <c r="C8" s="630">
        <f>(C10+C11+C12+C13+C14+C18+C19+C20+C21+C22+C23+C24+C25+C26+C27+C28+C29+C30+C33+C34+C35+C36+C37+C38)</f>
        <v>10010</v>
      </c>
      <c r="D8" s="639">
        <f>(C8/B8)*1000</f>
        <v>14.191556236699846</v>
      </c>
      <c r="E8" s="630">
        <f>(E10+E11+E12+E13+E14+E18+E19+E20+E21+E22+E23+E24+E25+E26+E27+E28+E29+E30+E33+E34+E35+E36+E37+E38)</f>
        <v>699004</v>
      </c>
      <c r="F8" s="630">
        <f>(F10+F11+F12+F13+F14+F18+F19+F20+F21+F22+F23+F24+F25+F26+F27+F28+F29+F30+F33+F34+F35+F36+F37+F38)</f>
        <v>10053</v>
      </c>
      <c r="G8" s="639">
        <f t="shared" ref="G8:G30" si="0">(F8/E8)*1000</f>
        <v>14.38189194911617</v>
      </c>
      <c r="H8" s="266"/>
      <c r="I8" s="266"/>
    </row>
    <row r="9" spans="1:9" ht="3" customHeight="1">
      <c r="B9" s="631"/>
      <c r="C9" s="631"/>
      <c r="D9" s="640"/>
      <c r="E9" s="631"/>
      <c r="F9" s="631"/>
      <c r="G9" s="640"/>
      <c r="H9" s="261"/>
      <c r="I9" s="261"/>
    </row>
    <row r="10" spans="1:9" ht="13" customHeight="1">
      <c r="A10" s="239" t="s">
        <v>21</v>
      </c>
      <c r="B10" s="632">
        <v>863</v>
      </c>
      <c r="C10" s="633">
        <v>13</v>
      </c>
      <c r="D10" s="640">
        <f t="shared" ref="D10:D30" si="1">(C10/B10)*1000</f>
        <v>15.063731170336037</v>
      </c>
      <c r="E10" s="632">
        <v>630</v>
      </c>
      <c r="F10" s="633">
        <v>10</v>
      </c>
      <c r="G10" s="640">
        <f t="shared" si="0"/>
        <v>15.873015873015872</v>
      </c>
      <c r="H10" s="261"/>
      <c r="I10" s="264"/>
    </row>
    <row r="11" spans="1:9" ht="13" customHeight="1">
      <c r="A11" s="239" t="s">
        <v>22</v>
      </c>
      <c r="B11" s="633">
        <v>28325</v>
      </c>
      <c r="C11" s="633">
        <v>573</v>
      </c>
      <c r="D11" s="640">
        <f t="shared" si="1"/>
        <v>20.229479258605473</v>
      </c>
      <c r="E11" s="633">
        <v>28590</v>
      </c>
      <c r="F11" s="633">
        <v>637</v>
      </c>
      <c r="G11" s="640">
        <f t="shared" si="0"/>
        <v>22.280517663518712</v>
      </c>
      <c r="H11" s="261"/>
      <c r="I11" s="236"/>
    </row>
    <row r="12" spans="1:9" ht="13" customHeight="1">
      <c r="A12" s="239" t="s">
        <v>23</v>
      </c>
      <c r="B12" s="633">
        <v>26210</v>
      </c>
      <c r="C12" s="633">
        <v>387</v>
      </c>
      <c r="D12" s="640">
        <f t="shared" si="1"/>
        <v>14.765356734070966</v>
      </c>
      <c r="E12" s="633">
        <v>28175</v>
      </c>
      <c r="F12" s="633">
        <v>396</v>
      </c>
      <c r="G12" s="640">
        <f t="shared" si="0"/>
        <v>14.055013309671695</v>
      </c>
      <c r="H12" s="261"/>
      <c r="I12" s="236"/>
    </row>
    <row r="13" spans="1:9" ht="13" customHeight="1">
      <c r="A13" s="230" t="s">
        <v>24</v>
      </c>
      <c r="B13" s="633">
        <v>152926</v>
      </c>
      <c r="C13" s="633">
        <v>1917</v>
      </c>
      <c r="D13" s="640">
        <f t="shared" si="1"/>
        <v>12.535474674025345</v>
      </c>
      <c r="E13" s="633">
        <v>142894</v>
      </c>
      <c r="F13" s="633">
        <v>1833</v>
      </c>
      <c r="G13" s="640">
        <f t="shared" si="0"/>
        <v>12.827690455862387</v>
      </c>
      <c r="H13" s="261"/>
      <c r="I13" s="236"/>
    </row>
    <row r="14" spans="1:9" ht="13" customHeight="1">
      <c r="A14" s="230" t="s">
        <v>25</v>
      </c>
      <c r="B14" s="631">
        <v>55916</v>
      </c>
      <c r="C14" s="631">
        <v>1072</v>
      </c>
      <c r="D14" s="640">
        <f t="shared" si="1"/>
        <v>19.1716145647042</v>
      </c>
      <c r="E14" s="631">
        <v>51067</v>
      </c>
      <c r="F14" s="631">
        <v>958</v>
      </c>
      <c r="G14" s="640">
        <f t="shared" si="0"/>
        <v>18.759668670570036</v>
      </c>
      <c r="H14" s="261"/>
      <c r="I14" s="262"/>
    </row>
    <row r="15" spans="1:9" ht="13" customHeight="1">
      <c r="A15" s="238" t="s">
        <v>101</v>
      </c>
      <c r="B15" s="633">
        <v>44899</v>
      </c>
      <c r="C15" s="633">
        <v>904</v>
      </c>
      <c r="D15" s="640">
        <f t="shared" si="1"/>
        <v>20.134078709993538</v>
      </c>
      <c r="E15" s="633">
        <v>44774</v>
      </c>
      <c r="F15" s="633">
        <v>849</v>
      </c>
      <c r="G15" s="640">
        <f t="shared" si="0"/>
        <v>18.961897529816412</v>
      </c>
      <c r="H15" s="261"/>
      <c r="I15" s="236"/>
    </row>
    <row r="16" spans="1:9" ht="13" customHeight="1">
      <c r="A16" s="238" t="s">
        <v>102</v>
      </c>
      <c r="B16" s="633">
        <v>10129</v>
      </c>
      <c r="C16" s="633">
        <v>1072</v>
      </c>
      <c r="D16" s="640">
        <f t="shared" si="1"/>
        <v>105.83473195774509</v>
      </c>
      <c r="E16" s="633">
        <v>5809</v>
      </c>
      <c r="F16" s="633">
        <v>100</v>
      </c>
      <c r="G16" s="640">
        <f t="shared" si="0"/>
        <v>17.21466689619556</v>
      </c>
      <c r="H16" s="261"/>
      <c r="I16" s="236"/>
    </row>
    <row r="17" spans="1:9" ht="13" customHeight="1">
      <c r="A17" s="238" t="s">
        <v>103</v>
      </c>
      <c r="B17" s="633">
        <v>888</v>
      </c>
      <c r="C17" s="633">
        <v>15</v>
      </c>
      <c r="D17" s="640">
        <f t="shared" si="1"/>
        <v>16.891891891891891</v>
      </c>
      <c r="E17" s="633">
        <v>484</v>
      </c>
      <c r="F17" s="633">
        <v>9</v>
      </c>
      <c r="G17" s="640">
        <f t="shared" si="0"/>
        <v>18.595041322314049</v>
      </c>
      <c r="H17" s="261"/>
      <c r="I17" s="236"/>
    </row>
    <row r="18" spans="1:9" ht="13" customHeight="1">
      <c r="A18" s="239" t="s">
        <v>29</v>
      </c>
      <c r="B18" s="633">
        <v>2834</v>
      </c>
      <c r="C18" s="633">
        <v>38</v>
      </c>
      <c r="D18" s="640">
        <f t="shared" si="1"/>
        <v>13.408609738884969</v>
      </c>
      <c r="E18" s="633">
        <v>2782</v>
      </c>
      <c r="F18" s="633">
        <v>37</v>
      </c>
      <c r="G18" s="640">
        <f t="shared" si="0"/>
        <v>13.299784327821712</v>
      </c>
      <c r="H18" s="261"/>
      <c r="I18" s="236"/>
    </row>
    <row r="19" spans="1:9" ht="13" customHeight="1">
      <c r="A19" s="230" t="s">
        <v>30</v>
      </c>
      <c r="B19" s="633">
        <v>43059</v>
      </c>
      <c r="C19" s="633">
        <v>480</v>
      </c>
      <c r="D19" s="640">
        <f t="shared" si="1"/>
        <v>11.147495297150421</v>
      </c>
      <c r="E19" s="633">
        <v>44772</v>
      </c>
      <c r="F19" s="633">
        <v>498</v>
      </c>
      <c r="G19" s="640">
        <f t="shared" si="0"/>
        <v>11.12302331814527</v>
      </c>
      <c r="H19" s="261"/>
      <c r="I19" s="236"/>
    </row>
    <row r="20" spans="1:9" ht="13" customHeight="1">
      <c r="A20" s="230" t="s">
        <v>31</v>
      </c>
      <c r="B20" s="633">
        <v>82115</v>
      </c>
      <c r="C20" s="633">
        <v>1129</v>
      </c>
      <c r="D20" s="640">
        <f t="shared" si="1"/>
        <v>13.749010534007185</v>
      </c>
      <c r="E20" s="633">
        <v>67084</v>
      </c>
      <c r="F20" s="633">
        <v>931</v>
      </c>
      <c r="G20" s="640">
        <f t="shared" si="0"/>
        <v>13.878122950330928</v>
      </c>
      <c r="H20" s="261"/>
      <c r="I20" s="236"/>
    </row>
    <row r="21" spans="1:9" ht="13" customHeight="1">
      <c r="A21" s="239" t="s">
        <v>32</v>
      </c>
      <c r="B21" s="633">
        <v>2429</v>
      </c>
      <c r="C21" s="633">
        <v>33</v>
      </c>
      <c r="D21" s="640">
        <f t="shared" si="1"/>
        <v>13.585837793330588</v>
      </c>
      <c r="E21" s="633">
        <v>2327</v>
      </c>
      <c r="F21" s="633">
        <v>32</v>
      </c>
      <c r="G21" s="640">
        <f t="shared" si="0"/>
        <v>13.751611516974645</v>
      </c>
      <c r="H21" s="261"/>
      <c r="I21" s="236"/>
    </row>
    <row r="22" spans="1:9" ht="13" customHeight="1">
      <c r="A22" s="239" t="s">
        <v>33</v>
      </c>
      <c r="B22" s="633">
        <v>24676</v>
      </c>
      <c r="C22" s="633">
        <v>315</v>
      </c>
      <c r="D22" s="640">
        <f t="shared" si="1"/>
        <v>12.765440103744529</v>
      </c>
      <c r="E22" s="633">
        <v>32220</v>
      </c>
      <c r="F22" s="633">
        <v>413</v>
      </c>
      <c r="G22" s="640">
        <f t="shared" si="0"/>
        <v>12.818125387957791</v>
      </c>
      <c r="H22" s="261"/>
      <c r="I22" s="236"/>
    </row>
    <row r="23" spans="1:9" ht="13" customHeight="1">
      <c r="A23" s="239" t="s">
        <v>34</v>
      </c>
      <c r="B23" s="633">
        <v>58314</v>
      </c>
      <c r="C23" s="633">
        <v>719</v>
      </c>
      <c r="D23" s="640">
        <f t="shared" si="1"/>
        <v>12.329800733957541</v>
      </c>
      <c r="E23" s="633">
        <v>54944</v>
      </c>
      <c r="F23" s="633">
        <v>690</v>
      </c>
      <c r="G23" s="640">
        <f t="shared" si="0"/>
        <v>12.558241118229471</v>
      </c>
      <c r="H23" s="261"/>
      <c r="I23" s="236"/>
    </row>
    <row r="24" spans="1:9" ht="13" customHeight="1">
      <c r="A24" s="239" t="s">
        <v>35</v>
      </c>
      <c r="B24" s="633">
        <v>31572</v>
      </c>
      <c r="C24" s="633">
        <v>461</v>
      </c>
      <c r="D24" s="640">
        <f t="shared" si="1"/>
        <v>14.601545673381478</v>
      </c>
      <c r="E24" s="633">
        <v>31672</v>
      </c>
      <c r="F24" s="633">
        <v>474</v>
      </c>
      <c r="G24" s="640">
        <f t="shared" si="0"/>
        <v>14.965900479919171</v>
      </c>
      <c r="H24" s="261"/>
      <c r="I24" s="236"/>
    </row>
    <row r="25" spans="1:9" ht="13" customHeight="1">
      <c r="A25" s="239" t="s">
        <v>36</v>
      </c>
      <c r="B25" s="633">
        <v>12914</v>
      </c>
      <c r="C25" s="633">
        <v>175</v>
      </c>
      <c r="D25" s="640">
        <f t="shared" si="1"/>
        <v>13.551184760724794</v>
      </c>
      <c r="E25" s="633">
        <v>16517</v>
      </c>
      <c r="F25" s="633">
        <v>225</v>
      </c>
      <c r="G25" s="640">
        <f t="shared" si="0"/>
        <v>13.62232851001998</v>
      </c>
      <c r="H25" s="261"/>
      <c r="I25" s="236"/>
    </row>
    <row r="26" spans="1:9" ht="13" customHeight="1">
      <c r="A26" s="230" t="s">
        <v>37</v>
      </c>
      <c r="B26" s="633">
        <v>81902</v>
      </c>
      <c r="C26" s="633">
        <v>1288</v>
      </c>
      <c r="D26" s="640">
        <f t="shared" si="1"/>
        <v>15.726111694464116</v>
      </c>
      <c r="E26" s="633">
        <v>81196</v>
      </c>
      <c r="F26" s="633">
        <v>1320</v>
      </c>
      <c r="G26" s="640">
        <f t="shared" si="0"/>
        <v>16.256958470860635</v>
      </c>
      <c r="H26" s="261"/>
      <c r="I26" s="236"/>
    </row>
    <row r="27" spans="1:9" ht="13" customHeight="1">
      <c r="A27" s="239" t="s">
        <v>38</v>
      </c>
      <c r="B27" s="633">
        <v>966</v>
      </c>
      <c r="C27" s="633">
        <v>21</v>
      </c>
      <c r="D27" s="640">
        <f t="shared" si="1"/>
        <v>21.739130434782609</v>
      </c>
      <c r="E27" s="633">
        <v>958</v>
      </c>
      <c r="F27" s="633">
        <v>21</v>
      </c>
      <c r="G27" s="640">
        <f t="shared" si="0"/>
        <v>21.920668058455117</v>
      </c>
      <c r="H27" s="261"/>
      <c r="I27" s="236"/>
    </row>
    <row r="28" spans="1:9" ht="13" customHeight="1">
      <c r="A28" s="239" t="s">
        <v>39</v>
      </c>
      <c r="B28" s="633">
        <v>1028</v>
      </c>
      <c r="C28" s="633">
        <v>24</v>
      </c>
      <c r="D28" s="640">
        <f t="shared" si="1"/>
        <v>23.346303501945524</v>
      </c>
      <c r="E28" s="633">
        <v>1079</v>
      </c>
      <c r="F28" s="633">
        <v>25</v>
      </c>
      <c r="G28" s="640">
        <f t="shared" si="0"/>
        <v>23.169601482854493</v>
      </c>
      <c r="H28" s="261"/>
      <c r="I28" s="236"/>
    </row>
    <row r="29" spans="1:9" ht="13" customHeight="1">
      <c r="A29" s="239" t="s">
        <v>40</v>
      </c>
      <c r="B29" s="633">
        <v>32659</v>
      </c>
      <c r="C29" s="633">
        <v>429</v>
      </c>
      <c r="D29" s="640">
        <f t="shared" si="1"/>
        <v>13.135735938026272</v>
      </c>
      <c r="E29" s="633">
        <v>43742</v>
      </c>
      <c r="F29" s="633">
        <v>579</v>
      </c>
      <c r="G29" s="640">
        <f t="shared" si="0"/>
        <v>13.236706140551416</v>
      </c>
      <c r="H29" s="261"/>
      <c r="I29" s="236"/>
    </row>
    <row r="30" spans="1:9" ht="13" customHeight="1">
      <c r="A30" s="230" t="s">
        <v>41</v>
      </c>
      <c r="B30" s="631">
        <v>12026</v>
      </c>
      <c r="C30" s="631">
        <v>153</v>
      </c>
      <c r="D30" s="640">
        <f t="shared" si="1"/>
        <v>12.722434724763014</v>
      </c>
      <c r="E30" s="633">
        <v>11312</v>
      </c>
      <c r="F30" s="633">
        <v>144</v>
      </c>
      <c r="G30" s="640">
        <f t="shared" si="0"/>
        <v>12.72984441301273</v>
      </c>
      <c r="H30" s="261"/>
      <c r="I30" s="262"/>
    </row>
    <row r="31" spans="1:9" ht="13" customHeight="1">
      <c r="A31" s="238" t="s">
        <v>104</v>
      </c>
      <c r="B31" s="633">
        <v>5626</v>
      </c>
      <c r="C31" s="633">
        <v>69</v>
      </c>
      <c r="D31" s="640">
        <f>(C31/B31)*1000</f>
        <v>12.264486313544259</v>
      </c>
      <c r="E31" s="631">
        <v>5262</v>
      </c>
      <c r="F31" s="631">
        <v>65</v>
      </c>
      <c r="G31" s="640">
        <f>(F31/E31)*1000</f>
        <v>12.35271759787153</v>
      </c>
      <c r="H31" s="261"/>
      <c r="I31" s="236"/>
    </row>
    <row r="32" spans="1:9" ht="13" customHeight="1">
      <c r="A32" s="238" t="s">
        <v>105</v>
      </c>
      <c r="B32" s="633">
        <v>6400</v>
      </c>
      <c r="C32" s="633">
        <v>84</v>
      </c>
      <c r="D32" s="640">
        <f>(C32/B32)*1000</f>
        <v>13.125</v>
      </c>
      <c r="E32" s="633">
        <v>6050</v>
      </c>
      <c r="F32" s="633">
        <v>79</v>
      </c>
      <c r="G32" s="640">
        <f>(F32/E32)*1000</f>
        <v>13.057851239669422</v>
      </c>
      <c r="H32" s="261"/>
      <c r="I32" s="236"/>
    </row>
    <row r="33" spans="1:9" ht="13" customHeight="1">
      <c r="A33" s="239" t="s">
        <v>44</v>
      </c>
      <c r="B33" s="633">
        <v>6409</v>
      </c>
      <c r="C33" s="633">
        <v>86</v>
      </c>
      <c r="D33" s="640">
        <v>0</v>
      </c>
      <c r="E33" s="633">
        <v>7050</v>
      </c>
      <c r="F33" s="633">
        <v>98</v>
      </c>
      <c r="G33" s="640">
        <v>0</v>
      </c>
      <c r="H33" s="261"/>
      <c r="I33" s="236"/>
    </row>
    <row r="34" spans="1:9" ht="13" customHeight="1">
      <c r="A34" s="239" t="s">
        <v>45</v>
      </c>
      <c r="B34" s="633">
        <v>43076</v>
      </c>
      <c r="C34" s="633">
        <v>615</v>
      </c>
      <c r="D34" s="640">
        <f>(C34/B34)*1000</f>
        <v>14.277091651963971</v>
      </c>
      <c r="E34" s="633">
        <v>45236</v>
      </c>
      <c r="F34" s="633">
        <v>651</v>
      </c>
      <c r="G34" s="640">
        <f>(F34/E34)*1000</f>
        <v>14.391192855248033</v>
      </c>
      <c r="H34" s="261"/>
      <c r="I34" s="236"/>
    </row>
    <row r="35" spans="1:9" ht="13" customHeight="1">
      <c r="A35" s="230" t="s">
        <v>46</v>
      </c>
      <c r="B35" s="633">
        <v>3177</v>
      </c>
      <c r="C35" s="633">
        <v>48</v>
      </c>
      <c r="D35" s="641">
        <v>0</v>
      </c>
      <c r="E35" s="633">
        <v>3398</v>
      </c>
      <c r="F35" s="633">
        <v>52</v>
      </c>
      <c r="G35" s="641">
        <v>0</v>
      </c>
      <c r="H35" s="267"/>
      <c r="I35" s="236"/>
    </row>
    <row r="36" spans="1:9" ht="13" customHeight="1">
      <c r="A36" s="235" t="s">
        <v>47</v>
      </c>
      <c r="B36" s="633">
        <v>1841</v>
      </c>
      <c r="C36" s="633">
        <v>33</v>
      </c>
      <c r="D36" s="642">
        <f>(C36/B36)*1000</f>
        <v>17.925040738728953</v>
      </c>
      <c r="E36" s="633">
        <v>1278</v>
      </c>
      <c r="F36" s="633">
        <v>28</v>
      </c>
      <c r="G36" s="642">
        <f>(F36/E36)*1000</f>
        <v>21.909233176838811</v>
      </c>
      <c r="H36" s="263"/>
      <c r="I36" s="236"/>
    </row>
    <row r="37" spans="1:9" ht="13" customHeight="1">
      <c r="A37" s="230" t="s">
        <v>48</v>
      </c>
      <c r="B37" s="633">
        <v>112</v>
      </c>
      <c r="C37" s="633">
        <v>1</v>
      </c>
      <c r="D37" s="642">
        <f>(C37/B37)*1000</f>
        <v>8.9285714285714288</v>
      </c>
      <c r="E37" s="633">
        <v>81</v>
      </c>
      <c r="F37" s="633">
        <v>1</v>
      </c>
      <c r="G37" s="642">
        <f>(F37/E37)*1000</f>
        <v>12.345679012345679</v>
      </c>
      <c r="H37" s="263"/>
      <c r="I37" s="236"/>
    </row>
    <row r="38" spans="1:9" ht="13" customHeight="1" thickBot="1">
      <c r="A38" s="265" t="s">
        <v>49</v>
      </c>
      <c r="B38" s="634" t="s">
        <v>423</v>
      </c>
      <c r="C38" s="634" t="s">
        <v>423</v>
      </c>
      <c r="D38" s="634" t="s">
        <v>423</v>
      </c>
      <c r="E38" s="634" t="s">
        <v>423</v>
      </c>
      <c r="F38" s="634" t="s">
        <v>423</v>
      </c>
      <c r="G38" s="634" t="s">
        <v>423</v>
      </c>
      <c r="H38" s="263"/>
      <c r="I38" s="263"/>
    </row>
    <row r="39" spans="1:9" ht="10" customHeight="1">
      <c r="A39" s="28" t="s">
        <v>238</v>
      </c>
      <c r="B39" s="537"/>
      <c r="C39" s="537"/>
      <c r="D39" s="537"/>
      <c r="E39" s="537"/>
      <c r="F39" s="537"/>
      <c r="G39" s="645"/>
      <c r="H39" s="537"/>
      <c r="I39" s="537"/>
    </row>
    <row r="40" spans="1:9" ht="10" customHeight="1">
      <c r="A40" s="28" t="s">
        <v>192</v>
      </c>
      <c r="B40" s="537"/>
      <c r="C40" s="537"/>
      <c r="D40" s="537"/>
      <c r="E40" s="537"/>
      <c r="F40" s="537"/>
      <c r="G40" s="537"/>
      <c r="H40" s="537"/>
      <c r="I40" s="537"/>
    </row>
    <row r="41" spans="1:9" ht="10" customHeight="1">
      <c r="A41" s="40" t="s">
        <v>261</v>
      </c>
      <c r="B41" s="537"/>
      <c r="C41" s="537"/>
      <c r="D41" s="537"/>
      <c r="E41" s="537"/>
      <c r="F41" s="537"/>
      <c r="G41" s="537"/>
      <c r="H41" s="537"/>
      <c r="I41" s="537"/>
    </row>
    <row r="42" spans="1:9" ht="13" customHeight="1">
      <c r="A42" s="12"/>
      <c r="B42" s="213"/>
      <c r="C42" s="213"/>
      <c r="D42" s="213"/>
      <c r="E42" s="213"/>
      <c r="F42" s="213"/>
      <c r="G42" s="213"/>
      <c r="H42" s="213"/>
      <c r="I42" s="213"/>
    </row>
    <row r="43" spans="1:9" ht="13" customHeight="1">
      <c r="A43" s="141"/>
      <c r="B43" s="213"/>
      <c r="C43" s="213"/>
      <c r="D43" s="213"/>
      <c r="E43" s="213"/>
      <c r="F43" s="213"/>
      <c r="G43" s="213"/>
      <c r="H43" s="213"/>
      <c r="I43" s="213"/>
    </row>
    <row r="44" spans="1:9" ht="13" customHeight="1">
      <c r="A44" s="191"/>
      <c r="B44" s="213"/>
      <c r="C44" s="213"/>
      <c r="D44" s="213"/>
      <c r="E44" s="213"/>
      <c r="F44" s="213"/>
      <c r="G44" s="213"/>
      <c r="H44" s="213"/>
      <c r="I44" s="213"/>
    </row>
    <row r="45" spans="1:9" ht="13" customHeight="1">
      <c r="A45" s="31"/>
      <c r="B45" s="213"/>
      <c r="C45" s="213"/>
      <c r="D45" s="213"/>
      <c r="E45" s="213"/>
      <c r="F45" s="213"/>
      <c r="G45" s="213"/>
      <c r="H45" s="213"/>
      <c r="I45" s="213"/>
    </row>
    <row r="46" spans="1:9" ht="13" customHeight="1">
      <c r="A46" s="58"/>
      <c r="B46" s="213"/>
      <c r="C46" s="213"/>
      <c r="D46" s="213"/>
      <c r="E46" s="213"/>
      <c r="F46" s="213"/>
      <c r="G46" s="213"/>
      <c r="H46" s="213"/>
      <c r="I46" s="213"/>
    </row>
    <row r="47" spans="1:9" ht="13" customHeight="1">
      <c r="A47" s="31"/>
      <c r="B47" s="213"/>
      <c r="C47" s="213"/>
      <c r="D47" s="213"/>
      <c r="E47" s="213"/>
      <c r="F47" s="213"/>
      <c r="G47" s="213"/>
      <c r="H47" s="213"/>
      <c r="I47" s="213"/>
    </row>
    <row r="48" spans="1:9" ht="13" customHeight="1">
      <c r="A48" s="141"/>
      <c r="B48" s="213"/>
      <c r="C48" s="213"/>
      <c r="D48" s="213"/>
      <c r="E48" s="213"/>
      <c r="F48" s="213"/>
      <c r="G48" s="213"/>
      <c r="H48" s="213"/>
      <c r="I48" s="213"/>
    </row>
    <row r="49" spans="1:9" ht="13" customHeight="1">
      <c r="A49" s="141"/>
      <c r="B49" s="213"/>
      <c r="C49" s="213"/>
      <c r="D49" s="213"/>
      <c r="E49" s="213"/>
      <c r="F49" s="213"/>
      <c r="G49" s="213"/>
      <c r="H49" s="213"/>
      <c r="I49" s="213"/>
    </row>
  </sheetData>
  <mergeCells count="3">
    <mergeCell ref="B6:D6"/>
    <mergeCell ref="E6:G6"/>
    <mergeCell ref="A6:A7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syncVertical="1" syncRef="A1" transitionEvaluation="1" codeName="Hoja90">
    <tabColor theme="9" tint="0.59999389629810485"/>
  </sheetPr>
  <dimension ref="A1:I49"/>
  <sheetViews>
    <sheetView showGridLines="0" zoomScaleNormal="100" workbookViewId="0">
      <selection activeCell="K34" sqref="K34"/>
    </sheetView>
  </sheetViews>
  <sheetFormatPr baseColWidth="10" defaultColWidth="7" defaultRowHeight="13" customHeight="1"/>
  <cols>
    <col min="1" max="1" width="14.59765625" style="230" customWidth="1"/>
    <col min="2" max="2" width="10.796875" style="230" customWidth="1"/>
    <col min="3" max="3" width="10.19921875" style="230" customWidth="1"/>
    <col min="4" max="4" width="9.59765625" style="230" customWidth="1"/>
    <col min="5" max="5" width="10.59765625" style="230" customWidth="1"/>
    <col min="6" max="6" width="10" style="230" customWidth="1"/>
    <col min="7" max="7" width="9.796875" style="230" customWidth="1"/>
    <col min="8" max="8" width="8" style="230" customWidth="1"/>
    <col min="9" max="16384" width="7" style="230"/>
  </cols>
  <sheetData>
    <row r="1" spans="1:7" ht="13" customHeight="1">
      <c r="B1" s="231"/>
    </row>
    <row r="2" spans="1:7" ht="13" customHeight="1">
      <c r="E2" s="235"/>
      <c r="F2" s="235"/>
      <c r="G2" s="235"/>
    </row>
    <row r="3" spans="1:7" ht="13" customHeight="1">
      <c r="A3" s="647" t="s">
        <v>426</v>
      </c>
      <c r="B3" s="232"/>
      <c r="C3" s="232"/>
      <c r="D3" s="232"/>
      <c r="E3" s="232"/>
      <c r="F3" s="232"/>
      <c r="G3" s="232"/>
    </row>
    <row r="4" spans="1:7" ht="13" customHeight="1">
      <c r="A4" s="646" t="s">
        <v>424</v>
      </c>
      <c r="B4" s="232"/>
      <c r="C4" s="232"/>
      <c r="D4" s="232"/>
      <c r="E4" s="232"/>
      <c r="F4" s="232"/>
      <c r="G4" s="232"/>
    </row>
    <row r="5" spans="1:7" ht="4" customHeight="1" thickBot="1">
      <c r="A5" s="1111"/>
      <c r="B5" s="1111"/>
      <c r="C5" s="1111"/>
      <c r="D5" s="1111"/>
      <c r="E5" s="1111"/>
      <c r="F5" s="1111"/>
      <c r="G5" s="1111"/>
    </row>
    <row r="6" spans="1:7" ht="13" customHeight="1">
      <c r="A6" s="1115" t="s">
        <v>18</v>
      </c>
      <c r="B6" s="1112">
        <v>2018</v>
      </c>
      <c r="C6" s="1113"/>
      <c r="D6" s="1114"/>
      <c r="E6" s="1113" t="s">
        <v>326</v>
      </c>
      <c r="F6" s="1113"/>
      <c r="G6" s="1113"/>
    </row>
    <row r="7" spans="1:7" ht="13" customHeight="1">
      <c r="A7" s="1116"/>
      <c r="B7" s="650" t="s">
        <v>116</v>
      </c>
      <c r="C7" s="651" t="s">
        <v>422</v>
      </c>
      <c r="D7" s="652" t="s">
        <v>117</v>
      </c>
      <c r="E7" s="653" t="s">
        <v>116</v>
      </c>
      <c r="F7" s="651" t="s">
        <v>422</v>
      </c>
      <c r="G7" s="651" t="s">
        <v>117</v>
      </c>
    </row>
    <row r="8" spans="1:7" ht="15" customHeight="1">
      <c r="A8" s="629" t="s">
        <v>106</v>
      </c>
      <c r="B8" s="635">
        <f>(B10+B11+B12+B13+B14+B18+B19+B20+B21+B22+B23+B24+B25+B26+B27+B28+B29+B30+B33+B34+B35+B36+B37+B38)</f>
        <v>2015636</v>
      </c>
      <c r="C8" s="636">
        <f>(C10+C11+C12+C13+C14+C18+C19+C20+C21+C22+C23+C24+C25+C26+C27+C28+C29+C30+C33+C34+C35+C36+C37+C38)</f>
        <v>134305</v>
      </c>
      <c r="D8" s="643">
        <f>(C8/B8)*1000</f>
        <v>66.631574351718271</v>
      </c>
      <c r="E8" s="635">
        <f>(E10+E11+E12+E13+E14+E18+E19+E20+E21+E22+E23+E24+E25+E26+E27+E28+E29+E30+E33+E34+E35+E36+E37+E38)</f>
        <v>2101612</v>
      </c>
      <c r="F8" s="636">
        <f>(F10+F11+F12+F13+F14+F18+F19+F20+F21+F22+F23+F24+F25+F26+F27+F28+F29+F30+F33+F34+F35+F36+F37+F38)</f>
        <v>141559</v>
      </c>
      <c r="G8" s="643">
        <f>(F8/E8)*1000</f>
        <v>67.357342839686865</v>
      </c>
    </row>
    <row r="9" spans="1:7" ht="3" customHeight="1">
      <c r="B9" s="637"/>
      <c r="C9" s="638"/>
      <c r="D9" s="640"/>
      <c r="E9" s="637"/>
      <c r="F9" s="638"/>
      <c r="G9" s="640"/>
    </row>
    <row r="10" spans="1:7" ht="13" customHeight="1">
      <c r="A10" s="239" t="s">
        <v>21</v>
      </c>
      <c r="B10" s="633">
        <v>6167</v>
      </c>
      <c r="C10" s="633">
        <v>262</v>
      </c>
      <c r="D10" s="640">
        <f t="shared" ref="D10:D32" si="0">(C10/B10)*1000</f>
        <v>42.484190043781418</v>
      </c>
      <c r="E10" s="633">
        <v>3987</v>
      </c>
      <c r="F10" s="633">
        <v>113</v>
      </c>
      <c r="G10" s="640">
        <f t="shared" ref="G10:G34" si="1">(F10/E10)*1000</f>
        <v>28.342111863556561</v>
      </c>
    </row>
    <row r="11" spans="1:7" ht="13" customHeight="1">
      <c r="A11" s="239" t="s">
        <v>22</v>
      </c>
      <c r="B11" s="633">
        <v>43689</v>
      </c>
      <c r="C11" s="633">
        <v>2079</v>
      </c>
      <c r="D11" s="640">
        <f t="shared" si="0"/>
        <v>47.586348966559093</v>
      </c>
      <c r="E11" s="633">
        <v>44051</v>
      </c>
      <c r="F11" s="633">
        <v>2182</v>
      </c>
      <c r="G11" s="640">
        <f t="shared" si="1"/>
        <v>49.533495266849791</v>
      </c>
    </row>
    <row r="12" spans="1:7" ht="13" customHeight="1">
      <c r="A12" s="239" t="s">
        <v>23</v>
      </c>
      <c r="B12" s="633">
        <v>40711</v>
      </c>
      <c r="C12" s="633">
        <v>2657</v>
      </c>
      <c r="D12" s="640">
        <f t="shared" si="0"/>
        <v>65.26491611603744</v>
      </c>
      <c r="E12" s="633">
        <v>42110</v>
      </c>
      <c r="F12" s="633">
        <v>2608</v>
      </c>
      <c r="G12" s="640">
        <f t="shared" si="1"/>
        <v>61.933032533839942</v>
      </c>
    </row>
    <row r="13" spans="1:7" ht="13" customHeight="1">
      <c r="A13" s="230" t="s">
        <v>24</v>
      </c>
      <c r="B13" s="633">
        <v>95566</v>
      </c>
      <c r="C13" s="633">
        <v>5080</v>
      </c>
      <c r="D13" s="640">
        <f t="shared" si="0"/>
        <v>53.156980516083124</v>
      </c>
      <c r="E13" s="633">
        <v>96508</v>
      </c>
      <c r="F13" s="633">
        <v>5582</v>
      </c>
      <c r="G13" s="640">
        <f t="shared" si="1"/>
        <v>57.839764579102244</v>
      </c>
    </row>
    <row r="14" spans="1:7" ht="13" customHeight="1">
      <c r="A14" s="230" t="s">
        <v>25</v>
      </c>
      <c r="B14" s="633">
        <v>78171</v>
      </c>
      <c r="C14" s="633">
        <v>4032</v>
      </c>
      <c r="D14" s="640">
        <f t="shared" si="0"/>
        <v>51.579230149288101</v>
      </c>
      <c r="E14" s="633">
        <v>81152</v>
      </c>
      <c r="F14" s="633">
        <v>4165</v>
      </c>
      <c r="G14" s="640">
        <f t="shared" si="1"/>
        <v>51.32344242902208</v>
      </c>
    </row>
    <row r="15" spans="1:7" ht="13" customHeight="1">
      <c r="A15" s="238" t="s">
        <v>26</v>
      </c>
      <c r="B15" s="633">
        <v>41161</v>
      </c>
      <c r="C15" s="633">
        <v>2027</v>
      </c>
      <c r="D15" s="640">
        <f t="shared" si="0"/>
        <v>49.245645149534759</v>
      </c>
      <c r="E15" s="633">
        <v>40637</v>
      </c>
      <c r="F15" s="633">
        <v>2007</v>
      </c>
      <c r="G15" s="640">
        <f t="shared" si="1"/>
        <v>49.388488323449074</v>
      </c>
    </row>
    <row r="16" spans="1:7" ht="13" customHeight="1">
      <c r="A16" s="238" t="s">
        <v>27</v>
      </c>
      <c r="B16" s="633">
        <v>26385</v>
      </c>
      <c r="C16" s="633">
        <v>1304</v>
      </c>
      <c r="D16" s="640">
        <f t="shared" si="0"/>
        <v>49.422020087170743</v>
      </c>
      <c r="E16" s="633">
        <v>27731</v>
      </c>
      <c r="F16" s="633">
        <v>1358</v>
      </c>
      <c r="G16" s="640">
        <f t="shared" si="1"/>
        <v>48.970466265190581</v>
      </c>
    </row>
    <row r="17" spans="1:7" ht="13" customHeight="1">
      <c r="A17" s="238" t="s">
        <v>28</v>
      </c>
      <c r="B17" s="633">
        <v>10625</v>
      </c>
      <c r="C17" s="633">
        <v>701</v>
      </c>
      <c r="D17" s="640">
        <f t="shared" si="0"/>
        <v>65.976470588235287</v>
      </c>
      <c r="E17" s="633">
        <v>12784</v>
      </c>
      <c r="F17" s="633">
        <v>800</v>
      </c>
      <c r="G17" s="640">
        <f t="shared" si="1"/>
        <v>62.578222778473098</v>
      </c>
    </row>
    <row r="18" spans="1:7" ht="13" customHeight="1">
      <c r="A18" s="239" t="s">
        <v>29</v>
      </c>
      <c r="B18" s="633">
        <v>19930</v>
      </c>
      <c r="C18" s="633">
        <v>1128</v>
      </c>
      <c r="D18" s="640">
        <f t="shared" si="0"/>
        <v>56.598093326643252</v>
      </c>
      <c r="E18" s="633">
        <v>19094</v>
      </c>
      <c r="F18" s="633">
        <v>1086</v>
      </c>
      <c r="G18" s="640">
        <f t="shared" si="1"/>
        <v>56.876505708599559</v>
      </c>
    </row>
    <row r="19" spans="1:7" ht="13" customHeight="1">
      <c r="A19" s="230" t="s">
        <v>30</v>
      </c>
      <c r="B19" s="633">
        <v>15222</v>
      </c>
      <c r="C19" s="633">
        <v>570</v>
      </c>
      <c r="D19" s="640">
        <f t="shared" si="0"/>
        <v>37.445802128498229</v>
      </c>
      <c r="E19" s="633">
        <v>15657</v>
      </c>
      <c r="F19" s="633">
        <v>586</v>
      </c>
      <c r="G19" s="640">
        <f t="shared" si="1"/>
        <v>37.427348789678739</v>
      </c>
    </row>
    <row r="20" spans="1:7" ht="13" customHeight="1">
      <c r="A20" s="230" t="s">
        <v>31</v>
      </c>
      <c r="B20" s="633">
        <v>1081873</v>
      </c>
      <c r="C20" s="633">
        <v>78881</v>
      </c>
      <c r="D20" s="640">
        <f t="shared" si="0"/>
        <v>72.911515492114134</v>
      </c>
      <c r="E20" s="633">
        <v>1130102</v>
      </c>
      <c r="F20" s="633">
        <v>83340</v>
      </c>
      <c r="G20" s="640">
        <f t="shared" si="1"/>
        <v>73.745555710900433</v>
      </c>
    </row>
    <row r="21" spans="1:7" ht="13" customHeight="1">
      <c r="A21" s="239" t="s">
        <v>32</v>
      </c>
      <c r="B21" s="633">
        <v>30130</v>
      </c>
      <c r="C21" s="633">
        <v>2142</v>
      </c>
      <c r="D21" s="640">
        <f t="shared" si="0"/>
        <v>71.091934948556258</v>
      </c>
      <c r="E21" s="633">
        <v>30006</v>
      </c>
      <c r="F21" s="633">
        <v>2162</v>
      </c>
      <c r="G21" s="640">
        <f t="shared" si="1"/>
        <v>72.052256215423583</v>
      </c>
    </row>
    <row r="22" spans="1:7" ht="13" customHeight="1">
      <c r="A22" s="239" t="s">
        <v>33</v>
      </c>
      <c r="B22" s="633">
        <v>34073</v>
      </c>
      <c r="C22" s="633">
        <v>1557</v>
      </c>
      <c r="D22" s="640">
        <f t="shared" si="0"/>
        <v>45.696005634960237</v>
      </c>
      <c r="E22" s="633">
        <v>33816</v>
      </c>
      <c r="F22" s="633">
        <v>1579</v>
      </c>
      <c r="G22" s="640">
        <f t="shared" si="1"/>
        <v>46.693872722971378</v>
      </c>
    </row>
    <row r="23" spans="1:7" ht="13" customHeight="1">
      <c r="A23" s="239" t="s">
        <v>34</v>
      </c>
      <c r="B23" s="633">
        <v>5177</v>
      </c>
      <c r="C23" s="633">
        <v>321</v>
      </c>
      <c r="D23" s="640">
        <f t="shared" si="0"/>
        <v>62.00502221363724</v>
      </c>
      <c r="E23" s="633">
        <v>6823</v>
      </c>
      <c r="F23" s="633">
        <v>435</v>
      </c>
      <c r="G23" s="640">
        <f t="shared" si="1"/>
        <v>63.754946504470183</v>
      </c>
    </row>
    <row r="24" spans="1:7" ht="13" customHeight="1">
      <c r="A24" s="239" t="s">
        <v>35</v>
      </c>
      <c r="B24" s="633">
        <v>19069</v>
      </c>
      <c r="C24" s="633">
        <v>1034</v>
      </c>
      <c r="D24" s="640">
        <f t="shared" si="0"/>
        <v>54.224133410246999</v>
      </c>
      <c r="E24" s="633">
        <v>21999</v>
      </c>
      <c r="F24" s="633">
        <v>1201</v>
      </c>
      <c r="G24" s="640">
        <f t="shared" si="1"/>
        <v>54.593390608664031</v>
      </c>
    </row>
    <row r="25" spans="1:7" ht="13" customHeight="1">
      <c r="A25" s="239" t="s">
        <v>36</v>
      </c>
      <c r="B25" s="633">
        <v>4773</v>
      </c>
      <c r="C25" s="633">
        <v>183</v>
      </c>
      <c r="D25" s="640">
        <f t="shared" si="0"/>
        <v>38.340666247642993</v>
      </c>
      <c r="E25" s="633">
        <v>5495</v>
      </c>
      <c r="F25" s="633">
        <v>295</v>
      </c>
      <c r="G25" s="640">
        <f t="shared" si="1"/>
        <v>53.685168334849863</v>
      </c>
    </row>
    <row r="26" spans="1:7" ht="13" customHeight="1">
      <c r="A26" s="230" t="s">
        <v>37</v>
      </c>
      <c r="B26" s="633">
        <v>339225</v>
      </c>
      <c r="C26" s="633">
        <v>23954</v>
      </c>
      <c r="D26" s="640">
        <f t="shared" si="0"/>
        <v>70.613899329353671</v>
      </c>
      <c r="E26" s="633">
        <v>347604</v>
      </c>
      <c r="F26" s="633">
        <v>24375</v>
      </c>
      <c r="G26" s="640">
        <f t="shared" si="1"/>
        <v>70.122898470673533</v>
      </c>
    </row>
    <row r="27" spans="1:7" ht="13" customHeight="1">
      <c r="A27" s="239" t="s">
        <v>38</v>
      </c>
      <c r="B27" s="633">
        <v>19869</v>
      </c>
      <c r="C27" s="633">
        <v>977</v>
      </c>
      <c r="D27" s="640">
        <f t="shared" si="0"/>
        <v>49.172077105037999</v>
      </c>
      <c r="E27" s="633">
        <v>21978</v>
      </c>
      <c r="F27" s="633">
        <v>1100</v>
      </c>
      <c r="G27" s="640">
        <f t="shared" si="1"/>
        <v>50.050050050050054</v>
      </c>
    </row>
    <row r="28" spans="1:7" ht="13" customHeight="1">
      <c r="A28" s="239" t="s">
        <v>39</v>
      </c>
      <c r="B28" s="633">
        <v>35301</v>
      </c>
      <c r="C28" s="633">
        <v>1670</v>
      </c>
      <c r="D28" s="640">
        <f t="shared" si="0"/>
        <v>47.307441715532136</v>
      </c>
      <c r="E28" s="633">
        <v>40636</v>
      </c>
      <c r="F28" s="633">
        <v>2023</v>
      </c>
      <c r="G28" s="640">
        <f t="shared" si="1"/>
        <v>49.783443252288613</v>
      </c>
    </row>
    <row r="29" spans="1:7" ht="13" customHeight="1">
      <c r="A29" s="239" t="s">
        <v>40</v>
      </c>
      <c r="B29" s="633">
        <v>35720</v>
      </c>
      <c r="C29" s="633">
        <v>1793</v>
      </c>
      <c r="D29" s="640">
        <f t="shared" si="0"/>
        <v>50.195968645016798</v>
      </c>
      <c r="E29" s="633">
        <v>39254</v>
      </c>
      <c r="F29" s="633">
        <v>1976</v>
      </c>
      <c r="G29" s="640">
        <f t="shared" si="1"/>
        <v>50.338818973862537</v>
      </c>
    </row>
    <row r="30" spans="1:7" ht="13" customHeight="1">
      <c r="A30" s="230" t="s">
        <v>41</v>
      </c>
      <c r="B30" s="633">
        <v>15830</v>
      </c>
      <c r="C30" s="633">
        <v>674</v>
      </c>
      <c r="D30" s="640">
        <f t="shared" si="0"/>
        <v>42.577384712571067</v>
      </c>
      <c r="E30" s="633">
        <v>14378</v>
      </c>
      <c r="F30" s="633">
        <v>603</v>
      </c>
      <c r="G30" s="640">
        <f t="shared" si="1"/>
        <v>41.939073584643204</v>
      </c>
    </row>
    <row r="31" spans="1:7" ht="13" customHeight="1">
      <c r="A31" s="238" t="s">
        <v>42</v>
      </c>
      <c r="B31" s="633">
        <v>6351</v>
      </c>
      <c r="C31" s="633">
        <v>265</v>
      </c>
      <c r="D31" s="640">
        <f t="shared" si="0"/>
        <v>41.725712486222641</v>
      </c>
      <c r="E31" s="633">
        <v>5944</v>
      </c>
      <c r="F31" s="633">
        <v>245</v>
      </c>
      <c r="G31" s="640">
        <f t="shared" si="1"/>
        <v>41.218034993270521</v>
      </c>
    </row>
    <row r="32" spans="1:7" ht="13" customHeight="1">
      <c r="A32" s="238" t="s">
        <v>43</v>
      </c>
      <c r="B32" s="633">
        <v>9479</v>
      </c>
      <c r="C32" s="633">
        <v>409</v>
      </c>
      <c r="D32" s="640">
        <f t="shared" si="0"/>
        <v>43.148011393606915</v>
      </c>
      <c r="E32" s="633">
        <v>8434</v>
      </c>
      <c r="F32" s="633">
        <v>358</v>
      </c>
      <c r="G32" s="640">
        <f t="shared" si="1"/>
        <v>42.447237372539718</v>
      </c>
    </row>
    <row r="33" spans="1:9" ht="13" customHeight="1">
      <c r="A33" s="239" t="s">
        <v>44</v>
      </c>
      <c r="B33" s="638" t="s">
        <v>50</v>
      </c>
      <c r="C33" s="638" t="s">
        <v>50</v>
      </c>
      <c r="D33" s="644" t="s">
        <v>50</v>
      </c>
      <c r="E33" s="638" t="s">
        <v>81</v>
      </c>
      <c r="F33" s="638" t="s">
        <v>81</v>
      </c>
      <c r="G33" s="644" t="s">
        <v>50</v>
      </c>
    </row>
    <row r="34" spans="1:9" ht="13" customHeight="1">
      <c r="A34" s="239" t="s">
        <v>45</v>
      </c>
      <c r="B34" s="633">
        <v>11849</v>
      </c>
      <c r="C34" s="633">
        <v>454</v>
      </c>
      <c r="D34" s="640">
        <f>(C34/B34)*1000</f>
        <v>38.315469659886908</v>
      </c>
      <c r="E34" s="633">
        <v>7580</v>
      </c>
      <c r="F34" s="633">
        <v>273</v>
      </c>
      <c r="G34" s="640">
        <f t="shared" si="1"/>
        <v>36.015831134564642</v>
      </c>
    </row>
    <row r="35" spans="1:9" ht="13" customHeight="1">
      <c r="A35" s="230" t="s">
        <v>46</v>
      </c>
      <c r="B35" s="633">
        <v>50589</v>
      </c>
      <c r="C35" s="633">
        <v>3189</v>
      </c>
      <c r="D35" s="640">
        <f>(C35/B35)*1000</f>
        <v>63.037419201802763</v>
      </c>
      <c r="E35" s="633">
        <v>60622</v>
      </c>
      <c r="F35" s="633">
        <v>3708</v>
      </c>
      <c r="G35" s="640">
        <f>(F35/E35)*1000</f>
        <v>61.165913364785055</v>
      </c>
    </row>
    <row r="36" spans="1:9" ht="13" customHeight="1">
      <c r="A36" s="235" t="s">
        <v>47</v>
      </c>
      <c r="B36" s="633">
        <v>24109</v>
      </c>
      <c r="C36" s="633">
        <v>1234</v>
      </c>
      <c r="D36" s="642">
        <f>(C36/B36)*1000</f>
        <v>51.184205068646563</v>
      </c>
      <c r="E36" s="633">
        <v>25750</v>
      </c>
      <c r="F36" s="633">
        <v>1306</v>
      </c>
      <c r="G36" s="642">
        <f>(F36/E36)*1000</f>
        <v>50.71844660194175</v>
      </c>
    </row>
    <row r="37" spans="1:9" ht="13" customHeight="1">
      <c r="A37" s="230" t="s">
        <v>48</v>
      </c>
      <c r="B37" s="633">
        <v>8593</v>
      </c>
      <c r="C37" s="633">
        <v>434</v>
      </c>
      <c r="D37" s="640">
        <f>(C37/B37)*1000</f>
        <v>50.506225997905275</v>
      </c>
      <c r="E37" s="633">
        <v>13010</v>
      </c>
      <c r="F37" s="633">
        <v>861</v>
      </c>
      <c r="G37" s="640">
        <f>(F37/E37)*1000</f>
        <v>66.179861644888547</v>
      </c>
    </row>
    <row r="38" spans="1:9" ht="13" customHeight="1" thickBot="1">
      <c r="A38" s="265" t="s">
        <v>49</v>
      </c>
      <c r="B38" s="634" t="s">
        <v>423</v>
      </c>
      <c r="C38" s="634" t="s">
        <v>423</v>
      </c>
      <c r="D38" s="634" t="s">
        <v>423</v>
      </c>
      <c r="E38" s="634" t="s">
        <v>423</v>
      </c>
      <c r="F38" s="634" t="s">
        <v>423</v>
      </c>
      <c r="G38" s="634" t="s">
        <v>423</v>
      </c>
    </row>
    <row r="39" spans="1:9" ht="10" customHeight="1">
      <c r="A39" s="28" t="s">
        <v>238</v>
      </c>
      <c r="B39" s="537"/>
      <c r="C39" s="537"/>
      <c r="D39" s="537"/>
      <c r="E39" s="537"/>
      <c r="F39" s="537"/>
      <c r="G39" s="645"/>
      <c r="H39" s="537"/>
      <c r="I39" s="620"/>
    </row>
    <row r="40" spans="1:9" ht="10" customHeight="1">
      <c r="A40" s="28" t="s">
        <v>192</v>
      </c>
      <c r="B40" s="537"/>
      <c r="C40" s="537"/>
      <c r="D40" s="537"/>
      <c r="E40" s="537"/>
      <c r="F40" s="537"/>
      <c r="G40" s="537"/>
      <c r="H40" s="537"/>
      <c r="I40" s="620"/>
    </row>
    <row r="41" spans="1:9" ht="10" customHeight="1">
      <c r="A41" s="40" t="s">
        <v>261</v>
      </c>
      <c r="B41" s="537"/>
      <c r="C41" s="537"/>
      <c r="D41" s="537"/>
      <c r="E41" s="537"/>
      <c r="F41" s="537"/>
      <c r="G41" s="537"/>
      <c r="H41" s="537"/>
      <c r="I41" s="620"/>
    </row>
    <row r="42" spans="1:9" ht="13" customHeight="1">
      <c r="A42" s="12"/>
      <c r="B42" s="213"/>
      <c r="C42" s="213"/>
      <c r="D42" s="213"/>
      <c r="E42" s="213"/>
      <c r="F42" s="213"/>
      <c r="G42" s="213"/>
      <c r="H42" s="213"/>
    </row>
    <row r="43" spans="1:9" ht="13" customHeight="1">
      <c r="A43" s="141"/>
      <c r="B43" s="213"/>
      <c r="C43" s="213"/>
      <c r="D43" s="213"/>
      <c r="E43" s="213"/>
      <c r="F43" s="213"/>
      <c r="G43" s="213"/>
      <c r="H43" s="213"/>
    </row>
    <row r="44" spans="1:9" ht="13" customHeight="1">
      <c r="A44" s="191"/>
      <c r="B44" s="213"/>
      <c r="C44" s="213"/>
      <c r="D44" s="213"/>
      <c r="E44" s="213"/>
      <c r="F44" s="213"/>
      <c r="G44" s="213"/>
      <c r="H44" s="213"/>
    </row>
    <row r="45" spans="1:9" ht="13" customHeight="1">
      <c r="A45" s="31"/>
      <c r="B45" s="213"/>
      <c r="C45" s="213"/>
      <c r="D45" s="213"/>
      <c r="E45" s="213"/>
      <c r="F45" s="213"/>
      <c r="G45" s="213"/>
      <c r="H45" s="213"/>
    </row>
    <row r="46" spans="1:9" ht="13" customHeight="1">
      <c r="A46" s="58"/>
      <c r="B46" s="213"/>
      <c r="C46" s="213"/>
      <c r="D46" s="213"/>
      <c r="E46" s="213"/>
      <c r="F46" s="213"/>
      <c r="G46" s="213"/>
      <c r="H46" s="213"/>
    </row>
    <row r="47" spans="1:9" ht="13" customHeight="1">
      <c r="A47" s="31"/>
      <c r="B47" s="213"/>
      <c r="C47" s="213"/>
      <c r="D47" s="213"/>
      <c r="E47" s="213"/>
      <c r="F47" s="213"/>
      <c r="G47" s="213"/>
      <c r="H47" s="213"/>
    </row>
    <row r="48" spans="1:9" ht="13" customHeight="1">
      <c r="A48" s="141"/>
      <c r="B48" s="213"/>
      <c r="C48" s="213"/>
      <c r="D48" s="213"/>
      <c r="E48" s="213"/>
      <c r="F48" s="213"/>
      <c r="G48" s="213"/>
      <c r="H48" s="213"/>
    </row>
    <row r="49" spans="1:8" ht="13" customHeight="1">
      <c r="A49" s="141"/>
      <c r="B49" s="213"/>
      <c r="C49" s="213"/>
      <c r="D49" s="213"/>
      <c r="E49" s="213"/>
      <c r="F49" s="213"/>
      <c r="G49" s="213"/>
      <c r="H49" s="213"/>
    </row>
  </sheetData>
  <mergeCells count="4">
    <mergeCell ref="A5:G5"/>
    <mergeCell ref="B6:D6"/>
    <mergeCell ref="E6:G6"/>
    <mergeCell ref="A6:A7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syncVertical="1" syncRef="A1" transitionEvaluation="1" codeName="Hoja91">
    <tabColor theme="9" tint="0.59999389629810485"/>
  </sheetPr>
  <dimension ref="A1:I49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5" style="230" customWidth="1"/>
    <col min="2" max="7" width="9" style="230" customWidth="1"/>
    <col min="8" max="8" width="8" style="230" customWidth="1"/>
    <col min="9" max="16384" width="7" style="230"/>
  </cols>
  <sheetData>
    <row r="1" spans="1:7" ht="13" customHeight="1">
      <c r="B1" s="231"/>
    </row>
    <row r="2" spans="1:7" ht="13" customHeight="1">
      <c r="E2" s="235"/>
      <c r="F2" s="235"/>
      <c r="G2" s="235"/>
    </row>
    <row r="3" spans="1:7" ht="13" customHeight="1">
      <c r="A3" s="647" t="s">
        <v>425</v>
      </c>
      <c r="B3" s="232"/>
      <c r="C3" s="232"/>
      <c r="D3" s="232"/>
      <c r="E3" s="232"/>
      <c r="F3" s="232"/>
      <c r="G3" s="232"/>
    </row>
    <row r="4" spans="1:7" ht="13" customHeight="1">
      <c r="A4" s="646" t="s">
        <v>424</v>
      </c>
      <c r="B4" s="232"/>
      <c r="C4" s="232"/>
      <c r="D4" s="232"/>
      <c r="E4" s="232"/>
      <c r="F4" s="232"/>
      <c r="G4" s="232"/>
    </row>
    <row r="5" spans="1:7" ht="4" customHeight="1" thickBot="1">
      <c r="A5" s="240"/>
      <c r="B5" s="240"/>
      <c r="C5" s="240"/>
      <c r="D5" s="240"/>
    </row>
    <row r="6" spans="1:7" ht="13" customHeight="1">
      <c r="A6" s="1115" t="s">
        <v>18</v>
      </c>
      <c r="B6" s="1112">
        <v>2018</v>
      </c>
      <c r="C6" s="1113"/>
      <c r="D6" s="1114"/>
      <c r="E6" s="1113" t="s">
        <v>326</v>
      </c>
      <c r="F6" s="1113"/>
      <c r="G6" s="1113"/>
    </row>
    <row r="7" spans="1:7" ht="13" customHeight="1">
      <c r="A7" s="1116"/>
      <c r="B7" s="650" t="s">
        <v>116</v>
      </c>
      <c r="C7" s="651" t="s">
        <v>422</v>
      </c>
      <c r="D7" s="652" t="s">
        <v>117</v>
      </c>
      <c r="E7" s="653" t="s">
        <v>116</v>
      </c>
      <c r="F7" s="651" t="s">
        <v>422</v>
      </c>
      <c r="G7" s="651" t="s">
        <v>117</v>
      </c>
    </row>
    <row r="8" spans="1:7" ht="15" customHeight="1">
      <c r="A8" s="629" t="s">
        <v>106</v>
      </c>
      <c r="B8" s="635">
        <f>(B10+B11+B12+B13+B14+B18+B19+B20+B21+B22+B23+B24+B25+B26+B27+B28+B29+B30+B33+B34+B35+B36+B37+B38)</f>
        <v>1033790</v>
      </c>
      <c r="C8" s="636">
        <f>(C10+C11+C12+C13+C14+C18+C19+C20+C21+C22+C23+C24+C25+C26+C27+C28+C29+C30+C33+C34+C35+C36+C37+C38)</f>
        <v>193345</v>
      </c>
      <c r="D8" s="643">
        <f>(C8/B8)*1000</f>
        <v>187.02541135046769</v>
      </c>
      <c r="E8" s="635">
        <f>(E10+E11+E12+E13+E14+E18+E19+E20+E21+E22+E23+E24+E25+E26+E27+E28+E29+E30+E33+E34+E35+E36+E37+E38)</f>
        <v>1013544</v>
      </c>
      <c r="F8" s="636">
        <f>(F10+F11+F12+F13+F14+F18+F19+F20+F21+F22+F23+F24+F25+F26+F27+F28+F29+F30+F33+F34+F35+F36+F37+F38)</f>
        <v>190449</v>
      </c>
      <c r="G8" s="643">
        <f>(F8/E8)*1000</f>
        <v>187.90402784684238</v>
      </c>
    </row>
    <row r="9" spans="1:7" ht="3" customHeight="1">
      <c r="B9" s="637"/>
      <c r="C9" s="638"/>
      <c r="D9" s="640"/>
      <c r="E9" s="637"/>
      <c r="F9" s="638"/>
      <c r="G9" s="640"/>
    </row>
    <row r="10" spans="1:7" ht="13" customHeight="1">
      <c r="A10" s="239" t="s">
        <v>21</v>
      </c>
      <c r="B10" s="633">
        <v>2779</v>
      </c>
      <c r="C10" s="633">
        <v>483</v>
      </c>
      <c r="D10" s="640">
        <f t="shared" ref="D10:D34" si="0">(C10/B10)*1000</f>
        <v>173.80352644836273</v>
      </c>
      <c r="E10" s="633">
        <v>3331</v>
      </c>
      <c r="F10" s="633">
        <v>703</v>
      </c>
      <c r="G10" s="640">
        <f t="shared" ref="G10:G34" si="1">(F10/E10)*1000</f>
        <v>211.04773341338935</v>
      </c>
    </row>
    <row r="11" spans="1:7" ht="13" customHeight="1">
      <c r="A11" s="239" t="s">
        <v>22</v>
      </c>
      <c r="B11" s="633">
        <v>40686</v>
      </c>
      <c r="C11" s="633">
        <v>8235</v>
      </c>
      <c r="D11" s="640">
        <f t="shared" si="0"/>
        <v>202.40377525438726</v>
      </c>
      <c r="E11" s="633">
        <v>36235</v>
      </c>
      <c r="F11" s="633">
        <v>7111</v>
      </c>
      <c r="G11" s="640">
        <f t="shared" si="1"/>
        <v>196.24672278184076</v>
      </c>
    </row>
    <row r="12" spans="1:7" ht="13" customHeight="1">
      <c r="A12" s="239" t="s">
        <v>23</v>
      </c>
      <c r="B12" s="633">
        <v>45558</v>
      </c>
      <c r="C12" s="633">
        <v>6741</v>
      </c>
      <c r="D12" s="640">
        <f t="shared" si="0"/>
        <v>147.96523113393917</v>
      </c>
      <c r="E12" s="633">
        <v>46214</v>
      </c>
      <c r="F12" s="633">
        <v>6948</v>
      </c>
      <c r="G12" s="640">
        <f t="shared" si="1"/>
        <v>150.34405158609945</v>
      </c>
    </row>
    <row r="13" spans="1:7" ht="13" customHeight="1">
      <c r="A13" s="230" t="s">
        <v>24</v>
      </c>
      <c r="B13" s="633">
        <v>48670</v>
      </c>
      <c r="C13" s="633">
        <v>8136</v>
      </c>
      <c r="D13" s="640">
        <f t="shared" si="0"/>
        <v>167.16663242243681</v>
      </c>
      <c r="E13" s="633">
        <v>48964</v>
      </c>
      <c r="F13" s="633">
        <v>8616</v>
      </c>
      <c r="G13" s="640">
        <f t="shared" si="1"/>
        <v>175.96601584837839</v>
      </c>
    </row>
    <row r="14" spans="1:7" ht="13" customHeight="1">
      <c r="A14" s="230" t="s">
        <v>25</v>
      </c>
      <c r="B14" s="633">
        <v>41915</v>
      </c>
      <c r="C14" s="633">
        <v>6975</v>
      </c>
      <c r="D14" s="640">
        <f t="shared" si="0"/>
        <v>166.40820708576882</v>
      </c>
      <c r="E14" s="633">
        <v>45268</v>
      </c>
      <c r="F14" s="633">
        <v>7598</v>
      </c>
      <c r="G14" s="640">
        <f t="shared" si="1"/>
        <v>167.84483520367587</v>
      </c>
    </row>
    <row r="15" spans="1:7" ht="13" customHeight="1">
      <c r="A15" s="238" t="s">
        <v>26</v>
      </c>
      <c r="B15" s="633">
        <v>15816</v>
      </c>
      <c r="C15" s="633">
        <v>3609</v>
      </c>
      <c r="D15" s="640">
        <f t="shared" si="0"/>
        <v>228.18664643399089</v>
      </c>
      <c r="E15" s="633">
        <v>16016</v>
      </c>
      <c r="F15" s="633">
        <v>3751</v>
      </c>
      <c r="G15" s="640">
        <f t="shared" si="1"/>
        <v>234.2032967032967</v>
      </c>
    </row>
    <row r="16" spans="1:7" ht="13" customHeight="1">
      <c r="A16" s="238" t="s">
        <v>27</v>
      </c>
      <c r="B16" s="633">
        <v>14665</v>
      </c>
      <c r="C16" s="633">
        <v>1561</v>
      </c>
      <c r="D16" s="640">
        <f t="shared" si="0"/>
        <v>106.44391408114559</v>
      </c>
      <c r="E16" s="633">
        <v>15155</v>
      </c>
      <c r="F16" s="633">
        <v>1641</v>
      </c>
      <c r="G16" s="640">
        <f t="shared" si="1"/>
        <v>108.28109534806994</v>
      </c>
    </row>
    <row r="17" spans="1:7" ht="13" customHeight="1">
      <c r="A17" s="238" t="s">
        <v>28</v>
      </c>
      <c r="B17" s="633">
        <v>11434</v>
      </c>
      <c r="C17" s="633">
        <v>1805</v>
      </c>
      <c r="D17" s="640">
        <f t="shared" si="0"/>
        <v>157.86251530523</v>
      </c>
      <c r="E17" s="633">
        <v>14097</v>
      </c>
      <c r="F17" s="633">
        <v>2207</v>
      </c>
      <c r="G17" s="640">
        <f t="shared" si="1"/>
        <v>156.55813293608568</v>
      </c>
    </row>
    <row r="18" spans="1:7" ht="13" customHeight="1">
      <c r="A18" s="239" t="s">
        <v>29</v>
      </c>
      <c r="B18" s="633">
        <v>22266</v>
      </c>
      <c r="C18" s="633">
        <v>2824</v>
      </c>
      <c r="D18" s="640">
        <f t="shared" si="0"/>
        <v>126.83014461510825</v>
      </c>
      <c r="E18" s="633">
        <v>22024</v>
      </c>
      <c r="F18" s="633">
        <v>2805</v>
      </c>
      <c r="G18" s="640">
        <f t="shared" si="1"/>
        <v>127.36106066109699</v>
      </c>
    </row>
    <row r="19" spans="1:7" ht="13" customHeight="1">
      <c r="A19" s="230" t="s">
        <v>30</v>
      </c>
      <c r="B19" s="633">
        <v>26546</v>
      </c>
      <c r="C19" s="633">
        <v>3581</v>
      </c>
      <c r="D19" s="640">
        <f t="shared" si="0"/>
        <v>134.89791305658102</v>
      </c>
      <c r="E19" s="633">
        <v>27855</v>
      </c>
      <c r="F19" s="633">
        <v>3642</v>
      </c>
      <c r="G19" s="640">
        <f t="shared" si="1"/>
        <v>130.74851911685514</v>
      </c>
    </row>
    <row r="20" spans="1:7" ht="13" customHeight="1">
      <c r="A20" s="230" t="s">
        <v>31</v>
      </c>
      <c r="B20" s="633">
        <v>364160</v>
      </c>
      <c r="C20" s="633">
        <v>86962</v>
      </c>
      <c r="D20" s="640">
        <f t="shared" si="0"/>
        <v>238.80162565905098</v>
      </c>
      <c r="E20" s="633">
        <v>359766</v>
      </c>
      <c r="F20" s="633">
        <v>85453</v>
      </c>
      <c r="G20" s="640">
        <f t="shared" si="1"/>
        <v>237.52383493715359</v>
      </c>
    </row>
    <row r="21" spans="1:7" ht="13" customHeight="1">
      <c r="A21" s="239" t="s">
        <v>32</v>
      </c>
      <c r="B21" s="633">
        <v>31949</v>
      </c>
      <c r="C21" s="633">
        <v>5455</v>
      </c>
      <c r="D21" s="640">
        <f t="shared" si="0"/>
        <v>170.74086825878746</v>
      </c>
      <c r="E21" s="633">
        <v>32368</v>
      </c>
      <c r="F21" s="633">
        <v>5423</v>
      </c>
      <c r="G21" s="640">
        <f t="shared" si="1"/>
        <v>167.54201680672267</v>
      </c>
    </row>
    <row r="22" spans="1:7" ht="13" customHeight="1">
      <c r="A22" s="239" t="s">
        <v>33</v>
      </c>
      <c r="B22" s="633">
        <v>19224</v>
      </c>
      <c r="C22" s="633">
        <v>2854</v>
      </c>
      <c r="D22" s="640">
        <f t="shared" si="0"/>
        <v>148.46025801081981</v>
      </c>
      <c r="E22" s="633">
        <v>19318</v>
      </c>
      <c r="F22" s="633">
        <v>2909</v>
      </c>
      <c r="G22" s="640">
        <f t="shared" si="1"/>
        <v>150.58494668185114</v>
      </c>
    </row>
    <row r="23" spans="1:7" ht="13" customHeight="1">
      <c r="A23" s="239" t="s">
        <v>34</v>
      </c>
      <c r="B23" s="633">
        <v>10139</v>
      </c>
      <c r="C23" s="633">
        <v>2019</v>
      </c>
      <c r="D23" s="640">
        <f t="shared" si="0"/>
        <v>199.13206430614457</v>
      </c>
      <c r="E23" s="633">
        <v>9918</v>
      </c>
      <c r="F23" s="633">
        <v>1963</v>
      </c>
      <c r="G23" s="640">
        <f t="shared" si="1"/>
        <v>197.92296834039121</v>
      </c>
    </row>
    <row r="24" spans="1:7" ht="13" customHeight="1">
      <c r="A24" s="239" t="s">
        <v>35</v>
      </c>
      <c r="B24" s="633">
        <v>20565</v>
      </c>
      <c r="C24" s="633">
        <v>3216</v>
      </c>
      <c r="D24" s="640">
        <f t="shared" si="0"/>
        <v>156.38220277169947</v>
      </c>
      <c r="E24" s="633">
        <v>17617</v>
      </c>
      <c r="F24" s="633">
        <v>2826</v>
      </c>
      <c r="G24" s="640">
        <f t="shared" si="1"/>
        <v>160.41323721405459</v>
      </c>
    </row>
    <row r="25" spans="1:7" ht="13" customHeight="1">
      <c r="A25" s="239" t="s">
        <v>36</v>
      </c>
      <c r="B25" s="633">
        <v>1592</v>
      </c>
      <c r="C25" s="633">
        <v>215</v>
      </c>
      <c r="D25" s="640">
        <f t="shared" si="0"/>
        <v>135.0502512562814</v>
      </c>
      <c r="E25" s="633">
        <v>1647</v>
      </c>
      <c r="F25" s="633">
        <v>217</v>
      </c>
      <c r="G25" s="640">
        <f t="shared" si="1"/>
        <v>131.75470552519732</v>
      </c>
    </row>
    <row r="26" spans="1:7" ht="13" customHeight="1">
      <c r="A26" s="230" t="s">
        <v>37</v>
      </c>
      <c r="B26" s="633">
        <v>113324</v>
      </c>
      <c r="C26" s="633">
        <v>20141</v>
      </c>
      <c r="D26" s="640">
        <f t="shared" si="0"/>
        <v>177.72934241643429</v>
      </c>
      <c r="E26" s="633">
        <v>115672</v>
      </c>
      <c r="F26" s="633">
        <v>20608</v>
      </c>
      <c r="G26" s="640">
        <f t="shared" si="1"/>
        <v>178.15893215298431</v>
      </c>
    </row>
    <row r="27" spans="1:7" ht="13" customHeight="1">
      <c r="A27" s="239" t="s">
        <v>38</v>
      </c>
      <c r="B27" s="633">
        <v>8103</v>
      </c>
      <c r="C27" s="633">
        <v>1857</v>
      </c>
      <c r="D27" s="640">
        <f t="shared" si="0"/>
        <v>229.17437985931136</v>
      </c>
      <c r="E27" s="633">
        <v>7849</v>
      </c>
      <c r="F27" s="633">
        <v>1868</v>
      </c>
      <c r="G27" s="640">
        <f t="shared" si="1"/>
        <v>237.99210090457385</v>
      </c>
    </row>
    <row r="28" spans="1:7" ht="13" customHeight="1">
      <c r="A28" s="239" t="s">
        <v>39</v>
      </c>
      <c r="B28" s="633">
        <v>11099</v>
      </c>
      <c r="C28" s="633">
        <v>2375</v>
      </c>
      <c r="D28" s="640">
        <f t="shared" si="0"/>
        <v>213.98324173348951</v>
      </c>
      <c r="E28" s="633">
        <v>10654</v>
      </c>
      <c r="F28" s="633">
        <v>2396</v>
      </c>
      <c r="G28" s="640">
        <f t="shared" si="1"/>
        <v>224.89205932044302</v>
      </c>
    </row>
    <row r="29" spans="1:7" ht="13" customHeight="1">
      <c r="A29" s="239" t="s">
        <v>40</v>
      </c>
      <c r="B29" s="633">
        <v>43381</v>
      </c>
      <c r="C29" s="633">
        <v>4844</v>
      </c>
      <c r="D29" s="640">
        <f t="shared" si="0"/>
        <v>111.66178741845509</v>
      </c>
      <c r="E29" s="633">
        <v>45503</v>
      </c>
      <c r="F29" s="633">
        <v>5169</v>
      </c>
      <c r="G29" s="640">
        <f t="shared" si="1"/>
        <v>113.59690569852538</v>
      </c>
    </row>
    <row r="30" spans="1:7" ht="13" customHeight="1">
      <c r="A30" s="230" t="s">
        <v>41</v>
      </c>
      <c r="B30" s="633">
        <v>23060</v>
      </c>
      <c r="C30" s="633">
        <v>2639</v>
      </c>
      <c r="D30" s="640">
        <f t="shared" si="0"/>
        <v>114.44058976582826</v>
      </c>
      <c r="E30" s="633">
        <v>21547</v>
      </c>
      <c r="F30" s="633">
        <v>2464</v>
      </c>
      <c r="G30" s="640">
        <f t="shared" si="1"/>
        <v>114.3546665429062</v>
      </c>
    </row>
    <row r="31" spans="1:7" ht="13" customHeight="1">
      <c r="A31" s="238" t="s">
        <v>42</v>
      </c>
      <c r="B31" s="633">
        <v>11318</v>
      </c>
      <c r="C31" s="633">
        <v>1281</v>
      </c>
      <c r="D31" s="640">
        <f t="shared" si="0"/>
        <v>113.18254108499735</v>
      </c>
      <c r="E31" s="633">
        <v>10435</v>
      </c>
      <c r="F31" s="633">
        <v>1181</v>
      </c>
      <c r="G31" s="640">
        <f t="shared" si="1"/>
        <v>113.17680881648299</v>
      </c>
    </row>
    <row r="32" spans="1:7" ht="13" customHeight="1">
      <c r="A32" s="238" t="s">
        <v>43</v>
      </c>
      <c r="B32" s="633">
        <v>11742</v>
      </c>
      <c r="C32" s="633">
        <v>1356</v>
      </c>
      <c r="D32" s="640">
        <f t="shared" si="0"/>
        <v>115.48288196218702</v>
      </c>
      <c r="E32" s="633">
        <v>11112</v>
      </c>
      <c r="F32" s="633">
        <v>1283</v>
      </c>
      <c r="G32" s="640">
        <f t="shared" si="1"/>
        <v>115.46076313894889</v>
      </c>
    </row>
    <row r="33" spans="1:9" ht="13" customHeight="1">
      <c r="A33" s="239" t="s">
        <v>44</v>
      </c>
      <c r="B33" s="638">
        <v>76041</v>
      </c>
      <c r="C33" s="638">
        <v>12320</v>
      </c>
      <c r="D33" s="640">
        <f t="shared" si="0"/>
        <v>162.01785878670717</v>
      </c>
      <c r="E33" s="638">
        <v>65816</v>
      </c>
      <c r="F33" s="638">
        <v>10962</v>
      </c>
      <c r="G33" s="640">
        <f t="shared" si="1"/>
        <v>166.55524492524614</v>
      </c>
    </row>
    <row r="34" spans="1:9" ht="13" customHeight="1">
      <c r="A34" s="239" t="s">
        <v>45</v>
      </c>
      <c r="B34" s="633">
        <v>32288</v>
      </c>
      <c r="C34" s="633">
        <v>4402</v>
      </c>
      <c r="D34" s="640">
        <f t="shared" si="0"/>
        <v>136.3354806739346</v>
      </c>
      <c r="E34" s="633">
        <v>27860</v>
      </c>
      <c r="F34" s="633">
        <v>3887</v>
      </c>
      <c r="G34" s="640">
        <f t="shared" si="1"/>
        <v>139.51902368987794</v>
      </c>
    </row>
    <row r="35" spans="1:9" ht="13" customHeight="1">
      <c r="A35" s="230" t="s">
        <v>46</v>
      </c>
      <c r="B35" s="633">
        <v>24109</v>
      </c>
      <c r="C35" s="633">
        <v>3514</v>
      </c>
      <c r="D35" s="640">
        <f>(C35/B35)*1000</f>
        <v>145.75469741590277</v>
      </c>
      <c r="E35" s="633">
        <v>23528</v>
      </c>
      <c r="F35" s="633">
        <v>3473</v>
      </c>
      <c r="G35" s="640">
        <f>(F35/E35)*1000</f>
        <v>147.61135668140088</v>
      </c>
    </row>
    <row r="36" spans="1:9" ht="13" customHeight="1">
      <c r="A36" s="235" t="s">
        <v>47</v>
      </c>
      <c r="B36" s="633">
        <v>15318</v>
      </c>
      <c r="C36" s="633">
        <v>1888</v>
      </c>
      <c r="D36" s="642">
        <f>(C36/B36)*1000</f>
        <v>123.25368847107977</v>
      </c>
      <c r="E36" s="633">
        <v>15726</v>
      </c>
      <c r="F36" s="633">
        <v>1928</v>
      </c>
      <c r="G36" s="642">
        <f>(F36/E36)*1000</f>
        <v>122.59951672389673</v>
      </c>
    </row>
    <row r="37" spans="1:9" ht="13" customHeight="1">
      <c r="A37" s="230" t="s">
        <v>48</v>
      </c>
      <c r="B37" s="633">
        <v>11018</v>
      </c>
      <c r="C37" s="633">
        <v>1669</v>
      </c>
      <c r="D37" s="640">
        <f>(C37/B37)*1000</f>
        <v>151.47939734979124</v>
      </c>
      <c r="E37" s="633">
        <v>8864</v>
      </c>
      <c r="F37" s="633">
        <v>1480</v>
      </c>
      <c r="G37" s="640">
        <f>(F37/E37)*1000</f>
        <v>166.96750902527077</v>
      </c>
    </row>
    <row r="38" spans="1:9" ht="13" customHeight="1" thickBot="1">
      <c r="A38" s="265" t="s">
        <v>49</v>
      </c>
      <c r="B38" s="634" t="s">
        <v>423</v>
      </c>
      <c r="C38" s="634" t="s">
        <v>423</v>
      </c>
      <c r="D38" s="634" t="s">
        <v>423</v>
      </c>
      <c r="E38" s="634" t="s">
        <v>423</v>
      </c>
      <c r="F38" s="634" t="s">
        <v>423</v>
      </c>
      <c r="G38" s="634" t="s">
        <v>423</v>
      </c>
    </row>
    <row r="39" spans="1:9" ht="10" customHeight="1">
      <c r="A39" s="28" t="s">
        <v>238</v>
      </c>
      <c r="B39" s="537"/>
      <c r="C39" s="537"/>
      <c r="D39" s="537"/>
      <c r="E39" s="537"/>
      <c r="F39" s="537"/>
      <c r="G39" s="645"/>
      <c r="H39" s="537"/>
      <c r="I39" s="620"/>
    </row>
    <row r="40" spans="1:9" ht="10" customHeight="1">
      <c r="A40" s="28" t="s">
        <v>192</v>
      </c>
      <c r="B40" s="537"/>
      <c r="C40" s="537"/>
      <c r="D40" s="537"/>
      <c r="E40" s="537"/>
      <c r="F40" s="537"/>
      <c r="G40" s="537"/>
      <c r="H40" s="537"/>
      <c r="I40" s="620"/>
    </row>
    <row r="41" spans="1:9" ht="10" customHeight="1">
      <c r="A41" s="40" t="s">
        <v>261</v>
      </c>
      <c r="B41" s="537"/>
      <c r="C41" s="537"/>
      <c r="D41" s="537"/>
      <c r="E41" s="537"/>
      <c r="F41" s="537"/>
      <c r="G41" s="537"/>
      <c r="H41" s="537"/>
      <c r="I41" s="620"/>
    </row>
    <row r="42" spans="1:9" ht="13" customHeight="1">
      <c r="A42" s="12"/>
      <c r="B42" s="213"/>
      <c r="C42" s="213"/>
      <c r="D42" s="213"/>
      <c r="E42" s="213"/>
      <c r="F42" s="213"/>
      <c r="G42" s="213"/>
      <c r="H42" s="213"/>
    </row>
    <row r="43" spans="1:9" ht="13" customHeight="1">
      <c r="A43" s="141"/>
      <c r="B43" s="213"/>
      <c r="C43" s="213"/>
      <c r="D43" s="213"/>
      <c r="E43" s="213"/>
      <c r="F43" s="213"/>
      <c r="G43" s="213"/>
      <c r="H43" s="213"/>
    </row>
    <row r="44" spans="1:9" ht="13" customHeight="1">
      <c r="A44" s="191"/>
      <c r="B44" s="213"/>
      <c r="C44" s="213"/>
      <c r="D44" s="213"/>
      <c r="E44" s="213"/>
      <c r="F44" s="213"/>
      <c r="G44" s="213"/>
      <c r="H44" s="213"/>
    </row>
    <row r="45" spans="1:9" ht="13" customHeight="1">
      <c r="A45" s="31"/>
      <c r="B45" s="213"/>
      <c r="C45" s="213"/>
      <c r="D45" s="213"/>
      <c r="E45" s="213"/>
      <c r="F45" s="213"/>
      <c r="G45" s="213"/>
      <c r="H45" s="213"/>
    </row>
    <row r="46" spans="1:9" ht="13" customHeight="1">
      <c r="A46" s="58"/>
      <c r="B46" s="213"/>
      <c r="C46" s="213"/>
      <c r="D46" s="213"/>
      <c r="E46" s="213"/>
      <c r="F46" s="213"/>
      <c r="G46" s="213"/>
      <c r="H46" s="213"/>
    </row>
    <row r="47" spans="1:9" ht="13" customHeight="1">
      <c r="A47" s="31"/>
      <c r="B47" s="213"/>
      <c r="C47" s="213"/>
      <c r="D47" s="213"/>
      <c r="E47" s="213"/>
      <c r="F47" s="213"/>
      <c r="G47" s="213"/>
      <c r="H47" s="213"/>
    </row>
    <row r="48" spans="1:9" ht="13" customHeight="1">
      <c r="A48" s="141"/>
      <c r="B48" s="213"/>
      <c r="C48" s="213"/>
      <c r="D48" s="213"/>
      <c r="E48" s="213"/>
      <c r="F48" s="213"/>
      <c r="G48" s="213"/>
      <c r="H48" s="213"/>
    </row>
    <row r="49" spans="1:8" ht="13" customHeight="1">
      <c r="A49" s="141"/>
      <c r="B49" s="213"/>
      <c r="C49" s="213"/>
      <c r="D49" s="213"/>
      <c r="E49" s="213"/>
      <c r="F49" s="213"/>
      <c r="G49" s="213"/>
      <c r="H49" s="213"/>
    </row>
  </sheetData>
  <mergeCells count="3">
    <mergeCell ref="B6:D6"/>
    <mergeCell ref="E6:G6"/>
    <mergeCell ref="A6:A7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transitionEvaluation="1" codeName="Hoja92">
    <tabColor theme="9" tint="0.59999389629810485"/>
  </sheetPr>
  <dimension ref="A1:FZ270"/>
  <sheetViews>
    <sheetView showGridLines="0" topLeftCell="AP1" zoomScale="160" zoomScaleNormal="160" workbookViewId="0">
      <selection activeCell="AR9" sqref="AR9"/>
    </sheetView>
  </sheetViews>
  <sheetFormatPr baseColWidth="10" defaultColWidth="7" defaultRowHeight="13" customHeight="1"/>
  <cols>
    <col min="1" max="1" width="11" style="12" customWidth="1"/>
    <col min="2" max="2" width="8.19921875" style="12" customWidth="1"/>
    <col min="3" max="14" width="8" style="12" customWidth="1"/>
    <col min="15" max="15" width="11" style="12" customWidth="1"/>
    <col min="16" max="16" width="8.59765625" style="12" customWidth="1"/>
    <col min="17" max="28" width="8" style="12" customWidth="1"/>
    <col min="29" max="29" width="13" style="12" customWidth="1"/>
    <col min="30" max="42" width="8" style="12" customWidth="1"/>
    <col min="43" max="43" width="11" style="12" customWidth="1"/>
    <col min="44" max="44" width="8.59765625" style="12" customWidth="1"/>
    <col min="45" max="56" width="8" style="12" customWidth="1"/>
    <col min="57" max="57" width="11" style="12" customWidth="1"/>
    <col min="58" max="58" width="8.19921875" style="12" customWidth="1"/>
    <col min="59" max="70" width="8" style="12" customWidth="1"/>
    <col min="71" max="71" width="13" style="12" customWidth="1"/>
    <col min="72" max="84" width="8" style="12" customWidth="1"/>
    <col min="85" max="85" width="11" style="12" customWidth="1"/>
    <col min="86" max="86" width="9" style="12" customWidth="1"/>
    <col min="87" max="98" width="8" style="12" customWidth="1"/>
    <col min="99" max="99" width="11" style="12" customWidth="1"/>
    <col min="100" max="100" width="8.3984375" style="12" customWidth="1"/>
    <col min="101" max="112" width="8" style="12" customWidth="1"/>
    <col min="113" max="113" width="13" style="12" customWidth="1"/>
    <col min="114" max="126" width="8" style="12" customWidth="1"/>
    <col min="127" max="16384" width="7" style="12"/>
  </cols>
  <sheetData>
    <row r="1" spans="1:126" s="35" customFormat="1" ht="13" customHeight="1"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  <c r="CF1" s="117"/>
      <c r="DI1" s="117"/>
      <c r="DJ1" s="118"/>
      <c r="DK1" s="118"/>
      <c r="DL1" s="118"/>
      <c r="DM1" s="118"/>
      <c r="DN1" s="118"/>
      <c r="DO1" s="118"/>
      <c r="DP1" s="118"/>
      <c r="DQ1" s="118"/>
      <c r="DR1" s="118"/>
      <c r="DS1" s="118"/>
      <c r="DT1" s="118"/>
      <c r="DU1" s="118"/>
      <c r="DV1" s="118"/>
    </row>
    <row r="2" spans="1:126" s="668" customFormat="1" ht="15" customHeight="1">
      <c r="A2" s="667" t="s">
        <v>429</v>
      </c>
      <c r="B2" s="667"/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 t="s">
        <v>430</v>
      </c>
      <c r="P2" s="667"/>
      <c r="Q2" s="667"/>
      <c r="R2" s="667"/>
      <c r="S2" s="667"/>
      <c r="T2" s="667"/>
      <c r="U2" s="667"/>
      <c r="V2" s="667"/>
      <c r="W2" s="667"/>
      <c r="X2" s="667"/>
      <c r="Y2" s="667"/>
      <c r="Z2" s="667"/>
      <c r="AA2" s="667"/>
      <c r="AB2" s="667"/>
      <c r="AC2" s="667" t="s">
        <v>431</v>
      </c>
      <c r="AD2" s="667"/>
      <c r="AE2" s="667"/>
      <c r="AF2" s="667"/>
      <c r="AG2" s="667"/>
      <c r="AH2" s="667"/>
      <c r="AI2" s="667"/>
      <c r="AJ2" s="667"/>
      <c r="AK2" s="667"/>
      <c r="AL2" s="667"/>
      <c r="AM2" s="667"/>
      <c r="AN2" s="667"/>
      <c r="AO2" s="667"/>
      <c r="AP2" s="667"/>
      <c r="AQ2" s="667" t="s">
        <v>432</v>
      </c>
      <c r="AR2" s="667"/>
      <c r="AS2" s="667"/>
      <c r="AT2" s="667"/>
      <c r="AU2" s="667"/>
      <c r="AV2" s="667"/>
      <c r="AW2" s="667"/>
      <c r="AX2" s="667"/>
      <c r="AY2" s="667"/>
      <c r="AZ2" s="667"/>
      <c r="BA2" s="667"/>
      <c r="BB2" s="667"/>
      <c r="BC2" s="667"/>
      <c r="BD2" s="667"/>
      <c r="BE2" s="667" t="s">
        <v>433</v>
      </c>
      <c r="BF2" s="667"/>
      <c r="BG2" s="667"/>
      <c r="BH2" s="667"/>
      <c r="BI2" s="667"/>
      <c r="BJ2" s="667"/>
      <c r="BK2" s="667"/>
      <c r="BL2" s="667"/>
      <c r="BM2" s="667"/>
      <c r="BN2" s="667"/>
      <c r="BO2" s="667"/>
      <c r="BP2" s="667"/>
      <c r="BQ2" s="667"/>
      <c r="BR2" s="667"/>
      <c r="BS2" s="667" t="s">
        <v>434</v>
      </c>
      <c r="BT2" s="667"/>
      <c r="BU2" s="667"/>
      <c r="BV2" s="667"/>
      <c r="BW2" s="667"/>
      <c r="BX2" s="667"/>
      <c r="BY2" s="667"/>
      <c r="BZ2" s="667"/>
      <c r="CA2" s="667"/>
      <c r="CB2" s="667"/>
      <c r="CC2" s="667"/>
      <c r="CD2" s="667"/>
      <c r="CE2" s="667"/>
      <c r="CF2" s="667"/>
      <c r="CG2" s="667" t="s">
        <v>435</v>
      </c>
      <c r="CH2" s="667"/>
      <c r="CI2" s="667"/>
      <c r="CJ2" s="667"/>
      <c r="CK2" s="667"/>
      <c r="CL2" s="667"/>
      <c r="CM2" s="667"/>
      <c r="CN2" s="667"/>
      <c r="CO2" s="667"/>
      <c r="CP2" s="667"/>
      <c r="CQ2" s="667"/>
      <c r="CR2" s="667"/>
      <c r="CS2" s="667"/>
      <c r="CT2" s="667"/>
      <c r="CU2" s="667" t="s">
        <v>436</v>
      </c>
      <c r="CV2" s="667"/>
      <c r="CW2" s="667"/>
      <c r="CX2" s="667"/>
      <c r="CY2" s="667"/>
      <c r="CZ2" s="667"/>
      <c r="DA2" s="667"/>
      <c r="DB2" s="667"/>
      <c r="DC2" s="667"/>
      <c r="DD2" s="667"/>
      <c r="DE2" s="667"/>
      <c r="DF2" s="667"/>
      <c r="DG2" s="667"/>
      <c r="DH2" s="667"/>
      <c r="DI2" s="667" t="s">
        <v>463</v>
      </c>
      <c r="DJ2" s="667"/>
      <c r="DK2" s="667"/>
      <c r="DL2" s="667"/>
      <c r="DM2" s="667"/>
      <c r="DN2" s="667"/>
      <c r="DO2" s="667"/>
      <c r="DP2" s="667"/>
      <c r="DQ2" s="667"/>
      <c r="DR2" s="667"/>
      <c r="DS2" s="667"/>
      <c r="DT2" s="667"/>
      <c r="DU2" s="667"/>
      <c r="DV2" s="667"/>
    </row>
    <row r="3" spans="1:126" s="670" customFormat="1" ht="13" customHeight="1">
      <c r="A3" s="669" t="s">
        <v>325</v>
      </c>
      <c r="B3" s="669"/>
      <c r="C3" s="669"/>
      <c r="D3" s="669"/>
      <c r="E3" s="669"/>
      <c r="F3" s="669"/>
      <c r="G3" s="669"/>
      <c r="H3" s="669"/>
      <c r="I3" s="669"/>
      <c r="J3" s="669"/>
      <c r="K3" s="669"/>
      <c r="L3" s="669"/>
      <c r="M3" s="669"/>
      <c r="N3" s="669"/>
      <c r="O3" s="669" t="s">
        <v>319</v>
      </c>
      <c r="P3" s="669"/>
      <c r="Q3" s="669"/>
      <c r="R3" s="669"/>
      <c r="S3" s="669"/>
      <c r="T3" s="669"/>
      <c r="U3" s="669"/>
      <c r="V3" s="669"/>
      <c r="W3" s="669"/>
      <c r="X3" s="669"/>
      <c r="Y3" s="669"/>
      <c r="Z3" s="669"/>
      <c r="AA3" s="669"/>
      <c r="AB3" s="669"/>
      <c r="AC3" s="669" t="s">
        <v>595</v>
      </c>
      <c r="AD3" s="669"/>
      <c r="AE3" s="669"/>
      <c r="AF3" s="669"/>
      <c r="AG3" s="669"/>
      <c r="AH3" s="669"/>
      <c r="AI3" s="669"/>
      <c r="AJ3" s="669"/>
      <c r="AK3" s="669"/>
      <c r="AL3" s="669"/>
      <c r="AM3" s="669"/>
      <c r="AN3" s="669"/>
      <c r="AO3" s="669"/>
      <c r="AP3" s="669"/>
      <c r="AQ3" s="669" t="s">
        <v>428</v>
      </c>
      <c r="AR3" s="669"/>
      <c r="AS3" s="669"/>
      <c r="AT3" s="669"/>
      <c r="AU3" s="669"/>
      <c r="AV3" s="669"/>
      <c r="AW3" s="669"/>
      <c r="AX3" s="669"/>
      <c r="AY3" s="669"/>
      <c r="AZ3" s="669"/>
      <c r="BA3" s="669"/>
      <c r="BB3" s="669"/>
      <c r="BC3" s="669"/>
      <c r="BD3" s="669"/>
      <c r="BE3" s="669" t="s">
        <v>319</v>
      </c>
      <c r="BF3" s="669"/>
      <c r="BG3" s="669"/>
      <c r="BH3" s="669"/>
      <c r="BI3" s="669"/>
      <c r="BJ3" s="669"/>
      <c r="BK3" s="669"/>
      <c r="BL3" s="669"/>
      <c r="BM3" s="669"/>
      <c r="BN3" s="669"/>
      <c r="BO3" s="669"/>
      <c r="BP3" s="669"/>
      <c r="BQ3" s="669"/>
      <c r="BR3" s="669"/>
      <c r="BS3" s="669" t="s">
        <v>595</v>
      </c>
      <c r="BT3" s="669"/>
      <c r="BU3" s="669"/>
      <c r="BV3" s="669"/>
      <c r="BW3" s="669"/>
      <c r="BX3" s="669"/>
      <c r="BY3" s="669"/>
      <c r="BZ3" s="669"/>
      <c r="CA3" s="669"/>
      <c r="CB3" s="669"/>
      <c r="CC3" s="669"/>
      <c r="CD3" s="669"/>
      <c r="CE3" s="669"/>
      <c r="CF3" s="669"/>
      <c r="CG3" s="669" t="s">
        <v>428</v>
      </c>
      <c r="CH3" s="669"/>
      <c r="CI3" s="669"/>
      <c r="CJ3" s="669"/>
      <c r="CK3" s="669"/>
      <c r="CL3" s="669"/>
      <c r="CM3" s="669"/>
      <c r="CN3" s="669"/>
      <c r="CO3" s="669"/>
      <c r="CP3" s="669"/>
      <c r="CQ3" s="669"/>
      <c r="CR3" s="669"/>
      <c r="CS3" s="669"/>
      <c r="CT3" s="669"/>
      <c r="CU3" s="669" t="s">
        <v>319</v>
      </c>
      <c r="CV3" s="669"/>
      <c r="CW3" s="669"/>
      <c r="CX3" s="669"/>
      <c r="CY3" s="669"/>
      <c r="CZ3" s="669"/>
      <c r="DA3" s="669"/>
      <c r="DB3" s="669"/>
      <c r="DC3" s="669"/>
      <c r="DD3" s="669"/>
      <c r="DE3" s="669"/>
      <c r="DF3" s="669"/>
      <c r="DG3" s="669"/>
      <c r="DH3" s="669"/>
      <c r="DI3" s="669" t="s">
        <v>595</v>
      </c>
      <c r="DJ3" s="669"/>
      <c r="DK3" s="669"/>
      <c r="DL3" s="669"/>
      <c r="DM3" s="669"/>
      <c r="DN3" s="669"/>
      <c r="DO3" s="669"/>
      <c r="DP3" s="669"/>
      <c r="DQ3" s="669"/>
      <c r="DR3" s="669"/>
      <c r="DS3" s="669"/>
      <c r="DT3" s="669"/>
      <c r="DU3" s="669"/>
      <c r="DV3" s="669"/>
    </row>
    <row r="4" spans="1:126" ht="4" customHeight="1" thickBot="1">
      <c r="A4" s="3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2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2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2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2"/>
      <c r="DJ4" s="243"/>
      <c r="DK4" s="243"/>
      <c r="DL4" s="243"/>
      <c r="DM4" s="243"/>
      <c r="DN4" s="243"/>
      <c r="DO4" s="243"/>
      <c r="DP4" s="243"/>
      <c r="DQ4" s="243"/>
      <c r="DR4" s="243"/>
      <c r="DS4" s="243"/>
      <c r="DT4" s="243"/>
      <c r="DU4" s="243"/>
      <c r="DV4" s="243"/>
    </row>
    <row r="5" spans="1:126" s="34" customFormat="1" ht="15" customHeight="1">
      <c r="A5" s="665" t="s">
        <v>18</v>
      </c>
      <c r="B5" s="666" t="s">
        <v>118</v>
      </c>
      <c r="C5" s="666" t="s">
        <v>57</v>
      </c>
      <c r="D5" s="666" t="s">
        <v>58</v>
      </c>
      <c r="E5" s="666" t="s">
        <v>59</v>
      </c>
      <c r="F5" s="666" t="s">
        <v>60</v>
      </c>
      <c r="G5" s="666" t="s">
        <v>61</v>
      </c>
      <c r="H5" s="666" t="s">
        <v>62</v>
      </c>
      <c r="I5" s="666" t="s">
        <v>63</v>
      </c>
      <c r="J5" s="666" t="s">
        <v>64</v>
      </c>
      <c r="K5" s="666" t="s">
        <v>65</v>
      </c>
      <c r="L5" s="666" t="s">
        <v>66</v>
      </c>
      <c r="M5" s="666" t="s">
        <v>67</v>
      </c>
      <c r="N5" s="666" t="s">
        <v>68</v>
      </c>
      <c r="O5" s="665" t="s">
        <v>18</v>
      </c>
      <c r="P5" s="666" t="s">
        <v>118</v>
      </c>
      <c r="Q5" s="666" t="s">
        <v>57</v>
      </c>
      <c r="R5" s="666" t="s">
        <v>58</v>
      </c>
      <c r="S5" s="666" t="s">
        <v>59</v>
      </c>
      <c r="T5" s="666" t="s">
        <v>60</v>
      </c>
      <c r="U5" s="666" t="s">
        <v>61</v>
      </c>
      <c r="V5" s="666" t="s">
        <v>62</v>
      </c>
      <c r="W5" s="666" t="s">
        <v>63</v>
      </c>
      <c r="X5" s="666" t="s">
        <v>64</v>
      </c>
      <c r="Y5" s="666" t="s">
        <v>65</v>
      </c>
      <c r="Z5" s="666" t="s">
        <v>66</v>
      </c>
      <c r="AA5" s="666" t="s">
        <v>67</v>
      </c>
      <c r="AB5" s="666" t="s">
        <v>68</v>
      </c>
      <c r="AC5" s="665" t="s">
        <v>18</v>
      </c>
      <c r="AD5" s="666" t="s">
        <v>118</v>
      </c>
      <c r="AE5" s="666" t="s">
        <v>57</v>
      </c>
      <c r="AF5" s="666" t="s">
        <v>58</v>
      </c>
      <c r="AG5" s="666" t="s">
        <v>59</v>
      </c>
      <c r="AH5" s="666" t="s">
        <v>60</v>
      </c>
      <c r="AI5" s="666" t="s">
        <v>61</v>
      </c>
      <c r="AJ5" s="666" t="s">
        <v>62</v>
      </c>
      <c r="AK5" s="666" t="s">
        <v>63</v>
      </c>
      <c r="AL5" s="666" t="s">
        <v>64</v>
      </c>
      <c r="AM5" s="666" t="s">
        <v>65</v>
      </c>
      <c r="AN5" s="666" t="s">
        <v>66</v>
      </c>
      <c r="AO5" s="666" t="s">
        <v>67</v>
      </c>
      <c r="AP5" s="666" t="s">
        <v>68</v>
      </c>
      <c r="AQ5" s="665" t="s">
        <v>18</v>
      </c>
      <c r="AR5" s="666" t="s">
        <v>118</v>
      </c>
      <c r="AS5" s="666" t="s">
        <v>57</v>
      </c>
      <c r="AT5" s="666" t="s">
        <v>58</v>
      </c>
      <c r="AU5" s="666" t="s">
        <v>59</v>
      </c>
      <c r="AV5" s="666" t="s">
        <v>60</v>
      </c>
      <c r="AW5" s="666" t="s">
        <v>61</v>
      </c>
      <c r="AX5" s="666" t="s">
        <v>62</v>
      </c>
      <c r="AY5" s="666" t="s">
        <v>63</v>
      </c>
      <c r="AZ5" s="666" t="s">
        <v>64</v>
      </c>
      <c r="BA5" s="666" t="s">
        <v>65</v>
      </c>
      <c r="BB5" s="666" t="s">
        <v>66</v>
      </c>
      <c r="BC5" s="666" t="s">
        <v>67</v>
      </c>
      <c r="BD5" s="666" t="s">
        <v>68</v>
      </c>
      <c r="BE5" s="665" t="s">
        <v>18</v>
      </c>
      <c r="BF5" s="666" t="s">
        <v>118</v>
      </c>
      <c r="BG5" s="666" t="s">
        <v>57</v>
      </c>
      <c r="BH5" s="666" t="s">
        <v>58</v>
      </c>
      <c r="BI5" s="666" t="s">
        <v>59</v>
      </c>
      <c r="BJ5" s="666" t="s">
        <v>60</v>
      </c>
      <c r="BK5" s="666" t="s">
        <v>61</v>
      </c>
      <c r="BL5" s="666" t="s">
        <v>62</v>
      </c>
      <c r="BM5" s="666" t="s">
        <v>63</v>
      </c>
      <c r="BN5" s="666" t="s">
        <v>64</v>
      </c>
      <c r="BO5" s="666" t="s">
        <v>65</v>
      </c>
      <c r="BP5" s="666" t="s">
        <v>66</v>
      </c>
      <c r="BQ5" s="666" t="s">
        <v>67</v>
      </c>
      <c r="BR5" s="666" t="s">
        <v>68</v>
      </c>
      <c r="BS5" s="665" t="s">
        <v>18</v>
      </c>
      <c r="BT5" s="666" t="s">
        <v>118</v>
      </c>
      <c r="BU5" s="666" t="s">
        <v>57</v>
      </c>
      <c r="BV5" s="666" t="s">
        <v>58</v>
      </c>
      <c r="BW5" s="666" t="s">
        <v>59</v>
      </c>
      <c r="BX5" s="666" t="s">
        <v>60</v>
      </c>
      <c r="BY5" s="666" t="s">
        <v>61</v>
      </c>
      <c r="BZ5" s="666" t="s">
        <v>62</v>
      </c>
      <c r="CA5" s="666" t="s">
        <v>63</v>
      </c>
      <c r="CB5" s="666" t="s">
        <v>64</v>
      </c>
      <c r="CC5" s="666" t="s">
        <v>65</v>
      </c>
      <c r="CD5" s="666" t="s">
        <v>66</v>
      </c>
      <c r="CE5" s="666" t="s">
        <v>67</v>
      </c>
      <c r="CF5" s="666" t="s">
        <v>68</v>
      </c>
      <c r="CG5" s="665" t="s">
        <v>18</v>
      </c>
      <c r="CH5" s="666" t="s">
        <v>118</v>
      </c>
      <c r="CI5" s="666" t="s">
        <v>57</v>
      </c>
      <c r="CJ5" s="666" t="s">
        <v>58</v>
      </c>
      <c r="CK5" s="666" t="s">
        <v>59</v>
      </c>
      <c r="CL5" s="666" t="s">
        <v>60</v>
      </c>
      <c r="CM5" s="666" t="s">
        <v>61</v>
      </c>
      <c r="CN5" s="666" t="s">
        <v>62</v>
      </c>
      <c r="CO5" s="666" t="s">
        <v>63</v>
      </c>
      <c r="CP5" s="666" t="s">
        <v>64</v>
      </c>
      <c r="CQ5" s="666" t="s">
        <v>65</v>
      </c>
      <c r="CR5" s="666" t="s">
        <v>66</v>
      </c>
      <c r="CS5" s="666" t="s">
        <v>67</v>
      </c>
      <c r="CT5" s="666" t="s">
        <v>68</v>
      </c>
      <c r="CU5" s="665" t="s">
        <v>18</v>
      </c>
      <c r="CV5" s="666" t="s">
        <v>118</v>
      </c>
      <c r="CW5" s="666" t="s">
        <v>57</v>
      </c>
      <c r="CX5" s="666" t="s">
        <v>58</v>
      </c>
      <c r="CY5" s="666" t="s">
        <v>59</v>
      </c>
      <c r="CZ5" s="666" t="s">
        <v>60</v>
      </c>
      <c r="DA5" s="666" t="s">
        <v>61</v>
      </c>
      <c r="DB5" s="666" t="s">
        <v>62</v>
      </c>
      <c r="DC5" s="666" t="s">
        <v>63</v>
      </c>
      <c r="DD5" s="666" t="s">
        <v>64</v>
      </c>
      <c r="DE5" s="666" t="s">
        <v>65</v>
      </c>
      <c r="DF5" s="666" t="s">
        <v>66</v>
      </c>
      <c r="DG5" s="666" t="s">
        <v>67</v>
      </c>
      <c r="DH5" s="666" t="s">
        <v>68</v>
      </c>
      <c r="DI5" s="665" t="s">
        <v>18</v>
      </c>
      <c r="DJ5" s="666" t="s">
        <v>118</v>
      </c>
      <c r="DK5" s="666" t="s">
        <v>57</v>
      </c>
      <c r="DL5" s="666" t="s">
        <v>58</v>
      </c>
      <c r="DM5" s="666" t="s">
        <v>59</v>
      </c>
      <c r="DN5" s="666" t="s">
        <v>60</v>
      </c>
      <c r="DO5" s="666" t="s">
        <v>61</v>
      </c>
      <c r="DP5" s="666" t="s">
        <v>62</v>
      </c>
      <c r="DQ5" s="666" t="s">
        <v>63</v>
      </c>
      <c r="DR5" s="666" t="s">
        <v>64</v>
      </c>
      <c r="DS5" s="666" t="s">
        <v>65</v>
      </c>
      <c r="DT5" s="666" t="s">
        <v>66</v>
      </c>
      <c r="DU5" s="666" t="s">
        <v>67</v>
      </c>
      <c r="DV5" s="666" t="s">
        <v>68</v>
      </c>
    </row>
    <row r="6" spans="1:126" s="34" customFormat="1" ht="15" customHeight="1">
      <c r="A6" s="664" t="s">
        <v>119</v>
      </c>
      <c r="B6" s="677">
        <f>SUM(C6:N6)</f>
        <v>699005</v>
      </c>
      <c r="C6" s="678">
        <f>C8+C9+C10+C11+C12+C16+C17+C18+C19+C20+C21+C22+C23+C24+C25+C26+C27+C28+C31+C32+C33+C34+C35+C36</f>
        <v>55854</v>
      </c>
      <c r="D6" s="678">
        <f t="shared" ref="D6:N6" si="0">D8+D9+D10+D11+D12+D16+D17+D18+D19+D20+D21+D22+D23+D24+D25+D26+D27+D28+D31+D32+D33+D34+D35+D36</f>
        <v>57113</v>
      </c>
      <c r="E6" s="678">
        <f t="shared" si="0"/>
        <v>56289</v>
      </c>
      <c r="F6" s="678">
        <f t="shared" si="0"/>
        <v>52978</v>
      </c>
      <c r="G6" s="678">
        <f t="shared" si="0"/>
        <v>53513</v>
      </c>
      <c r="H6" s="678">
        <f t="shared" si="0"/>
        <v>55602</v>
      </c>
      <c r="I6" s="678">
        <f t="shared" si="0"/>
        <v>60209</v>
      </c>
      <c r="J6" s="678">
        <f t="shared" si="0"/>
        <v>64092</v>
      </c>
      <c r="K6" s="678">
        <f t="shared" si="0"/>
        <v>60678</v>
      </c>
      <c r="L6" s="678">
        <f t="shared" si="0"/>
        <v>62357</v>
      </c>
      <c r="M6" s="678">
        <f t="shared" si="0"/>
        <v>57551</v>
      </c>
      <c r="N6" s="678">
        <f t="shared" si="0"/>
        <v>62769</v>
      </c>
      <c r="O6" s="664" t="s">
        <v>119</v>
      </c>
      <c r="P6" s="707">
        <f>SUM(Q6:AB6)</f>
        <v>10052</v>
      </c>
      <c r="Q6" s="708">
        <f>Q8+Q9+Q10+Q11+Q12+Q16+Q17+Q18+Q19+Q20+Q21+Q22+Q23+Q24+Q25+Q26+Q27+Q28+Q31+Q32+Q33+Q34+Q35+Q36</f>
        <v>806</v>
      </c>
      <c r="R6" s="708">
        <f t="shared" ref="R6:AB6" si="1">R8+R9+R10+R11+R12+R16+R17+R18+R19+R20+R21+R22+R23+R24+R25+R26+R27+R28+R31+R32+R33+R34+R35+R36</f>
        <v>818</v>
      </c>
      <c r="S6" s="708">
        <f t="shared" si="1"/>
        <v>814</v>
      </c>
      <c r="T6" s="708">
        <f t="shared" si="1"/>
        <v>784</v>
      </c>
      <c r="U6" s="708">
        <f t="shared" si="1"/>
        <v>778</v>
      </c>
      <c r="V6" s="708">
        <f t="shared" si="1"/>
        <v>811</v>
      </c>
      <c r="W6" s="708">
        <f t="shared" si="1"/>
        <v>871</v>
      </c>
      <c r="X6" s="708">
        <f t="shared" si="1"/>
        <v>926</v>
      </c>
      <c r="Y6" s="708">
        <f t="shared" si="1"/>
        <v>880</v>
      </c>
      <c r="Z6" s="708">
        <f t="shared" si="1"/>
        <v>883</v>
      </c>
      <c r="AA6" s="708">
        <f t="shared" si="1"/>
        <v>817</v>
      </c>
      <c r="AB6" s="708">
        <f t="shared" si="1"/>
        <v>864</v>
      </c>
      <c r="AC6" s="664" t="s">
        <v>120</v>
      </c>
      <c r="AD6" s="706">
        <f>(P6/B6)*1000</f>
        <v>14.380440769379332</v>
      </c>
      <c r="AE6" s="706">
        <f t="shared" ref="AE6:AP6" si="2">(Q6/C6)*1000</f>
        <v>14.430479464317687</v>
      </c>
      <c r="AF6" s="706">
        <f t="shared" si="2"/>
        <v>14.322483497627511</v>
      </c>
      <c r="AG6" s="706">
        <f t="shared" si="2"/>
        <v>14.461084759011531</v>
      </c>
      <c r="AH6" s="706">
        <f t="shared" si="2"/>
        <v>14.79859564347465</v>
      </c>
      <c r="AI6" s="706">
        <f t="shared" si="2"/>
        <v>14.538523349466484</v>
      </c>
      <c r="AJ6" s="706">
        <f t="shared" si="2"/>
        <v>14.585806265961656</v>
      </c>
      <c r="AK6" s="706">
        <f t="shared" si="2"/>
        <v>14.466275805942633</v>
      </c>
      <c r="AL6" s="706">
        <f t="shared" si="2"/>
        <v>14.447981027273295</v>
      </c>
      <c r="AM6" s="706">
        <f t="shared" si="2"/>
        <v>14.502785193974752</v>
      </c>
      <c r="AN6" s="706">
        <f t="shared" si="2"/>
        <v>14.160398992895747</v>
      </c>
      <c r="AO6" s="706">
        <f t="shared" si="2"/>
        <v>14.196104324859689</v>
      </c>
      <c r="AP6" s="706">
        <f t="shared" si="2"/>
        <v>13.764756488075324</v>
      </c>
      <c r="AQ6" s="664" t="s">
        <v>119</v>
      </c>
      <c r="AR6" s="321">
        <f>SUM(AS6:BD6)</f>
        <v>2101612</v>
      </c>
      <c r="AS6" s="698">
        <f t="shared" ref="AS6:BD6" si="3">AS8+AS9+AS10+AS11+AS12+AS16+AS17+AS18+AS19+AS20+AS21+AS22+AS23+AS24+AS25+AS26+AS27+AS28+AS31+AS32+AS33+AS34+AS35+AS36</f>
        <v>153878</v>
      </c>
      <c r="AT6" s="698">
        <f t="shared" si="3"/>
        <v>146854</v>
      </c>
      <c r="AU6" s="698">
        <f t="shared" si="3"/>
        <v>149406</v>
      </c>
      <c r="AV6" s="698">
        <f t="shared" si="3"/>
        <v>165820</v>
      </c>
      <c r="AW6" s="698">
        <f t="shared" si="3"/>
        <v>177930</v>
      </c>
      <c r="AX6" s="698">
        <f t="shared" si="3"/>
        <v>166674</v>
      </c>
      <c r="AY6" s="698">
        <f t="shared" si="3"/>
        <v>178776</v>
      </c>
      <c r="AZ6" s="698">
        <f t="shared" si="3"/>
        <v>191045</v>
      </c>
      <c r="BA6" s="698">
        <f t="shared" si="3"/>
        <v>176095</v>
      </c>
      <c r="BB6" s="698">
        <f t="shared" si="3"/>
        <v>191688</v>
      </c>
      <c r="BC6" s="698">
        <f t="shared" si="3"/>
        <v>175397</v>
      </c>
      <c r="BD6" s="698">
        <f t="shared" si="3"/>
        <v>228049</v>
      </c>
      <c r="BE6" s="664" t="s">
        <v>119</v>
      </c>
      <c r="BF6" s="677">
        <f>SUM(BG6:BR6)</f>
        <v>141559</v>
      </c>
      <c r="BG6" s="678">
        <f t="shared" ref="BG6:BR6" si="4">BG8+BG9+BG10+BG11+BG12+BG16+BG17+BG18+BG19+BG20+BG21+BG22+BG23+BG24+BG25+BG26+BG27+BG28+BG31+BG32+BG33+BG34+BG35+BG36</f>
        <v>10352</v>
      </c>
      <c r="BH6" s="678">
        <f t="shared" si="4"/>
        <v>9835</v>
      </c>
      <c r="BI6" s="678">
        <f t="shared" si="4"/>
        <v>10100</v>
      </c>
      <c r="BJ6" s="678">
        <f t="shared" si="4"/>
        <v>11352</v>
      </c>
      <c r="BK6" s="678">
        <f t="shared" si="4"/>
        <v>11879</v>
      </c>
      <c r="BL6" s="678">
        <f t="shared" si="4"/>
        <v>11003</v>
      </c>
      <c r="BM6" s="678">
        <f t="shared" si="4"/>
        <v>11875</v>
      </c>
      <c r="BN6" s="678">
        <f t="shared" si="4"/>
        <v>13075</v>
      </c>
      <c r="BO6" s="678">
        <f t="shared" si="4"/>
        <v>12097</v>
      </c>
      <c r="BP6" s="678">
        <f t="shared" si="4"/>
        <v>13170</v>
      </c>
      <c r="BQ6" s="678">
        <f t="shared" si="4"/>
        <v>11929</v>
      </c>
      <c r="BR6" s="678">
        <f t="shared" si="4"/>
        <v>14892</v>
      </c>
      <c r="BS6" s="664" t="s">
        <v>120</v>
      </c>
      <c r="BT6" s="672">
        <f>(BF6/AR6)*1000</f>
        <v>67.357342839686865</v>
      </c>
      <c r="BU6" s="672">
        <f t="shared" ref="BU6:CF6" si="5">(BG6/AS6)*1000</f>
        <v>67.274074266626812</v>
      </c>
      <c r="BV6" s="672">
        <f t="shared" si="5"/>
        <v>66.971277595434913</v>
      </c>
      <c r="BW6" s="672">
        <f t="shared" si="5"/>
        <v>67.6010334256991</v>
      </c>
      <c r="BX6" s="672">
        <f t="shared" si="5"/>
        <v>68.459775660354609</v>
      </c>
      <c r="BY6" s="672">
        <f t="shared" si="5"/>
        <v>66.762209857809253</v>
      </c>
      <c r="BZ6" s="672">
        <f t="shared" si="5"/>
        <v>66.015095335805228</v>
      </c>
      <c r="CA6" s="672">
        <f t="shared" si="5"/>
        <v>66.423904774690115</v>
      </c>
      <c r="CB6" s="672">
        <f t="shared" si="5"/>
        <v>68.439372922609863</v>
      </c>
      <c r="CC6" s="672">
        <f t="shared" si="5"/>
        <v>68.695874385984837</v>
      </c>
      <c r="CD6" s="672">
        <f t="shared" si="5"/>
        <v>68.705396268937022</v>
      </c>
      <c r="CE6" s="672">
        <f t="shared" si="5"/>
        <v>68.011425508988182</v>
      </c>
      <c r="CF6" s="672">
        <f t="shared" si="5"/>
        <v>65.301755324513579</v>
      </c>
      <c r="CG6" s="664" t="s">
        <v>119</v>
      </c>
      <c r="CH6" s="677">
        <f>SUM(CI6:CT6)</f>
        <v>1027182</v>
      </c>
      <c r="CI6" s="678">
        <f t="shared" ref="CI6:CT6" si="6">CI8+CI9+CI10+CI11+CI12+CI16+CI17+CI18+CI19+CI20+CI21+CI22+CI23+CI24+CI25+CI26+CI27+CI28+CI31+CI32+CI33+CI34+CI35+CI36</f>
        <v>83113</v>
      </c>
      <c r="CJ6" s="678">
        <f t="shared" si="6"/>
        <v>79444</v>
      </c>
      <c r="CK6" s="678">
        <f t="shared" si="6"/>
        <v>84010</v>
      </c>
      <c r="CL6" s="678">
        <f t="shared" si="6"/>
        <v>85548</v>
      </c>
      <c r="CM6" s="678">
        <f t="shared" si="6"/>
        <v>86789</v>
      </c>
      <c r="CN6" s="678">
        <f t="shared" si="6"/>
        <v>86511</v>
      </c>
      <c r="CO6" s="678">
        <f t="shared" si="6"/>
        <v>90635</v>
      </c>
      <c r="CP6" s="678">
        <f t="shared" si="6"/>
        <v>91919</v>
      </c>
      <c r="CQ6" s="678">
        <f t="shared" si="6"/>
        <v>86742</v>
      </c>
      <c r="CR6" s="678">
        <f t="shared" si="6"/>
        <v>87340</v>
      </c>
      <c r="CS6" s="678">
        <f t="shared" si="6"/>
        <v>81672</v>
      </c>
      <c r="CT6" s="678">
        <f t="shared" si="6"/>
        <v>83459</v>
      </c>
      <c r="CU6" s="664" t="s">
        <v>119</v>
      </c>
      <c r="CV6" s="677">
        <f>SUM(CW6:DH6)</f>
        <v>192647</v>
      </c>
      <c r="CW6" s="678">
        <f t="shared" ref="CW6:DH6" si="7">CW8+CW9+CW10+CW11+CW12+CW16+CW17+CW18+CW19+CW20+CW21+CW22+CW23+CW24+CW25+CW26+CW27+CW28+CW31+CW32+CW33+CW34+CW35+CW36</f>
        <v>15537</v>
      </c>
      <c r="CX6" s="678">
        <f t="shared" si="7"/>
        <v>14906</v>
      </c>
      <c r="CY6" s="678">
        <f t="shared" si="7"/>
        <v>15676</v>
      </c>
      <c r="CZ6" s="678">
        <f t="shared" si="7"/>
        <v>16055</v>
      </c>
      <c r="DA6" s="678">
        <f t="shared" si="7"/>
        <v>16242</v>
      </c>
      <c r="DB6" s="678">
        <f t="shared" si="7"/>
        <v>16222</v>
      </c>
      <c r="DC6" s="678">
        <f t="shared" si="7"/>
        <v>17138</v>
      </c>
      <c r="DD6" s="678">
        <f t="shared" si="7"/>
        <v>17272</v>
      </c>
      <c r="DE6" s="678">
        <f t="shared" si="7"/>
        <v>16339</v>
      </c>
      <c r="DF6" s="678">
        <f t="shared" si="7"/>
        <v>16554</v>
      </c>
      <c r="DG6" s="678">
        <f t="shared" si="7"/>
        <v>15483</v>
      </c>
      <c r="DH6" s="678">
        <f t="shared" si="7"/>
        <v>15223</v>
      </c>
      <c r="DI6" s="664" t="s">
        <v>120</v>
      </c>
      <c r="DJ6" s="672">
        <f>(CV6/CH6)*1000</f>
        <v>187.54904194193435</v>
      </c>
      <c r="DK6" s="672">
        <f t="shared" ref="DK6:DV6" si="8">(CW6/CI6)*1000</f>
        <v>186.93826477205732</v>
      </c>
      <c r="DL6" s="672">
        <f t="shared" si="8"/>
        <v>187.62902170082072</v>
      </c>
      <c r="DM6" s="672">
        <f t="shared" si="8"/>
        <v>186.59683371027259</v>
      </c>
      <c r="DN6" s="672">
        <f t="shared" si="8"/>
        <v>187.67241782391173</v>
      </c>
      <c r="DO6" s="672">
        <f t="shared" si="8"/>
        <v>187.1435320144258</v>
      </c>
      <c r="DP6" s="672">
        <f t="shared" si="8"/>
        <v>187.51372657812303</v>
      </c>
      <c r="DQ6" s="672">
        <f t="shared" si="8"/>
        <v>189.08810062337949</v>
      </c>
      <c r="DR6" s="672">
        <f t="shared" si="8"/>
        <v>187.90456815239503</v>
      </c>
      <c r="DS6" s="672">
        <f t="shared" si="8"/>
        <v>188.3631919946508</v>
      </c>
      <c r="DT6" s="672">
        <f t="shared" si="8"/>
        <v>189.5351499885505</v>
      </c>
      <c r="DU6" s="672">
        <f t="shared" si="8"/>
        <v>189.57537466940934</v>
      </c>
      <c r="DV6" s="672">
        <f t="shared" si="8"/>
        <v>182.40093938340982</v>
      </c>
    </row>
    <row r="7" spans="1:126" ht="1" customHeight="1">
      <c r="B7" s="681"/>
      <c r="C7" s="680"/>
      <c r="D7" s="680"/>
      <c r="E7" s="680"/>
      <c r="F7" s="680"/>
      <c r="G7" s="680"/>
      <c r="H7" s="680"/>
      <c r="I7" s="680"/>
      <c r="J7" s="680"/>
      <c r="K7" s="680"/>
      <c r="L7" s="680"/>
      <c r="M7" s="680"/>
      <c r="N7" s="680"/>
      <c r="O7" s="35"/>
      <c r="P7" s="711"/>
      <c r="Q7" s="709"/>
      <c r="R7" s="709"/>
      <c r="S7" s="709"/>
      <c r="T7" s="709"/>
      <c r="U7" s="709"/>
      <c r="V7" s="709"/>
      <c r="W7" s="709"/>
      <c r="X7" s="709"/>
      <c r="Y7" s="709"/>
      <c r="Z7" s="709"/>
      <c r="AA7" s="709"/>
      <c r="AB7" s="709"/>
      <c r="AC7" s="35"/>
      <c r="AD7" s="689"/>
      <c r="AE7" s="687"/>
      <c r="AF7" s="687"/>
      <c r="AG7" s="687"/>
      <c r="AH7" s="687"/>
      <c r="AI7" s="687"/>
      <c r="AJ7" s="687"/>
      <c r="AK7" s="687"/>
      <c r="AL7" s="687"/>
      <c r="AM7" s="687"/>
      <c r="AN7" s="687"/>
      <c r="AO7" s="687"/>
      <c r="AP7" s="687"/>
      <c r="AQ7" s="35"/>
      <c r="AR7" s="699"/>
      <c r="AS7" s="700"/>
      <c r="AT7" s="700"/>
      <c r="AU7" s="700"/>
      <c r="AV7" s="700"/>
      <c r="AW7" s="700"/>
      <c r="AX7" s="700"/>
      <c r="AY7" s="700"/>
      <c r="AZ7" s="700"/>
      <c r="BA7" s="700"/>
      <c r="BB7" s="700"/>
      <c r="BC7" s="700"/>
      <c r="BD7" s="700"/>
      <c r="BE7" s="35"/>
      <c r="BF7" s="681"/>
      <c r="BG7" s="680"/>
      <c r="BH7" s="680"/>
      <c r="BI7" s="680"/>
      <c r="BJ7" s="680"/>
      <c r="BK7" s="680"/>
      <c r="BL7" s="680"/>
      <c r="BM7" s="680"/>
      <c r="BN7" s="680"/>
      <c r="BO7" s="680"/>
      <c r="BP7" s="680"/>
      <c r="BQ7" s="680"/>
      <c r="BR7" s="680"/>
      <c r="BS7" s="35"/>
      <c r="BT7" s="692"/>
      <c r="BU7" s="684"/>
      <c r="BV7" s="684"/>
      <c r="BW7" s="684"/>
      <c r="BX7" s="684"/>
      <c r="BY7" s="684"/>
      <c r="BZ7" s="684"/>
      <c r="CA7" s="684"/>
      <c r="CB7" s="684"/>
      <c r="CC7" s="684"/>
      <c r="CD7" s="684"/>
      <c r="CE7" s="684"/>
      <c r="CF7" s="684"/>
      <c r="CG7" s="35"/>
      <c r="CH7" s="681"/>
      <c r="CI7" s="680"/>
      <c r="CJ7" s="680"/>
      <c r="CK7" s="680"/>
      <c r="CL7" s="680"/>
      <c r="CM7" s="680"/>
      <c r="CN7" s="680"/>
      <c r="CO7" s="680"/>
      <c r="CP7" s="680"/>
      <c r="CQ7" s="680"/>
      <c r="CR7" s="680"/>
      <c r="CS7" s="680"/>
      <c r="CT7" s="680"/>
      <c r="CU7" s="35"/>
      <c r="CV7" s="679"/>
      <c r="CW7" s="680"/>
      <c r="CX7" s="680"/>
      <c r="CY7" s="680"/>
      <c r="CZ7" s="680"/>
      <c r="DA7" s="680"/>
      <c r="DB7" s="680"/>
      <c r="DC7" s="680"/>
      <c r="DD7" s="680"/>
      <c r="DE7" s="680"/>
      <c r="DF7" s="680"/>
      <c r="DG7" s="680"/>
      <c r="DH7" s="680"/>
      <c r="DJ7" s="691"/>
      <c r="DK7" s="673"/>
      <c r="DL7" s="673"/>
      <c r="DM7" s="673"/>
      <c r="DN7" s="673"/>
      <c r="DO7" s="673"/>
      <c r="DP7" s="673"/>
      <c r="DQ7" s="673"/>
      <c r="DR7" s="673"/>
      <c r="DS7" s="673"/>
      <c r="DT7" s="673"/>
      <c r="DU7" s="673"/>
      <c r="DV7" s="673"/>
    </row>
    <row r="8" spans="1:126" ht="12.25" customHeight="1">
      <c r="A8" s="671" t="s">
        <v>437</v>
      </c>
      <c r="B8" s="681">
        <f>SUM(C8:N8)</f>
        <v>630</v>
      </c>
      <c r="C8" s="680">
        <v>62</v>
      </c>
      <c r="D8" s="680">
        <v>56</v>
      </c>
      <c r="E8" s="680">
        <v>44</v>
      </c>
      <c r="F8" s="680">
        <v>52</v>
      </c>
      <c r="G8" s="680">
        <v>53</v>
      </c>
      <c r="H8" s="680">
        <v>61</v>
      </c>
      <c r="I8" s="680">
        <v>57</v>
      </c>
      <c r="J8" s="680">
        <v>47</v>
      </c>
      <c r="K8" s="680">
        <v>54</v>
      </c>
      <c r="L8" s="680">
        <v>55</v>
      </c>
      <c r="M8" s="680">
        <v>44</v>
      </c>
      <c r="N8" s="680">
        <v>45</v>
      </c>
      <c r="O8" s="671" t="s">
        <v>437</v>
      </c>
      <c r="P8" s="711">
        <f>SUM(Q8:AB8)</f>
        <v>12</v>
      </c>
      <c r="Q8" s="709">
        <v>1</v>
      </c>
      <c r="R8" s="709">
        <v>1</v>
      </c>
      <c r="S8" s="709">
        <v>1</v>
      </c>
      <c r="T8" s="709">
        <v>1</v>
      </c>
      <c r="U8" s="709">
        <v>1</v>
      </c>
      <c r="V8" s="709">
        <v>1</v>
      </c>
      <c r="W8" s="709">
        <v>1</v>
      </c>
      <c r="X8" s="709">
        <v>1</v>
      </c>
      <c r="Y8" s="709">
        <v>1</v>
      </c>
      <c r="Z8" s="709">
        <v>1</v>
      </c>
      <c r="AA8" s="709">
        <v>1</v>
      </c>
      <c r="AB8" s="709">
        <v>1</v>
      </c>
      <c r="AC8" s="671" t="s">
        <v>437</v>
      </c>
      <c r="AD8" s="689">
        <f t="shared" ref="AD8:AP27" si="9">(P8/B8)*1000</f>
        <v>19.047619047619051</v>
      </c>
      <c r="AE8" s="685">
        <f>(Q8/C8)*1000</f>
        <v>16.129032258064516</v>
      </c>
      <c r="AF8" s="685">
        <f t="shared" si="9"/>
        <v>17.857142857142858</v>
      </c>
      <c r="AG8" s="685">
        <f t="shared" si="9"/>
        <v>22.727272727272727</v>
      </c>
      <c r="AH8" s="685">
        <f t="shared" si="9"/>
        <v>19.230769230769234</v>
      </c>
      <c r="AI8" s="685">
        <f t="shared" si="9"/>
        <v>18.867924528301884</v>
      </c>
      <c r="AJ8" s="685">
        <f t="shared" si="9"/>
        <v>16.393442622950822</v>
      </c>
      <c r="AK8" s="685">
        <f t="shared" si="9"/>
        <v>17.543859649122805</v>
      </c>
      <c r="AL8" s="685">
        <f t="shared" si="9"/>
        <v>21.276595744680851</v>
      </c>
      <c r="AM8" s="685">
        <f t="shared" si="9"/>
        <v>18.518518518518519</v>
      </c>
      <c r="AN8" s="685">
        <f t="shared" si="9"/>
        <v>18.18181818181818</v>
      </c>
      <c r="AO8" s="685">
        <f t="shared" si="9"/>
        <v>22.727272727272727</v>
      </c>
      <c r="AP8" s="685">
        <f t="shared" si="9"/>
        <v>22.222222222222221</v>
      </c>
      <c r="AQ8" s="671" t="s">
        <v>437</v>
      </c>
      <c r="AR8" s="699">
        <f>SUM(AS8:BD8)</f>
        <v>3987</v>
      </c>
      <c r="AS8" s="701">
        <v>432</v>
      </c>
      <c r="AT8" s="701">
        <v>363</v>
      </c>
      <c r="AU8" s="701">
        <v>391</v>
      </c>
      <c r="AV8" s="701">
        <v>329</v>
      </c>
      <c r="AW8" s="701">
        <v>345</v>
      </c>
      <c r="AX8" s="701">
        <v>340</v>
      </c>
      <c r="AY8" s="701">
        <v>318</v>
      </c>
      <c r="AZ8" s="701">
        <v>327</v>
      </c>
      <c r="BA8" s="701">
        <v>346</v>
      </c>
      <c r="BB8" s="701">
        <v>313</v>
      </c>
      <c r="BC8" s="701">
        <v>240</v>
      </c>
      <c r="BD8" s="701">
        <v>243</v>
      </c>
      <c r="BE8" s="671" t="s">
        <v>437</v>
      </c>
      <c r="BF8" s="681">
        <f>SUM(BG8:BR8)</f>
        <v>114</v>
      </c>
      <c r="BG8" s="693">
        <v>13</v>
      </c>
      <c r="BH8" s="693">
        <v>10</v>
      </c>
      <c r="BI8" s="693">
        <v>11</v>
      </c>
      <c r="BJ8" s="693">
        <v>9</v>
      </c>
      <c r="BK8" s="693">
        <v>9</v>
      </c>
      <c r="BL8" s="693">
        <v>10</v>
      </c>
      <c r="BM8" s="693">
        <v>9</v>
      </c>
      <c r="BN8" s="693">
        <v>10</v>
      </c>
      <c r="BO8" s="693">
        <v>10</v>
      </c>
      <c r="BP8" s="693">
        <v>9</v>
      </c>
      <c r="BQ8" s="693">
        <v>6</v>
      </c>
      <c r="BR8" s="693">
        <v>8</v>
      </c>
      <c r="BS8" s="671" t="s">
        <v>437</v>
      </c>
      <c r="BT8" s="688">
        <f t="shared" ref="BT8:CF26" si="10">(BF8/AR8)*1000</f>
        <v>28.592927012791574</v>
      </c>
      <c r="BU8" s="684">
        <f t="shared" si="10"/>
        <v>30.092592592592592</v>
      </c>
      <c r="BV8" s="684">
        <f t="shared" si="10"/>
        <v>27.548209366391184</v>
      </c>
      <c r="BW8" s="684">
        <f t="shared" si="10"/>
        <v>28.132992327365727</v>
      </c>
      <c r="BX8" s="684">
        <f t="shared" si="10"/>
        <v>27.355623100303951</v>
      </c>
      <c r="BY8" s="684">
        <f t="shared" si="10"/>
        <v>26.086956521739129</v>
      </c>
      <c r="BZ8" s="684">
        <f t="shared" si="10"/>
        <v>29.411764705882351</v>
      </c>
      <c r="CA8" s="684">
        <f t="shared" si="10"/>
        <v>28.30188679245283</v>
      </c>
      <c r="CB8" s="684">
        <f t="shared" si="10"/>
        <v>30.581039755351682</v>
      </c>
      <c r="CC8" s="684">
        <f t="shared" si="10"/>
        <v>28.901734104046241</v>
      </c>
      <c r="CD8" s="684">
        <f t="shared" si="10"/>
        <v>28.753993610223642</v>
      </c>
      <c r="CE8" s="684">
        <f t="shared" si="10"/>
        <v>25</v>
      </c>
      <c r="CF8" s="684">
        <f t="shared" si="10"/>
        <v>32.921810699588477</v>
      </c>
      <c r="CG8" s="671" t="s">
        <v>437</v>
      </c>
      <c r="CH8" s="681">
        <f>SUM(CI8:CT8)</f>
        <v>3331</v>
      </c>
      <c r="CI8" s="680">
        <v>218</v>
      </c>
      <c r="CJ8" s="680">
        <v>208</v>
      </c>
      <c r="CK8" s="680">
        <v>333</v>
      </c>
      <c r="CL8" s="680">
        <v>285</v>
      </c>
      <c r="CM8" s="680">
        <v>267</v>
      </c>
      <c r="CN8" s="680">
        <v>256</v>
      </c>
      <c r="CO8" s="680">
        <v>281</v>
      </c>
      <c r="CP8" s="680">
        <v>341</v>
      </c>
      <c r="CQ8" s="680">
        <v>286</v>
      </c>
      <c r="CR8" s="680">
        <v>325</v>
      </c>
      <c r="CS8" s="680">
        <v>272</v>
      </c>
      <c r="CT8" s="680">
        <v>259</v>
      </c>
      <c r="CU8" s="671" t="s">
        <v>437</v>
      </c>
      <c r="CV8" s="681">
        <f>SUM(CW8:DH8)</f>
        <v>701</v>
      </c>
      <c r="CW8" s="680">
        <v>36</v>
      </c>
      <c r="CX8" s="680">
        <v>35</v>
      </c>
      <c r="CY8" s="680">
        <v>72</v>
      </c>
      <c r="CZ8" s="680">
        <v>62</v>
      </c>
      <c r="DA8" s="680">
        <v>65</v>
      </c>
      <c r="DB8" s="680">
        <v>56</v>
      </c>
      <c r="DC8" s="680">
        <v>73</v>
      </c>
      <c r="DD8" s="680">
        <v>55</v>
      </c>
      <c r="DE8" s="680">
        <v>66</v>
      </c>
      <c r="DF8" s="680">
        <v>68</v>
      </c>
      <c r="DG8" s="680">
        <v>58</v>
      </c>
      <c r="DH8" s="680">
        <v>55</v>
      </c>
      <c r="DI8" s="671" t="s">
        <v>437</v>
      </c>
      <c r="DJ8" s="675">
        <f t="shared" ref="DJ8:DV27" si="11">(CV8/CH8)*1000</f>
        <v>210.44731311918343</v>
      </c>
      <c r="DK8" s="673">
        <f t="shared" si="11"/>
        <v>165.1376146788991</v>
      </c>
      <c r="DL8" s="673">
        <f t="shared" si="11"/>
        <v>168.26923076923077</v>
      </c>
      <c r="DM8" s="673">
        <f t="shared" si="11"/>
        <v>216.21621621621622</v>
      </c>
      <c r="DN8" s="673">
        <f t="shared" si="11"/>
        <v>217.54385964912282</v>
      </c>
      <c r="DO8" s="673">
        <f t="shared" si="11"/>
        <v>243.44569288389513</v>
      </c>
      <c r="DP8" s="673">
        <f t="shared" si="11"/>
        <v>218.75</v>
      </c>
      <c r="DQ8" s="673">
        <f t="shared" si="11"/>
        <v>259.78647686832738</v>
      </c>
      <c r="DR8" s="673">
        <f t="shared" si="11"/>
        <v>161.29032258064515</v>
      </c>
      <c r="DS8" s="673">
        <f t="shared" si="11"/>
        <v>230.76923076923077</v>
      </c>
      <c r="DT8" s="673">
        <f t="shared" si="11"/>
        <v>209.23076923076923</v>
      </c>
      <c r="DU8" s="673">
        <f t="shared" si="11"/>
        <v>213.23529411764704</v>
      </c>
      <c r="DV8" s="673">
        <f t="shared" si="11"/>
        <v>212.35521235521236</v>
      </c>
    </row>
    <row r="9" spans="1:126" ht="12.25" customHeight="1">
      <c r="A9" s="671" t="s">
        <v>438</v>
      </c>
      <c r="B9" s="681">
        <f t="shared" ref="B9:B35" si="12">SUM(C9:N9)</f>
        <v>28590</v>
      </c>
      <c r="C9" s="680">
        <v>2281</v>
      </c>
      <c r="D9" s="680">
        <v>2382</v>
      </c>
      <c r="E9" s="680">
        <v>2501</v>
      </c>
      <c r="F9" s="680">
        <v>2465</v>
      </c>
      <c r="G9" s="680">
        <v>2121</v>
      </c>
      <c r="H9" s="680">
        <v>2152</v>
      </c>
      <c r="I9" s="680">
        <v>2635</v>
      </c>
      <c r="J9" s="680">
        <v>2527</v>
      </c>
      <c r="K9" s="680">
        <v>2596</v>
      </c>
      <c r="L9" s="680">
        <v>2625</v>
      </c>
      <c r="M9" s="680">
        <v>2330</v>
      </c>
      <c r="N9" s="680">
        <v>1975</v>
      </c>
      <c r="O9" s="671" t="s">
        <v>438</v>
      </c>
      <c r="P9" s="711">
        <f t="shared" ref="P9:P35" si="13">SUM(Q9:AB9)</f>
        <v>637</v>
      </c>
      <c r="Q9" s="709">
        <v>53</v>
      </c>
      <c r="R9" s="709">
        <v>48</v>
      </c>
      <c r="S9" s="709">
        <v>48</v>
      </c>
      <c r="T9" s="709">
        <v>59</v>
      </c>
      <c r="U9" s="709">
        <v>54</v>
      </c>
      <c r="V9" s="709">
        <v>55</v>
      </c>
      <c r="W9" s="709">
        <v>64</v>
      </c>
      <c r="X9" s="709">
        <v>50</v>
      </c>
      <c r="Y9" s="709">
        <v>58</v>
      </c>
      <c r="Z9" s="709">
        <v>55</v>
      </c>
      <c r="AA9" s="709">
        <v>49</v>
      </c>
      <c r="AB9" s="709">
        <v>44</v>
      </c>
      <c r="AC9" s="671" t="s">
        <v>438</v>
      </c>
      <c r="AD9" s="689">
        <f t="shared" si="9"/>
        <v>22.280517663518712</v>
      </c>
      <c r="AE9" s="685">
        <f t="shared" si="9"/>
        <v>23.235423060061379</v>
      </c>
      <c r="AF9" s="685">
        <f t="shared" si="9"/>
        <v>20.151133501259444</v>
      </c>
      <c r="AG9" s="685">
        <f t="shared" si="9"/>
        <v>19.192323070771693</v>
      </c>
      <c r="AH9" s="685">
        <f t="shared" si="9"/>
        <v>23.935091277890468</v>
      </c>
      <c r="AI9" s="685">
        <f t="shared" si="9"/>
        <v>25.459688826025459</v>
      </c>
      <c r="AJ9" s="685">
        <f t="shared" si="9"/>
        <v>25.557620817843866</v>
      </c>
      <c r="AK9" s="685">
        <f t="shared" si="9"/>
        <v>24.288425047438331</v>
      </c>
      <c r="AL9" s="685">
        <f t="shared" si="9"/>
        <v>19.786307874950534</v>
      </c>
      <c r="AM9" s="685">
        <f t="shared" si="9"/>
        <v>22.342064714946069</v>
      </c>
      <c r="AN9" s="685">
        <f t="shared" si="9"/>
        <v>20.952380952380953</v>
      </c>
      <c r="AO9" s="685">
        <f t="shared" si="9"/>
        <v>21.030042918454935</v>
      </c>
      <c r="AP9" s="685">
        <f t="shared" si="9"/>
        <v>22.278481012658229</v>
      </c>
      <c r="AQ9" s="671" t="s">
        <v>438</v>
      </c>
      <c r="AR9" s="699">
        <f t="shared" ref="AR9:AR35" si="14">SUM(AS9:BD9)</f>
        <v>44051</v>
      </c>
      <c r="AS9" s="701">
        <v>3991</v>
      </c>
      <c r="AT9" s="701">
        <v>3799</v>
      </c>
      <c r="AU9" s="701">
        <v>4084</v>
      </c>
      <c r="AV9" s="701">
        <v>4284</v>
      </c>
      <c r="AW9" s="701">
        <v>2897</v>
      </c>
      <c r="AX9" s="701">
        <v>3173</v>
      </c>
      <c r="AY9" s="701">
        <v>3858</v>
      </c>
      <c r="AZ9" s="701">
        <v>3825</v>
      </c>
      <c r="BA9" s="701">
        <v>3730</v>
      </c>
      <c r="BB9" s="701">
        <v>4035</v>
      </c>
      <c r="BC9" s="701">
        <v>3320</v>
      </c>
      <c r="BD9" s="701">
        <v>3055</v>
      </c>
      <c r="BE9" s="671" t="s">
        <v>438</v>
      </c>
      <c r="BF9" s="681">
        <f t="shared" ref="BF9:BF35" si="15">SUM(BG9:BR9)</f>
        <v>2180</v>
      </c>
      <c r="BG9" s="693">
        <v>229</v>
      </c>
      <c r="BH9" s="693">
        <v>199</v>
      </c>
      <c r="BI9" s="693">
        <v>223</v>
      </c>
      <c r="BJ9" s="693">
        <v>221</v>
      </c>
      <c r="BK9" s="693">
        <v>138</v>
      </c>
      <c r="BL9" s="693">
        <v>136</v>
      </c>
      <c r="BM9" s="693">
        <v>171</v>
      </c>
      <c r="BN9" s="693">
        <v>174</v>
      </c>
      <c r="BO9" s="693">
        <v>172</v>
      </c>
      <c r="BP9" s="693">
        <v>200</v>
      </c>
      <c r="BQ9" s="693">
        <v>168</v>
      </c>
      <c r="BR9" s="693">
        <v>149</v>
      </c>
      <c r="BS9" s="671" t="s">
        <v>438</v>
      </c>
      <c r="BT9" s="688">
        <f t="shared" si="10"/>
        <v>49.488093346348549</v>
      </c>
      <c r="BU9" s="684">
        <f t="shared" si="10"/>
        <v>57.379102981708847</v>
      </c>
      <c r="BV9" s="684">
        <f t="shared" si="10"/>
        <v>52.382205843643064</v>
      </c>
      <c r="BW9" s="684">
        <f t="shared" si="10"/>
        <v>54.603330068560233</v>
      </c>
      <c r="BX9" s="684">
        <f t="shared" si="10"/>
        <v>51.587301587301582</v>
      </c>
      <c r="BY9" s="684">
        <f t="shared" si="10"/>
        <v>47.635484984466686</v>
      </c>
      <c r="BZ9" s="684">
        <f t="shared" si="10"/>
        <v>42.861645130791047</v>
      </c>
      <c r="CA9" s="684">
        <f t="shared" si="10"/>
        <v>44.323483670295488</v>
      </c>
      <c r="CB9" s="684">
        <f t="shared" si="10"/>
        <v>45.490196078431367</v>
      </c>
      <c r="CC9" s="684">
        <f t="shared" si="10"/>
        <v>46.112600536193028</v>
      </c>
      <c r="CD9" s="684">
        <f t="shared" si="10"/>
        <v>49.566294919454776</v>
      </c>
      <c r="CE9" s="684">
        <f t="shared" si="10"/>
        <v>50.602409638554221</v>
      </c>
      <c r="CF9" s="684">
        <f t="shared" si="10"/>
        <v>48.772504091653026</v>
      </c>
      <c r="CG9" s="671" t="s">
        <v>438</v>
      </c>
      <c r="CH9" s="681">
        <f t="shared" ref="CH9:CH36" si="16">SUM(CI9:CT9)</f>
        <v>36235</v>
      </c>
      <c r="CI9" s="680">
        <v>3511</v>
      </c>
      <c r="CJ9" s="680">
        <v>3267</v>
      </c>
      <c r="CK9" s="680">
        <v>3417</v>
      </c>
      <c r="CL9" s="680">
        <v>3435</v>
      </c>
      <c r="CM9" s="680">
        <v>3103</v>
      </c>
      <c r="CN9" s="680">
        <v>1953</v>
      </c>
      <c r="CO9" s="680">
        <v>2489</v>
      </c>
      <c r="CP9" s="680">
        <v>2686</v>
      </c>
      <c r="CQ9" s="680">
        <v>2759</v>
      </c>
      <c r="CR9" s="680">
        <v>3295</v>
      </c>
      <c r="CS9" s="680">
        <v>3020</v>
      </c>
      <c r="CT9" s="680">
        <v>3300</v>
      </c>
      <c r="CU9" s="671" t="s">
        <v>438</v>
      </c>
      <c r="CV9" s="681">
        <f t="shared" ref="CV9:CV36" si="17">SUM(CW9:DH9)</f>
        <v>7110</v>
      </c>
      <c r="CW9" s="680">
        <v>719</v>
      </c>
      <c r="CX9" s="680">
        <v>637</v>
      </c>
      <c r="CY9" s="680">
        <v>689</v>
      </c>
      <c r="CZ9" s="680">
        <v>679</v>
      </c>
      <c r="DA9" s="680">
        <v>629</v>
      </c>
      <c r="DB9" s="680">
        <v>381</v>
      </c>
      <c r="DC9" s="680">
        <v>492</v>
      </c>
      <c r="DD9" s="680">
        <v>486</v>
      </c>
      <c r="DE9" s="680">
        <v>524</v>
      </c>
      <c r="DF9" s="680">
        <v>643</v>
      </c>
      <c r="DG9" s="680">
        <v>596</v>
      </c>
      <c r="DH9" s="680">
        <v>635</v>
      </c>
      <c r="DI9" s="671" t="s">
        <v>438</v>
      </c>
      <c r="DJ9" s="675">
        <f t="shared" si="11"/>
        <v>196.21912515523664</v>
      </c>
      <c r="DK9" s="673">
        <f t="shared" si="11"/>
        <v>204.78496154941612</v>
      </c>
      <c r="DL9" s="673">
        <f t="shared" si="11"/>
        <v>194.98010407101316</v>
      </c>
      <c r="DM9" s="673">
        <f t="shared" si="11"/>
        <v>201.63886450102427</v>
      </c>
      <c r="DN9" s="673">
        <f t="shared" si="11"/>
        <v>197.67103347889375</v>
      </c>
      <c r="DO9" s="673">
        <f t="shared" si="11"/>
        <v>202.70705768611023</v>
      </c>
      <c r="DP9" s="673">
        <f t="shared" si="11"/>
        <v>195.08448540706604</v>
      </c>
      <c r="DQ9" s="673">
        <f t="shared" si="11"/>
        <v>197.66974688629972</v>
      </c>
      <c r="DR9" s="673">
        <f t="shared" si="11"/>
        <v>180.93819806403573</v>
      </c>
      <c r="DS9" s="673">
        <f t="shared" si="11"/>
        <v>189.92388546574844</v>
      </c>
      <c r="DT9" s="673">
        <f t="shared" si="11"/>
        <v>195.14415781487102</v>
      </c>
      <c r="DU9" s="673">
        <f t="shared" si="11"/>
        <v>197.35099337748343</v>
      </c>
      <c r="DV9" s="673">
        <f t="shared" si="11"/>
        <v>192.42424242424241</v>
      </c>
    </row>
    <row r="10" spans="1:126" ht="12.25" customHeight="1">
      <c r="A10" s="671" t="s">
        <v>439</v>
      </c>
      <c r="B10" s="681">
        <f t="shared" si="12"/>
        <v>28175</v>
      </c>
      <c r="C10" s="680">
        <v>2466</v>
      </c>
      <c r="D10" s="680">
        <v>2317</v>
      </c>
      <c r="E10" s="680">
        <v>2359</v>
      </c>
      <c r="F10" s="680">
        <v>1932</v>
      </c>
      <c r="G10" s="680">
        <v>2272</v>
      </c>
      <c r="H10" s="680">
        <v>1441</v>
      </c>
      <c r="I10" s="680">
        <v>3031</v>
      </c>
      <c r="J10" s="680">
        <v>2979</v>
      </c>
      <c r="K10" s="680">
        <v>2898</v>
      </c>
      <c r="L10" s="680">
        <v>2055</v>
      </c>
      <c r="M10" s="680">
        <v>2079</v>
      </c>
      <c r="N10" s="680">
        <v>2346</v>
      </c>
      <c r="O10" s="671" t="s">
        <v>439</v>
      </c>
      <c r="P10" s="711">
        <f t="shared" si="13"/>
        <v>394</v>
      </c>
      <c r="Q10" s="709">
        <v>36</v>
      </c>
      <c r="R10" s="709">
        <v>34</v>
      </c>
      <c r="S10" s="709">
        <v>34</v>
      </c>
      <c r="T10" s="709">
        <v>27</v>
      </c>
      <c r="U10" s="709">
        <v>32</v>
      </c>
      <c r="V10" s="709">
        <v>21</v>
      </c>
      <c r="W10" s="709">
        <v>47</v>
      </c>
      <c r="X10" s="709">
        <v>46</v>
      </c>
      <c r="Y10" s="709">
        <v>45</v>
      </c>
      <c r="Z10" s="709">
        <v>30</v>
      </c>
      <c r="AA10" s="709">
        <v>27</v>
      </c>
      <c r="AB10" s="709">
        <v>15</v>
      </c>
      <c r="AC10" s="671" t="s">
        <v>439</v>
      </c>
      <c r="AD10" s="689">
        <f t="shared" si="9"/>
        <v>13.984028393966282</v>
      </c>
      <c r="AE10" s="685">
        <f t="shared" si="9"/>
        <v>14.598540145985401</v>
      </c>
      <c r="AF10" s="685">
        <f t="shared" si="9"/>
        <v>14.674147604661199</v>
      </c>
      <c r="AG10" s="685">
        <f t="shared" si="9"/>
        <v>14.412886816447648</v>
      </c>
      <c r="AH10" s="685">
        <f t="shared" si="9"/>
        <v>13.975155279503106</v>
      </c>
      <c r="AI10" s="685">
        <f t="shared" si="9"/>
        <v>14.084507042253522</v>
      </c>
      <c r="AJ10" s="685">
        <f t="shared" si="9"/>
        <v>14.573213046495489</v>
      </c>
      <c r="AK10" s="685">
        <f t="shared" si="9"/>
        <v>15.506433520290333</v>
      </c>
      <c r="AL10" s="685">
        <f t="shared" si="9"/>
        <v>15.441423296408191</v>
      </c>
      <c r="AM10" s="685">
        <f t="shared" si="9"/>
        <v>15.527950310559007</v>
      </c>
      <c r="AN10" s="685">
        <f t="shared" si="9"/>
        <v>14.598540145985401</v>
      </c>
      <c r="AO10" s="685">
        <f t="shared" si="9"/>
        <v>12.987012987012989</v>
      </c>
      <c r="AP10" s="685">
        <f t="shared" si="9"/>
        <v>6.3938618925831197</v>
      </c>
      <c r="AQ10" s="671" t="s">
        <v>439</v>
      </c>
      <c r="AR10" s="699">
        <f t="shared" si="14"/>
        <v>42110</v>
      </c>
      <c r="AS10" s="701">
        <v>2915</v>
      </c>
      <c r="AT10" s="701">
        <v>3200</v>
      </c>
      <c r="AU10" s="701">
        <v>2703</v>
      </c>
      <c r="AV10" s="701">
        <v>2467</v>
      </c>
      <c r="AW10" s="701">
        <v>3138</v>
      </c>
      <c r="AX10" s="701">
        <v>3349</v>
      </c>
      <c r="AY10" s="701">
        <v>4559</v>
      </c>
      <c r="AZ10" s="701">
        <v>4473</v>
      </c>
      <c r="BA10" s="701">
        <v>4373</v>
      </c>
      <c r="BB10" s="701">
        <v>3300</v>
      </c>
      <c r="BC10" s="701">
        <v>4098</v>
      </c>
      <c r="BD10" s="701">
        <v>3535</v>
      </c>
      <c r="BE10" s="671" t="s">
        <v>439</v>
      </c>
      <c r="BF10" s="681">
        <f t="shared" si="15"/>
        <v>2609</v>
      </c>
      <c r="BG10" s="693">
        <v>191</v>
      </c>
      <c r="BH10" s="693">
        <v>211</v>
      </c>
      <c r="BI10" s="693">
        <v>181</v>
      </c>
      <c r="BJ10" s="693">
        <v>166</v>
      </c>
      <c r="BK10" s="693">
        <v>200</v>
      </c>
      <c r="BL10" s="693">
        <v>181</v>
      </c>
      <c r="BM10" s="693">
        <v>274</v>
      </c>
      <c r="BN10" s="693">
        <v>261</v>
      </c>
      <c r="BO10" s="693">
        <v>268</v>
      </c>
      <c r="BP10" s="693">
        <v>208</v>
      </c>
      <c r="BQ10" s="693">
        <v>253</v>
      </c>
      <c r="BR10" s="693">
        <v>215</v>
      </c>
      <c r="BS10" s="671" t="s">
        <v>439</v>
      </c>
      <c r="BT10" s="688">
        <f t="shared" si="10"/>
        <v>61.956779862265492</v>
      </c>
      <c r="BU10" s="684">
        <f t="shared" si="10"/>
        <v>65.523156089193833</v>
      </c>
      <c r="BV10" s="684">
        <f t="shared" si="10"/>
        <v>65.9375</v>
      </c>
      <c r="BW10" s="684">
        <f t="shared" si="10"/>
        <v>66.962634110247876</v>
      </c>
      <c r="BX10" s="684">
        <f t="shared" si="10"/>
        <v>67.288204296716657</v>
      </c>
      <c r="BY10" s="684">
        <f t="shared" si="10"/>
        <v>63.734862970044617</v>
      </c>
      <c r="BZ10" s="684">
        <f t="shared" si="10"/>
        <v>54.045983875783818</v>
      </c>
      <c r="CA10" s="684">
        <f t="shared" si="10"/>
        <v>60.100899320026322</v>
      </c>
      <c r="CB10" s="684">
        <f t="shared" si="10"/>
        <v>58.350100603621733</v>
      </c>
      <c r="CC10" s="684">
        <f t="shared" si="10"/>
        <v>61.285158929796474</v>
      </c>
      <c r="CD10" s="684">
        <f t="shared" si="10"/>
        <v>63.030303030303031</v>
      </c>
      <c r="CE10" s="684">
        <f t="shared" si="10"/>
        <v>61.737432894094681</v>
      </c>
      <c r="CF10" s="684">
        <f t="shared" si="10"/>
        <v>60.820367751060814</v>
      </c>
      <c r="CG10" s="671" t="s">
        <v>439</v>
      </c>
      <c r="CH10" s="681">
        <f t="shared" si="16"/>
        <v>46214</v>
      </c>
      <c r="CI10" s="680">
        <v>3939</v>
      </c>
      <c r="CJ10" s="680">
        <v>2899</v>
      </c>
      <c r="CK10" s="680">
        <v>4381</v>
      </c>
      <c r="CL10" s="680">
        <v>3919</v>
      </c>
      <c r="CM10" s="680">
        <v>3393</v>
      </c>
      <c r="CN10" s="680">
        <v>2979</v>
      </c>
      <c r="CO10" s="680">
        <v>4758</v>
      </c>
      <c r="CP10" s="680">
        <v>4668</v>
      </c>
      <c r="CQ10" s="680">
        <v>4703</v>
      </c>
      <c r="CR10" s="680">
        <v>3900</v>
      </c>
      <c r="CS10" s="680">
        <v>3300</v>
      </c>
      <c r="CT10" s="680">
        <v>3375</v>
      </c>
      <c r="CU10" s="671" t="s">
        <v>439</v>
      </c>
      <c r="CV10" s="681">
        <f t="shared" si="17"/>
        <v>6946</v>
      </c>
      <c r="CW10" s="680">
        <v>589</v>
      </c>
      <c r="CX10" s="680">
        <v>438</v>
      </c>
      <c r="CY10" s="680">
        <v>667</v>
      </c>
      <c r="CZ10" s="680">
        <v>589</v>
      </c>
      <c r="DA10" s="680">
        <v>506</v>
      </c>
      <c r="DB10" s="680">
        <v>443</v>
      </c>
      <c r="DC10" s="680">
        <v>722</v>
      </c>
      <c r="DD10" s="680">
        <v>748</v>
      </c>
      <c r="DE10" s="680">
        <v>764</v>
      </c>
      <c r="DF10" s="680">
        <v>584</v>
      </c>
      <c r="DG10" s="680">
        <v>509</v>
      </c>
      <c r="DH10" s="680">
        <v>387</v>
      </c>
      <c r="DI10" s="671" t="s">
        <v>439</v>
      </c>
      <c r="DJ10" s="675">
        <f t="shared" si="11"/>
        <v>150.30077465703033</v>
      </c>
      <c r="DK10" s="673">
        <f t="shared" si="11"/>
        <v>149.53033764914952</v>
      </c>
      <c r="DL10" s="673">
        <f t="shared" si="11"/>
        <v>151.08658157985514</v>
      </c>
      <c r="DM10" s="673">
        <f t="shared" si="11"/>
        <v>152.2483451266834</v>
      </c>
      <c r="DN10" s="673">
        <f t="shared" si="11"/>
        <v>150.29344220464404</v>
      </c>
      <c r="DO10" s="673">
        <f t="shared" si="11"/>
        <v>149.13056292366636</v>
      </c>
      <c r="DP10" s="673">
        <f t="shared" si="11"/>
        <v>148.70762000671368</v>
      </c>
      <c r="DQ10" s="673">
        <f t="shared" si="11"/>
        <v>151.74443043295503</v>
      </c>
      <c r="DR10" s="673">
        <f t="shared" si="11"/>
        <v>160.23993144815768</v>
      </c>
      <c r="DS10" s="673">
        <f t="shared" si="11"/>
        <v>162.44950031894535</v>
      </c>
      <c r="DT10" s="673">
        <f t="shared" si="11"/>
        <v>149.74358974358975</v>
      </c>
      <c r="DU10" s="673">
        <f t="shared" si="11"/>
        <v>154.24242424242425</v>
      </c>
      <c r="DV10" s="673">
        <f t="shared" si="11"/>
        <v>114.66666666666667</v>
      </c>
    </row>
    <row r="11" spans="1:126" ht="12.25" customHeight="1">
      <c r="A11" s="671" t="s">
        <v>440</v>
      </c>
      <c r="B11" s="681">
        <f t="shared" si="12"/>
        <v>142895</v>
      </c>
      <c r="C11" s="680">
        <v>11770</v>
      </c>
      <c r="D11" s="680">
        <v>11195</v>
      </c>
      <c r="E11" s="680">
        <v>10894</v>
      </c>
      <c r="F11" s="680">
        <v>11118</v>
      </c>
      <c r="G11" s="680">
        <v>12035</v>
      </c>
      <c r="H11" s="680">
        <v>11961</v>
      </c>
      <c r="I11" s="680">
        <v>12993</v>
      </c>
      <c r="J11" s="680">
        <v>13368</v>
      </c>
      <c r="K11" s="680">
        <v>12141</v>
      </c>
      <c r="L11" s="680">
        <v>11629</v>
      </c>
      <c r="M11" s="680">
        <v>11903</v>
      </c>
      <c r="N11" s="680">
        <v>11888</v>
      </c>
      <c r="O11" s="671" t="s">
        <v>440</v>
      </c>
      <c r="P11" s="711">
        <f t="shared" si="13"/>
        <v>1834</v>
      </c>
      <c r="Q11" s="709">
        <v>158</v>
      </c>
      <c r="R11" s="709">
        <v>143</v>
      </c>
      <c r="S11" s="709">
        <v>139</v>
      </c>
      <c r="T11" s="709">
        <v>142</v>
      </c>
      <c r="U11" s="709">
        <v>154</v>
      </c>
      <c r="V11" s="709">
        <v>161</v>
      </c>
      <c r="W11" s="709">
        <v>166</v>
      </c>
      <c r="X11" s="709">
        <v>167</v>
      </c>
      <c r="Y11" s="709">
        <v>163</v>
      </c>
      <c r="Z11" s="709">
        <v>143</v>
      </c>
      <c r="AA11" s="709">
        <v>150</v>
      </c>
      <c r="AB11" s="709">
        <v>148</v>
      </c>
      <c r="AC11" s="671" t="s">
        <v>440</v>
      </c>
      <c r="AD11" s="689">
        <f t="shared" si="9"/>
        <v>12.834598831309702</v>
      </c>
      <c r="AE11" s="685">
        <f t="shared" si="9"/>
        <v>13.423959218351742</v>
      </c>
      <c r="AF11" s="685">
        <f t="shared" si="9"/>
        <v>12.773559624832513</v>
      </c>
      <c r="AG11" s="685">
        <f t="shared" si="9"/>
        <v>12.759317055259777</v>
      </c>
      <c r="AH11" s="685">
        <f t="shared" si="9"/>
        <v>12.772081309588057</v>
      </c>
      <c r="AI11" s="685">
        <f t="shared" si="9"/>
        <v>12.796011632737848</v>
      </c>
      <c r="AJ11" s="685">
        <f t="shared" si="9"/>
        <v>13.460413008945741</v>
      </c>
      <c r="AK11" s="685">
        <f t="shared" si="9"/>
        <v>12.776110213191718</v>
      </c>
      <c r="AL11" s="685">
        <f t="shared" si="9"/>
        <v>12.492519449431478</v>
      </c>
      <c r="AM11" s="685">
        <f t="shared" si="9"/>
        <v>13.425582736183181</v>
      </c>
      <c r="AN11" s="685">
        <f t="shared" si="9"/>
        <v>12.296844096654915</v>
      </c>
      <c r="AO11" s="685">
        <f t="shared" si="9"/>
        <v>12.601865076031252</v>
      </c>
      <c r="AP11" s="685">
        <f t="shared" si="9"/>
        <v>12.449528936742935</v>
      </c>
      <c r="AQ11" s="671" t="s">
        <v>440</v>
      </c>
      <c r="AR11" s="699">
        <f t="shared" si="14"/>
        <v>96508</v>
      </c>
      <c r="AS11" s="701">
        <v>7817</v>
      </c>
      <c r="AT11" s="701">
        <v>6915</v>
      </c>
      <c r="AU11" s="701">
        <v>6828</v>
      </c>
      <c r="AV11" s="701">
        <v>7473</v>
      </c>
      <c r="AW11" s="701">
        <v>8564</v>
      </c>
      <c r="AX11" s="701">
        <v>7362</v>
      </c>
      <c r="AY11" s="701">
        <v>8863</v>
      </c>
      <c r="AZ11" s="701">
        <v>8329</v>
      </c>
      <c r="BA11" s="701">
        <v>7946</v>
      </c>
      <c r="BB11" s="701">
        <v>8189</v>
      </c>
      <c r="BC11" s="701">
        <v>8272</v>
      </c>
      <c r="BD11" s="701">
        <v>9950</v>
      </c>
      <c r="BE11" s="671" t="s">
        <v>440</v>
      </c>
      <c r="BF11" s="681">
        <f t="shared" si="15"/>
        <v>5582</v>
      </c>
      <c r="BG11" s="693">
        <v>426</v>
      </c>
      <c r="BH11" s="693">
        <v>381</v>
      </c>
      <c r="BI11" s="693">
        <v>366</v>
      </c>
      <c r="BJ11" s="693">
        <v>436</v>
      </c>
      <c r="BK11" s="693">
        <v>495</v>
      </c>
      <c r="BL11" s="693">
        <v>452</v>
      </c>
      <c r="BM11" s="693">
        <v>532</v>
      </c>
      <c r="BN11" s="693">
        <v>485</v>
      </c>
      <c r="BO11" s="693">
        <v>481</v>
      </c>
      <c r="BP11" s="693">
        <v>494</v>
      </c>
      <c r="BQ11" s="693">
        <v>472</v>
      </c>
      <c r="BR11" s="693">
        <v>562</v>
      </c>
      <c r="BS11" s="671" t="s">
        <v>440</v>
      </c>
      <c r="BT11" s="688">
        <f t="shared" si="10"/>
        <v>57.839764579102244</v>
      </c>
      <c r="BU11" s="684">
        <f t="shared" si="10"/>
        <v>54.496609952667264</v>
      </c>
      <c r="BV11" s="684">
        <f t="shared" si="10"/>
        <v>55.097613882863342</v>
      </c>
      <c r="BW11" s="684">
        <f t="shared" si="10"/>
        <v>53.602811950790866</v>
      </c>
      <c r="BX11" s="684">
        <f t="shared" si="10"/>
        <v>58.343369463401579</v>
      </c>
      <c r="BY11" s="684">
        <f t="shared" si="10"/>
        <v>57.800093414292391</v>
      </c>
      <c r="BZ11" s="684">
        <f t="shared" si="10"/>
        <v>61.396359684868244</v>
      </c>
      <c r="CA11" s="684">
        <f t="shared" si="10"/>
        <v>60.02482229493399</v>
      </c>
      <c r="CB11" s="684">
        <f t="shared" si="10"/>
        <v>58.230279745467641</v>
      </c>
      <c r="CC11" s="684">
        <f t="shared" si="10"/>
        <v>60.533601812232575</v>
      </c>
      <c r="CD11" s="684">
        <f t="shared" si="10"/>
        <v>60.324825986078885</v>
      </c>
      <c r="CE11" s="684">
        <f t="shared" si="10"/>
        <v>57.059961315280461</v>
      </c>
      <c r="CF11" s="684">
        <f t="shared" si="10"/>
        <v>56.482412060301506</v>
      </c>
      <c r="CG11" s="671" t="s">
        <v>440</v>
      </c>
      <c r="CH11" s="681">
        <f t="shared" si="16"/>
        <v>48964</v>
      </c>
      <c r="CI11" s="680">
        <v>3887</v>
      </c>
      <c r="CJ11" s="680">
        <v>3805</v>
      </c>
      <c r="CK11" s="680">
        <v>4779</v>
      </c>
      <c r="CL11" s="680">
        <v>3972</v>
      </c>
      <c r="CM11" s="680">
        <v>4267</v>
      </c>
      <c r="CN11" s="680">
        <v>3914</v>
      </c>
      <c r="CO11" s="680">
        <v>4311</v>
      </c>
      <c r="CP11" s="680">
        <v>4031</v>
      </c>
      <c r="CQ11" s="680">
        <v>3942</v>
      </c>
      <c r="CR11" s="680">
        <v>4176</v>
      </c>
      <c r="CS11" s="680">
        <v>3949</v>
      </c>
      <c r="CT11" s="680">
        <v>3931</v>
      </c>
      <c r="CU11" s="671" t="s">
        <v>440</v>
      </c>
      <c r="CV11" s="681">
        <f t="shared" si="17"/>
        <v>8616</v>
      </c>
      <c r="CW11" s="680">
        <v>672</v>
      </c>
      <c r="CX11" s="680">
        <v>644</v>
      </c>
      <c r="CY11" s="680">
        <v>825</v>
      </c>
      <c r="CZ11" s="680">
        <v>706</v>
      </c>
      <c r="DA11" s="680">
        <v>755</v>
      </c>
      <c r="DB11" s="680">
        <v>695</v>
      </c>
      <c r="DC11" s="680">
        <v>777</v>
      </c>
      <c r="DD11" s="680">
        <v>733</v>
      </c>
      <c r="DE11" s="680">
        <v>713</v>
      </c>
      <c r="DF11" s="680">
        <v>720</v>
      </c>
      <c r="DG11" s="680">
        <v>697</v>
      </c>
      <c r="DH11" s="680">
        <v>679</v>
      </c>
      <c r="DI11" s="671" t="s">
        <v>440</v>
      </c>
      <c r="DJ11" s="675">
        <f t="shared" si="11"/>
        <v>175.96601584837839</v>
      </c>
      <c r="DK11" s="673">
        <f t="shared" si="11"/>
        <v>172.88397221507589</v>
      </c>
      <c r="DL11" s="673">
        <f t="shared" si="11"/>
        <v>169.25098554533508</v>
      </c>
      <c r="DM11" s="673">
        <f t="shared" si="11"/>
        <v>172.6302573760201</v>
      </c>
      <c r="DN11" s="673">
        <f t="shared" si="11"/>
        <v>177.74420946626384</v>
      </c>
      <c r="DO11" s="673">
        <f t="shared" si="11"/>
        <v>176.93930161706118</v>
      </c>
      <c r="DP11" s="673">
        <f t="shared" si="11"/>
        <v>177.56770567194684</v>
      </c>
      <c r="DQ11" s="673">
        <f t="shared" si="11"/>
        <v>180.23660403618649</v>
      </c>
      <c r="DR11" s="673">
        <f t="shared" si="11"/>
        <v>181.84073430910445</v>
      </c>
      <c r="DS11" s="673">
        <f t="shared" si="11"/>
        <v>180.87265347539318</v>
      </c>
      <c r="DT11" s="673">
        <f t="shared" si="11"/>
        <v>172.41379310344828</v>
      </c>
      <c r="DU11" s="673">
        <f t="shared" si="11"/>
        <v>176.50037984299823</v>
      </c>
      <c r="DV11" s="673">
        <f t="shared" si="11"/>
        <v>172.72958534723989</v>
      </c>
    </row>
    <row r="12" spans="1:126" ht="12.25" customHeight="1">
      <c r="A12" s="12" t="s">
        <v>462</v>
      </c>
      <c r="B12" s="681">
        <f t="shared" si="12"/>
        <v>51067</v>
      </c>
      <c r="C12" s="680">
        <v>4180</v>
      </c>
      <c r="D12" s="680">
        <v>4389</v>
      </c>
      <c r="E12" s="680">
        <v>4565</v>
      </c>
      <c r="F12" s="680">
        <v>4173</v>
      </c>
      <c r="G12" s="680">
        <v>4265</v>
      </c>
      <c r="H12" s="680">
        <v>4256</v>
      </c>
      <c r="I12" s="680">
        <v>4307</v>
      </c>
      <c r="J12" s="680">
        <v>4331</v>
      </c>
      <c r="K12" s="680">
        <v>4377</v>
      </c>
      <c r="L12" s="680">
        <v>4687</v>
      </c>
      <c r="M12" s="680">
        <v>3617</v>
      </c>
      <c r="N12" s="680">
        <v>3920</v>
      </c>
      <c r="O12" s="12" t="s">
        <v>462</v>
      </c>
      <c r="P12" s="711">
        <f t="shared" si="13"/>
        <v>957</v>
      </c>
      <c r="Q12" s="709">
        <v>78</v>
      </c>
      <c r="R12" s="709">
        <v>85</v>
      </c>
      <c r="S12" s="709">
        <v>88</v>
      </c>
      <c r="T12" s="709">
        <v>81</v>
      </c>
      <c r="U12" s="709">
        <v>82</v>
      </c>
      <c r="V12" s="709">
        <v>78</v>
      </c>
      <c r="W12" s="709">
        <v>77</v>
      </c>
      <c r="X12" s="709">
        <v>81</v>
      </c>
      <c r="Y12" s="709">
        <v>80</v>
      </c>
      <c r="Z12" s="709">
        <v>85</v>
      </c>
      <c r="AA12" s="709">
        <v>71</v>
      </c>
      <c r="AB12" s="709">
        <v>71</v>
      </c>
      <c r="AC12" s="12" t="s">
        <v>462</v>
      </c>
      <c r="AD12" s="689">
        <f t="shared" si="9"/>
        <v>18.740086552959838</v>
      </c>
      <c r="AE12" s="685">
        <f t="shared" si="9"/>
        <v>18.660287081339714</v>
      </c>
      <c r="AF12" s="685">
        <f t="shared" si="9"/>
        <v>19.366598313966733</v>
      </c>
      <c r="AG12" s="685">
        <f t="shared" si="9"/>
        <v>19.277108433734941</v>
      </c>
      <c r="AH12" s="685">
        <f t="shared" si="9"/>
        <v>19.410496046010064</v>
      </c>
      <c r="AI12" s="685">
        <f t="shared" si="9"/>
        <v>19.22626025791325</v>
      </c>
      <c r="AJ12" s="685">
        <f t="shared" si="9"/>
        <v>18.32706766917293</v>
      </c>
      <c r="AK12" s="685">
        <f t="shared" si="9"/>
        <v>17.877873229626189</v>
      </c>
      <c r="AL12" s="685">
        <f t="shared" si="9"/>
        <v>18.702378203648117</v>
      </c>
      <c r="AM12" s="685">
        <f t="shared" si="9"/>
        <v>18.277358921635823</v>
      </c>
      <c r="AN12" s="685">
        <f t="shared" si="9"/>
        <v>18.135267761894603</v>
      </c>
      <c r="AO12" s="685">
        <f t="shared" si="9"/>
        <v>19.62952723251313</v>
      </c>
      <c r="AP12" s="685">
        <f t="shared" si="9"/>
        <v>18.112244897959183</v>
      </c>
      <c r="AQ12" s="12" t="s">
        <v>462</v>
      </c>
      <c r="AR12" s="699">
        <f t="shared" si="14"/>
        <v>81152</v>
      </c>
      <c r="AS12" s="701">
        <v>7333</v>
      </c>
      <c r="AT12" s="701">
        <v>6687</v>
      </c>
      <c r="AU12" s="701">
        <v>6817</v>
      </c>
      <c r="AV12" s="701">
        <v>5973</v>
      </c>
      <c r="AW12" s="701">
        <v>6586</v>
      </c>
      <c r="AX12" s="701">
        <v>6779</v>
      </c>
      <c r="AY12" s="701">
        <v>7072</v>
      </c>
      <c r="AZ12" s="701">
        <v>6931</v>
      </c>
      <c r="BA12" s="701">
        <v>6768</v>
      </c>
      <c r="BB12" s="701">
        <v>6847</v>
      </c>
      <c r="BC12" s="701">
        <v>6350</v>
      </c>
      <c r="BD12" s="701">
        <v>7009</v>
      </c>
      <c r="BE12" s="12" t="s">
        <v>462</v>
      </c>
      <c r="BF12" s="681">
        <f t="shared" si="15"/>
        <v>4164</v>
      </c>
      <c r="BG12" s="693">
        <v>368</v>
      </c>
      <c r="BH12" s="693">
        <v>337</v>
      </c>
      <c r="BI12" s="693">
        <v>356</v>
      </c>
      <c r="BJ12" s="693">
        <v>311</v>
      </c>
      <c r="BK12" s="693">
        <v>345</v>
      </c>
      <c r="BL12" s="693">
        <v>344</v>
      </c>
      <c r="BM12" s="693">
        <v>367</v>
      </c>
      <c r="BN12" s="693">
        <v>362</v>
      </c>
      <c r="BO12" s="693">
        <v>354</v>
      </c>
      <c r="BP12" s="693">
        <v>346</v>
      </c>
      <c r="BQ12" s="693">
        <v>328</v>
      </c>
      <c r="BR12" s="693">
        <v>346</v>
      </c>
      <c r="BS12" s="12" t="s">
        <v>462</v>
      </c>
      <c r="BT12" s="688">
        <f t="shared" si="10"/>
        <v>51.311119873817034</v>
      </c>
      <c r="BU12" s="684">
        <f t="shared" si="10"/>
        <v>50.184099277239874</v>
      </c>
      <c r="BV12" s="684">
        <f t="shared" si="10"/>
        <v>50.396291311499922</v>
      </c>
      <c r="BW12" s="684">
        <f t="shared" si="10"/>
        <v>52.222385213436993</v>
      </c>
      <c r="BX12" s="684">
        <f t="shared" si="10"/>
        <v>52.067637702996819</v>
      </c>
      <c r="BY12" s="684">
        <f t="shared" si="10"/>
        <v>52.383844518675978</v>
      </c>
      <c r="BZ12" s="684">
        <f t="shared" si="10"/>
        <v>50.744947632394158</v>
      </c>
      <c r="CA12" s="684">
        <f t="shared" si="10"/>
        <v>51.894796380090497</v>
      </c>
      <c r="CB12" s="684">
        <f t="shared" si="10"/>
        <v>52.229115567739143</v>
      </c>
      <c r="CC12" s="684">
        <f t="shared" si="10"/>
        <v>52.304964539007088</v>
      </c>
      <c r="CD12" s="684">
        <f t="shared" si="10"/>
        <v>50.533080181101212</v>
      </c>
      <c r="CE12" s="684">
        <f t="shared" si="10"/>
        <v>51.653543307086615</v>
      </c>
      <c r="CF12" s="684">
        <f t="shared" si="10"/>
        <v>49.36510201169925</v>
      </c>
      <c r="CG12" s="12" t="s">
        <v>462</v>
      </c>
      <c r="CH12" s="681">
        <f t="shared" si="16"/>
        <v>45268</v>
      </c>
      <c r="CI12" s="680">
        <v>3056</v>
      </c>
      <c r="CJ12" s="680">
        <v>3484</v>
      </c>
      <c r="CK12" s="680">
        <v>3601</v>
      </c>
      <c r="CL12" s="680">
        <v>3608</v>
      </c>
      <c r="CM12" s="680">
        <v>3719</v>
      </c>
      <c r="CN12" s="680">
        <v>3651</v>
      </c>
      <c r="CO12" s="680">
        <v>3869</v>
      </c>
      <c r="CP12" s="680">
        <v>4239</v>
      </c>
      <c r="CQ12" s="680">
        <v>4362</v>
      </c>
      <c r="CR12" s="680">
        <v>4458</v>
      </c>
      <c r="CS12" s="680">
        <v>3659</v>
      </c>
      <c r="CT12" s="680">
        <v>3562</v>
      </c>
      <c r="CU12" s="12" t="s">
        <v>462</v>
      </c>
      <c r="CV12" s="681">
        <f t="shared" si="17"/>
        <v>7600</v>
      </c>
      <c r="CW12" s="680">
        <v>529</v>
      </c>
      <c r="CX12" s="680">
        <v>602</v>
      </c>
      <c r="CY12" s="680">
        <v>631</v>
      </c>
      <c r="CZ12" s="680">
        <v>627</v>
      </c>
      <c r="DA12" s="680">
        <v>641</v>
      </c>
      <c r="DB12" s="680">
        <v>618</v>
      </c>
      <c r="DC12" s="680">
        <v>667</v>
      </c>
      <c r="DD12" s="680">
        <v>648</v>
      </c>
      <c r="DE12" s="680">
        <v>686</v>
      </c>
      <c r="DF12" s="680">
        <v>705</v>
      </c>
      <c r="DG12" s="680">
        <v>650</v>
      </c>
      <c r="DH12" s="680">
        <v>596</v>
      </c>
      <c r="DI12" s="12" t="s">
        <v>462</v>
      </c>
      <c r="DJ12" s="675">
        <f t="shared" si="11"/>
        <v>167.88901652381375</v>
      </c>
      <c r="DK12" s="673">
        <f t="shared" si="11"/>
        <v>173.10209424083769</v>
      </c>
      <c r="DL12" s="673">
        <f t="shared" si="11"/>
        <v>172.78989667049368</v>
      </c>
      <c r="DM12" s="673">
        <f t="shared" si="11"/>
        <v>175.22910302693694</v>
      </c>
      <c r="DN12" s="673">
        <f t="shared" si="11"/>
        <v>173.78048780487805</v>
      </c>
      <c r="DO12" s="673">
        <f t="shared" si="11"/>
        <v>172.35816079591288</v>
      </c>
      <c r="DP12" s="673">
        <f t="shared" si="11"/>
        <v>169.26869350862776</v>
      </c>
      <c r="DQ12" s="673">
        <f t="shared" si="11"/>
        <v>172.39596795037477</v>
      </c>
      <c r="DR12" s="673">
        <f t="shared" si="11"/>
        <v>152.86624203821654</v>
      </c>
      <c r="DS12" s="673">
        <f t="shared" si="11"/>
        <v>157.2673085740486</v>
      </c>
      <c r="DT12" s="673">
        <f t="shared" si="11"/>
        <v>158.14266487213996</v>
      </c>
      <c r="DU12" s="673">
        <f t="shared" si="11"/>
        <v>177.64416507242416</v>
      </c>
      <c r="DV12" s="673">
        <f t="shared" si="11"/>
        <v>167.32172936552499</v>
      </c>
    </row>
    <row r="13" spans="1:126" ht="12.25" customHeight="1">
      <c r="A13" s="36" t="s">
        <v>107</v>
      </c>
      <c r="B13" s="681">
        <f t="shared" si="12"/>
        <v>44774</v>
      </c>
      <c r="C13" s="680">
        <v>3745</v>
      </c>
      <c r="D13" s="680">
        <v>3933</v>
      </c>
      <c r="E13" s="680">
        <v>4131</v>
      </c>
      <c r="F13" s="680">
        <v>3634</v>
      </c>
      <c r="G13" s="680">
        <v>3726</v>
      </c>
      <c r="H13" s="680">
        <v>3676</v>
      </c>
      <c r="I13" s="680">
        <v>3773</v>
      </c>
      <c r="J13" s="680">
        <v>3785</v>
      </c>
      <c r="K13" s="680">
        <v>3796</v>
      </c>
      <c r="L13" s="680">
        <v>4045</v>
      </c>
      <c r="M13" s="680">
        <v>3158</v>
      </c>
      <c r="N13" s="680">
        <v>3372</v>
      </c>
      <c r="O13" s="36" t="s">
        <v>107</v>
      </c>
      <c r="P13" s="711">
        <f t="shared" si="13"/>
        <v>849</v>
      </c>
      <c r="Q13" s="709">
        <v>71</v>
      </c>
      <c r="R13" s="709">
        <v>78</v>
      </c>
      <c r="S13" s="709">
        <v>81</v>
      </c>
      <c r="T13" s="709">
        <v>73</v>
      </c>
      <c r="U13" s="709">
        <v>74</v>
      </c>
      <c r="V13" s="709">
        <v>69</v>
      </c>
      <c r="W13" s="709">
        <v>69</v>
      </c>
      <c r="X13" s="709">
        <v>73</v>
      </c>
      <c r="Y13" s="709">
        <v>71</v>
      </c>
      <c r="Z13" s="709">
        <v>73</v>
      </c>
      <c r="AA13" s="709">
        <v>59</v>
      </c>
      <c r="AB13" s="709">
        <v>58</v>
      </c>
      <c r="AC13" s="36" t="s">
        <v>107</v>
      </c>
      <c r="AD13" s="689">
        <f t="shared" si="9"/>
        <v>18.961897529816412</v>
      </c>
      <c r="AE13" s="685">
        <f t="shared" si="9"/>
        <v>18.958611481975968</v>
      </c>
      <c r="AF13" s="685">
        <f t="shared" si="9"/>
        <v>19.832189168573606</v>
      </c>
      <c r="AG13" s="685">
        <f t="shared" si="9"/>
        <v>19.607843137254903</v>
      </c>
      <c r="AH13" s="685">
        <f t="shared" si="9"/>
        <v>20.088057237204183</v>
      </c>
      <c r="AI13" s="685">
        <f t="shared" si="9"/>
        <v>19.860440150295226</v>
      </c>
      <c r="AJ13" s="685">
        <f t="shared" si="9"/>
        <v>18.770402611534276</v>
      </c>
      <c r="AK13" s="685">
        <f t="shared" si="9"/>
        <v>18.287834614365227</v>
      </c>
      <c r="AL13" s="685">
        <f t="shared" si="9"/>
        <v>19.28665785997358</v>
      </c>
      <c r="AM13" s="685">
        <f t="shared" si="9"/>
        <v>18.703898840885142</v>
      </c>
      <c r="AN13" s="685">
        <f t="shared" si="9"/>
        <v>18.046971569839307</v>
      </c>
      <c r="AO13" s="685">
        <f t="shared" si="9"/>
        <v>18.682710576314122</v>
      </c>
      <c r="AP13" s="685">
        <f t="shared" si="9"/>
        <v>17.200474495848162</v>
      </c>
      <c r="AQ13" s="36" t="s">
        <v>107</v>
      </c>
      <c r="AR13" s="699">
        <f t="shared" si="14"/>
        <v>40637</v>
      </c>
      <c r="AS13" s="701">
        <v>4295</v>
      </c>
      <c r="AT13" s="701">
        <v>3218</v>
      </c>
      <c r="AU13" s="701">
        <v>3707</v>
      </c>
      <c r="AV13" s="701">
        <v>2977</v>
      </c>
      <c r="AW13" s="701">
        <v>3121</v>
      </c>
      <c r="AX13" s="701">
        <v>3156</v>
      </c>
      <c r="AY13" s="701">
        <v>3420</v>
      </c>
      <c r="AZ13" s="701">
        <v>3480</v>
      </c>
      <c r="BA13" s="701">
        <v>3363</v>
      </c>
      <c r="BB13" s="701">
        <v>3476</v>
      </c>
      <c r="BC13" s="701">
        <v>3158</v>
      </c>
      <c r="BD13" s="701">
        <v>3266</v>
      </c>
      <c r="BE13" s="36" t="s">
        <v>107</v>
      </c>
      <c r="BF13" s="681">
        <f t="shared" si="15"/>
        <v>2008</v>
      </c>
      <c r="BG13" s="693">
        <v>213</v>
      </c>
      <c r="BH13" s="693">
        <v>160</v>
      </c>
      <c r="BI13" s="693">
        <v>187</v>
      </c>
      <c r="BJ13" s="693">
        <v>151</v>
      </c>
      <c r="BK13" s="693">
        <v>156</v>
      </c>
      <c r="BL13" s="693">
        <v>152</v>
      </c>
      <c r="BM13" s="693">
        <v>169</v>
      </c>
      <c r="BN13" s="693">
        <v>177</v>
      </c>
      <c r="BO13" s="693">
        <v>173</v>
      </c>
      <c r="BP13" s="693">
        <v>171</v>
      </c>
      <c r="BQ13" s="693">
        <v>152</v>
      </c>
      <c r="BR13" s="693">
        <v>147</v>
      </c>
      <c r="BS13" s="36" t="s">
        <v>107</v>
      </c>
      <c r="BT13" s="688">
        <f t="shared" si="10"/>
        <v>49.413096439205646</v>
      </c>
      <c r="BU13" s="684">
        <f t="shared" si="10"/>
        <v>49.592549476135041</v>
      </c>
      <c r="BV13" s="684">
        <f t="shared" si="10"/>
        <v>49.720323182100685</v>
      </c>
      <c r="BW13" s="684">
        <f t="shared" si="10"/>
        <v>50.445103857566764</v>
      </c>
      <c r="BX13" s="684">
        <f t="shared" si="10"/>
        <v>50.722203560631506</v>
      </c>
      <c r="BY13" s="684">
        <f t="shared" si="10"/>
        <v>49.983979493752003</v>
      </c>
      <c r="BZ13" s="684">
        <f t="shared" si="10"/>
        <v>48.162230671736374</v>
      </c>
      <c r="CA13" s="684">
        <f t="shared" si="10"/>
        <v>49.415204678362571</v>
      </c>
      <c r="CB13" s="684">
        <f t="shared" si="10"/>
        <v>50.862068965517238</v>
      </c>
      <c r="CC13" s="684">
        <f t="shared" si="10"/>
        <v>51.442164733868566</v>
      </c>
      <c r="CD13" s="684">
        <f t="shared" si="10"/>
        <v>49.194476409666279</v>
      </c>
      <c r="CE13" s="684">
        <f t="shared" si="10"/>
        <v>48.131728942368582</v>
      </c>
      <c r="CF13" s="684">
        <f t="shared" si="10"/>
        <v>45.009185548071031</v>
      </c>
      <c r="CG13" s="36" t="s">
        <v>107</v>
      </c>
      <c r="CH13" s="681">
        <f t="shared" si="16"/>
        <v>16016</v>
      </c>
      <c r="CI13" s="680">
        <v>1285</v>
      </c>
      <c r="CJ13" s="680">
        <v>1220</v>
      </c>
      <c r="CK13" s="680">
        <v>1270</v>
      </c>
      <c r="CL13" s="680">
        <v>1265</v>
      </c>
      <c r="CM13" s="680">
        <v>1294</v>
      </c>
      <c r="CN13" s="680">
        <v>1324</v>
      </c>
      <c r="CO13" s="680">
        <v>1488</v>
      </c>
      <c r="CP13" s="680">
        <v>1430</v>
      </c>
      <c r="CQ13" s="680">
        <v>1468</v>
      </c>
      <c r="CR13" s="680">
        <v>1542</v>
      </c>
      <c r="CS13" s="680">
        <v>1328</v>
      </c>
      <c r="CT13" s="680">
        <v>1102</v>
      </c>
      <c r="CU13" s="36" t="s">
        <v>107</v>
      </c>
      <c r="CV13" s="681">
        <f t="shared" si="17"/>
        <v>3751</v>
      </c>
      <c r="CW13" s="680">
        <v>296</v>
      </c>
      <c r="CX13" s="680">
        <v>301</v>
      </c>
      <c r="CY13" s="680">
        <v>318</v>
      </c>
      <c r="CZ13" s="680">
        <v>313</v>
      </c>
      <c r="DA13" s="680">
        <v>319</v>
      </c>
      <c r="DB13" s="680">
        <v>309</v>
      </c>
      <c r="DC13" s="680">
        <v>347</v>
      </c>
      <c r="DD13" s="680">
        <v>315</v>
      </c>
      <c r="DE13" s="680">
        <v>340</v>
      </c>
      <c r="DF13" s="680">
        <v>355</v>
      </c>
      <c r="DG13" s="680">
        <v>302</v>
      </c>
      <c r="DH13" s="680">
        <v>236</v>
      </c>
      <c r="DI13" s="36" t="s">
        <v>107</v>
      </c>
      <c r="DJ13" s="675">
        <f t="shared" si="11"/>
        <v>234.2032967032967</v>
      </c>
      <c r="DK13" s="673">
        <f t="shared" si="11"/>
        <v>230.35019455252916</v>
      </c>
      <c r="DL13" s="673">
        <f t="shared" si="11"/>
        <v>246.72131147540986</v>
      </c>
      <c r="DM13" s="673">
        <f t="shared" si="11"/>
        <v>250.3937007874016</v>
      </c>
      <c r="DN13" s="673">
        <f t="shared" si="11"/>
        <v>247.43083003952569</v>
      </c>
      <c r="DO13" s="673">
        <f t="shared" si="11"/>
        <v>246.52241112828438</v>
      </c>
      <c r="DP13" s="673">
        <f t="shared" si="11"/>
        <v>233.38368580060424</v>
      </c>
      <c r="DQ13" s="673">
        <f t="shared" si="11"/>
        <v>233.19892473118279</v>
      </c>
      <c r="DR13" s="673">
        <f t="shared" si="11"/>
        <v>220.27972027972029</v>
      </c>
      <c r="DS13" s="673">
        <f t="shared" si="11"/>
        <v>231.60762942779292</v>
      </c>
      <c r="DT13" s="673">
        <f t="shared" si="11"/>
        <v>230.22049286640726</v>
      </c>
      <c r="DU13" s="673">
        <f t="shared" si="11"/>
        <v>227.40963855421685</v>
      </c>
      <c r="DV13" s="673">
        <f t="shared" si="11"/>
        <v>214.15607985480943</v>
      </c>
    </row>
    <row r="14" spans="1:126" ht="12.25" customHeight="1">
      <c r="A14" s="36" t="s">
        <v>108</v>
      </c>
      <c r="B14" s="681">
        <f t="shared" si="12"/>
        <v>5809</v>
      </c>
      <c r="C14" s="680">
        <v>381</v>
      </c>
      <c r="D14" s="680">
        <v>412</v>
      </c>
      <c r="E14" s="680">
        <v>405</v>
      </c>
      <c r="F14" s="680">
        <v>506</v>
      </c>
      <c r="G14" s="680">
        <v>498</v>
      </c>
      <c r="H14" s="680">
        <v>554</v>
      </c>
      <c r="I14" s="680">
        <v>493</v>
      </c>
      <c r="J14" s="680">
        <v>503</v>
      </c>
      <c r="K14" s="680">
        <v>531</v>
      </c>
      <c r="L14" s="680">
        <v>592</v>
      </c>
      <c r="M14" s="680">
        <v>420</v>
      </c>
      <c r="N14" s="680">
        <v>514</v>
      </c>
      <c r="O14" s="36" t="s">
        <v>108</v>
      </c>
      <c r="P14" s="711">
        <f t="shared" si="13"/>
        <v>101</v>
      </c>
      <c r="Q14" s="709">
        <v>6</v>
      </c>
      <c r="R14" s="709">
        <v>6</v>
      </c>
      <c r="S14" s="709">
        <v>6</v>
      </c>
      <c r="T14" s="709">
        <v>8</v>
      </c>
      <c r="U14" s="709">
        <v>8</v>
      </c>
      <c r="V14" s="709">
        <v>9</v>
      </c>
      <c r="W14" s="709">
        <v>8</v>
      </c>
      <c r="X14" s="709">
        <v>8</v>
      </c>
      <c r="Y14" s="709">
        <v>8</v>
      </c>
      <c r="Z14" s="709">
        <v>11</v>
      </c>
      <c r="AA14" s="709">
        <v>11</v>
      </c>
      <c r="AB14" s="709">
        <v>12</v>
      </c>
      <c r="AC14" s="36" t="s">
        <v>108</v>
      </c>
      <c r="AD14" s="689">
        <f t="shared" si="9"/>
        <v>17.386813565157514</v>
      </c>
      <c r="AE14" s="685">
        <f t="shared" si="9"/>
        <v>15.748031496062993</v>
      </c>
      <c r="AF14" s="685">
        <f t="shared" si="9"/>
        <v>14.563106796116505</v>
      </c>
      <c r="AG14" s="685">
        <f t="shared" si="9"/>
        <v>14.814814814814815</v>
      </c>
      <c r="AH14" s="685">
        <f t="shared" si="9"/>
        <v>15.810276679841897</v>
      </c>
      <c r="AI14" s="685">
        <f t="shared" si="9"/>
        <v>16.064257028112447</v>
      </c>
      <c r="AJ14" s="685">
        <f t="shared" si="9"/>
        <v>16.245487364620939</v>
      </c>
      <c r="AK14" s="685">
        <f t="shared" si="9"/>
        <v>16.227180527383368</v>
      </c>
      <c r="AL14" s="685">
        <f t="shared" si="9"/>
        <v>15.904572564612325</v>
      </c>
      <c r="AM14" s="685">
        <f t="shared" si="9"/>
        <v>15.065913370998116</v>
      </c>
      <c r="AN14" s="685">
        <f t="shared" si="9"/>
        <v>18.581081081081081</v>
      </c>
      <c r="AO14" s="685">
        <f t="shared" si="9"/>
        <v>26.19047619047619</v>
      </c>
      <c r="AP14" s="685">
        <f t="shared" si="9"/>
        <v>23.346303501945524</v>
      </c>
      <c r="AQ14" s="36" t="s">
        <v>108</v>
      </c>
      <c r="AR14" s="699">
        <f t="shared" si="14"/>
        <v>27731</v>
      </c>
      <c r="AS14" s="701">
        <v>2303</v>
      </c>
      <c r="AT14" s="701">
        <v>2256</v>
      </c>
      <c r="AU14" s="701">
        <v>2060</v>
      </c>
      <c r="AV14" s="701">
        <v>2110</v>
      </c>
      <c r="AW14" s="701">
        <v>2438</v>
      </c>
      <c r="AX14" s="701">
        <v>2674</v>
      </c>
      <c r="AY14" s="701">
        <v>2484</v>
      </c>
      <c r="AZ14" s="701">
        <v>2369</v>
      </c>
      <c r="BA14" s="701">
        <v>2293</v>
      </c>
      <c r="BB14" s="701">
        <v>2226</v>
      </c>
      <c r="BC14" s="701">
        <v>2009</v>
      </c>
      <c r="BD14" s="701">
        <v>2509</v>
      </c>
      <c r="BE14" s="36" t="s">
        <v>108</v>
      </c>
      <c r="BF14" s="681">
        <f t="shared" si="15"/>
        <v>1358</v>
      </c>
      <c r="BG14" s="693">
        <v>108</v>
      </c>
      <c r="BH14" s="693">
        <v>111</v>
      </c>
      <c r="BI14" s="693">
        <v>101</v>
      </c>
      <c r="BJ14" s="693">
        <v>103</v>
      </c>
      <c r="BK14" s="693">
        <v>120</v>
      </c>
      <c r="BL14" s="693">
        <v>131</v>
      </c>
      <c r="BM14" s="693">
        <v>120</v>
      </c>
      <c r="BN14" s="693">
        <v>114</v>
      </c>
      <c r="BO14" s="693">
        <v>108</v>
      </c>
      <c r="BP14" s="693">
        <v>106</v>
      </c>
      <c r="BQ14" s="693">
        <v>104</v>
      </c>
      <c r="BR14" s="693">
        <v>132</v>
      </c>
      <c r="BS14" s="36" t="s">
        <v>108</v>
      </c>
      <c r="BT14" s="688">
        <f t="shared" si="10"/>
        <v>48.970466265190581</v>
      </c>
      <c r="BU14" s="684">
        <f t="shared" si="10"/>
        <v>46.895353886235341</v>
      </c>
      <c r="BV14" s="684">
        <f t="shared" si="10"/>
        <v>49.202127659574472</v>
      </c>
      <c r="BW14" s="684">
        <f t="shared" si="10"/>
        <v>49.029126213592235</v>
      </c>
      <c r="BX14" s="684">
        <f t="shared" si="10"/>
        <v>48.81516587677725</v>
      </c>
      <c r="BY14" s="684">
        <f t="shared" si="10"/>
        <v>49.220672682526661</v>
      </c>
      <c r="BZ14" s="684">
        <f t="shared" si="10"/>
        <v>48.990276738967836</v>
      </c>
      <c r="CA14" s="684">
        <f t="shared" si="10"/>
        <v>48.309178743961354</v>
      </c>
      <c r="CB14" s="684">
        <f t="shared" si="10"/>
        <v>48.121570282819754</v>
      </c>
      <c r="CC14" s="684">
        <f t="shared" si="10"/>
        <v>47.099869167030093</v>
      </c>
      <c r="CD14" s="684">
        <f t="shared" si="10"/>
        <v>47.619047619047613</v>
      </c>
      <c r="CE14" s="684">
        <f t="shared" si="10"/>
        <v>51.767048282727728</v>
      </c>
      <c r="CF14" s="684">
        <f t="shared" si="10"/>
        <v>52.610601833399755</v>
      </c>
      <c r="CG14" s="36" t="s">
        <v>108</v>
      </c>
      <c r="CH14" s="681">
        <f t="shared" si="16"/>
        <v>15155</v>
      </c>
      <c r="CI14" s="680">
        <v>1007</v>
      </c>
      <c r="CJ14" s="680">
        <v>1088</v>
      </c>
      <c r="CK14" s="680">
        <v>1121</v>
      </c>
      <c r="CL14" s="680">
        <v>1198</v>
      </c>
      <c r="CM14" s="680">
        <v>1253</v>
      </c>
      <c r="CN14" s="680">
        <v>1215</v>
      </c>
      <c r="CO14" s="680">
        <v>1115</v>
      </c>
      <c r="CP14" s="680">
        <v>1616</v>
      </c>
      <c r="CQ14" s="680">
        <v>1615</v>
      </c>
      <c r="CR14" s="680">
        <v>1603</v>
      </c>
      <c r="CS14" s="680">
        <v>1118</v>
      </c>
      <c r="CT14" s="680">
        <v>1206</v>
      </c>
      <c r="CU14" s="36" t="s">
        <v>108</v>
      </c>
      <c r="CV14" s="681">
        <f t="shared" si="17"/>
        <v>1641</v>
      </c>
      <c r="CW14" s="680">
        <v>107</v>
      </c>
      <c r="CX14" s="680">
        <v>108</v>
      </c>
      <c r="CY14" s="680">
        <v>122</v>
      </c>
      <c r="CZ14" s="680">
        <v>133</v>
      </c>
      <c r="DA14" s="680">
        <v>139</v>
      </c>
      <c r="DB14" s="680">
        <v>132</v>
      </c>
      <c r="DC14" s="680">
        <v>121</v>
      </c>
      <c r="DD14" s="680">
        <v>146</v>
      </c>
      <c r="DE14" s="680">
        <v>147</v>
      </c>
      <c r="DF14" s="680">
        <v>146</v>
      </c>
      <c r="DG14" s="680">
        <v>168</v>
      </c>
      <c r="DH14" s="680">
        <v>172</v>
      </c>
      <c r="DI14" s="36" t="s">
        <v>108</v>
      </c>
      <c r="DJ14" s="675">
        <f t="shared" si="11"/>
        <v>108.28109534806994</v>
      </c>
      <c r="DK14" s="673">
        <f t="shared" si="11"/>
        <v>106.25620655412116</v>
      </c>
      <c r="DL14" s="673">
        <f t="shared" si="11"/>
        <v>99.264705882352942</v>
      </c>
      <c r="DM14" s="673">
        <f t="shared" si="11"/>
        <v>108.8314005352364</v>
      </c>
      <c r="DN14" s="673">
        <f t="shared" si="11"/>
        <v>111.01836393989983</v>
      </c>
      <c r="DO14" s="673">
        <f t="shared" si="11"/>
        <v>110.93375897845172</v>
      </c>
      <c r="DP14" s="673">
        <f t="shared" si="11"/>
        <v>108.64197530864197</v>
      </c>
      <c r="DQ14" s="673">
        <f t="shared" si="11"/>
        <v>108.5201793721973</v>
      </c>
      <c r="DR14" s="673">
        <f t="shared" si="11"/>
        <v>90.346534653465341</v>
      </c>
      <c r="DS14" s="673">
        <f t="shared" si="11"/>
        <v>91.021671826625393</v>
      </c>
      <c r="DT14" s="673">
        <f t="shared" si="11"/>
        <v>91.079226450405486</v>
      </c>
      <c r="DU14" s="673">
        <f t="shared" si="11"/>
        <v>150.26833631484794</v>
      </c>
      <c r="DV14" s="673">
        <f t="shared" si="11"/>
        <v>142.62023217247096</v>
      </c>
    </row>
    <row r="15" spans="1:126" ht="12.25" customHeight="1">
      <c r="A15" s="36" t="s">
        <v>109</v>
      </c>
      <c r="B15" s="681">
        <f t="shared" si="12"/>
        <v>484</v>
      </c>
      <c r="C15" s="680">
        <v>54</v>
      </c>
      <c r="D15" s="680">
        <v>44</v>
      </c>
      <c r="E15" s="680">
        <v>29</v>
      </c>
      <c r="F15" s="680">
        <v>33</v>
      </c>
      <c r="G15" s="680">
        <v>41</v>
      </c>
      <c r="H15" s="680">
        <v>26</v>
      </c>
      <c r="I15" s="680">
        <v>41</v>
      </c>
      <c r="J15" s="680">
        <v>43</v>
      </c>
      <c r="K15" s="680">
        <v>50</v>
      </c>
      <c r="L15" s="680">
        <v>50</v>
      </c>
      <c r="M15" s="680">
        <v>39</v>
      </c>
      <c r="N15" s="680">
        <v>34</v>
      </c>
      <c r="O15" s="36" t="s">
        <v>109</v>
      </c>
      <c r="P15" s="711">
        <f t="shared" si="13"/>
        <v>11</v>
      </c>
      <c r="Q15" s="709">
        <v>1</v>
      </c>
      <c r="R15" s="709">
        <v>1</v>
      </c>
      <c r="S15" s="709">
        <v>1</v>
      </c>
      <c r="T15" s="709">
        <v>1</v>
      </c>
      <c r="U15" s="709">
        <v>1</v>
      </c>
      <c r="V15" s="709">
        <v>0</v>
      </c>
      <c r="W15" s="709">
        <v>1</v>
      </c>
      <c r="X15" s="709">
        <v>1</v>
      </c>
      <c r="Y15" s="709">
        <v>1</v>
      </c>
      <c r="Z15" s="709">
        <v>1</v>
      </c>
      <c r="AA15" s="709">
        <v>1</v>
      </c>
      <c r="AB15" s="709">
        <v>1</v>
      </c>
      <c r="AC15" s="36" t="s">
        <v>109</v>
      </c>
      <c r="AD15" s="689">
        <f t="shared" si="9"/>
        <v>22.727272727272727</v>
      </c>
      <c r="AE15" s="685">
        <f t="shared" si="9"/>
        <v>18.518518518518519</v>
      </c>
      <c r="AF15" s="685">
        <f t="shared" si="9"/>
        <v>22.727272727272727</v>
      </c>
      <c r="AG15" s="685">
        <f t="shared" si="9"/>
        <v>34.482758620689651</v>
      </c>
      <c r="AH15" s="685">
        <f t="shared" si="9"/>
        <v>30.303030303030305</v>
      </c>
      <c r="AI15" s="685">
        <f t="shared" si="9"/>
        <v>24.390243902439025</v>
      </c>
      <c r="AJ15" s="685">
        <f t="shared" si="9"/>
        <v>0</v>
      </c>
      <c r="AK15" s="685">
        <f t="shared" si="9"/>
        <v>24.390243902439025</v>
      </c>
      <c r="AL15" s="685">
        <f t="shared" si="9"/>
        <v>23.255813953488371</v>
      </c>
      <c r="AM15" s="685">
        <f t="shared" si="9"/>
        <v>20</v>
      </c>
      <c r="AN15" s="685">
        <f t="shared" si="9"/>
        <v>20</v>
      </c>
      <c r="AO15" s="685">
        <f t="shared" si="9"/>
        <v>25.641025641025639</v>
      </c>
      <c r="AP15" s="685">
        <f t="shared" si="9"/>
        <v>29.411764705882351</v>
      </c>
      <c r="AQ15" s="36" t="s">
        <v>109</v>
      </c>
      <c r="AR15" s="699">
        <f t="shared" si="14"/>
        <v>12784</v>
      </c>
      <c r="AS15" s="701">
        <v>735</v>
      </c>
      <c r="AT15" s="701">
        <v>1213</v>
      </c>
      <c r="AU15" s="701">
        <v>1050</v>
      </c>
      <c r="AV15" s="701">
        <v>886</v>
      </c>
      <c r="AW15" s="701">
        <v>1027</v>
      </c>
      <c r="AX15" s="701">
        <v>949</v>
      </c>
      <c r="AY15" s="701">
        <v>1168</v>
      </c>
      <c r="AZ15" s="701">
        <v>1082</v>
      </c>
      <c r="BA15" s="701">
        <v>1112</v>
      </c>
      <c r="BB15" s="701">
        <v>1145</v>
      </c>
      <c r="BC15" s="701">
        <v>1183</v>
      </c>
      <c r="BD15" s="701">
        <v>1234</v>
      </c>
      <c r="BE15" s="36" t="s">
        <v>109</v>
      </c>
      <c r="BF15" s="681">
        <f t="shared" si="15"/>
        <v>801</v>
      </c>
      <c r="BG15" s="693">
        <v>48</v>
      </c>
      <c r="BH15" s="693">
        <v>66</v>
      </c>
      <c r="BI15" s="693">
        <v>69</v>
      </c>
      <c r="BJ15" s="693">
        <v>57</v>
      </c>
      <c r="BK15" s="693">
        <v>69</v>
      </c>
      <c r="BL15" s="693">
        <v>62</v>
      </c>
      <c r="BM15" s="693">
        <v>78</v>
      </c>
      <c r="BN15" s="693">
        <v>70</v>
      </c>
      <c r="BO15" s="693">
        <v>73</v>
      </c>
      <c r="BP15" s="693">
        <v>70</v>
      </c>
      <c r="BQ15" s="693">
        <v>72</v>
      </c>
      <c r="BR15" s="693">
        <v>67</v>
      </c>
      <c r="BS15" s="36" t="s">
        <v>109</v>
      </c>
      <c r="BT15" s="688">
        <f t="shared" si="10"/>
        <v>62.656445556946188</v>
      </c>
      <c r="BU15" s="684">
        <f t="shared" si="10"/>
        <v>65.306122448979593</v>
      </c>
      <c r="BV15" s="684">
        <f t="shared" si="10"/>
        <v>54.410552349546577</v>
      </c>
      <c r="BW15" s="684">
        <f t="shared" si="10"/>
        <v>65.714285714285708</v>
      </c>
      <c r="BX15" s="684">
        <f t="shared" si="10"/>
        <v>64.334085778781045</v>
      </c>
      <c r="BY15" s="684">
        <f t="shared" si="10"/>
        <v>67.18597857838364</v>
      </c>
      <c r="BZ15" s="684">
        <f t="shared" si="10"/>
        <v>65.331928345626963</v>
      </c>
      <c r="CA15" s="684">
        <f t="shared" si="10"/>
        <v>66.780821917808225</v>
      </c>
      <c r="CB15" s="684">
        <f t="shared" si="10"/>
        <v>64.695009242144181</v>
      </c>
      <c r="CC15" s="684">
        <f t="shared" si="10"/>
        <v>65.647482014388487</v>
      </c>
      <c r="CD15" s="684">
        <f t="shared" si="10"/>
        <v>61.135371179039296</v>
      </c>
      <c r="CE15" s="684">
        <f t="shared" si="10"/>
        <v>60.862214708368555</v>
      </c>
      <c r="CF15" s="684">
        <f t="shared" si="10"/>
        <v>54.294975688816855</v>
      </c>
      <c r="CG15" s="36" t="s">
        <v>109</v>
      </c>
      <c r="CH15" s="681">
        <f t="shared" si="16"/>
        <v>14097</v>
      </c>
      <c r="CI15" s="680">
        <v>764</v>
      </c>
      <c r="CJ15" s="680">
        <v>1176</v>
      </c>
      <c r="CK15" s="680">
        <v>1210</v>
      </c>
      <c r="CL15" s="680">
        <v>1145</v>
      </c>
      <c r="CM15" s="680">
        <v>1172</v>
      </c>
      <c r="CN15" s="680">
        <v>1112</v>
      </c>
      <c r="CO15" s="680">
        <v>1266</v>
      </c>
      <c r="CP15" s="680">
        <v>1193</v>
      </c>
      <c r="CQ15" s="680">
        <v>1279</v>
      </c>
      <c r="CR15" s="680">
        <v>1313</v>
      </c>
      <c r="CS15" s="680">
        <v>1213</v>
      </c>
      <c r="CT15" s="680">
        <v>1254</v>
      </c>
      <c r="CU15" s="36" t="s">
        <v>109</v>
      </c>
      <c r="CV15" s="681">
        <f t="shared" si="17"/>
        <v>2207</v>
      </c>
      <c r="CW15" s="680">
        <v>125</v>
      </c>
      <c r="CX15" s="680">
        <v>193</v>
      </c>
      <c r="CY15" s="680">
        <v>191</v>
      </c>
      <c r="CZ15" s="680">
        <v>181</v>
      </c>
      <c r="DA15" s="680">
        <v>183</v>
      </c>
      <c r="DB15" s="680">
        <v>177</v>
      </c>
      <c r="DC15" s="680">
        <v>199</v>
      </c>
      <c r="DD15" s="680">
        <v>186</v>
      </c>
      <c r="DE15" s="680">
        <v>200</v>
      </c>
      <c r="DF15" s="680">
        <v>204</v>
      </c>
      <c r="DG15" s="680">
        <v>180</v>
      </c>
      <c r="DH15" s="680">
        <v>188</v>
      </c>
      <c r="DI15" s="36" t="s">
        <v>109</v>
      </c>
      <c r="DJ15" s="675">
        <f t="shared" si="11"/>
        <v>156.55813293608568</v>
      </c>
      <c r="DK15" s="673">
        <f t="shared" si="11"/>
        <v>163.61256544502618</v>
      </c>
      <c r="DL15" s="673">
        <f t="shared" si="11"/>
        <v>164.11564625850338</v>
      </c>
      <c r="DM15" s="673">
        <f t="shared" si="11"/>
        <v>157.85123966942149</v>
      </c>
      <c r="DN15" s="673">
        <f t="shared" si="11"/>
        <v>158.07860262008734</v>
      </c>
      <c r="DO15" s="673">
        <f t="shared" si="11"/>
        <v>156.1433447098976</v>
      </c>
      <c r="DP15" s="673">
        <f t="shared" si="11"/>
        <v>159.17266187050362</v>
      </c>
      <c r="DQ15" s="673">
        <f t="shared" si="11"/>
        <v>157.18799368088469</v>
      </c>
      <c r="DR15" s="673">
        <f t="shared" si="11"/>
        <v>155.90947191953057</v>
      </c>
      <c r="DS15" s="673">
        <f t="shared" si="11"/>
        <v>156.37216575449568</v>
      </c>
      <c r="DT15" s="673">
        <f t="shared" si="11"/>
        <v>155.36938309215537</v>
      </c>
      <c r="DU15" s="673">
        <f t="shared" si="11"/>
        <v>148.3924154987634</v>
      </c>
      <c r="DV15" s="673">
        <f t="shared" si="11"/>
        <v>149.92025518341308</v>
      </c>
    </row>
    <row r="16" spans="1:126" ht="12.25" customHeight="1">
      <c r="A16" s="36" t="s">
        <v>441</v>
      </c>
      <c r="B16" s="681">
        <f t="shared" si="12"/>
        <v>2782</v>
      </c>
      <c r="C16" s="680">
        <v>283</v>
      </c>
      <c r="D16" s="680">
        <v>314</v>
      </c>
      <c r="E16" s="680">
        <v>285</v>
      </c>
      <c r="F16" s="680">
        <v>238</v>
      </c>
      <c r="G16" s="680">
        <v>210</v>
      </c>
      <c r="H16" s="680">
        <v>203</v>
      </c>
      <c r="I16" s="680">
        <v>197</v>
      </c>
      <c r="J16" s="680">
        <v>225</v>
      </c>
      <c r="K16" s="680">
        <v>215</v>
      </c>
      <c r="L16" s="680">
        <v>212</v>
      </c>
      <c r="M16" s="680">
        <v>195</v>
      </c>
      <c r="N16" s="680">
        <v>205</v>
      </c>
      <c r="O16" s="36" t="s">
        <v>441</v>
      </c>
      <c r="P16" s="711">
        <f t="shared" si="13"/>
        <v>38</v>
      </c>
      <c r="Q16" s="709">
        <v>4</v>
      </c>
      <c r="R16" s="709">
        <v>4</v>
      </c>
      <c r="S16" s="709">
        <v>4</v>
      </c>
      <c r="T16" s="709">
        <v>3</v>
      </c>
      <c r="U16" s="709">
        <v>3</v>
      </c>
      <c r="V16" s="709">
        <v>3</v>
      </c>
      <c r="W16" s="709">
        <v>2</v>
      </c>
      <c r="X16" s="709">
        <v>3</v>
      </c>
      <c r="Y16" s="709">
        <v>3</v>
      </c>
      <c r="Z16" s="709">
        <v>3</v>
      </c>
      <c r="AA16" s="709">
        <v>3</v>
      </c>
      <c r="AB16" s="709">
        <v>3</v>
      </c>
      <c r="AC16" s="36" t="s">
        <v>441</v>
      </c>
      <c r="AD16" s="689">
        <f t="shared" si="9"/>
        <v>13.659237958303379</v>
      </c>
      <c r="AE16" s="685">
        <f t="shared" si="9"/>
        <v>14.134275618374557</v>
      </c>
      <c r="AF16" s="685">
        <f t="shared" si="9"/>
        <v>12.738853503184714</v>
      </c>
      <c r="AG16" s="685">
        <f t="shared" si="9"/>
        <v>14.035087719298247</v>
      </c>
      <c r="AH16" s="685">
        <f t="shared" si="9"/>
        <v>12.605042016806722</v>
      </c>
      <c r="AI16" s="685">
        <f t="shared" si="9"/>
        <v>14.285714285714285</v>
      </c>
      <c r="AJ16" s="685">
        <f t="shared" si="9"/>
        <v>14.778325123152708</v>
      </c>
      <c r="AK16" s="685">
        <f t="shared" si="9"/>
        <v>10.152284263959389</v>
      </c>
      <c r="AL16" s="685">
        <f t="shared" si="9"/>
        <v>13.333333333333334</v>
      </c>
      <c r="AM16" s="685">
        <f t="shared" si="9"/>
        <v>13.953488372093023</v>
      </c>
      <c r="AN16" s="685">
        <f t="shared" si="9"/>
        <v>14.150943396226415</v>
      </c>
      <c r="AO16" s="685">
        <f t="shared" si="9"/>
        <v>15.384615384615385</v>
      </c>
      <c r="AP16" s="685">
        <f t="shared" si="9"/>
        <v>14.634146341463415</v>
      </c>
      <c r="AQ16" s="36" t="s">
        <v>441</v>
      </c>
      <c r="AR16" s="699">
        <f t="shared" si="14"/>
        <v>19094</v>
      </c>
      <c r="AS16" s="701">
        <v>1407</v>
      </c>
      <c r="AT16" s="701">
        <v>1590</v>
      </c>
      <c r="AU16" s="701">
        <v>1530</v>
      </c>
      <c r="AV16" s="701">
        <v>1090</v>
      </c>
      <c r="AW16" s="701">
        <v>1405</v>
      </c>
      <c r="AX16" s="701">
        <v>1416</v>
      </c>
      <c r="AY16" s="701">
        <v>1538</v>
      </c>
      <c r="AZ16" s="701">
        <v>1710</v>
      </c>
      <c r="BA16" s="701">
        <v>1870</v>
      </c>
      <c r="BB16" s="701">
        <v>1930</v>
      </c>
      <c r="BC16" s="701">
        <v>1775</v>
      </c>
      <c r="BD16" s="701">
        <v>1833</v>
      </c>
      <c r="BE16" s="36" t="s">
        <v>441</v>
      </c>
      <c r="BF16" s="681">
        <f t="shared" si="15"/>
        <v>1084</v>
      </c>
      <c r="BG16" s="693">
        <v>84</v>
      </c>
      <c r="BH16" s="693">
        <v>93</v>
      </c>
      <c r="BI16" s="693">
        <v>87</v>
      </c>
      <c r="BJ16" s="693">
        <v>59</v>
      </c>
      <c r="BK16" s="693">
        <v>78</v>
      </c>
      <c r="BL16" s="693">
        <v>77</v>
      </c>
      <c r="BM16" s="693">
        <v>83</v>
      </c>
      <c r="BN16" s="693">
        <v>100</v>
      </c>
      <c r="BO16" s="693">
        <v>108</v>
      </c>
      <c r="BP16" s="693">
        <v>108</v>
      </c>
      <c r="BQ16" s="693">
        <v>100</v>
      </c>
      <c r="BR16" s="693">
        <v>107</v>
      </c>
      <c r="BS16" s="36" t="s">
        <v>441</v>
      </c>
      <c r="BT16" s="688">
        <f t="shared" si="10"/>
        <v>56.771760762543209</v>
      </c>
      <c r="BU16" s="684">
        <f t="shared" si="10"/>
        <v>59.701492537313435</v>
      </c>
      <c r="BV16" s="684">
        <f t="shared" si="10"/>
        <v>58.490566037735853</v>
      </c>
      <c r="BW16" s="684">
        <f t="shared" si="10"/>
        <v>56.862745098039213</v>
      </c>
      <c r="BX16" s="684">
        <f t="shared" si="10"/>
        <v>54.128440366972477</v>
      </c>
      <c r="BY16" s="684">
        <f t="shared" si="10"/>
        <v>55.516014234875449</v>
      </c>
      <c r="BZ16" s="684">
        <f t="shared" si="10"/>
        <v>54.378531073446325</v>
      </c>
      <c r="CA16" s="684">
        <f t="shared" si="10"/>
        <v>53.966189856957087</v>
      </c>
      <c r="CB16" s="684">
        <f t="shared" si="10"/>
        <v>58.479532163742689</v>
      </c>
      <c r="CC16" s="684">
        <f t="shared" si="10"/>
        <v>57.754010695187169</v>
      </c>
      <c r="CD16" s="684">
        <f t="shared" si="10"/>
        <v>55.958549222797927</v>
      </c>
      <c r="CE16" s="684">
        <f t="shared" si="10"/>
        <v>56.338028169014088</v>
      </c>
      <c r="CF16" s="684">
        <f t="shared" si="10"/>
        <v>58.374249863611567</v>
      </c>
      <c r="CG16" s="36" t="s">
        <v>441</v>
      </c>
      <c r="CH16" s="681">
        <f t="shared" si="16"/>
        <v>22024</v>
      </c>
      <c r="CI16" s="680">
        <v>1943</v>
      </c>
      <c r="CJ16" s="680">
        <v>1803</v>
      </c>
      <c r="CK16" s="680">
        <v>1815</v>
      </c>
      <c r="CL16" s="680">
        <v>1960</v>
      </c>
      <c r="CM16" s="680">
        <v>1753</v>
      </c>
      <c r="CN16" s="680">
        <v>1675</v>
      </c>
      <c r="CO16" s="680">
        <v>1660</v>
      </c>
      <c r="CP16" s="680">
        <v>1750</v>
      </c>
      <c r="CQ16" s="680">
        <v>1925</v>
      </c>
      <c r="CR16" s="680">
        <v>2020</v>
      </c>
      <c r="CS16" s="680">
        <v>1855</v>
      </c>
      <c r="CT16" s="680">
        <v>1865</v>
      </c>
      <c r="CU16" s="36" t="s">
        <v>441</v>
      </c>
      <c r="CV16" s="681">
        <f t="shared" si="17"/>
        <v>2805</v>
      </c>
      <c r="CW16" s="680">
        <v>250</v>
      </c>
      <c r="CX16" s="680">
        <v>230</v>
      </c>
      <c r="CY16" s="680">
        <v>228</v>
      </c>
      <c r="CZ16" s="680">
        <v>247</v>
      </c>
      <c r="DA16" s="680">
        <v>220</v>
      </c>
      <c r="DB16" s="680">
        <v>208</v>
      </c>
      <c r="DC16" s="680">
        <v>208</v>
      </c>
      <c r="DD16" s="680">
        <v>226</v>
      </c>
      <c r="DE16" s="680">
        <v>250</v>
      </c>
      <c r="DF16" s="680">
        <v>257</v>
      </c>
      <c r="DG16" s="680">
        <v>239</v>
      </c>
      <c r="DH16" s="680">
        <v>242</v>
      </c>
      <c r="DI16" s="36" t="s">
        <v>441</v>
      </c>
      <c r="DJ16" s="675">
        <f t="shared" si="11"/>
        <v>127.36106066109699</v>
      </c>
      <c r="DK16" s="673">
        <f t="shared" si="11"/>
        <v>128.66700977869274</v>
      </c>
      <c r="DL16" s="673">
        <f t="shared" si="11"/>
        <v>127.56516916250693</v>
      </c>
      <c r="DM16" s="673">
        <f t="shared" si="11"/>
        <v>125.61983471074382</v>
      </c>
      <c r="DN16" s="673">
        <f t="shared" si="11"/>
        <v>126.02040816326532</v>
      </c>
      <c r="DO16" s="673">
        <f t="shared" si="11"/>
        <v>125.49914432401596</v>
      </c>
      <c r="DP16" s="673">
        <f t="shared" si="11"/>
        <v>124.17910447761193</v>
      </c>
      <c r="DQ16" s="673">
        <f t="shared" si="11"/>
        <v>125.30120481927712</v>
      </c>
      <c r="DR16" s="673">
        <f t="shared" si="11"/>
        <v>129.14285714285714</v>
      </c>
      <c r="DS16" s="673">
        <f t="shared" si="11"/>
        <v>129.87012987012986</v>
      </c>
      <c r="DT16" s="673">
        <f t="shared" si="11"/>
        <v>127.22772277227723</v>
      </c>
      <c r="DU16" s="673">
        <f t="shared" si="11"/>
        <v>128.84097035040432</v>
      </c>
      <c r="DV16" s="673">
        <f t="shared" si="11"/>
        <v>129.7587131367292</v>
      </c>
    </row>
    <row r="17" spans="1:126" ht="12.25" customHeight="1">
      <c r="A17" s="36" t="s">
        <v>442</v>
      </c>
      <c r="B17" s="681">
        <f t="shared" si="12"/>
        <v>44772</v>
      </c>
      <c r="C17" s="680">
        <v>3469</v>
      </c>
      <c r="D17" s="680">
        <v>3986</v>
      </c>
      <c r="E17" s="680">
        <v>3773</v>
      </c>
      <c r="F17" s="680">
        <v>3926</v>
      </c>
      <c r="G17" s="680">
        <v>4005</v>
      </c>
      <c r="H17" s="680">
        <v>3777</v>
      </c>
      <c r="I17" s="680">
        <v>4006</v>
      </c>
      <c r="J17" s="680">
        <v>3609</v>
      </c>
      <c r="K17" s="680">
        <v>3746</v>
      </c>
      <c r="L17" s="680">
        <v>3788</v>
      </c>
      <c r="M17" s="680">
        <v>3292</v>
      </c>
      <c r="N17" s="680">
        <v>3395</v>
      </c>
      <c r="O17" s="36" t="s">
        <v>442</v>
      </c>
      <c r="P17" s="711">
        <f t="shared" si="13"/>
        <v>501</v>
      </c>
      <c r="Q17" s="709">
        <v>41</v>
      </c>
      <c r="R17" s="709">
        <v>44</v>
      </c>
      <c r="S17" s="709">
        <v>42</v>
      </c>
      <c r="T17" s="709">
        <v>43</v>
      </c>
      <c r="U17" s="709">
        <v>44</v>
      </c>
      <c r="V17" s="709">
        <v>42</v>
      </c>
      <c r="W17" s="709">
        <v>44</v>
      </c>
      <c r="X17" s="709">
        <v>40</v>
      </c>
      <c r="Y17" s="709">
        <v>43</v>
      </c>
      <c r="Z17" s="709">
        <v>43</v>
      </c>
      <c r="AA17" s="709">
        <v>37</v>
      </c>
      <c r="AB17" s="709">
        <v>38</v>
      </c>
      <c r="AC17" s="36" t="s">
        <v>442</v>
      </c>
      <c r="AD17" s="689">
        <f t="shared" si="9"/>
        <v>11.19002948271241</v>
      </c>
      <c r="AE17" s="685">
        <f t="shared" si="9"/>
        <v>11.818968002306141</v>
      </c>
      <c r="AF17" s="685">
        <f t="shared" si="9"/>
        <v>11.038635223281485</v>
      </c>
      <c r="AG17" s="685">
        <f t="shared" si="9"/>
        <v>11.131725417439704</v>
      </c>
      <c r="AH17" s="685">
        <f t="shared" si="9"/>
        <v>10.952623535404992</v>
      </c>
      <c r="AI17" s="685">
        <f t="shared" si="9"/>
        <v>10.986267166042447</v>
      </c>
      <c r="AJ17" s="685">
        <f t="shared" si="9"/>
        <v>11.119936457505958</v>
      </c>
      <c r="AK17" s="685">
        <f t="shared" si="9"/>
        <v>10.983524712930604</v>
      </c>
      <c r="AL17" s="685">
        <f t="shared" si="9"/>
        <v>11.083402604599613</v>
      </c>
      <c r="AM17" s="685">
        <f t="shared" si="9"/>
        <v>11.478910838227442</v>
      </c>
      <c r="AN17" s="685">
        <f t="shared" si="9"/>
        <v>11.351636747624076</v>
      </c>
      <c r="AO17" s="685">
        <f t="shared" si="9"/>
        <v>11.239368165249088</v>
      </c>
      <c r="AP17" s="685">
        <f t="shared" si="9"/>
        <v>11.192930780559646</v>
      </c>
      <c r="AQ17" s="36" t="s">
        <v>442</v>
      </c>
      <c r="AR17" s="699">
        <f t="shared" si="14"/>
        <v>15657</v>
      </c>
      <c r="AS17" s="701">
        <v>1414</v>
      </c>
      <c r="AT17" s="701">
        <v>1335</v>
      </c>
      <c r="AU17" s="701">
        <v>1406</v>
      </c>
      <c r="AV17" s="701">
        <v>1364</v>
      </c>
      <c r="AW17" s="701">
        <v>1217</v>
      </c>
      <c r="AX17" s="701">
        <v>1230</v>
      </c>
      <c r="AY17" s="701">
        <v>1266</v>
      </c>
      <c r="AZ17" s="701">
        <v>1250</v>
      </c>
      <c r="BA17" s="701">
        <v>1478</v>
      </c>
      <c r="BB17" s="701">
        <v>1301</v>
      </c>
      <c r="BC17" s="701">
        <v>1184</v>
      </c>
      <c r="BD17" s="701">
        <v>1212</v>
      </c>
      <c r="BE17" s="36" t="s">
        <v>442</v>
      </c>
      <c r="BF17" s="681">
        <f t="shared" si="15"/>
        <v>587</v>
      </c>
      <c r="BG17" s="693">
        <v>54</v>
      </c>
      <c r="BH17" s="693">
        <v>49</v>
      </c>
      <c r="BI17" s="693">
        <v>53</v>
      </c>
      <c r="BJ17" s="693">
        <v>50</v>
      </c>
      <c r="BK17" s="693">
        <v>46</v>
      </c>
      <c r="BL17" s="693">
        <v>46</v>
      </c>
      <c r="BM17" s="693">
        <v>48</v>
      </c>
      <c r="BN17" s="693">
        <v>48</v>
      </c>
      <c r="BO17" s="693">
        <v>55</v>
      </c>
      <c r="BP17" s="693">
        <v>48</v>
      </c>
      <c r="BQ17" s="693">
        <v>45</v>
      </c>
      <c r="BR17" s="693">
        <v>45</v>
      </c>
      <c r="BS17" s="36" t="s">
        <v>442</v>
      </c>
      <c r="BT17" s="688">
        <f t="shared" si="10"/>
        <v>37.491217985565562</v>
      </c>
      <c r="BU17" s="684">
        <f t="shared" si="10"/>
        <v>38.189533239038191</v>
      </c>
      <c r="BV17" s="684">
        <f t="shared" si="10"/>
        <v>36.704119850187269</v>
      </c>
      <c r="BW17" s="684">
        <f t="shared" si="10"/>
        <v>37.69559032716927</v>
      </c>
      <c r="BX17" s="684">
        <f t="shared" si="10"/>
        <v>36.656891495601172</v>
      </c>
      <c r="BY17" s="684">
        <f t="shared" si="10"/>
        <v>37.797863599013972</v>
      </c>
      <c r="BZ17" s="684">
        <f t="shared" si="10"/>
        <v>37.398373983739837</v>
      </c>
      <c r="CA17" s="684">
        <f t="shared" si="10"/>
        <v>37.914691943127963</v>
      </c>
      <c r="CB17" s="684">
        <f t="shared" si="10"/>
        <v>38.4</v>
      </c>
      <c r="CC17" s="684">
        <f t="shared" si="10"/>
        <v>37.212449255751011</v>
      </c>
      <c r="CD17" s="684">
        <f t="shared" si="10"/>
        <v>36.894696387394312</v>
      </c>
      <c r="CE17" s="684">
        <f t="shared" si="10"/>
        <v>38.006756756756758</v>
      </c>
      <c r="CF17" s="684">
        <f t="shared" si="10"/>
        <v>37.128712871287128</v>
      </c>
      <c r="CG17" s="36" t="s">
        <v>442</v>
      </c>
      <c r="CH17" s="681">
        <f t="shared" si="16"/>
        <v>27855</v>
      </c>
      <c r="CI17" s="680">
        <v>2282</v>
      </c>
      <c r="CJ17" s="680">
        <v>2301</v>
      </c>
      <c r="CK17" s="680">
        <v>2436</v>
      </c>
      <c r="CL17" s="680">
        <v>2348</v>
      </c>
      <c r="CM17" s="680">
        <v>2320</v>
      </c>
      <c r="CN17" s="680">
        <v>2335</v>
      </c>
      <c r="CO17" s="680">
        <v>2334</v>
      </c>
      <c r="CP17" s="680">
        <v>2319</v>
      </c>
      <c r="CQ17" s="680">
        <v>2456</v>
      </c>
      <c r="CR17" s="680">
        <v>2320</v>
      </c>
      <c r="CS17" s="680">
        <v>2190</v>
      </c>
      <c r="CT17" s="680">
        <v>2214</v>
      </c>
      <c r="CU17" s="36" t="s">
        <v>442</v>
      </c>
      <c r="CV17" s="681">
        <f t="shared" si="17"/>
        <v>3643</v>
      </c>
      <c r="CW17" s="680">
        <v>297</v>
      </c>
      <c r="CX17" s="680">
        <v>302</v>
      </c>
      <c r="CY17" s="680">
        <v>310</v>
      </c>
      <c r="CZ17" s="680">
        <v>309</v>
      </c>
      <c r="DA17" s="680">
        <v>300</v>
      </c>
      <c r="DB17" s="680">
        <v>300</v>
      </c>
      <c r="DC17" s="680">
        <v>306</v>
      </c>
      <c r="DD17" s="680">
        <v>302</v>
      </c>
      <c r="DE17" s="680">
        <v>328</v>
      </c>
      <c r="DF17" s="680">
        <v>305</v>
      </c>
      <c r="DG17" s="680">
        <v>290</v>
      </c>
      <c r="DH17" s="680">
        <v>294</v>
      </c>
      <c r="DI17" s="36" t="s">
        <v>442</v>
      </c>
      <c r="DJ17" s="675">
        <f t="shared" si="11"/>
        <v>130.78441931430623</v>
      </c>
      <c r="DK17" s="673">
        <f t="shared" si="11"/>
        <v>130.14899211218227</v>
      </c>
      <c r="DL17" s="673">
        <f t="shared" si="11"/>
        <v>131.24728378965668</v>
      </c>
      <c r="DM17" s="673">
        <f t="shared" si="11"/>
        <v>127.25779967159279</v>
      </c>
      <c r="DN17" s="673">
        <f t="shared" si="11"/>
        <v>131.60136286201021</v>
      </c>
      <c r="DO17" s="673">
        <f t="shared" si="11"/>
        <v>129.31034482758622</v>
      </c>
      <c r="DP17" s="673">
        <f t="shared" si="11"/>
        <v>128.47965738758029</v>
      </c>
      <c r="DQ17" s="673">
        <f t="shared" si="11"/>
        <v>131.10539845758353</v>
      </c>
      <c r="DR17" s="673">
        <f t="shared" si="11"/>
        <v>130.22854678740836</v>
      </c>
      <c r="DS17" s="673">
        <f t="shared" si="11"/>
        <v>133.55048859934854</v>
      </c>
      <c r="DT17" s="673">
        <f t="shared" si="11"/>
        <v>131.4655172413793</v>
      </c>
      <c r="DU17" s="673">
        <f t="shared" si="11"/>
        <v>132.42009132420091</v>
      </c>
      <c r="DV17" s="673">
        <f t="shared" si="11"/>
        <v>132.79132791327913</v>
      </c>
    </row>
    <row r="18" spans="1:126" ht="12.25" customHeight="1">
      <c r="A18" s="36" t="s">
        <v>443</v>
      </c>
      <c r="B18" s="681">
        <f t="shared" si="12"/>
        <v>67084</v>
      </c>
      <c r="C18" s="680">
        <v>6814</v>
      </c>
      <c r="D18" s="680">
        <v>5744</v>
      </c>
      <c r="E18" s="680">
        <v>3719</v>
      </c>
      <c r="F18" s="680">
        <v>2580</v>
      </c>
      <c r="G18" s="680">
        <v>3720</v>
      </c>
      <c r="H18" s="680">
        <v>4095</v>
      </c>
      <c r="I18" s="680">
        <v>5043</v>
      </c>
      <c r="J18" s="680">
        <v>7786</v>
      </c>
      <c r="K18" s="680">
        <v>5997</v>
      </c>
      <c r="L18" s="680">
        <v>7067</v>
      </c>
      <c r="M18" s="680">
        <v>5576</v>
      </c>
      <c r="N18" s="680">
        <v>8943</v>
      </c>
      <c r="O18" s="36" t="s">
        <v>443</v>
      </c>
      <c r="P18" s="711">
        <f t="shared" si="13"/>
        <v>931</v>
      </c>
      <c r="Q18" s="709">
        <v>94</v>
      </c>
      <c r="R18" s="709">
        <v>79</v>
      </c>
      <c r="S18" s="709">
        <v>48</v>
      </c>
      <c r="T18" s="709">
        <v>36</v>
      </c>
      <c r="U18" s="709">
        <v>51</v>
      </c>
      <c r="V18" s="709">
        <v>52</v>
      </c>
      <c r="W18" s="709">
        <v>66</v>
      </c>
      <c r="X18" s="709">
        <v>112</v>
      </c>
      <c r="Y18" s="709">
        <v>88</v>
      </c>
      <c r="Z18" s="709">
        <v>102</v>
      </c>
      <c r="AA18" s="709">
        <v>79</v>
      </c>
      <c r="AB18" s="709">
        <v>124</v>
      </c>
      <c r="AC18" s="36" t="s">
        <v>443</v>
      </c>
      <c r="AD18" s="689">
        <f t="shared" si="9"/>
        <v>13.878122950330928</v>
      </c>
      <c r="AE18" s="685">
        <f t="shared" si="9"/>
        <v>13.795127678309363</v>
      </c>
      <c r="AF18" s="685">
        <f t="shared" si="9"/>
        <v>13.753481894150418</v>
      </c>
      <c r="AG18" s="685">
        <f t="shared" si="9"/>
        <v>12.906695348211885</v>
      </c>
      <c r="AH18" s="685">
        <f t="shared" si="9"/>
        <v>13.953488372093023</v>
      </c>
      <c r="AI18" s="685">
        <f t="shared" si="9"/>
        <v>13.70967741935484</v>
      </c>
      <c r="AJ18" s="685">
        <f t="shared" si="9"/>
        <v>12.698412698412698</v>
      </c>
      <c r="AK18" s="685">
        <f t="shared" si="9"/>
        <v>13.087447947650208</v>
      </c>
      <c r="AL18" s="685">
        <f t="shared" si="9"/>
        <v>14.384793218597482</v>
      </c>
      <c r="AM18" s="685">
        <f t="shared" si="9"/>
        <v>14.674003668500918</v>
      </c>
      <c r="AN18" s="685">
        <f t="shared" si="9"/>
        <v>14.433281448988255</v>
      </c>
      <c r="AO18" s="685">
        <f t="shared" si="9"/>
        <v>14.167862266857963</v>
      </c>
      <c r="AP18" s="685">
        <f t="shared" si="9"/>
        <v>13.865593201386559</v>
      </c>
      <c r="AQ18" s="36" t="s">
        <v>443</v>
      </c>
      <c r="AR18" s="699">
        <f t="shared" si="14"/>
        <v>1130102</v>
      </c>
      <c r="AS18" s="701">
        <v>81297</v>
      </c>
      <c r="AT18" s="701">
        <v>77762</v>
      </c>
      <c r="AU18" s="701">
        <v>73110</v>
      </c>
      <c r="AV18" s="701">
        <v>88370</v>
      </c>
      <c r="AW18" s="701">
        <v>96410</v>
      </c>
      <c r="AX18" s="701">
        <v>86497</v>
      </c>
      <c r="AY18" s="701">
        <v>95970</v>
      </c>
      <c r="AZ18" s="701">
        <v>103101</v>
      </c>
      <c r="BA18" s="701">
        <v>94230</v>
      </c>
      <c r="BB18" s="701">
        <v>106667</v>
      </c>
      <c r="BC18" s="701">
        <v>92296</v>
      </c>
      <c r="BD18" s="701">
        <v>134392</v>
      </c>
      <c r="BE18" s="36" t="s">
        <v>443</v>
      </c>
      <c r="BF18" s="681">
        <f t="shared" si="15"/>
        <v>83340</v>
      </c>
      <c r="BG18" s="693">
        <v>6058</v>
      </c>
      <c r="BH18" s="693">
        <v>5747</v>
      </c>
      <c r="BI18" s="693">
        <v>5536</v>
      </c>
      <c r="BJ18" s="693">
        <v>6744</v>
      </c>
      <c r="BK18" s="693">
        <v>6968</v>
      </c>
      <c r="BL18" s="693">
        <v>6173</v>
      </c>
      <c r="BM18" s="693">
        <v>6956</v>
      </c>
      <c r="BN18" s="693">
        <v>7774</v>
      </c>
      <c r="BO18" s="693">
        <v>7144</v>
      </c>
      <c r="BP18" s="693">
        <v>7959</v>
      </c>
      <c r="BQ18" s="693">
        <v>6897</v>
      </c>
      <c r="BR18" s="693">
        <v>9384</v>
      </c>
      <c r="BS18" s="36" t="s">
        <v>443</v>
      </c>
      <c r="BT18" s="688">
        <f t="shared" si="10"/>
        <v>73.745555710900433</v>
      </c>
      <c r="BU18" s="684">
        <f t="shared" si="10"/>
        <v>74.516894842368103</v>
      </c>
      <c r="BV18" s="684">
        <f t="shared" si="10"/>
        <v>73.904992155551554</v>
      </c>
      <c r="BW18" s="684">
        <f t="shared" si="10"/>
        <v>75.721515524552046</v>
      </c>
      <c r="BX18" s="684">
        <f t="shared" si="10"/>
        <v>76.31549168269774</v>
      </c>
      <c r="BY18" s="684">
        <f t="shared" si="10"/>
        <v>72.274660304947616</v>
      </c>
      <c r="BZ18" s="684">
        <f t="shared" si="10"/>
        <v>71.366636993190511</v>
      </c>
      <c r="CA18" s="684">
        <f t="shared" si="10"/>
        <v>72.480983640721064</v>
      </c>
      <c r="CB18" s="684">
        <f t="shared" si="10"/>
        <v>75.40179047729896</v>
      </c>
      <c r="CC18" s="684">
        <f t="shared" si="10"/>
        <v>75.814496444868936</v>
      </c>
      <c r="CD18" s="684">
        <f t="shared" si="10"/>
        <v>74.615391826900535</v>
      </c>
      <c r="CE18" s="684">
        <f t="shared" si="10"/>
        <v>74.726965415619304</v>
      </c>
      <c r="CF18" s="684">
        <f t="shared" si="10"/>
        <v>69.825584856241449</v>
      </c>
      <c r="CG18" s="36" t="s">
        <v>443</v>
      </c>
      <c r="CH18" s="681">
        <f t="shared" si="16"/>
        <v>359766</v>
      </c>
      <c r="CI18" s="680">
        <v>28674</v>
      </c>
      <c r="CJ18" s="680">
        <v>27486</v>
      </c>
      <c r="CK18" s="680">
        <v>25877</v>
      </c>
      <c r="CL18" s="680">
        <v>29308</v>
      </c>
      <c r="CM18" s="680">
        <v>29730</v>
      </c>
      <c r="CN18" s="680">
        <v>31925</v>
      </c>
      <c r="CO18" s="680">
        <v>32108</v>
      </c>
      <c r="CP18" s="680">
        <v>33351</v>
      </c>
      <c r="CQ18" s="680">
        <v>30980</v>
      </c>
      <c r="CR18" s="680">
        <v>31107</v>
      </c>
      <c r="CS18" s="680">
        <v>28760</v>
      </c>
      <c r="CT18" s="680">
        <v>30460</v>
      </c>
      <c r="CU18" s="36" t="s">
        <v>443</v>
      </c>
      <c r="CV18" s="681">
        <f t="shared" si="17"/>
        <v>85452</v>
      </c>
      <c r="CW18" s="680">
        <v>6746</v>
      </c>
      <c r="CX18" s="680">
        <v>6503</v>
      </c>
      <c r="CY18" s="680">
        <v>6241</v>
      </c>
      <c r="CZ18" s="680">
        <v>6953</v>
      </c>
      <c r="DA18" s="680">
        <v>7022</v>
      </c>
      <c r="DB18" s="680">
        <v>7622</v>
      </c>
      <c r="DC18" s="680">
        <v>7741</v>
      </c>
      <c r="DD18" s="680">
        <v>7983</v>
      </c>
      <c r="DE18" s="680">
        <v>7323</v>
      </c>
      <c r="DF18" s="680">
        <v>7511</v>
      </c>
      <c r="DG18" s="680">
        <v>6888</v>
      </c>
      <c r="DH18" s="680">
        <v>6919</v>
      </c>
      <c r="DI18" s="36" t="s">
        <v>443</v>
      </c>
      <c r="DJ18" s="675">
        <f t="shared" si="11"/>
        <v>237.5210553526459</v>
      </c>
      <c r="DK18" s="673">
        <f t="shared" si="11"/>
        <v>235.26539722396598</v>
      </c>
      <c r="DL18" s="673">
        <f t="shared" si="11"/>
        <v>236.59317470712364</v>
      </c>
      <c r="DM18" s="673">
        <f t="shared" si="11"/>
        <v>241.17942574486997</v>
      </c>
      <c r="DN18" s="673">
        <f t="shared" si="11"/>
        <v>237.23897911832947</v>
      </c>
      <c r="DO18" s="673">
        <f t="shared" si="11"/>
        <v>236.19239825092501</v>
      </c>
      <c r="DP18" s="673">
        <f t="shared" si="11"/>
        <v>238.74706342991385</v>
      </c>
      <c r="DQ18" s="673">
        <f t="shared" si="11"/>
        <v>241.09256260122089</v>
      </c>
      <c r="DR18" s="673">
        <f t="shared" si="11"/>
        <v>239.36313753710533</v>
      </c>
      <c r="DS18" s="673">
        <f t="shared" si="11"/>
        <v>236.37830858618463</v>
      </c>
      <c r="DT18" s="673">
        <f t="shared" si="11"/>
        <v>241.45690680554216</v>
      </c>
      <c r="DU18" s="673">
        <f t="shared" si="11"/>
        <v>239.49930458970792</v>
      </c>
      <c r="DV18" s="673">
        <f t="shared" si="11"/>
        <v>227.15036112934996</v>
      </c>
    </row>
    <row r="19" spans="1:126" ht="12.25" customHeight="1">
      <c r="A19" s="36" t="s">
        <v>444</v>
      </c>
      <c r="B19" s="681">
        <f t="shared" si="12"/>
        <v>2327</v>
      </c>
      <c r="C19" s="680">
        <v>185</v>
      </c>
      <c r="D19" s="680">
        <v>206</v>
      </c>
      <c r="E19" s="680">
        <v>239</v>
      </c>
      <c r="F19" s="680">
        <v>291</v>
      </c>
      <c r="G19" s="680">
        <v>260</v>
      </c>
      <c r="H19" s="680">
        <v>213</v>
      </c>
      <c r="I19" s="680">
        <v>152</v>
      </c>
      <c r="J19" s="680">
        <v>192</v>
      </c>
      <c r="K19" s="680">
        <v>166</v>
      </c>
      <c r="L19" s="680">
        <v>175</v>
      </c>
      <c r="M19" s="680">
        <v>102</v>
      </c>
      <c r="N19" s="680">
        <v>146</v>
      </c>
      <c r="O19" s="36" t="s">
        <v>444</v>
      </c>
      <c r="P19" s="711">
        <f t="shared" si="13"/>
        <v>31</v>
      </c>
      <c r="Q19" s="709">
        <v>2</v>
      </c>
      <c r="R19" s="709">
        <v>3</v>
      </c>
      <c r="S19" s="709">
        <v>3</v>
      </c>
      <c r="T19" s="709">
        <v>4</v>
      </c>
      <c r="U19" s="709">
        <v>4</v>
      </c>
      <c r="V19" s="709">
        <v>3</v>
      </c>
      <c r="W19" s="709">
        <v>2</v>
      </c>
      <c r="X19" s="709">
        <v>3</v>
      </c>
      <c r="Y19" s="709">
        <v>2</v>
      </c>
      <c r="Z19" s="709">
        <v>2</v>
      </c>
      <c r="AA19" s="709">
        <v>1</v>
      </c>
      <c r="AB19" s="709">
        <v>2</v>
      </c>
      <c r="AC19" s="36" t="s">
        <v>444</v>
      </c>
      <c r="AD19" s="689">
        <f t="shared" si="9"/>
        <v>13.321873657069187</v>
      </c>
      <c r="AE19" s="685">
        <f t="shared" si="9"/>
        <v>10.810810810810811</v>
      </c>
      <c r="AF19" s="685">
        <f t="shared" si="9"/>
        <v>14.563106796116505</v>
      </c>
      <c r="AG19" s="685">
        <f t="shared" si="9"/>
        <v>12.552301255230125</v>
      </c>
      <c r="AH19" s="685">
        <f t="shared" si="9"/>
        <v>13.745704467353951</v>
      </c>
      <c r="AI19" s="685">
        <f t="shared" si="9"/>
        <v>15.384615384615385</v>
      </c>
      <c r="AJ19" s="685">
        <f t="shared" si="9"/>
        <v>14.084507042253522</v>
      </c>
      <c r="AK19" s="685">
        <f t="shared" si="9"/>
        <v>13.157894736842104</v>
      </c>
      <c r="AL19" s="685">
        <f t="shared" si="9"/>
        <v>15.625</v>
      </c>
      <c r="AM19" s="685">
        <f t="shared" si="9"/>
        <v>12.048192771084338</v>
      </c>
      <c r="AN19" s="685">
        <f t="shared" si="9"/>
        <v>11.428571428571429</v>
      </c>
      <c r="AO19" s="685">
        <f t="shared" si="9"/>
        <v>9.8039215686274517</v>
      </c>
      <c r="AP19" s="685">
        <f t="shared" si="9"/>
        <v>13.698630136986301</v>
      </c>
      <c r="AQ19" s="36" t="s">
        <v>444</v>
      </c>
      <c r="AR19" s="699">
        <f t="shared" si="14"/>
        <v>30006</v>
      </c>
      <c r="AS19" s="701">
        <v>2155</v>
      </c>
      <c r="AT19" s="701">
        <v>2302</v>
      </c>
      <c r="AU19" s="701">
        <v>2255</v>
      </c>
      <c r="AV19" s="701">
        <v>2281</v>
      </c>
      <c r="AW19" s="701">
        <v>2516</v>
      </c>
      <c r="AX19" s="701">
        <v>2416</v>
      </c>
      <c r="AY19" s="701">
        <v>2754</v>
      </c>
      <c r="AZ19" s="701">
        <v>2588</v>
      </c>
      <c r="BA19" s="701">
        <v>2415</v>
      </c>
      <c r="BB19" s="701">
        <v>2396</v>
      </c>
      <c r="BC19" s="701">
        <v>2390</v>
      </c>
      <c r="BD19" s="701">
        <v>3538</v>
      </c>
      <c r="BE19" s="36" t="s">
        <v>444</v>
      </c>
      <c r="BF19" s="681">
        <f t="shared" si="15"/>
        <v>2163</v>
      </c>
      <c r="BG19" s="693">
        <v>153</v>
      </c>
      <c r="BH19" s="693">
        <v>166</v>
      </c>
      <c r="BI19" s="693">
        <v>165</v>
      </c>
      <c r="BJ19" s="693">
        <v>168</v>
      </c>
      <c r="BK19" s="693">
        <v>184</v>
      </c>
      <c r="BL19" s="693">
        <v>172</v>
      </c>
      <c r="BM19" s="693">
        <v>197</v>
      </c>
      <c r="BN19" s="693">
        <v>183</v>
      </c>
      <c r="BO19" s="693">
        <v>174</v>
      </c>
      <c r="BP19" s="693">
        <v>175</v>
      </c>
      <c r="BQ19" s="693">
        <v>174</v>
      </c>
      <c r="BR19" s="693">
        <v>252</v>
      </c>
      <c r="BS19" s="36" t="s">
        <v>444</v>
      </c>
      <c r="BT19" s="688">
        <f t="shared" si="10"/>
        <v>72.085582883423314</v>
      </c>
      <c r="BU19" s="684">
        <f t="shared" si="10"/>
        <v>70.997679814385151</v>
      </c>
      <c r="BV19" s="684">
        <f t="shared" si="10"/>
        <v>72.111207645525624</v>
      </c>
      <c r="BW19" s="684">
        <f t="shared" si="10"/>
        <v>73.170731707317074</v>
      </c>
      <c r="BX19" s="684">
        <f t="shared" si="10"/>
        <v>73.651907058307771</v>
      </c>
      <c r="BY19" s="684">
        <f t="shared" si="10"/>
        <v>73.131955484896665</v>
      </c>
      <c r="BZ19" s="684">
        <f t="shared" si="10"/>
        <v>71.192052980132459</v>
      </c>
      <c r="CA19" s="684">
        <f t="shared" si="10"/>
        <v>71.532316630355851</v>
      </c>
      <c r="CB19" s="684">
        <f t="shared" si="10"/>
        <v>70.710973724884084</v>
      </c>
      <c r="CC19" s="684">
        <f t="shared" si="10"/>
        <v>72.049689440993788</v>
      </c>
      <c r="CD19" s="684">
        <f t="shared" si="10"/>
        <v>73.038397328881473</v>
      </c>
      <c r="CE19" s="684">
        <f t="shared" si="10"/>
        <v>72.803347280334734</v>
      </c>
      <c r="CF19" s="684">
        <f t="shared" si="10"/>
        <v>71.226681741096669</v>
      </c>
      <c r="CG19" s="36" t="s">
        <v>444</v>
      </c>
      <c r="CH19" s="681">
        <f t="shared" si="16"/>
        <v>32368</v>
      </c>
      <c r="CI19" s="680">
        <v>2754</v>
      </c>
      <c r="CJ19" s="680">
        <v>2466</v>
      </c>
      <c r="CK19" s="680">
        <v>2640</v>
      </c>
      <c r="CL19" s="680">
        <v>2557</v>
      </c>
      <c r="CM19" s="680">
        <v>2823</v>
      </c>
      <c r="CN19" s="680">
        <v>2658</v>
      </c>
      <c r="CO19" s="680">
        <v>2901</v>
      </c>
      <c r="CP19" s="680">
        <v>2844</v>
      </c>
      <c r="CQ19" s="680">
        <v>2705</v>
      </c>
      <c r="CR19" s="680">
        <v>2718</v>
      </c>
      <c r="CS19" s="680">
        <v>2674</v>
      </c>
      <c r="CT19" s="680">
        <v>2628</v>
      </c>
      <c r="CU19" s="36" t="s">
        <v>444</v>
      </c>
      <c r="CV19" s="681">
        <f t="shared" si="17"/>
        <v>5423</v>
      </c>
      <c r="CW19" s="680">
        <v>463</v>
      </c>
      <c r="CX19" s="680">
        <v>424</v>
      </c>
      <c r="CY19" s="680">
        <v>478</v>
      </c>
      <c r="CZ19" s="680">
        <v>449</v>
      </c>
      <c r="DA19" s="680">
        <v>464</v>
      </c>
      <c r="DB19" s="680">
        <v>441</v>
      </c>
      <c r="DC19" s="680">
        <v>475</v>
      </c>
      <c r="DD19" s="680">
        <v>464</v>
      </c>
      <c r="DE19" s="680">
        <v>445</v>
      </c>
      <c r="DF19" s="680">
        <v>440</v>
      </c>
      <c r="DG19" s="680">
        <v>446</v>
      </c>
      <c r="DH19" s="680">
        <v>434</v>
      </c>
      <c r="DI19" s="36" t="s">
        <v>444</v>
      </c>
      <c r="DJ19" s="675">
        <f t="shared" si="11"/>
        <v>167.54201680672267</v>
      </c>
      <c r="DK19" s="673">
        <f t="shared" si="11"/>
        <v>168.11909949164851</v>
      </c>
      <c r="DL19" s="673">
        <f t="shared" si="11"/>
        <v>171.93836171938361</v>
      </c>
      <c r="DM19" s="673">
        <f t="shared" si="11"/>
        <v>181.06060606060606</v>
      </c>
      <c r="DN19" s="673">
        <f t="shared" si="11"/>
        <v>175.59640203363315</v>
      </c>
      <c r="DO19" s="673">
        <f t="shared" si="11"/>
        <v>164.36415161176055</v>
      </c>
      <c r="DP19" s="673">
        <f t="shared" si="11"/>
        <v>165.91422121896161</v>
      </c>
      <c r="DQ19" s="673">
        <f t="shared" si="11"/>
        <v>163.73664253705618</v>
      </c>
      <c r="DR19" s="673">
        <f t="shared" si="11"/>
        <v>163.1504922644163</v>
      </c>
      <c r="DS19" s="673">
        <f t="shared" si="11"/>
        <v>164.5101663585952</v>
      </c>
      <c r="DT19" s="673">
        <f t="shared" si="11"/>
        <v>161.88373804267843</v>
      </c>
      <c r="DU19" s="673">
        <f t="shared" si="11"/>
        <v>166.79132385938669</v>
      </c>
      <c r="DV19" s="673">
        <f t="shared" si="11"/>
        <v>165.14459665144597</v>
      </c>
    </row>
    <row r="20" spans="1:126" ht="12.25" customHeight="1">
      <c r="A20" s="36" t="s">
        <v>445</v>
      </c>
      <c r="B20" s="681">
        <f t="shared" si="12"/>
        <v>32220</v>
      </c>
      <c r="C20" s="680">
        <v>2002</v>
      </c>
      <c r="D20" s="680">
        <v>1895</v>
      </c>
      <c r="E20" s="680">
        <v>2723</v>
      </c>
      <c r="F20" s="680">
        <v>2394</v>
      </c>
      <c r="G20" s="680">
        <v>2339</v>
      </c>
      <c r="H20" s="680">
        <v>3014</v>
      </c>
      <c r="I20" s="680">
        <v>2559</v>
      </c>
      <c r="J20" s="680">
        <v>2106</v>
      </c>
      <c r="K20" s="680">
        <v>2940</v>
      </c>
      <c r="L20" s="680">
        <v>3109</v>
      </c>
      <c r="M20" s="680">
        <v>3110</v>
      </c>
      <c r="N20" s="680">
        <v>4029</v>
      </c>
      <c r="O20" s="36" t="s">
        <v>445</v>
      </c>
      <c r="P20" s="711">
        <f t="shared" si="13"/>
        <v>413</v>
      </c>
      <c r="Q20" s="709">
        <v>27</v>
      </c>
      <c r="R20" s="709">
        <v>27</v>
      </c>
      <c r="S20" s="709">
        <v>35</v>
      </c>
      <c r="T20" s="709">
        <v>31</v>
      </c>
      <c r="U20" s="709">
        <v>29</v>
      </c>
      <c r="V20" s="709">
        <v>35</v>
      </c>
      <c r="W20" s="709">
        <v>39</v>
      </c>
      <c r="X20" s="709">
        <v>27</v>
      </c>
      <c r="Y20" s="709">
        <v>36</v>
      </c>
      <c r="Z20" s="709">
        <v>39</v>
      </c>
      <c r="AA20" s="709">
        <v>38</v>
      </c>
      <c r="AB20" s="709">
        <v>50</v>
      </c>
      <c r="AC20" s="36" t="s">
        <v>445</v>
      </c>
      <c r="AD20" s="689">
        <f t="shared" si="9"/>
        <v>12.818125387957791</v>
      </c>
      <c r="AE20" s="685">
        <f t="shared" si="9"/>
        <v>13.486513486513486</v>
      </c>
      <c r="AF20" s="685">
        <f t="shared" si="9"/>
        <v>14.248021108179421</v>
      </c>
      <c r="AG20" s="685">
        <f t="shared" si="9"/>
        <v>12.853470437017995</v>
      </c>
      <c r="AH20" s="685">
        <f t="shared" si="9"/>
        <v>12.949039264828738</v>
      </c>
      <c r="AI20" s="685">
        <f t="shared" si="9"/>
        <v>12.398460880718256</v>
      </c>
      <c r="AJ20" s="685">
        <f t="shared" si="9"/>
        <v>11.612475116124751</v>
      </c>
      <c r="AK20" s="685">
        <f t="shared" si="9"/>
        <v>15.240328253223915</v>
      </c>
      <c r="AL20" s="685">
        <f t="shared" si="9"/>
        <v>12.820512820512819</v>
      </c>
      <c r="AM20" s="685">
        <f t="shared" si="9"/>
        <v>12.244897959183673</v>
      </c>
      <c r="AN20" s="685">
        <f t="shared" si="9"/>
        <v>12.544226439369572</v>
      </c>
      <c r="AO20" s="685">
        <f t="shared" si="9"/>
        <v>12.218649517684888</v>
      </c>
      <c r="AP20" s="685">
        <f t="shared" si="9"/>
        <v>12.410027302060065</v>
      </c>
      <c r="AQ20" s="36" t="s">
        <v>445</v>
      </c>
      <c r="AR20" s="699">
        <f t="shared" si="14"/>
        <v>33816</v>
      </c>
      <c r="AS20" s="701">
        <v>2977</v>
      </c>
      <c r="AT20" s="701">
        <v>2476</v>
      </c>
      <c r="AU20" s="701">
        <v>2482</v>
      </c>
      <c r="AV20" s="701">
        <v>2512</v>
      </c>
      <c r="AW20" s="701">
        <v>2919</v>
      </c>
      <c r="AX20" s="701">
        <v>3066</v>
      </c>
      <c r="AY20" s="701">
        <v>2820</v>
      </c>
      <c r="AZ20" s="701">
        <v>2778</v>
      </c>
      <c r="BA20" s="701">
        <v>2803</v>
      </c>
      <c r="BB20" s="701">
        <v>2775</v>
      </c>
      <c r="BC20" s="701">
        <v>2898</v>
      </c>
      <c r="BD20" s="701">
        <v>3310</v>
      </c>
      <c r="BE20" s="36" t="s">
        <v>445</v>
      </c>
      <c r="BF20" s="681">
        <f t="shared" si="15"/>
        <v>1581</v>
      </c>
      <c r="BG20" s="693">
        <v>135</v>
      </c>
      <c r="BH20" s="693">
        <v>114</v>
      </c>
      <c r="BI20" s="693">
        <v>119</v>
      </c>
      <c r="BJ20" s="693">
        <v>119</v>
      </c>
      <c r="BK20" s="693">
        <v>138</v>
      </c>
      <c r="BL20" s="693">
        <v>143</v>
      </c>
      <c r="BM20" s="693">
        <v>131</v>
      </c>
      <c r="BN20" s="693">
        <v>131</v>
      </c>
      <c r="BO20" s="693">
        <v>131</v>
      </c>
      <c r="BP20" s="693">
        <v>131</v>
      </c>
      <c r="BQ20" s="693">
        <v>135</v>
      </c>
      <c r="BR20" s="693">
        <v>154</v>
      </c>
      <c r="BS20" s="36" t="s">
        <v>445</v>
      </c>
      <c r="BT20" s="688">
        <f t="shared" si="10"/>
        <v>46.75301632363378</v>
      </c>
      <c r="BU20" s="684">
        <f t="shared" si="10"/>
        <v>45.34766543500168</v>
      </c>
      <c r="BV20" s="684">
        <f t="shared" si="10"/>
        <v>46.042003231017773</v>
      </c>
      <c r="BW20" s="684">
        <f t="shared" si="10"/>
        <v>47.945205479452049</v>
      </c>
      <c r="BX20" s="684">
        <f t="shared" si="10"/>
        <v>47.372611464968159</v>
      </c>
      <c r="BY20" s="684">
        <f t="shared" si="10"/>
        <v>47.276464542651595</v>
      </c>
      <c r="BZ20" s="684">
        <f t="shared" si="10"/>
        <v>46.640574037834313</v>
      </c>
      <c r="CA20" s="684">
        <f t="shared" si="10"/>
        <v>46.453900709219859</v>
      </c>
      <c r="CB20" s="684">
        <f t="shared" si="10"/>
        <v>47.156227501799854</v>
      </c>
      <c r="CC20" s="684">
        <f t="shared" si="10"/>
        <v>46.735640385301458</v>
      </c>
      <c r="CD20" s="684">
        <f t="shared" si="10"/>
        <v>47.207207207207205</v>
      </c>
      <c r="CE20" s="684">
        <f t="shared" si="10"/>
        <v>46.583850931677013</v>
      </c>
      <c r="CF20" s="684">
        <f t="shared" si="10"/>
        <v>46.525679758308158</v>
      </c>
      <c r="CG20" s="36" t="s">
        <v>445</v>
      </c>
      <c r="CH20" s="681">
        <f t="shared" si="16"/>
        <v>19318</v>
      </c>
      <c r="CI20" s="680">
        <v>1766</v>
      </c>
      <c r="CJ20" s="680">
        <v>1502</v>
      </c>
      <c r="CK20" s="680">
        <v>1636</v>
      </c>
      <c r="CL20" s="680">
        <v>1609</v>
      </c>
      <c r="CM20" s="680">
        <v>1509</v>
      </c>
      <c r="CN20" s="680">
        <v>1678</v>
      </c>
      <c r="CO20" s="680">
        <v>1680</v>
      </c>
      <c r="CP20" s="680">
        <v>1730</v>
      </c>
      <c r="CQ20" s="680">
        <v>1712</v>
      </c>
      <c r="CR20" s="680">
        <v>1485</v>
      </c>
      <c r="CS20" s="680">
        <v>1504</v>
      </c>
      <c r="CT20" s="680">
        <v>1507</v>
      </c>
      <c r="CU20" s="36" t="s">
        <v>445</v>
      </c>
      <c r="CV20" s="681">
        <f t="shared" si="17"/>
        <v>2908</v>
      </c>
      <c r="CW20" s="680">
        <v>265</v>
      </c>
      <c r="CX20" s="680">
        <v>223</v>
      </c>
      <c r="CY20" s="680">
        <v>248</v>
      </c>
      <c r="CZ20" s="680">
        <v>240</v>
      </c>
      <c r="DA20" s="680">
        <v>230</v>
      </c>
      <c r="DB20" s="680">
        <v>252</v>
      </c>
      <c r="DC20" s="680">
        <v>259</v>
      </c>
      <c r="DD20" s="680">
        <v>275</v>
      </c>
      <c r="DE20" s="680">
        <v>251</v>
      </c>
      <c r="DF20" s="680">
        <v>227</v>
      </c>
      <c r="DG20" s="680">
        <v>208</v>
      </c>
      <c r="DH20" s="680">
        <v>230</v>
      </c>
      <c r="DI20" s="36" t="s">
        <v>445</v>
      </c>
      <c r="DJ20" s="675">
        <f t="shared" si="11"/>
        <v>150.53318148876696</v>
      </c>
      <c r="DK20" s="673">
        <f t="shared" si="11"/>
        <v>150.05662514156285</v>
      </c>
      <c r="DL20" s="673">
        <f t="shared" si="11"/>
        <v>148.46870838881489</v>
      </c>
      <c r="DM20" s="673">
        <f t="shared" si="11"/>
        <v>151.58924205378975</v>
      </c>
      <c r="DN20" s="673">
        <f t="shared" si="11"/>
        <v>149.16096954630206</v>
      </c>
      <c r="DO20" s="673">
        <f t="shared" si="11"/>
        <v>152.41882041086814</v>
      </c>
      <c r="DP20" s="673">
        <f t="shared" si="11"/>
        <v>150.17878426698451</v>
      </c>
      <c r="DQ20" s="673">
        <f t="shared" si="11"/>
        <v>154.16666666666669</v>
      </c>
      <c r="DR20" s="673">
        <f t="shared" si="11"/>
        <v>158.95953757225433</v>
      </c>
      <c r="DS20" s="673">
        <f t="shared" si="11"/>
        <v>146.61214953271028</v>
      </c>
      <c r="DT20" s="673">
        <f t="shared" si="11"/>
        <v>152.86195286195286</v>
      </c>
      <c r="DU20" s="673">
        <f t="shared" si="11"/>
        <v>138.29787234042553</v>
      </c>
      <c r="DV20" s="673">
        <f t="shared" si="11"/>
        <v>152.62110152621102</v>
      </c>
    </row>
    <row r="21" spans="1:126" ht="12.25" customHeight="1">
      <c r="A21" s="36" t="s">
        <v>446</v>
      </c>
      <c r="B21" s="681">
        <f t="shared" si="12"/>
        <v>54944</v>
      </c>
      <c r="C21" s="680">
        <v>4596</v>
      </c>
      <c r="D21" s="680">
        <v>4263</v>
      </c>
      <c r="E21" s="680">
        <v>4408</v>
      </c>
      <c r="F21" s="680">
        <v>4590</v>
      </c>
      <c r="G21" s="680">
        <v>4500</v>
      </c>
      <c r="H21" s="680">
        <v>4543</v>
      </c>
      <c r="I21" s="680">
        <v>4954</v>
      </c>
      <c r="J21" s="680">
        <v>4855</v>
      </c>
      <c r="K21" s="680">
        <v>4595</v>
      </c>
      <c r="L21" s="680">
        <v>4725</v>
      </c>
      <c r="M21" s="680">
        <v>4500</v>
      </c>
      <c r="N21" s="680">
        <v>4415</v>
      </c>
      <c r="O21" s="36" t="s">
        <v>446</v>
      </c>
      <c r="P21" s="711">
        <f t="shared" si="13"/>
        <v>689</v>
      </c>
      <c r="Q21" s="709">
        <v>56</v>
      </c>
      <c r="R21" s="709">
        <v>53</v>
      </c>
      <c r="S21" s="709">
        <v>55</v>
      </c>
      <c r="T21" s="709">
        <v>60</v>
      </c>
      <c r="U21" s="709">
        <v>59</v>
      </c>
      <c r="V21" s="709">
        <v>57</v>
      </c>
      <c r="W21" s="709">
        <v>62</v>
      </c>
      <c r="X21" s="709">
        <v>63</v>
      </c>
      <c r="Y21" s="709">
        <v>58</v>
      </c>
      <c r="Z21" s="709">
        <v>54</v>
      </c>
      <c r="AA21" s="709">
        <v>56</v>
      </c>
      <c r="AB21" s="709">
        <v>56</v>
      </c>
      <c r="AC21" s="36" t="s">
        <v>446</v>
      </c>
      <c r="AD21" s="689">
        <f t="shared" si="9"/>
        <v>12.54004076878276</v>
      </c>
      <c r="AE21" s="685">
        <f t="shared" si="9"/>
        <v>12.184508268059183</v>
      </c>
      <c r="AF21" s="685">
        <f t="shared" si="9"/>
        <v>12.432559230588787</v>
      </c>
      <c r="AG21" s="685">
        <f t="shared" si="9"/>
        <v>12.477313974591651</v>
      </c>
      <c r="AH21" s="685">
        <f t="shared" si="9"/>
        <v>13.071895424836601</v>
      </c>
      <c r="AI21" s="685">
        <f t="shared" si="9"/>
        <v>13.111111111111111</v>
      </c>
      <c r="AJ21" s="685">
        <f t="shared" si="9"/>
        <v>12.546775258639665</v>
      </c>
      <c r="AK21" s="685">
        <f t="shared" si="9"/>
        <v>12.515139281388777</v>
      </c>
      <c r="AL21" s="685">
        <f t="shared" si="9"/>
        <v>12.976313079299691</v>
      </c>
      <c r="AM21" s="685">
        <f t="shared" si="9"/>
        <v>12.622415669205658</v>
      </c>
      <c r="AN21" s="685">
        <f t="shared" si="9"/>
        <v>11.428571428571429</v>
      </c>
      <c r="AO21" s="685">
        <f t="shared" si="9"/>
        <v>12.444444444444443</v>
      </c>
      <c r="AP21" s="685">
        <f t="shared" si="9"/>
        <v>12.684031710079275</v>
      </c>
      <c r="AQ21" s="36" t="s">
        <v>446</v>
      </c>
      <c r="AR21" s="699">
        <f t="shared" si="14"/>
        <v>6823</v>
      </c>
      <c r="AS21" s="701">
        <v>503</v>
      </c>
      <c r="AT21" s="701">
        <v>450</v>
      </c>
      <c r="AU21" s="701">
        <v>492</v>
      </c>
      <c r="AV21" s="701">
        <v>513</v>
      </c>
      <c r="AW21" s="701">
        <v>537</v>
      </c>
      <c r="AX21" s="701">
        <v>642</v>
      </c>
      <c r="AY21" s="701">
        <v>589</v>
      </c>
      <c r="AZ21" s="701">
        <v>520</v>
      </c>
      <c r="BA21" s="701">
        <v>569</v>
      </c>
      <c r="BB21" s="701">
        <v>690</v>
      </c>
      <c r="BC21" s="701">
        <v>619</v>
      </c>
      <c r="BD21" s="701">
        <v>699</v>
      </c>
      <c r="BE21" s="36" t="s">
        <v>446</v>
      </c>
      <c r="BF21" s="681">
        <f t="shared" si="15"/>
        <v>435</v>
      </c>
      <c r="BG21" s="693">
        <v>32</v>
      </c>
      <c r="BH21" s="693">
        <v>28</v>
      </c>
      <c r="BI21" s="693">
        <v>30</v>
      </c>
      <c r="BJ21" s="693">
        <v>31</v>
      </c>
      <c r="BK21" s="693">
        <v>32</v>
      </c>
      <c r="BL21" s="693">
        <v>38</v>
      </c>
      <c r="BM21" s="693">
        <v>35</v>
      </c>
      <c r="BN21" s="693">
        <v>34</v>
      </c>
      <c r="BO21" s="693">
        <v>42</v>
      </c>
      <c r="BP21" s="693">
        <v>43</v>
      </c>
      <c r="BQ21" s="693">
        <v>39</v>
      </c>
      <c r="BR21" s="693">
        <v>51</v>
      </c>
      <c r="BS21" s="36" t="s">
        <v>446</v>
      </c>
      <c r="BT21" s="688">
        <f t="shared" si="10"/>
        <v>63.754946504470183</v>
      </c>
      <c r="BU21" s="684">
        <f t="shared" si="10"/>
        <v>63.618290258449299</v>
      </c>
      <c r="BV21" s="684">
        <f t="shared" si="10"/>
        <v>62.222222222222221</v>
      </c>
      <c r="BW21" s="684">
        <f t="shared" si="10"/>
        <v>60.975609756097562</v>
      </c>
      <c r="BX21" s="684">
        <f t="shared" si="10"/>
        <v>60.428849902534111</v>
      </c>
      <c r="BY21" s="684">
        <f t="shared" si="10"/>
        <v>59.590316573556798</v>
      </c>
      <c r="BZ21" s="684">
        <f t="shared" si="10"/>
        <v>59.190031152647975</v>
      </c>
      <c r="CA21" s="684">
        <f t="shared" si="10"/>
        <v>59.422750424448218</v>
      </c>
      <c r="CB21" s="684">
        <f t="shared" si="10"/>
        <v>65.384615384615387</v>
      </c>
      <c r="CC21" s="684">
        <f t="shared" si="10"/>
        <v>73.813708260105443</v>
      </c>
      <c r="CD21" s="684">
        <f t="shared" si="10"/>
        <v>62.318840579710148</v>
      </c>
      <c r="CE21" s="684">
        <f t="shared" si="10"/>
        <v>63.004846526655903</v>
      </c>
      <c r="CF21" s="684">
        <f t="shared" si="10"/>
        <v>72.961373390557938</v>
      </c>
      <c r="CG21" s="36" t="s">
        <v>446</v>
      </c>
      <c r="CH21" s="681">
        <f t="shared" si="16"/>
        <v>9918</v>
      </c>
      <c r="CI21" s="680">
        <v>895</v>
      </c>
      <c r="CJ21" s="680">
        <v>735</v>
      </c>
      <c r="CK21" s="680">
        <v>722</v>
      </c>
      <c r="CL21" s="680">
        <v>763</v>
      </c>
      <c r="CM21" s="680">
        <v>772</v>
      </c>
      <c r="CN21" s="680">
        <v>996</v>
      </c>
      <c r="CO21" s="680">
        <v>981</v>
      </c>
      <c r="CP21" s="680">
        <v>880</v>
      </c>
      <c r="CQ21" s="680">
        <v>745</v>
      </c>
      <c r="CR21" s="680">
        <v>826</v>
      </c>
      <c r="CS21" s="680">
        <v>817</v>
      </c>
      <c r="CT21" s="680">
        <v>786</v>
      </c>
      <c r="CU21" s="36" t="s">
        <v>446</v>
      </c>
      <c r="CV21" s="681">
        <f t="shared" si="17"/>
        <v>1961</v>
      </c>
      <c r="CW21" s="680">
        <v>182</v>
      </c>
      <c r="CX21" s="680">
        <v>140</v>
      </c>
      <c r="CY21" s="680">
        <v>142</v>
      </c>
      <c r="CZ21" s="680">
        <v>149</v>
      </c>
      <c r="DA21" s="680">
        <v>143</v>
      </c>
      <c r="DB21" s="680">
        <v>201</v>
      </c>
      <c r="DC21" s="680">
        <v>202</v>
      </c>
      <c r="DD21" s="680">
        <v>173</v>
      </c>
      <c r="DE21" s="680">
        <v>154</v>
      </c>
      <c r="DF21" s="680">
        <v>161</v>
      </c>
      <c r="DG21" s="680">
        <v>161</v>
      </c>
      <c r="DH21" s="680">
        <v>153</v>
      </c>
      <c r="DI21" s="36" t="s">
        <v>446</v>
      </c>
      <c r="DJ21" s="675">
        <f t="shared" si="11"/>
        <v>197.72131478120588</v>
      </c>
      <c r="DK21" s="673">
        <f t="shared" si="11"/>
        <v>203.35195530726259</v>
      </c>
      <c r="DL21" s="673">
        <f t="shared" si="11"/>
        <v>190.47619047619045</v>
      </c>
      <c r="DM21" s="673">
        <f t="shared" si="11"/>
        <v>196.67590027700831</v>
      </c>
      <c r="DN21" s="673">
        <f t="shared" si="11"/>
        <v>195.28178243774573</v>
      </c>
      <c r="DO21" s="673">
        <f t="shared" si="11"/>
        <v>185.23316062176164</v>
      </c>
      <c r="DP21" s="673">
        <f t="shared" si="11"/>
        <v>201.80722891566265</v>
      </c>
      <c r="DQ21" s="673">
        <f t="shared" si="11"/>
        <v>205.91233435270132</v>
      </c>
      <c r="DR21" s="673">
        <f t="shared" si="11"/>
        <v>196.59090909090909</v>
      </c>
      <c r="DS21" s="673">
        <f t="shared" si="11"/>
        <v>206.71140939597316</v>
      </c>
      <c r="DT21" s="673">
        <f t="shared" si="11"/>
        <v>194.91525423728814</v>
      </c>
      <c r="DU21" s="673">
        <f t="shared" si="11"/>
        <v>197.06242350061197</v>
      </c>
      <c r="DV21" s="673">
        <f t="shared" si="11"/>
        <v>194.6564885496183</v>
      </c>
    </row>
    <row r="22" spans="1:126" ht="12.25" customHeight="1">
      <c r="A22" s="36" t="s">
        <v>447</v>
      </c>
      <c r="B22" s="681">
        <f t="shared" si="12"/>
        <v>31672</v>
      </c>
      <c r="C22" s="680">
        <v>2565</v>
      </c>
      <c r="D22" s="680">
        <v>2629</v>
      </c>
      <c r="E22" s="680">
        <v>2860</v>
      </c>
      <c r="F22" s="680">
        <v>2680</v>
      </c>
      <c r="G22" s="680">
        <v>1790</v>
      </c>
      <c r="H22" s="680">
        <v>3034</v>
      </c>
      <c r="I22" s="680">
        <v>2902</v>
      </c>
      <c r="J22" s="680">
        <v>2770</v>
      </c>
      <c r="K22" s="680">
        <v>2766</v>
      </c>
      <c r="L22" s="680">
        <v>2560</v>
      </c>
      <c r="M22" s="680">
        <v>2538</v>
      </c>
      <c r="N22" s="680">
        <v>2578</v>
      </c>
      <c r="O22" s="36" t="s">
        <v>447</v>
      </c>
      <c r="P22" s="711">
        <f t="shared" si="13"/>
        <v>474</v>
      </c>
      <c r="Q22" s="709">
        <v>38</v>
      </c>
      <c r="R22" s="709">
        <v>39</v>
      </c>
      <c r="S22" s="709">
        <v>43</v>
      </c>
      <c r="T22" s="709">
        <v>40</v>
      </c>
      <c r="U22" s="709">
        <v>29</v>
      </c>
      <c r="V22" s="709">
        <v>45</v>
      </c>
      <c r="W22" s="709">
        <v>43</v>
      </c>
      <c r="X22" s="709">
        <v>40</v>
      </c>
      <c r="Y22" s="709">
        <v>41</v>
      </c>
      <c r="Z22" s="709">
        <v>39</v>
      </c>
      <c r="AA22" s="709">
        <v>38</v>
      </c>
      <c r="AB22" s="709">
        <v>39</v>
      </c>
      <c r="AC22" s="36" t="s">
        <v>447</v>
      </c>
      <c r="AD22" s="689">
        <f t="shared" si="9"/>
        <v>14.965900479919171</v>
      </c>
      <c r="AE22" s="685">
        <f t="shared" si="9"/>
        <v>14.814814814814815</v>
      </c>
      <c r="AF22" s="685">
        <f t="shared" si="9"/>
        <v>14.834537847090148</v>
      </c>
      <c r="AG22" s="685">
        <f t="shared" si="9"/>
        <v>15.034965034965035</v>
      </c>
      <c r="AH22" s="685">
        <f t="shared" si="9"/>
        <v>14.925373134328359</v>
      </c>
      <c r="AI22" s="685">
        <f t="shared" si="9"/>
        <v>16.201117318435756</v>
      </c>
      <c r="AJ22" s="685">
        <f t="shared" si="9"/>
        <v>14.831905075807514</v>
      </c>
      <c r="AK22" s="685">
        <f t="shared" si="9"/>
        <v>14.81736733287388</v>
      </c>
      <c r="AL22" s="685">
        <f t="shared" si="9"/>
        <v>14.440433212996391</v>
      </c>
      <c r="AM22" s="685">
        <f t="shared" si="9"/>
        <v>14.82284887924801</v>
      </c>
      <c r="AN22" s="685">
        <f t="shared" si="9"/>
        <v>15.234375</v>
      </c>
      <c r="AO22" s="685">
        <f t="shared" si="9"/>
        <v>14.972419227738378</v>
      </c>
      <c r="AP22" s="685">
        <f t="shared" si="9"/>
        <v>15.128006206361521</v>
      </c>
      <c r="AQ22" s="36" t="s">
        <v>447</v>
      </c>
      <c r="AR22" s="699">
        <f t="shared" si="14"/>
        <v>21999</v>
      </c>
      <c r="AS22" s="701">
        <v>1755</v>
      </c>
      <c r="AT22" s="701">
        <v>1455</v>
      </c>
      <c r="AU22" s="701">
        <v>1596</v>
      </c>
      <c r="AV22" s="701">
        <v>1847</v>
      </c>
      <c r="AW22" s="701">
        <v>2173</v>
      </c>
      <c r="AX22" s="701">
        <v>2156</v>
      </c>
      <c r="AY22" s="701">
        <v>2168</v>
      </c>
      <c r="AZ22" s="701">
        <v>2031</v>
      </c>
      <c r="BA22" s="701">
        <v>1982</v>
      </c>
      <c r="BB22" s="701">
        <v>1630</v>
      </c>
      <c r="BC22" s="701">
        <v>1561</v>
      </c>
      <c r="BD22" s="701">
        <v>1645</v>
      </c>
      <c r="BE22" s="36" t="s">
        <v>447</v>
      </c>
      <c r="BF22" s="681">
        <f t="shared" si="15"/>
        <v>1202</v>
      </c>
      <c r="BG22" s="693">
        <v>89</v>
      </c>
      <c r="BH22" s="693">
        <v>73</v>
      </c>
      <c r="BI22" s="693">
        <v>91</v>
      </c>
      <c r="BJ22" s="693">
        <v>103</v>
      </c>
      <c r="BK22" s="693">
        <v>121</v>
      </c>
      <c r="BL22" s="693">
        <v>121</v>
      </c>
      <c r="BM22" s="693">
        <v>120</v>
      </c>
      <c r="BN22" s="693">
        <v>111</v>
      </c>
      <c r="BO22" s="693">
        <v>114</v>
      </c>
      <c r="BP22" s="693">
        <v>89</v>
      </c>
      <c r="BQ22" s="693">
        <v>83</v>
      </c>
      <c r="BR22" s="693">
        <v>87</v>
      </c>
      <c r="BS22" s="36" t="s">
        <v>447</v>
      </c>
      <c r="BT22" s="688">
        <f t="shared" si="10"/>
        <v>54.638847220328195</v>
      </c>
      <c r="BU22" s="684">
        <f t="shared" si="10"/>
        <v>50.712250712250707</v>
      </c>
      <c r="BV22" s="684">
        <f t="shared" si="10"/>
        <v>50.171821305841924</v>
      </c>
      <c r="BW22" s="684">
        <f t="shared" si="10"/>
        <v>57.017543859649116</v>
      </c>
      <c r="BX22" s="684">
        <f t="shared" si="10"/>
        <v>55.766107200866273</v>
      </c>
      <c r="BY22" s="684">
        <f t="shared" si="10"/>
        <v>55.683387022549468</v>
      </c>
      <c r="BZ22" s="684">
        <f t="shared" si="10"/>
        <v>56.122448979591837</v>
      </c>
      <c r="CA22" s="684">
        <f t="shared" si="10"/>
        <v>55.350553505535053</v>
      </c>
      <c r="CB22" s="684">
        <f t="shared" si="10"/>
        <v>54.652880354505172</v>
      </c>
      <c r="CC22" s="684">
        <f t="shared" si="10"/>
        <v>57.517658930373358</v>
      </c>
      <c r="CD22" s="684">
        <f t="shared" si="10"/>
        <v>54.601226993865026</v>
      </c>
      <c r="CE22" s="684">
        <f t="shared" si="10"/>
        <v>53.171044202434331</v>
      </c>
      <c r="CF22" s="684">
        <f t="shared" si="10"/>
        <v>52.887537993920972</v>
      </c>
      <c r="CG22" s="36" t="s">
        <v>447</v>
      </c>
      <c r="CH22" s="681">
        <f t="shared" si="16"/>
        <v>17617</v>
      </c>
      <c r="CI22" s="680">
        <v>1448</v>
      </c>
      <c r="CJ22" s="680">
        <v>1388</v>
      </c>
      <c r="CK22" s="680">
        <v>1391</v>
      </c>
      <c r="CL22" s="680">
        <v>1623</v>
      </c>
      <c r="CM22" s="680">
        <v>1564</v>
      </c>
      <c r="CN22" s="680">
        <v>1871</v>
      </c>
      <c r="CO22" s="680">
        <v>1975</v>
      </c>
      <c r="CP22" s="680">
        <v>1535</v>
      </c>
      <c r="CQ22" s="680">
        <v>1409</v>
      </c>
      <c r="CR22" s="680">
        <v>1312</v>
      </c>
      <c r="CS22" s="680">
        <v>978</v>
      </c>
      <c r="CT22" s="680">
        <v>1123</v>
      </c>
      <c r="CU22" s="36" t="s">
        <v>447</v>
      </c>
      <c r="CV22" s="681">
        <f t="shared" si="17"/>
        <v>2825</v>
      </c>
      <c r="CW22" s="680">
        <v>235</v>
      </c>
      <c r="CX22" s="680">
        <v>211</v>
      </c>
      <c r="CY22" s="680">
        <v>219</v>
      </c>
      <c r="CZ22" s="680">
        <v>262</v>
      </c>
      <c r="DA22" s="680">
        <v>261</v>
      </c>
      <c r="DB22" s="680">
        <v>306</v>
      </c>
      <c r="DC22" s="680">
        <v>307</v>
      </c>
      <c r="DD22" s="680">
        <v>236</v>
      </c>
      <c r="DE22" s="680">
        <v>238</v>
      </c>
      <c r="DF22" s="680">
        <v>211</v>
      </c>
      <c r="DG22" s="680">
        <v>160</v>
      </c>
      <c r="DH22" s="680">
        <v>179</v>
      </c>
      <c r="DI22" s="36" t="s">
        <v>447</v>
      </c>
      <c r="DJ22" s="675">
        <f t="shared" si="11"/>
        <v>160.35647386047569</v>
      </c>
      <c r="DK22" s="673">
        <f t="shared" si="11"/>
        <v>162.292817679558</v>
      </c>
      <c r="DL22" s="673">
        <f t="shared" si="11"/>
        <v>152.01729106628241</v>
      </c>
      <c r="DM22" s="673">
        <f t="shared" si="11"/>
        <v>157.44069015097054</v>
      </c>
      <c r="DN22" s="673">
        <f t="shared" si="11"/>
        <v>161.42945163277881</v>
      </c>
      <c r="DO22" s="673">
        <f t="shared" si="11"/>
        <v>166.87979539641944</v>
      </c>
      <c r="DP22" s="673">
        <f t="shared" si="11"/>
        <v>163.54890432923568</v>
      </c>
      <c r="DQ22" s="673">
        <f t="shared" si="11"/>
        <v>155.44303797468353</v>
      </c>
      <c r="DR22" s="673">
        <f t="shared" si="11"/>
        <v>153.74592833876221</v>
      </c>
      <c r="DS22" s="673">
        <f t="shared" si="11"/>
        <v>168.91412349183818</v>
      </c>
      <c r="DT22" s="673">
        <f t="shared" si="11"/>
        <v>160.82317073170731</v>
      </c>
      <c r="DU22" s="673">
        <f t="shared" si="11"/>
        <v>163.59918200408998</v>
      </c>
      <c r="DV22" s="673">
        <f t="shared" si="11"/>
        <v>159.39447907390917</v>
      </c>
    </row>
    <row r="23" spans="1:126" ht="12.25" customHeight="1">
      <c r="A23" s="36" t="s">
        <v>448</v>
      </c>
      <c r="B23" s="681">
        <f t="shared" si="12"/>
        <v>16517</v>
      </c>
      <c r="C23" s="680">
        <v>729</v>
      </c>
      <c r="D23" s="680">
        <v>580</v>
      </c>
      <c r="E23" s="680">
        <v>994</v>
      </c>
      <c r="F23" s="680">
        <v>1746</v>
      </c>
      <c r="G23" s="680">
        <v>1993</v>
      </c>
      <c r="H23" s="680">
        <v>1681</v>
      </c>
      <c r="I23" s="680">
        <v>1473</v>
      </c>
      <c r="J23" s="680">
        <v>1352</v>
      </c>
      <c r="K23" s="680">
        <v>1393</v>
      </c>
      <c r="L23" s="680">
        <v>1585</v>
      </c>
      <c r="M23" s="680">
        <v>1548</v>
      </c>
      <c r="N23" s="680">
        <v>1443</v>
      </c>
      <c r="O23" s="36" t="s">
        <v>448</v>
      </c>
      <c r="P23" s="711">
        <f t="shared" si="13"/>
        <v>226</v>
      </c>
      <c r="Q23" s="709">
        <v>10</v>
      </c>
      <c r="R23" s="709">
        <v>8</v>
      </c>
      <c r="S23" s="709">
        <v>14</v>
      </c>
      <c r="T23" s="709">
        <v>23</v>
      </c>
      <c r="U23" s="709">
        <v>27</v>
      </c>
      <c r="V23" s="709">
        <v>23</v>
      </c>
      <c r="W23" s="709">
        <v>20</v>
      </c>
      <c r="X23" s="709">
        <v>21</v>
      </c>
      <c r="Y23" s="709">
        <v>19</v>
      </c>
      <c r="Z23" s="709">
        <v>21</v>
      </c>
      <c r="AA23" s="709">
        <v>21</v>
      </c>
      <c r="AB23" s="709">
        <v>19</v>
      </c>
      <c r="AC23" s="36" t="s">
        <v>448</v>
      </c>
      <c r="AD23" s="689">
        <f t="shared" si="9"/>
        <v>13.682872192286736</v>
      </c>
      <c r="AE23" s="685">
        <f t="shared" si="9"/>
        <v>13.717421124828531</v>
      </c>
      <c r="AF23" s="685">
        <f t="shared" si="9"/>
        <v>13.793103448275861</v>
      </c>
      <c r="AG23" s="685">
        <f t="shared" si="9"/>
        <v>14.084507042253522</v>
      </c>
      <c r="AH23" s="685">
        <f t="shared" si="9"/>
        <v>13.172966781214203</v>
      </c>
      <c r="AI23" s="685">
        <f t="shared" si="9"/>
        <v>13.547415955845459</v>
      </c>
      <c r="AJ23" s="685">
        <f t="shared" si="9"/>
        <v>13.682331945270672</v>
      </c>
      <c r="AK23" s="685">
        <f t="shared" si="9"/>
        <v>13.577732518669382</v>
      </c>
      <c r="AL23" s="685">
        <f t="shared" si="9"/>
        <v>15.532544378698224</v>
      </c>
      <c r="AM23" s="685">
        <f t="shared" si="9"/>
        <v>13.639626704953338</v>
      </c>
      <c r="AN23" s="685">
        <f t="shared" si="9"/>
        <v>13.249211356466876</v>
      </c>
      <c r="AO23" s="685">
        <f t="shared" si="9"/>
        <v>13.565891472868216</v>
      </c>
      <c r="AP23" s="685">
        <f t="shared" si="9"/>
        <v>13.167013167013167</v>
      </c>
      <c r="AQ23" s="36" t="s">
        <v>448</v>
      </c>
      <c r="AR23" s="699">
        <f t="shared" si="14"/>
        <v>5495</v>
      </c>
      <c r="AS23" s="701">
        <v>180</v>
      </c>
      <c r="AT23" s="701">
        <v>155</v>
      </c>
      <c r="AU23" s="701">
        <v>449</v>
      </c>
      <c r="AV23" s="701">
        <v>535</v>
      </c>
      <c r="AW23" s="701">
        <v>566</v>
      </c>
      <c r="AX23" s="701">
        <v>359</v>
      </c>
      <c r="AY23" s="701">
        <v>459</v>
      </c>
      <c r="AZ23" s="701">
        <v>356</v>
      </c>
      <c r="BA23" s="701">
        <v>595</v>
      </c>
      <c r="BB23" s="701">
        <v>695</v>
      </c>
      <c r="BC23" s="701">
        <v>518</v>
      </c>
      <c r="BD23" s="701">
        <v>628</v>
      </c>
      <c r="BE23" s="36" t="s">
        <v>448</v>
      </c>
      <c r="BF23" s="681">
        <f t="shared" si="15"/>
        <v>297</v>
      </c>
      <c r="BG23" s="693">
        <v>10</v>
      </c>
      <c r="BH23" s="693">
        <v>8</v>
      </c>
      <c r="BI23" s="693">
        <v>24</v>
      </c>
      <c r="BJ23" s="693">
        <v>29</v>
      </c>
      <c r="BK23" s="693">
        <v>31</v>
      </c>
      <c r="BL23" s="693">
        <v>20</v>
      </c>
      <c r="BM23" s="693">
        <v>25</v>
      </c>
      <c r="BN23" s="693">
        <v>19</v>
      </c>
      <c r="BO23" s="693">
        <v>32</v>
      </c>
      <c r="BP23" s="693">
        <v>37</v>
      </c>
      <c r="BQ23" s="693">
        <v>28</v>
      </c>
      <c r="BR23" s="693">
        <v>34</v>
      </c>
      <c r="BS23" s="36" t="s">
        <v>448</v>
      </c>
      <c r="BT23" s="688">
        <f t="shared" si="10"/>
        <v>54.049135577797998</v>
      </c>
      <c r="BU23" s="684">
        <f t="shared" si="10"/>
        <v>55.55555555555555</v>
      </c>
      <c r="BV23" s="684">
        <f t="shared" si="10"/>
        <v>51.612903225806448</v>
      </c>
      <c r="BW23" s="684">
        <f t="shared" si="10"/>
        <v>53.452115812917597</v>
      </c>
      <c r="BX23" s="684">
        <f t="shared" si="10"/>
        <v>54.205607476635514</v>
      </c>
      <c r="BY23" s="684">
        <f t="shared" si="10"/>
        <v>54.770318021201412</v>
      </c>
      <c r="BZ23" s="684">
        <f t="shared" si="10"/>
        <v>55.710306406685234</v>
      </c>
      <c r="CA23" s="684">
        <f t="shared" si="10"/>
        <v>54.466230936819173</v>
      </c>
      <c r="CB23" s="684">
        <f t="shared" si="10"/>
        <v>53.370786516853933</v>
      </c>
      <c r="CC23" s="684">
        <f t="shared" si="10"/>
        <v>53.781512605042018</v>
      </c>
      <c r="CD23" s="684">
        <f t="shared" si="10"/>
        <v>53.237410071942442</v>
      </c>
      <c r="CE23" s="684">
        <f t="shared" si="10"/>
        <v>54.054054054054056</v>
      </c>
      <c r="CF23" s="684">
        <f t="shared" si="10"/>
        <v>54.140127388535035</v>
      </c>
      <c r="CG23" s="36" t="s">
        <v>448</v>
      </c>
      <c r="CH23" s="681">
        <f t="shared" si="16"/>
        <v>1647</v>
      </c>
      <c r="CI23" s="680">
        <v>110</v>
      </c>
      <c r="CJ23" s="680">
        <v>95</v>
      </c>
      <c r="CK23" s="680">
        <v>149</v>
      </c>
      <c r="CL23" s="680">
        <v>163</v>
      </c>
      <c r="CM23" s="680">
        <v>179</v>
      </c>
      <c r="CN23" s="680">
        <v>153</v>
      </c>
      <c r="CO23" s="680">
        <v>116</v>
      </c>
      <c r="CP23" s="680">
        <v>112</v>
      </c>
      <c r="CQ23" s="680">
        <v>120</v>
      </c>
      <c r="CR23" s="680">
        <v>136</v>
      </c>
      <c r="CS23" s="680">
        <v>160</v>
      </c>
      <c r="CT23" s="680">
        <v>154</v>
      </c>
      <c r="CU23" s="36" t="s">
        <v>448</v>
      </c>
      <c r="CV23" s="681">
        <f t="shared" si="17"/>
        <v>218</v>
      </c>
      <c r="CW23" s="680">
        <v>14</v>
      </c>
      <c r="CX23" s="680">
        <v>13</v>
      </c>
      <c r="CY23" s="680">
        <v>20</v>
      </c>
      <c r="CZ23" s="680">
        <v>22</v>
      </c>
      <c r="DA23" s="680">
        <v>24</v>
      </c>
      <c r="DB23" s="680">
        <v>20</v>
      </c>
      <c r="DC23" s="680">
        <v>15</v>
      </c>
      <c r="DD23" s="680">
        <v>15</v>
      </c>
      <c r="DE23" s="680">
        <v>16</v>
      </c>
      <c r="DF23" s="680">
        <v>18</v>
      </c>
      <c r="DG23" s="680">
        <v>21</v>
      </c>
      <c r="DH23" s="680">
        <v>20</v>
      </c>
      <c r="DI23" s="36" t="s">
        <v>448</v>
      </c>
      <c r="DJ23" s="675">
        <f t="shared" si="11"/>
        <v>132.3618700667881</v>
      </c>
      <c r="DK23" s="673">
        <f t="shared" si="11"/>
        <v>127.27272727272727</v>
      </c>
      <c r="DL23" s="673">
        <f t="shared" si="11"/>
        <v>136.84210526315789</v>
      </c>
      <c r="DM23" s="673">
        <f t="shared" si="11"/>
        <v>134.2281879194631</v>
      </c>
      <c r="DN23" s="673">
        <f t="shared" si="11"/>
        <v>134.96932515337423</v>
      </c>
      <c r="DO23" s="673">
        <f t="shared" si="11"/>
        <v>134.07821229050279</v>
      </c>
      <c r="DP23" s="673">
        <f t="shared" si="11"/>
        <v>130.71895424836603</v>
      </c>
      <c r="DQ23" s="673">
        <f t="shared" si="11"/>
        <v>129.31034482758622</v>
      </c>
      <c r="DR23" s="673">
        <f t="shared" si="11"/>
        <v>133.92857142857142</v>
      </c>
      <c r="DS23" s="673">
        <f t="shared" si="11"/>
        <v>133.33333333333334</v>
      </c>
      <c r="DT23" s="673">
        <f t="shared" si="11"/>
        <v>132.35294117647058</v>
      </c>
      <c r="DU23" s="673">
        <f t="shared" si="11"/>
        <v>131.25</v>
      </c>
      <c r="DV23" s="673">
        <f t="shared" si="11"/>
        <v>129.87012987012986</v>
      </c>
    </row>
    <row r="24" spans="1:126" ht="12.25" customHeight="1">
      <c r="A24" s="36" t="s">
        <v>449</v>
      </c>
      <c r="B24" s="681">
        <f t="shared" si="12"/>
        <v>81196</v>
      </c>
      <c r="C24" s="680">
        <v>6450</v>
      </c>
      <c r="D24" s="680">
        <v>6475</v>
      </c>
      <c r="E24" s="680">
        <v>6715</v>
      </c>
      <c r="F24" s="680">
        <v>6318</v>
      </c>
      <c r="G24" s="680">
        <v>5513</v>
      </c>
      <c r="H24" s="680">
        <v>6030</v>
      </c>
      <c r="I24" s="680">
        <v>5928</v>
      </c>
      <c r="J24" s="680">
        <v>8147</v>
      </c>
      <c r="K24" s="680">
        <v>7061</v>
      </c>
      <c r="L24" s="680">
        <v>7734</v>
      </c>
      <c r="M24" s="680">
        <v>7702</v>
      </c>
      <c r="N24" s="680">
        <v>7123</v>
      </c>
      <c r="O24" s="36" t="s">
        <v>449</v>
      </c>
      <c r="P24" s="711">
        <f t="shared" si="13"/>
        <v>1319</v>
      </c>
      <c r="Q24" s="709">
        <v>98</v>
      </c>
      <c r="R24" s="709">
        <v>102</v>
      </c>
      <c r="S24" s="709">
        <v>115</v>
      </c>
      <c r="T24" s="709">
        <v>113</v>
      </c>
      <c r="U24" s="709">
        <v>95</v>
      </c>
      <c r="V24" s="709">
        <v>104</v>
      </c>
      <c r="W24" s="709">
        <v>98</v>
      </c>
      <c r="X24" s="709">
        <v>137</v>
      </c>
      <c r="Y24" s="709">
        <v>108</v>
      </c>
      <c r="Z24" s="709">
        <v>121</v>
      </c>
      <c r="AA24" s="709">
        <v>120</v>
      </c>
      <c r="AB24" s="709">
        <v>108</v>
      </c>
      <c r="AC24" s="36" t="s">
        <v>449</v>
      </c>
      <c r="AD24" s="689">
        <f t="shared" si="9"/>
        <v>16.244642593231195</v>
      </c>
      <c r="AE24" s="685">
        <f t="shared" si="9"/>
        <v>15.193798449612402</v>
      </c>
      <c r="AF24" s="685">
        <f t="shared" si="9"/>
        <v>15.752895752895752</v>
      </c>
      <c r="AG24" s="685">
        <f t="shared" si="9"/>
        <v>17.125837676842888</v>
      </c>
      <c r="AH24" s="685">
        <f t="shared" si="9"/>
        <v>17.88540677429566</v>
      </c>
      <c r="AI24" s="685">
        <f t="shared" si="9"/>
        <v>17.231997097768911</v>
      </c>
      <c r="AJ24" s="685">
        <f t="shared" si="9"/>
        <v>17.247097844112769</v>
      </c>
      <c r="AK24" s="685">
        <f t="shared" si="9"/>
        <v>16.531713900134953</v>
      </c>
      <c r="AL24" s="685">
        <f t="shared" si="9"/>
        <v>16.816005891739291</v>
      </c>
      <c r="AM24" s="685">
        <f t="shared" si="9"/>
        <v>15.295283954114149</v>
      </c>
      <c r="AN24" s="685">
        <f t="shared" si="9"/>
        <v>15.645202999741402</v>
      </c>
      <c r="AO24" s="685">
        <f t="shared" si="9"/>
        <v>15.580368735393405</v>
      </c>
      <c r="AP24" s="685">
        <f t="shared" si="9"/>
        <v>15.162150779166081</v>
      </c>
      <c r="AQ24" s="36" t="s">
        <v>449</v>
      </c>
      <c r="AR24" s="699">
        <f t="shared" si="14"/>
        <v>347604</v>
      </c>
      <c r="AS24" s="701">
        <v>23665</v>
      </c>
      <c r="AT24" s="701">
        <v>22030</v>
      </c>
      <c r="AU24" s="701">
        <v>27520</v>
      </c>
      <c r="AV24" s="701">
        <v>28455</v>
      </c>
      <c r="AW24" s="701">
        <v>29832</v>
      </c>
      <c r="AX24" s="701">
        <v>28495</v>
      </c>
      <c r="AY24" s="701">
        <v>26358</v>
      </c>
      <c r="AZ24" s="701">
        <v>32698</v>
      </c>
      <c r="BA24" s="701">
        <v>29862</v>
      </c>
      <c r="BB24" s="701">
        <v>33026</v>
      </c>
      <c r="BC24" s="701">
        <v>32306</v>
      </c>
      <c r="BD24" s="701">
        <v>33357</v>
      </c>
      <c r="BE24" s="36" t="s">
        <v>449</v>
      </c>
      <c r="BF24" s="681">
        <f t="shared" si="15"/>
        <v>24377</v>
      </c>
      <c r="BG24" s="693">
        <v>1671</v>
      </c>
      <c r="BH24" s="693">
        <v>1548</v>
      </c>
      <c r="BI24" s="693">
        <v>1921</v>
      </c>
      <c r="BJ24" s="693">
        <v>1918</v>
      </c>
      <c r="BK24" s="693">
        <v>2111</v>
      </c>
      <c r="BL24" s="693">
        <v>2079</v>
      </c>
      <c r="BM24" s="693">
        <v>1836</v>
      </c>
      <c r="BN24" s="693">
        <v>2284</v>
      </c>
      <c r="BO24" s="693">
        <v>2096</v>
      </c>
      <c r="BP24" s="693">
        <v>2348</v>
      </c>
      <c r="BQ24" s="693">
        <v>2266</v>
      </c>
      <c r="BR24" s="693">
        <v>2299</v>
      </c>
      <c r="BS24" s="36" t="s">
        <v>449</v>
      </c>
      <c r="BT24" s="688">
        <f t="shared" si="10"/>
        <v>70.128652144394195</v>
      </c>
      <c r="BU24" s="684">
        <f t="shared" si="10"/>
        <v>70.610606380731042</v>
      </c>
      <c r="BV24" s="684">
        <f t="shared" si="10"/>
        <v>70.267816613708575</v>
      </c>
      <c r="BW24" s="684">
        <f t="shared" si="10"/>
        <v>69.803779069767444</v>
      </c>
      <c r="BX24" s="684">
        <f t="shared" si="10"/>
        <v>67.404674046740467</v>
      </c>
      <c r="BY24" s="684">
        <f t="shared" si="10"/>
        <v>70.762939125770984</v>
      </c>
      <c r="BZ24" s="684">
        <f t="shared" si="10"/>
        <v>72.960168450605366</v>
      </c>
      <c r="CA24" s="684">
        <f t="shared" si="10"/>
        <v>69.656271340769408</v>
      </c>
      <c r="CB24" s="684">
        <f t="shared" si="10"/>
        <v>69.85136705608906</v>
      </c>
      <c r="CC24" s="684">
        <f t="shared" si="10"/>
        <v>70.189538543968922</v>
      </c>
      <c r="CD24" s="684">
        <f t="shared" si="10"/>
        <v>71.095500514745964</v>
      </c>
      <c r="CE24" s="684">
        <f t="shared" si="10"/>
        <v>70.141769330774466</v>
      </c>
      <c r="CF24" s="684">
        <f t="shared" si="10"/>
        <v>68.921066043109391</v>
      </c>
      <c r="CG24" s="36" t="s">
        <v>449</v>
      </c>
      <c r="CH24" s="681">
        <f t="shared" si="16"/>
        <v>115672</v>
      </c>
      <c r="CI24" s="680">
        <v>8581</v>
      </c>
      <c r="CJ24" s="680">
        <v>8596</v>
      </c>
      <c r="CK24" s="680">
        <v>9670</v>
      </c>
      <c r="CL24" s="680">
        <v>9330</v>
      </c>
      <c r="CM24" s="680">
        <v>10177</v>
      </c>
      <c r="CN24" s="680">
        <v>10125</v>
      </c>
      <c r="CO24" s="680">
        <v>10602</v>
      </c>
      <c r="CP24" s="680">
        <v>9987</v>
      </c>
      <c r="CQ24" s="680">
        <v>10058</v>
      </c>
      <c r="CR24" s="680">
        <v>9994</v>
      </c>
      <c r="CS24" s="680">
        <v>9906</v>
      </c>
      <c r="CT24" s="680">
        <v>8646</v>
      </c>
      <c r="CU24" s="36" t="s">
        <v>449</v>
      </c>
      <c r="CV24" s="681">
        <f t="shared" si="17"/>
        <v>20608</v>
      </c>
      <c r="CW24" s="680">
        <v>1481</v>
      </c>
      <c r="CX24" s="680">
        <v>1516</v>
      </c>
      <c r="CY24" s="680">
        <v>1693</v>
      </c>
      <c r="CZ24" s="680">
        <v>1654</v>
      </c>
      <c r="DA24" s="680">
        <v>1816</v>
      </c>
      <c r="DB24" s="680">
        <v>1808</v>
      </c>
      <c r="DC24" s="680">
        <v>1905</v>
      </c>
      <c r="DD24" s="680">
        <v>1811</v>
      </c>
      <c r="DE24" s="680">
        <v>1845</v>
      </c>
      <c r="DF24" s="680">
        <v>1821</v>
      </c>
      <c r="DG24" s="680">
        <v>1814</v>
      </c>
      <c r="DH24" s="680">
        <v>1444</v>
      </c>
      <c r="DI24" s="36" t="s">
        <v>449</v>
      </c>
      <c r="DJ24" s="675">
        <f t="shared" si="11"/>
        <v>178.15893215298431</v>
      </c>
      <c r="DK24" s="673">
        <f t="shared" si="11"/>
        <v>172.59060715534318</v>
      </c>
      <c r="DL24" s="673">
        <f t="shared" si="11"/>
        <v>176.36109818520242</v>
      </c>
      <c r="DM24" s="673">
        <f t="shared" si="11"/>
        <v>175.07755946225438</v>
      </c>
      <c r="DN24" s="673">
        <f t="shared" si="11"/>
        <v>177.27759914255091</v>
      </c>
      <c r="DO24" s="673">
        <f t="shared" si="11"/>
        <v>178.44158396384003</v>
      </c>
      <c r="DP24" s="673">
        <f t="shared" si="11"/>
        <v>178.5679012345679</v>
      </c>
      <c r="DQ24" s="673">
        <f t="shared" si="11"/>
        <v>179.68307866440296</v>
      </c>
      <c r="DR24" s="673">
        <f t="shared" si="11"/>
        <v>181.33573645739463</v>
      </c>
      <c r="DS24" s="673">
        <f t="shared" si="11"/>
        <v>183.43607078942136</v>
      </c>
      <c r="DT24" s="673">
        <f t="shared" si="11"/>
        <v>182.2093255953572</v>
      </c>
      <c r="DU24" s="673">
        <f t="shared" si="11"/>
        <v>183.12134060165556</v>
      </c>
      <c r="DV24" s="673">
        <f t="shared" si="11"/>
        <v>167.01364792967846</v>
      </c>
    </row>
    <row r="25" spans="1:126" ht="12.25" customHeight="1">
      <c r="A25" s="36" t="s">
        <v>450</v>
      </c>
      <c r="B25" s="681">
        <f t="shared" si="12"/>
        <v>958</v>
      </c>
      <c r="C25" s="680">
        <v>82</v>
      </c>
      <c r="D25" s="680">
        <v>64</v>
      </c>
      <c r="E25" s="680">
        <v>107</v>
      </c>
      <c r="F25" s="680">
        <v>84</v>
      </c>
      <c r="G25" s="680">
        <v>101</v>
      </c>
      <c r="H25" s="680">
        <v>72</v>
      </c>
      <c r="I25" s="680">
        <v>71</v>
      </c>
      <c r="J25" s="680">
        <v>78</v>
      </c>
      <c r="K25" s="680">
        <v>53</v>
      </c>
      <c r="L25" s="680">
        <v>106</v>
      </c>
      <c r="M25" s="680">
        <v>53</v>
      </c>
      <c r="N25" s="680">
        <v>87</v>
      </c>
      <c r="O25" s="36" t="s">
        <v>450</v>
      </c>
      <c r="P25" s="711">
        <f t="shared" si="13"/>
        <v>21</v>
      </c>
      <c r="Q25" s="709">
        <v>2</v>
      </c>
      <c r="R25" s="709">
        <v>1</v>
      </c>
      <c r="S25" s="709">
        <v>2</v>
      </c>
      <c r="T25" s="709">
        <v>2</v>
      </c>
      <c r="U25" s="709">
        <v>2</v>
      </c>
      <c r="V25" s="709">
        <v>2</v>
      </c>
      <c r="W25" s="709">
        <v>2</v>
      </c>
      <c r="X25" s="709">
        <v>2</v>
      </c>
      <c r="Y25" s="709">
        <v>1</v>
      </c>
      <c r="Z25" s="709">
        <v>2</v>
      </c>
      <c r="AA25" s="709">
        <v>1</v>
      </c>
      <c r="AB25" s="709">
        <v>2</v>
      </c>
      <c r="AC25" s="36" t="s">
        <v>450</v>
      </c>
      <c r="AD25" s="689">
        <f t="shared" si="9"/>
        <v>21.920668058455117</v>
      </c>
      <c r="AE25" s="685">
        <f t="shared" si="9"/>
        <v>24.390243902439025</v>
      </c>
      <c r="AF25" s="685">
        <f t="shared" si="9"/>
        <v>15.625</v>
      </c>
      <c r="AG25" s="685">
        <f t="shared" si="9"/>
        <v>18.691588785046729</v>
      </c>
      <c r="AH25" s="685">
        <f t="shared" si="9"/>
        <v>23.809523809523807</v>
      </c>
      <c r="AI25" s="685">
        <f t="shared" si="9"/>
        <v>19.801980198019802</v>
      </c>
      <c r="AJ25" s="685">
        <f t="shared" si="9"/>
        <v>27.777777777777775</v>
      </c>
      <c r="AK25" s="685">
        <f t="shared" si="9"/>
        <v>28.169014084507044</v>
      </c>
      <c r="AL25" s="685">
        <f t="shared" si="9"/>
        <v>25.641025641025639</v>
      </c>
      <c r="AM25" s="685">
        <f t="shared" si="9"/>
        <v>18.867924528301884</v>
      </c>
      <c r="AN25" s="685">
        <f t="shared" si="9"/>
        <v>18.867924528301884</v>
      </c>
      <c r="AO25" s="685">
        <f t="shared" si="9"/>
        <v>18.867924528301884</v>
      </c>
      <c r="AP25" s="685">
        <f t="shared" si="9"/>
        <v>22.988505747126435</v>
      </c>
      <c r="AQ25" s="36" t="s">
        <v>450</v>
      </c>
      <c r="AR25" s="699">
        <f t="shared" si="14"/>
        <v>21978</v>
      </c>
      <c r="AS25" s="701">
        <v>1527</v>
      </c>
      <c r="AT25" s="701">
        <v>1504</v>
      </c>
      <c r="AU25" s="701">
        <v>1599</v>
      </c>
      <c r="AV25" s="701">
        <v>1459</v>
      </c>
      <c r="AW25" s="701">
        <v>1986</v>
      </c>
      <c r="AX25" s="701">
        <v>1721</v>
      </c>
      <c r="AY25" s="701">
        <v>1911</v>
      </c>
      <c r="AZ25" s="701">
        <v>1846</v>
      </c>
      <c r="BA25" s="701">
        <v>1621</v>
      </c>
      <c r="BB25" s="701">
        <v>2050</v>
      </c>
      <c r="BC25" s="701">
        <v>1976</v>
      </c>
      <c r="BD25" s="701">
        <v>2778</v>
      </c>
      <c r="BE25" s="36" t="s">
        <v>450</v>
      </c>
      <c r="BF25" s="681">
        <f t="shared" si="15"/>
        <v>1099</v>
      </c>
      <c r="BG25" s="693">
        <v>76</v>
      </c>
      <c r="BH25" s="693">
        <v>75</v>
      </c>
      <c r="BI25" s="693">
        <v>82</v>
      </c>
      <c r="BJ25" s="693">
        <v>73</v>
      </c>
      <c r="BK25" s="693">
        <v>100</v>
      </c>
      <c r="BL25" s="693">
        <v>86</v>
      </c>
      <c r="BM25" s="693">
        <v>94</v>
      </c>
      <c r="BN25" s="693">
        <v>92</v>
      </c>
      <c r="BO25" s="693">
        <v>80</v>
      </c>
      <c r="BP25" s="693">
        <v>103</v>
      </c>
      <c r="BQ25" s="693">
        <v>98</v>
      </c>
      <c r="BR25" s="693">
        <v>140</v>
      </c>
      <c r="BS25" s="36" t="s">
        <v>450</v>
      </c>
      <c r="BT25" s="688">
        <f t="shared" si="10"/>
        <v>50.004550004550005</v>
      </c>
      <c r="BU25" s="684">
        <f t="shared" si="10"/>
        <v>49.770792403405373</v>
      </c>
      <c r="BV25" s="684">
        <f t="shared" si="10"/>
        <v>49.867021276595743</v>
      </c>
      <c r="BW25" s="684">
        <f t="shared" si="10"/>
        <v>51.282051282051277</v>
      </c>
      <c r="BX25" s="684">
        <f t="shared" si="10"/>
        <v>50.034270047978062</v>
      </c>
      <c r="BY25" s="684">
        <f t="shared" si="10"/>
        <v>50.352467270896277</v>
      </c>
      <c r="BZ25" s="684">
        <f t="shared" si="10"/>
        <v>49.970947123765249</v>
      </c>
      <c r="CA25" s="684">
        <f t="shared" si="10"/>
        <v>49.188906331763476</v>
      </c>
      <c r="CB25" s="684">
        <f t="shared" si="10"/>
        <v>49.837486457204768</v>
      </c>
      <c r="CC25" s="684">
        <f t="shared" si="10"/>
        <v>49.352251696483656</v>
      </c>
      <c r="CD25" s="684">
        <f t="shared" si="10"/>
        <v>50.243902439024396</v>
      </c>
      <c r="CE25" s="684">
        <f t="shared" si="10"/>
        <v>49.595141700404859</v>
      </c>
      <c r="CF25" s="684">
        <f t="shared" si="10"/>
        <v>50.395968322534202</v>
      </c>
      <c r="CG25" s="36" t="s">
        <v>450</v>
      </c>
      <c r="CH25" s="681">
        <f t="shared" si="16"/>
        <v>7849</v>
      </c>
      <c r="CI25" s="680">
        <v>676</v>
      </c>
      <c r="CJ25" s="680">
        <v>638</v>
      </c>
      <c r="CK25" s="680">
        <v>720</v>
      </c>
      <c r="CL25" s="680">
        <v>617</v>
      </c>
      <c r="CM25" s="680">
        <v>551</v>
      </c>
      <c r="CN25" s="680">
        <v>613</v>
      </c>
      <c r="CO25" s="680">
        <v>677</v>
      </c>
      <c r="CP25" s="680">
        <v>695</v>
      </c>
      <c r="CQ25" s="680">
        <v>644</v>
      </c>
      <c r="CR25" s="680">
        <v>665</v>
      </c>
      <c r="CS25" s="680">
        <v>692</v>
      </c>
      <c r="CT25" s="680">
        <v>661</v>
      </c>
      <c r="CU25" s="36" t="s">
        <v>450</v>
      </c>
      <c r="CV25" s="681">
        <f t="shared" si="17"/>
        <v>1866</v>
      </c>
      <c r="CW25" s="680">
        <v>162</v>
      </c>
      <c r="CX25" s="680">
        <v>147</v>
      </c>
      <c r="CY25" s="680">
        <v>161</v>
      </c>
      <c r="CZ25" s="680">
        <v>145</v>
      </c>
      <c r="DA25" s="680">
        <v>125</v>
      </c>
      <c r="DB25" s="680">
        <v>147</v>
      </c>
      <c r="DC25" s="680">
        <v>160</v>
      </c>
      <c r="DD25" s="680">
        <v>170</v>
      </c>
      <c r="DE25" s="680">
        <v>156</v>
      </c>
      <c r="DF25" s="680">
        <v>163</v>
      </c>
      <c r="DG25" s="680">
        <v>169</v>
      </c>
      <c r="DH25" s="680">
        <v>161</v>
      </c>
      <c r="DI25" s="36" t="s">
        <v>450</v>
      </c>
      <c r="DJ25" s="675">
        <f t="shared" si="11"/>
        <v>237.73729137469741</v>
      </c>
      <c r="DK25" s="673">
        <f t="shared" si="11"/>
        <v>239.6449704142012</v>
      </c>
      <c r="DL25" s="673">
        <f t="shared" si="11"/>
        <v>230.4075235109718</v>
      </c>
      <c r="DM25" s="673">
        <f t="shared" si="11"/>
        <v>223.61111111111111</v>
      </c>
      <c r="DN25" s="673">
        <f t="shared" si="11"/>
        <v>235.00810372771474</v>
      </c>
      <c r="DO25" s="673">
        <f t="shared" si="11"/>
        <v>226.86025408348456</v>
      </c>
      <c r="DP25" s="673">
        <f t="shared" si="11"/>
        <v>239.8042414355628</v>
      </c>
      <c r="DQ25" s="673">
        <f t="shared" si="11"/>
        <v>236.3367799113737</v>
      </c>
      <c r="DR25" s="673">
        <f t="shared" si="11"/>
        <v>244.60431654676259</v>
      </c>
      <c r="DS25" s="673">
        <f t="shared" si="11"/>
        <v>242.2360248447205</v>
      </c>
      <c r="DT25" s="673">
        <f t="shared" si="11"/>
        <v>245.11278195488723</v>
      </c>
      <c r="DU25" s="673">
        <f t="shared" si="11"/>
        <v>244.21965317919074</v>
      </c>
      <c r="DV25" s="673">
        <f t="shared" si="11"/>
        <v>243.57034795763994</v>
      </c>
    </row>
    <row r="26" spans="1:126" ht="12.25" customHeight="1">
      <c r="A26" s="36" t="s">
        <v>451</v>
      </c>
      <c r="B26" s="681">
        <f t="shared" si="12"/>
        <v>1079</v>
      </c>
      <c r="C26" s="680">
        <v>59</v>
      </c>
      <c r="D26" s="680">
        <v>97</v>
      </c>
      <c r="E26" s="680">
        <v>75</v>
      </c>
      <c r="F26" s="680">
        <v>62</v>
      </c>
      <c r="G26" s="680">
        <v>71</v>
      </c>
      <c r="H26" s="680">
        <v>105</v>
      </c>
      <c r="I26" s="680">
        <v>134</v>
      </c>
      <c r="J26" s="680">
        <v>101</v>
      </c>
      <c r="K26" s="680">
        <v>91</v>
      </c>
      <c r="L26" s="680">
        <v>81</v>
      </c>
      <c r="M26" s="680">
        <v>80</v>
      </c>
      <c r="N26" s="680">
        <v>123</v>
      </c>
      <c r="O26" s="36" t="s">
        <v>451</v>
      </c>
      <c r="P26" s="711">
        <f t="shared" si="13"/>
        <v>25</v>
      </c>
      <c r="Q26" s="709">
        <v>1</v>
      </c>
      <c r="R26" s="709">
        <v>2</v>
      </c>
      <c r="S26" s="709">
        <v>2</v>
      </c>
      <c r="T26" s="709">
        <v>2</v>
      </c>
      <c r="U26" s="709">
        <v>2</v>
      </c>
      <c r="V26" s="709">
        <v>2</v>
      </c>
      <c r="W26" s="709">
        <v>3</v>
      </c>
      <c r="X26" s="709">
        <v>2</v>
      </c>
      <c r="Y26" s="709">
        <v>2</v>
      </c>
      <c r="Z26" s="709">
        <v>2</v>
      </c>
      <c r="AA26" s="709">
        <v>2</v>
      </c>
      <c r="AB26" s="709">
        <v>3</v>
      </c>
      <c r="AC26" s="36" t="s">
        <v>451</v>
      </c>
      <c r="AD26" s="689">
        <f t="shared" si="9"/>
        <v>23.169601482854493</v>
      </c>
      <c r="AE26" s="685">
        <f t="shared" si="9"/>
        <v>16.949152542372882</v>
      </c>
      <c r="AF26" s="685">
        <f t="shared" si="9"/>
        <v>20.618556701030929</v>
      </c>
      <c r="AG26" s="685">
        <f t="shared" si="9"/>
        <v>26.666666666666668</v>
      </c>
      <c r="AH26" s="685">
        <f t="shared" si="9"/>
        <v>32.258064516129032</v>
      </c>
      <c r="AI26" s="685">
        <f t="shared" si="9"/>
        <v>28.169014084507044</v>
      </c>
      <c r="AJ26" s="685">
        <f t="shared" si="9"/>
        <v>19.047619047619051</v>
      </c>
      <c r="AK26" s="685">
        <f t="shared" si="9"/>
        <v>22.388059701492537</v>
      </c>
      <c r="AL26" s="685">
        <f t="shared" si="9"/>
        <v>19.801980198019802</v>
      </c>
      <c r="AM26" s="685">
        <f t="shared" si="9"/>
        <v>21.978021978021978</v>
      </c>
      <c r="AN26" s="685">
        <f t="shared" si="9"/>
        <v>24.691358024691358</v>
      </c>
      <c r="AO26" s="685">
        <f t="shared" si="9"/>
        <v>25</v>
      </c>
      <c r="AP26" s="685">
        <f t="shared" si="9"/>
        <v>24.390243902439025</v>
      </c>
      <c r="AQ26" s="36" t="s">
        <v>451</v>
      </c>
      <c r="AR26" s="699">
        <f t="shared" si="14"/>
        <v>40636</v>
      </c>
      <c r="AS26" s="701">
        <v>3253</v>
      </c>
      <c r="AT26" s="701">
        <v>2948</v>
      </c>
      <c r="AU26" s="701">
        <v>3444</v>
      </c>
      <c r="AV26" s="701">
        <v>3152</v>
      </c>
      <c r="AW26" s="701">
        <v>3496</v>
      </c>
      <c r="AX26" s="701">
        <v>4148</v>
      </c>
      <c r="AY26" s="701">
        <v>4139</v>
      </c>
      <c r="AZ26" s="701">
        <v>3887</v>
      </c>
      <c r="BA26" s="701">
        <v>2769</v>
      </c>
      <c r="BB26" s="701">
        <v>2850</v>
      </c>
      <c r="BC26" s="701">
        <v>2459</v>
      </c>
      <c r="BD26" s="701">
        <v>4091</v>
      </c>
      <c r="BE26" s="36" t="s">
        <v>451</v>
      </c>
      <c r="BF26" s="681">
        <f t="shared" si="15"/>
        <v>2022</v>
      </c>
      <c r="BG26" s="693">
        <v>162</v>
      </c>
      <c r="BH26" s="693">
        <v>141</v>
      </c>
      <c r="BI26" s="693">
        <v>165</v>
      </c>
      <c r="BJ26" s="693">
        <v>162</v>
      </c>
      <c r="BK26" s="693">
        <v>167</v>
      </c>
      <c r="BL26" s="693">
        <v>203</v>
      </c>
      <c r="BM26" s="693">
        <v>215</v>
      </c>
      <c r="BN26" s="693">
        <v>217</v>
      </c>
      <c r="BO26" s="693">
        <v>153</v>
      </c>
      <c r="BP26" s="693">
        <v>159</v>
      </c>
      <c r="BQ26" s="693">
        <v>122</v>
      </c>
      <c r="BR26" s="693">
        <v>156</v>
      </c>
      <c r="BS26" s="36" t="s">
        <v>451</v>
      </c>
      <c r="BT26" s="688">
        <f t="shared" si="10"/>
        <v>49.75883453095777</v>
      </c>
      <c r="BU26" s="684">
        <f t="shared" si="10"/>
        <v>49.800184445127577</v>
      </c>
      <c r="BV26" s="684">
        <f t="shared" si="10"/>
        <v>47.82903663500678</v>
      </c>
      <c r="BW26" s="684">
        <f t="shared" si="10"/>
        <v>47.909407665505228</v>
      </c>
      <c r="BX26" s="684">
        <f t="shared" si="10"/>
        <v>51.395939086294419</v>
      </c>
      <c r="BY26" s="684">
        <f t="shared" si="10"/>
        <v>47.768878718535468</v>
      </c>
      <c r="BZ26" s="684">
        <f t="shared" si="10"/>
        <v>48.939247830279655</v>
      </c>
      <c r="CA26" s="684">
        <f t="shared" si="10"/>
        <v>51.944914230490454</v>
      </c>
      <c r="CB26" s="684">
        <f t="shared" si="10"/>
        <v>55.827116027784925</v>
      </c>
      <c r="CC26" s="684">
        <f t="shared" si="10"/>
        <v>55.254604550379199</v>
      </c>
      <c r="CD26" s="684">
        <f t="shared" si="10"/>
        <v>55.789473684210527</v>
      </c>
      <c r="CE26" s="684">
        <f t="shared" si="10"/>
        <v>49.613664091093938</v>
      </c>
      <c r="CF26" s="684">
        <f t="shared" si="10"/>
        <v>38.13248594475678</v>
      </c>
      <c r="CG26" s="36" t="s">
        <v>451</v>
      </c>
      <c r="CH26" s="681">
        <f t="shared" si="16"/>
        <v>10654</v>
      </c>
      <c r="CI26" s="680">
        <v>917</v>
      </c>
      <c r="CJ26" s="680">
        <v>902</v>
      </c>
      <c r="CK26" s="680">
        <v>863</v>
      </c>
      <c r="CL26" s="680">
        <v>870</v>
      </c>
      <c r="CM26" s="680">
        <v>863</v>
      </c>
      <c r="CN26" s="680">
        <v>732</v>
      </c>
      <c r="CO26" s="680">
        <v>966</v>
      </c>
      <c r="CP26" s="680">
        <v>972</v>
      </c>
      <c r="CQ26" s="680">
        <v>930</v>
      </c>
      <c r="CR26" s="680">
        <v>909</v>
      </c>
      <c r="CS26" s="680">
        <v>893</v>
      </c>
      <c r="CT26" s="680">
        <v>837</v>
      </c>
      <c r="CU26" s="36" t="s">
        <v>451</v>
      </c>
      <c r="CV26" s="681">
        <f t="shared" si="17"/>
        <v>2398</v>
      </c>
      <c r="CW26" s="680">
        <v>199</v>
      </c>
      <c r="CX26" s="680">
        <v>192</v>
      </c>
      <c r="CY26" s="680">
        <v>189</v>
      </c>
      <c r="CZ26" s="680">
        <v>185</v>
      </c>
      <c r="DA26" s="680">
        <v>185</v>
      </c>
      <c r="DB26" s="680">
        <v>176</v>
      </c>
      <c r="DC26" s="680">
        <v>216</v>
      </c>
      <c r="DD26" s="680">
        <v>218</v>
      </c>
      <c r="DE26" s="680">
        <v>211</v>
      </c>
      <c r="DF26" s="680">
        <v>226</v>
      </c>
      <c r="DG26" s="680">
        <v>203</v>
      </c>
      <c r="DH26" s="680">
        <v>198</v>
      </c>
      <c r="DI26" s="36" t="s">
        <v>451</v>
      </c>
      <c r="DJ26" s="675">
        <f t="shared" si="11"/>
        <v>225.07978224141166</v>
      </c>
      <c r="DK26" s="673">
        <f t="shared" si="11"/>
        <v>217.01199563794984</v>
      </c>
      <c r="DL26" s="673">
        <f t="shared" si="11"/>
        <v>212.86031042128604</v>
      </c>
      <c r="DM26" s="673">
        <f t="shared" si="11"/>
        <v>219.0034762456547</v>
      </c>
      <c r="DN26" s="673">
        <f t="shared" si="11"/>
        <v>212.64367816091954</v>
      </c>
      <c r="DO26" s="673">
        <f t="shared" si="11"/>
        <v>214.36848203939746</v>
      </c>
      <c r="DP26" s="673">
        <f t="shared" si="11"/>
        <v>240.43715846994533</v>
      </c>
      <c r="DQ26" s="673">
        <f t="shared" si="11"/>
        <v>223.6024844720497</v>
      </c>
      <c r="DR26" s="673">
        <f t="shared" si="11"/>
        <v>224.27983539094652</v>
      </c>
      <c r="DS26" s="673">
        <f t="shared" si="11"/>
        <v>226.88172043010752</v>
      </c>
      <c r="DT26" s="673">
        <f t="shared" si="11"/>
        <v>248.62486248624862</v>
      </c>
      <c r="DU26" s="673">
        <f t="shared" si="11"/>
        <v>227.32362821948487</v>
      </c>
      <c r="DV26" s="673">
        <f t="shared" si="11"/>
        <v>236.55913978494624</v>
      </c>
    </row>
    <row r="27" spans="1:126" ht="12.25" customHeight="1">
      <c r="A27" s="36" t="s">
        <v>452</v>
      </c>
      <c r="B27" s="681">
        <f t="shared" si="12"/>
        <v>43742</v>
      </c>
      <c r="C27" s="680">
        <v>2212</v>
      </c>
      <c r="D27" s="680">
        <v>3470</v>
      </c>
      <c r="E27" s="680">
        <v>3631</v>
      </c>
      <c r="F27" s="680">
        <v>3620</v>
      </c>
      <c r="G27" s="680">
        <v>3077</v>
      </c>
      <c r="H27" s="680">
        <v>3212</v>
      </c>
      <c r="I27" s="680">
        <v>3764</v>
      </c>
      <c r="J27" s="680">
        <v>3769</v>
      </c>
      <c r="K27" s="680">
        <v>4145</v>
      </c>
      <c r="L27" s="680">
        <v>4400</v>
      </c>
      <c r="M27" s="680">
        <v>3869</v>
      </c>
      <c r="N27" s="680">
        <v>4573</v>
      </c>
      <c r="O27" s="36" t="s">
        <v>452</v>
      </c>
      <c r="P27" s="711">
        <f t="shared" si="13"/>
        <v>578</v>
      </c>
      <c r="Q27" s="709">
        <v>28</v>
      </c>
      <c r="R27" s="709">
        <v>46</v>
      </c>
      <c r="S27" s="709">
        <v>48</v>
      </c>
      <c r="T27" s="709">
        <v>47</v>
      </c>
      <c r="U27" s="709">
        <v>40</v>
      </c>
      <c r="V27" s="709">
        <v>42</v>
      </c>
      <c r="W27" s="709">
        <v>50</v>
      </c>
      <c r="X27" s="709">
        <v>49</v>
      </c>
      <c r="Y27" s="709">
        <v>55</v>
      </c>
      <c r="Z27" s="709">
        <v>59</v>
      </c>
      <c r="AA27" s="709">
        <v>52</v>
      </c>
      <c r="AB27" s="709">
        <v>62</v>
      </c>
      <c r="AC27" s="36" t="s">
        <v>452</v>
      </c>
      <c r="AD27" s="689">
        <f t="shared" si="9"/>
        <v>13.213844817338028</v>
      </c>
      <c r="AE27" s="685">
        <f t="shared" si="9"/>
        <v>12.658227848101266</v>
      </c>
      <c r="AF27" s="685">
        <f t="shared" si="9"/>
        <v>13.256484149855908</v>
      </c>
      <c r="AG27" s="685">
        <f t="shared" si="9"/>
        <v>13.219498760671991</v>
      </c>
      <c r="AH27" s="685">
        <f t="shared" si="9"/>
        <v>12.983425414364641</v>
      </c>
      <c r="AI27" s="685">
        <f t="shared" si="9"/>
        <v>12.999675008124797</v>
      </c>
      <c r="AJ27" s="685">
        <f t="shared" si="9"/>
        <v>13.075965130759652</v>
      </c>
      <c r="AK27" s="685">
        <f t="shared" si="9"/>
        <v>13.283740701381509</v>
      </c>
      <c r="AL27" s="685">
        <f t="shared" si="9"/>
        <v>13.000795967100025</v>
      </c>
      <c r="AM27" s="685">
        <f t="shared" ref="AM27:AM35" si="18">(Y27/K27)*1000</f>
        <v>13.268998793727382</v>
      </c>
      <c r="AN27" s="685">
        <f t="shared" ref="AN27:AN34" si="19">(Z27/L27)*1000</f>
        <v>13.409090909090908</v>
      </c>
      <c r="AO27" s="685">
        <f t="shared" ref="AO27:AO34" si="20">(AA27/M27)*1000</f>
        <v>13.440165417420522</v>
      </c>
      <c r="AP27" s="685">
        <f t="shared" ref="AP27:AP34" si="21">(AB27/N27)*1000</f>
        <v>13.557839492674393</v>
      </c>
      <c r="AQ27" s="36" t="s">
        <v>452</v>
      </c>
      <c r="AR27" s="699">
        <f t="shared" si="14"/>
        <v>39254</v>
      </c>
      <c r="AS27" s="701">
        <v>2671</v>
      </c>
      <c r="AT27" s="701">
        <v>2981</v>
      </c>
      <c r="AU27" s="701">
        <v>3245</v>
      </c>
      <c r="AV27" s="701">
        <v>3352</v>
      </c>
      <c r="AW27" s="701">
        <v>3040</v>
      </c>
      <c r="AX27" s="701">
        <v>2946</v>
      </c>
      <c r="AY27" s="701">
        <v>3379</v>
      </c>
      <c r="AZ27" s="701">
        <v>3877</v>
      </c>
      <c r="BA27" s="701">
        <v>3053</v>
      </c>
      <c r="BB27" s="701">
        <v>3182</v>
      </c>
      <c r="BC27" s="701">
        <v>3272</v>
      </c>
      <c r="BD27" s="701">
        <v>4256</v>
      </c>
      <c r="BE27" s="36" t="s">
        <v>452</v>
      </c>
      <c r="BF27" s="681">
        <f t="shared" si="15"/>
        <v>1975</v>
      </c>
      <c r="BG27" s="693">
        <v>133</v>
      </c>
      <c r="BH27" s="693">
        <v>149</v>
      </c>
      <c r="BI27" s="693">
        <v>164</v>
      </c>
      <c r="BJ27" s="693">
        <v>169</v>
      </c>
      <c r="BK27" s="693">
        <v>152</v>
      </c>
      <c r="BL27" s="693">
        <v>146</v>
      </c>
      <c r="BM27" s="693">
        <v>168</v>
      </c>
      <c r="BN27" s="693">
        <v>196</v>
      </c>
      <c r="BO27" s="693">
        <v>151</v>
      </c>
      <c r="BP27" s="693">
        <v>161</v>
      </c>
      <c r="BQ27" s="693">
        <v>166</v>
      </c>
      <c r="BR27" s="693">
        <v>220</v>
      </c>
      <c r="BS27" s="36" t="s">
        <v>452</v>
      </c>
      <c r="BT27" s="688">
        <f t="shared" ref="BT27:CF35" si="22">(BF27/AR27)*1000</f>
        <v>50.313343863045802</v>
      </c>
      <c r="BU27" s="684">
        <f t="shared" si="22"/>
        <v>49.794084612504683</v>
      </c>
      <c r="BV27" s="684">
        <f t="shared" si="22"/>
        <v>49.983227104998321</v>
      </c>
      <c r="BW27" s="684">
        <f t="shared" si="22"/>
        <v>50.539291217257315</v>
      </c>
      <c r="BX27" s="684">
        <f t="shared" si="22"/>
        <v>50.417661097852026</v>
      </c>
      <c r="BY27" s="684">
        <f t="shared" si="22"/>
        <v>50</v>
      </c>
      <c r="BZ27" s="684">
        <f t="shared" si="22"/>
        <v>49.558723693143243</v>
      </c>
      <c r="CA27" s="684">
        <f t="shared" si="22"/>
        <v>49.718851731281447</v>
      </c>
      <c r="CB27" s="684">
        <f t="shared" si="22"/>
        <v>50.554552489037917</v>
      </c>
      <c r="CC27" s="684">
        <f>(BO27/BA27)*1000</f>
        <v>49.459547985587946</v>
      </c>
      <c r="CD27" s="684">
        <f>(BP27/BB27)*1000</f>
        <v>50.597108736643619</v>
      </c>
      <c r="CE27" s="684">
        <f>(BQ27/BC27)*1000</f>
        <v>50.733496332518335</v>
      </c>
      <c r="CF27" s="684">
        <f>(BR27/BD27)*1000</f>
        <v>51.691729323308266</v>
      </c>
      <c r="CG27" s="36" t="s">
        <v>452</v>
      </c>
      <c r="CH27" s="681">
        <f t="shared" si="16"/>
        <v>45503</v>
      </c>
      <c r="CI27" s="680">
        <v>3607</v>
      </c>
      <c r="CJ27" s="680">
        <v>3222</v>
      </c>
      <c r="CK27" s="680">
        <v>3352</v>
      </c>
      <c r="CL27" s="680">
        <v>3455</v>
      </c>
      <c r="CM27" s="680">
        <v>3725</v>
      </c>
      <c r="CN27" s="680">
        <v>3840</v>
      </c>
      <c r="CO27" s="680">
        <v>4244</v>
      </c>
      <c r="CP27" s="680">
        <v>4566</v>
      </c>
      <c r="CQ27" s="680">
        <v>3935</v>
      </c>
      <c r="CR27" s="680">
        <v>3946</v>
      </c>
      <c r="CS27" s="680">
        <v>3604</v>
      </c>
      <c r="CT27" s="680">
        <v>4007</v>
      </c>
      <c r="CU27" s="36" t="s">
        <v>452</v>
      </c>
      <c r="CV27" s="681">
        <f t="shared" si="17"/>
        <v>5170</v>
      </c>
      <c r="CW27" s="680">
        <v>415</v>
      </c>
      <c r="CX27" s="680">
        <v>365</v>
      </c>
      <c r="CY27" s="680">
        <v>381</v>
      </c>
      <c r="CZ27" s="680">
        <v>395</v>
      </c>
      <c r="DA27" s="680">
        <v>425</v>
      </c>
      <c r="DB27" s="680">
        <v>438</v>
      </c>
      <c r="DC27" s="680">
        <v>481</v>
      </c>
      <c r="DD27" s="680">
        <v>517</v>
      </c>
      <c r="DE27" s="680">
        <v>444</v>
      </c>
      <c r="DF27" s="680">
        <v>446</v>
      </c>
      <c r="DG27" s="680">
        <v>407</v>
      </c>
      <c r="DH27" s="680">
        <v>456</v>
      </c>
      <c r="DI27" s="36" t="s">
        <v>452</v>
      </c>
      <c r="DJ27" s="675">
        <f t="shared" si="11"/>
        <v>113.61888227149858</v>
      </c>
      <c r="DK27" s="673">
        <f t="shared" si="11"/>
        <v>115.05406154699196</v>
      </c>
      <c r="DL27" s="673">
        <f t="shared" si="11"/>
        <v>113.28367473618871</v>
      </c>
      <c r="DM27" s="673">
        <f t="shared" si="11"/>
        <v>113.66348448687351</v>
      </c>
      <c r="DN27" s="673">
        <f t="shared" si="11"/>
        <v>114.32706222865413</v>
      </c>
      <c r="DO27" s="673">
        <f t="shared" si="11"/>
        <v>114.09395973154362</v>
      </c>
      <c r="DP27" s="673">
        <f t="shared" si="11"/>
        <v>114.0625</v>
      </c>
      <c r="DQ27" s="673">
        <f t="shared" si="11"/>
        <v>113.33647502356267</v>
      </c>
      <c r="DR27" s="673">
        <f t="shared" ref="DR27:DV36" si="23">(DD27/CP27)*1000</f>
        <v>113.2282084975909</v>
      </c>
      <c r="DS27" s="673">
        <f t="shared" si="23"/>
        <v>112.83354510800508</v>
      </c>
      <c r="DT27" s="673">
        <f t="shared" si="23"/>
        <v>113.02584896097314</v>
      </c>
      <c r="DU27" s="673">
        <f t="shared" si="23"/>
        <v>112.93007769145395</v>
      </c>
      <c r="DV27" s="673">
        <f t="shared" si="23"/>
        <v>113.80084851509856</v>
      </c>
    </row>
    <row r="28" spans="1:126" ht="12.25" customHeight="1">
      <c r="A28" s="36" t="s">
        <v>453</v>
      </c>
      <c r="B28" s="681">
        <f t="shared" si="12"/>
        <v>11312</v>
      </c>
      <c r="C28" s="680">
        <v>825</v>
      </c>
      <c r="D28" s="680">
        <v>820</v>
      </c>
      <c r="E28" s="680">
        <v>848</v>
      </c>
      <c r="F28" s="680">
        <v>907</v>
      </c>
      <c r="G28" s="680">
        <v>918</v>
      </c>
      <c r="H28" s="680">
        <v>929</v>
      </c>
      <c r="I28" s="680">
        <v>975</v>
      </c>
      <c r="J28" s="680">
        <v>1005</v>
      </c>
      <c r="K28" s="680">
        <v>1010</v>
      </c>
      <c r="L28" s="680">
        <v>980</v>
      </c>
      <c r="M28" s="680">
        <v>1040</v>
      </c>
      <c r="N28" s="680">
        <v>1055</v>
      </c>
      <c r="O28" s="36" t="s">
        <v>453</v>
      </c>
      <c r="P28" s="711">
        <f t="shared" si="13"/>
        <v>143</v>
      </c>
      <c r="Q28" s="709">
        <v>10</v>
      </c>
      <c r="R28" s="709">
        <v>10</v>
      </c>
      <c r="S28" s="709">
        <v>11</v>
      </c>
      <c r="T28" s="709">
        <v>12</v>
      </c>
      <c r="U28" s="709">
        <v>12</v>
      </c>
      <c r="V28" s="709">
        <v>12</v>
      </c>
      <c r="W28" s="709">
        <v>12</v>
      </c>
      <c r="X28" s="709">
        <v>12</v>
      </c>
      <c r="Y28" s="709">
        <v>12</v>
      </c>
      <c r="Z28" s="709">
        <v>13</v>
      </c>
      <c r="AA28" s="709">
        <v>14</v>
      </c>
      <c r="AB28" s="709">
        <v>13</v>
      </c>
      <c r="AC28" s="36" t="s">
        <v>453</v>
      </c>
      <c r="AD28" s="689">
        <f t="shared" ref="AD28:AL35" si="24">(P28/B28)*1000</f>
        <v>12.641442715700141</v>
      </c>
      <c r="AE28" s="685">
        <f t="shared" si="24"/>
        <v>12.121212121212121</v>
      </c>
      <c r="AF28" s="685">
        <f t="shared" si="24"/>
        <v>12.195121951219512</v>
      </c>
      <c r="AG28" s="685">
        <f t="shared" si="24"/>
        <v>12.971698113207548</v>
      </c>
      <c r="AH28" s="685">
        <f t="shared" si="24"/>
        <v>13.230429988974642</v>
      </c>
      <c r="AI28" s="685">
        <f t="shared" si="24"/>
        <v>13.071895424836601</v>
      </c>
      <c r="AJ28" s="685">
        <f t="shared" si="24"/>
        <v>12.917115177610334</v>
      </c>
      <c r="AK28" s="685">
        <f t="shared" si="24"/>
        <v>12.307692307692308</v>
      </c>
      <c r="AL28" s="685">
        <f t="shared" si="24"/>
        <v>11.940298507462687</v>
      </c>
      <c r="AM28" s="685">
        <f t="shared" si="18"/>
        <v>11.881188118811881</v>
      </c>
      <c r="AN28" s="685">
        <f t="shared" si="19"/>
        <v>13.26530612244898</v>
      </c>
      <c r="AO28" s="685">
        <f t="shared" si="20"/>
        <v>13.461538461538462</v>
      </c>
      <c r="AP28" s="685">
        <f t="shared" si="21"/>
        <v>12.322274881516588</v>
      </c>
      <c r="AQ28" s="36" t="s">
        <v>453</v>
      </c>
      <c r="AR28" s="699">
        <f t="shared" si="14"/>
        <v>14378</v>
      </c>
      <c r="AS28" s="701">
        <v>1158</v>
      </c>
      <c r="AT28" s="701">
        <v>1287</v>
      </c>
      <c r="AU28" s="701">
        <v>1273</v>
      </c>
      <c r="AV28" s="701">
        <v>1202</v>
      </c>
      <c r="AW28" s="701">
        <v>1275</v>
      </c>
      <c r="AX28" s="701">
        <v>1033</v>
      </c>
      <c r="AY28" s="701">
        <v>1095</v>
      </c>
      <c r="AZ28" s="701">
        <v>1195</v>
      </c>
      <c r="BA28" s="701">
        <v>1180</v>
      </c>
      <c r="BB28" s="701">
        <v>1065</v>
      </c>
      <c r="BC28" s="701">
        <v>1220</v>
      </c>
      <c r="BD28" s="701">
        <v>1395</v>
      </c>
      <c r="BE28" s="36" t="s">
        <v>453</v>
      </c>
      <c r="BF28" s="681">
        <f t="shared" si="15"/>
        <v>603</v>
      </c>
      <c r="BG28" s="693">
        <v>49</v>
      </c>
      <c r="BH28" s="693">
        <v>54</v>
      </c>
      <c r="BI28" s="693">
        <v>54</v>
      </c>
      <c r="BJ28" s="693">
        <v>50</v>
      </c>
      <c r="BK28" s="693">
        <v>54</v>
      </c>
      <c r="BL28" s="693">
        <v>42</v>
      </c>
      <c r="BM28" s="693">
        <v>45</v>
      </c>
      <c r="BN28" s="693">
        <v>50</v>
      </c>
      <c r="BO28" s="693">
        <v>49</v>
      </c>
      <c r="BP28" s="693">
        <v>45</v>
      </c>
      <c r="BQ28" s="693">
        <v>52</v>
      </c>
      <c r="BR28" s="693">
        <v>59</v>
      </c>
      <c r="BS28" s="36" t="s">
        <v>453</v>
      </c>
      <c r="BT28" s="688">
        <f t="shared" si="22"/>
        <v>41.939073584643204</v>
      </c>
      <c r="BU28" s="684">
        <f t="shared" si="22"/>
        <v>42.314335060449054</v>
      </c>
      <c r="BV28" s="684">
        <f t="shared" si="22"/>
        <v>41.95804195804196</v>
      </c>
      <c r="BW28" s="684">
        <f t="shared" si="22"/>
        <v>42.419481539670066</v>
      </c>
      <c r="BX28" s="684">
        <f t="shared" si="22"/>
        <v>41.597337770382694</v>
      </c>
      <c r="BY28" s="684">
        <f t="shared" si="22"/>
        <v>42.352941176470587</v>
      </c>
      <c r="BZ28" s="684">
        <f t="shared" si="22"/>
        <v>40.658276863504355</v>
      </c>
      <c r="CA28" s="684">
        <f t="shared" si="22"/>
        <v>41.095890410958901</v>
      </c>
      <c r="CB28" s="684">
        <f t="shared" si="22"/>
        <v>41.841004184100413</v>
      </c>
      <c r="CC28" s="684">
        <f t="shared" si="22"/>
        <v>41.525423728813557</v>
      </c>
      <c r="CD28" s="684">
        <f t="shared" si="22"/>
        <v>42.25352112676056</v>
      </c>
      <c r="CE28" s="684">
        <f t="shared" si="22"/>
        <v>42.622950819672127</v>
      </c>
      <c r="CF28" s="684">
        <f t="shared" si="22"/>
        <v>42.293906810035843</v>
      </c>
      <c r="CG28" s="36" t="s">
        <v>453</v>
      </c>
      <c r="CH28" s="681">
        <f t="shared" si="16"/>
        <v>21547</v>
      </c>
      <c r="CI28" s="680">
        <v>1831</v>
      </c>
      <c r="CJ28" s="680">
        <v>1724</v>
      </c>
      <c r="CK28" s="680">
        <v>1645</v>
      </c>
      <c r="CL28" s="680">
        <v>1603</v>
      </c>
      <c r="CM28" s="680">
        <v>1707</v>
      </c>
      <c r="CN28" s="680">
        <v>1707</v>
      </c>
      <c r="CO28" s="680">
        <v>1770</v>
      </c>
      <c r="CP28" s="680">
        <v>1915</v>
      </c>
      <c r="CQ28" s="680">
        <v>1930</v>
      </c>
      <c r="CR28" s="680">
        <v>1865</v>
      </c>
      <c r="CS28" s="680">
        <v>1890</v>
      </c>
      <c r="CT28" s="680">
        <v>1960</v>
      </c>
      <c r="CU28" s="36" t="s">
        <v>453</v>
      </c>
      <c r="CV28" s="681">
        <f t="shared" si="17"/>
        <v>2464</v>
      </c>
      <c r="CW28" s="680">
        <v>212</v>
      </c>
      <c r="CX28" s="680">
        <v>199</v>
      </c>
      <c r="CY28" s="680">
        <v>187</v>
      </c>
      <c r="CZ28" s="680">
        <v>181</v>
      </c>
      <c r="DA28" s="680">
        <v>195</v>
      </c>
      <c r="DB28" s="680">
        <v>195</v>
      </c>
      <c r="DC28" s="680">
        <v>200</v>
      </c>
      <c r="DD28" s="680">
        <v>220</v>
      </c>
      <c r="DE28" s="680">
        <v>220</v>
      </c>
      <c r="DF28" s="680">
        <v>213</v>
      </c>
      <c r="DG28" s="680">
        <v>217</v>
      </c>
      <c r="DH28" s="680">
        <v>225</v>
      </c>
      <c r="DI28" s="36" t="s">
        <v>453</v>
      </c>
      <c r="DJ28" s="675">
        <f t="shared" ref="DJ28:DQ36" si="25">(CV28/CH28)*1000</f>
        <v>114.3546665429062</v>
      </c>
      <c r="DK28" s="673">
        <f t="shared" si="25"/>
        <v>115.78372474057892</v>
      </c>
      <c r="DL28" s="673">
        <f t="shared" si="25"/>
        <v>115.42923433874711</v>
      </c>
      <c r="DM28" s="673">
        <f t="shared" si="25"/>
        <v>113.67781155015197</v>
      </c>
      <c r="DN28" s="673">
        <f t="shared" si="25"/>
        <v>112.91328758577666</v>
      </c>
      <c r="DO28" s="673">
        <f t="shared" si="25"/>
        <v>114.23550087873461</v>
      </c>
      <c r="DP28" s="673">
        <f t="shared" si="25"/>
        <v>114.23550087873461</v>
      </c>
      <c r="DQ28" s="673">
        <f t="shared" si="25"/>
        <v>112.99435028248587</v>
      </c>
      <c r="DR28" s="673">
        <f t="shared" si="23"/>
        <v>114.88250652741515</v>
      </c>
      <c r="DS28" s="673">
        <f t="shared" si="23"/>
        <v>113.98963730569949</v>
      </c>
      <c r="DT28" s="673">
        <f t="shared" si="23"/>
        <v>114.20911528150134</v>
      </c>
      <c r="DU28" s="673">
        <f t="shared" si="23"/>
        <v>114.81481481481481</v>
      </c>
      <c r="DV28" s="673">
        <f t="shared" si="23"/>
        <v>114.79591836734694</v>
      </c>
    </row>
    <row r="29" spans="1:126" ht="12.25" customHeight="1">
      <c r="A29" s="36" t="s">
        <v>454</v>
      </c>
      <c r="B29" s="681">
        <f t="shared" si="12"/>
        <v>5262</v>
      </c>
      <c r="C29" s="680">
        <v>402</v>
      </c>
      <c r="D29" s="680">
        <v>405</v>
      </c>
      <c r="E29" s="680">
        <v>413</v>
      </c>
      <c r="F29" s="680">
        <v>415</v>
      </c>
      <c r="G29" s="680">
        <v>430</v>
      </c>
      <c r="H29" s="680">
        <v>444</v>
      </c>
      <c r="I29" s="680">
        <v>473</v>
      </c>
      <c r="J29" s="680">
        <v>460</v>
      </c>
      <c r="K29" s="680">
        <v>460</v>
      </c>
      <c r="L29" s="680">
        <v>440</v>
      </c>
      <c r="M29" s="680">
        <v>450</v>
      </c>
      <c r="N29" s="680">
        <v>470</v>
      </c>
      <c r="O29" s="36" t="s">
        <v>454</v>
      </c>
      <c r="P29" s="711">
        <f t="shared" si="13"/>
        <v>65</v>
      </c>
      <c r="Q29" s="709">
        <v>5</v>
      </c>
      <c r="R29" s="709">
        <v>5</v>
      </c>
      <c r="S29" s="709">
        <v>5</v>
      </c>
      <c r="T29" s="709">
        <v>5</v>
      </c>
      <c r="U29" s="709">
        <v>5</v>
      </c>
      <c r="V29" s="709">
        <v>5</v>
      </c>
      <c r="W29" s="709">
        <v>6</v>
      </c>
      <c r="X29" s="709">
        <v>5</v>
      </c>
      <c r="Y29" s="709">
        <v>6</v>
      </c>
      <c r="Z29" s="709">
        <v>6</v>
      </c>
      <c r="AA29" s="709">
        <v>6</v>
      </c>
      <c r="AB29" s="709">
        <v>6</v>
      </c>
      <c r="AC29" s="36" t="s">
        <v>454</v>
      </c>
      <c r="AD29" s="689">
        <f t="shared" si="24"/>
        <v>12.35271759787153</v>
      </c>
      <c r="AE29" s="685">
        <f t="shared" si="24"/>
        <v>12.437810945273633</v>
      </c>
      <c r="AF29" s="685">
        <f t="shared" si="24"/>
        <v>12.345679012345679</v>
      </c>
      <c r="AG29" s="685">
        <f t="shared" si="24"/>
        <v>12.106537530266344</v>
      </c>
      <c r="AH29" s="685">
        <f t="shared" si="24"/>
        <v>12.048192771084338</v>
      </c>
      <c r="AI29" s="685">
        <f t="shared" si="24"/>
        <v>11.627906976744185</v>
      </c>
      <c r="AJ29" s="685">
        <f t="shared" si="24"/>
        <v>11.261261261261261</v>
      </c>
      <c r="AK29" s="685">
        <f t="shared" si="24"/>
        <v>12.684989429175475</v>
      </c>
      <c r="AL29" s="685">
        <f t="shared" si="24"/>
        <v>10.869565217391305</v>
      </c>
      <c r="AM29" s="685">
        <f t="shared" si="18"/>
        <v>13.043478260869565</v>
      </c>
      <c r="AN29" s="685">
        <f t="shared" si="19"/>
        <v>13.636363636363635</v>
      </c>
      <c r="AO29" s="685">
        <f t="shared" si="20"/>
        <v>13.333333333333334</v>
      </c>
      <c r="AP29" s="685">
        <f t="shared" si="21"/>
        <v>12.76595744680851</v>
      </c>
      <c r="AQ29" s="36" t="s">
        <v>454</v>
      </c>
      <c r="AR29" s="699">
        <f t="shared" si="14"/>
        <v>5944</v>
      </c>
      <c r="AS29" s="701">
        <v>503</v>
      </c>
      <c r="AT29" s="701">
        <v>542</v>
      </c>
      <c r="AU29" s="701">
        <v>543</v>
      </c>
      <c r="AV29" s="701">
        <v>525</v>
      </c>
      <c r="AW29" s="701">
        <v>558</v>
      </c>
      <c r="AX29" s="701">
        <v>448</v>
      </c>
      <c r="AY29" s="701">
        <v>450</v>
      </c>
      <c r="AZ29" s="701">
        <v>475</v>
      </c>
      <c r="BA29" s="701">
        <v>470</v>
      </c>
      <c r="BB29" s="701">
        <v>420</v>
      </c>
      <c r="BC29" s="701">
        <v>440</v>
      </c>
      <c r="BD29" s="701">
        <v>570</v>
      </c>
      <c r="BE29" s="36" t="s">
        <v>454</v>
      </c>
      <c r="BF29" s="681">
        <f t="shared" si="15"/>
        <v>244</v>
      </c>
      <c r="BG29" s="693">
        <v>21</v>
      </c>
      <c r="BH29" s="693">
        <v>22</v>
      </c>
      <c r="BI29" s="693">
        <v>23</v>
      </c>
      <c r="BJ29" s="693">
        <v>22</v>
      </c>
      <c r="BK29" s="693">
        <v>23</v>
      </c>
      <c r="BL29" s="693">
        <v>18</v>
      </c>
      <c r="BM29" s="693">
        <v>18</v>
      </c>
      <c r="BN29" s="693">
        <v>19</v>
      </c>
      <c r="BO29" s="693">
        <v>19</v>
      </c>
      <c r="BP29" s="693">
        <v>17</v>
      </c>
      <c r="BQ29" s="693">
        <v>18</v>
      </c>
      <c r="BR29" s="693">
        <v>24</v>
      </c>
      <c r="BS29" s="36" t="s">
        <v>454</v>
      </c>
      <c r="BT29" s="688">
        <f t="shared" si="22"/>
        <v>41.049798115746974</v>
      </c>
      <c r="BU29" s="684">
        <f t="shared" si="22"/>
        <v>41.749502982107352</v>
      </c>
      <c r="BV29" s="684">
        <f t="shared" si="22"/>
        <v>40.59040590405904</v>
      </c>
      <c r="BW29" s="684">
        <f t="shared" si="22"/>
        <v>42.357274401473298</v>
      </c>
      <c r="BX29" s="684">
        <f t="shared" si="22"/>
        <v>41.904761904761905</v>
      </c>
      <c r="BY29" s="684">
        <f t="shared" si="22"/>
        <v>41.218637992831539</v>
      </c>
      <c r="BZ29" s="684">
        <f t="shared" si="22"/>
        <v>40.178571428571431</v>
      </c>
      <c r="CA29" s="684">
        <f t="shared" si="22"/>
        <v>40</v>
      </c>
      <c r="CB29" s="684">
        <f t="shared" si="22"/>
        <v>40</v>
      </c>
      <c r="CC29" s="684">
        <f t="shared" si="22"/>
        <v>40.425531914893618</v>
      </c>
      <c r="CD29" s="684">
        <f t="shared" si="22"/>
        <v>40.476190476190482</v>
      </c>
      <c r="CE29" s="684">
        <f t="shared" si="22"/>
        <v>40.909090909090907</v>
      </c>
      <c r="CF29" s="684">
        <f t="shared" si="22"/>
        <v>42.105263157894733</v>
      </c>
      <c r="CG29" s="36" t="s">
        <v>454</v>
      </c>
      <c r="CH29" s="681">
        <f t="shared" si="16"/>
        <v>10435</v>
      </c>
      <c r="CI29" s="680">
        <v>898</v>
      </c>
      <c r="CJ29" s="680">
        <v>857</v>
      </c>
      <c r="CK29" s="680">
        <v>810</v>
      </c>
      <c r="CL29" s="680">
        <v>778</v>
      </c>
      <c r="CM29" s="680">
        <v>822</v>
      </c>
      <c r="CN29" s="680">
        <v>830</v>
      </c>
      <c r="CO29" s="680">
        <v>860</v>
      </c>
      <c r="CP29" s="680">
        <v>955</v>
      </c>
      <c r="CQ29" s="680">
        <v>920</v>
      </c>
      <c r="CR29" s="680">
        <v>875</v>
      </c>
      <c r="CS29" s="680">
        <v>895</v>
      </c>
      <c r="CT29" s="680">
        <v>935</v>
      </c>
      <c r="CU29" s="36" t="s">
        <v>454</v>
      </c>
      <c r="CV29" s="681">
        <f t="shared" si="17"/>
        <v>1181</v>
      </c>
      <c r="CW29" s="680">
        <v>102</v>
      </c>
      <c r="CX29" s="680">
        <v>97</v>
      </c>
      <c r="CY29" s="680">
        <v>92</v>
      </c>
      <c r="CZ29" s="680">
        <v>88</v>
      </c>
      <c r="DA29" s="680">
        <v>93</v>
      </c>
      <c r="DB29" s="680">
        <v>94</v>
      </c>
      <c r="DC29" s="680">
        <v>96</v>
      </c>
      <c r="DD29" s="680">
        <v>108</v>
      </c>
      <c r="DE29" s="680">
        <v>104</v>
      </c>
      <c r="DF29" s="680">
        <v>98</v>
      </c>
      <c r="DG29" s="680">
        <v>102</v>
      </c>
      <c r="DH29" s="680">
        <v>107</v>
      </c>
      <c r="DI29" s="36" t="s">
        <v>454</v>
      </c>
      <c r="DJ29" s="675">
        <f t="shared" si="25"/>
        <v>113.17680881648299</v>
      </c>
      <c r="DK29" s="673">
        <f t="shared" si="25"/>
        <v>113.58574610244989</v>
      </c>
      <c r="DL29" s="673">
        <f t="shared" si="25"/>
        <v>113.1855309218203</v>
      </c>
      <c r="DM29" s="673">
        <f t="shared" si="25"/>
        <v>113.58024691358025</v>
      </c>
      <c r="DN29" s="673">
        <f t="shared" si="25"/>
        <v>113.11053984575835</v>
      </c>
      <c r="DO29" s="673">
        <f t="shared" si="25"/>
        <v>113.13868613138686</v>
      </c>
      <c r="DP29" s="673">
        <f t="shared" si="25"/>
        <v>113.25301204819277</v>
      </c>
      <c r="DQ29" s="673">
        <f t="shared" si="25"/>
        <v>111.62790697674419</v>
      </c>
      <c r="DR29" s="673">
        <f t="shared" si="23"/>
        <v>113.0890052356021</v>
      </c>
      <c r="DS29" s="673">
        <f t="shared" si="23"/>
        <v>113.04347826086956</v>
      </c>
      <c r="DT29" s="673">
        <f t="shared" si="23"/>
        <v>112</v>
      </c>
      <c r="DU29" s="673">
        <f t="shared" si="23"/>
        <v>113.96648044692738</v>
      </c>
      <c r="DV29" s="673">
        <f t="shared" si="23"/>
        <v>114.43850267379679</v>
      </c>
    </row>
    <row r="30" spans="1:126" ht="12.25" customHeight="1">
      <c r="A30" s="36" t="s">
        <v>455</v>
      </c>
      <c r="B30" s="681">
        <f t="shared" si="12"/>
        <v>6050</v>
      </c>
      <c r="C30" s="680">
        <v>423</v>
      </c>
      <c r="D30" s="680">
        <v>415</v>
      </c>
      <c r="E30" s="680">
        <v>435</v>
      </c>
      <c r="F30" s="680">
        <v>492</v>
      </c>
      <c r="G30" s="680">
        <v>488</v>
      </c>
      <c r="H30" s="680">
        <v>485</v>
      </c>
      <c r="I30" s="680">
        <v>502</v>
      </c>
      <c r="J30" s="680">
        <v>545</v>
      </c>
      <c r="K30" s="680">
        <v>550</v>
      </c>
      <c r="L30" s="680">
        <v>540</v>
      </c>
      <c r="M30" s="680">
        <v>590</v>
      </c>
      <c r="N30" s="680">
        <v>585</v>
      </c>
      <c r="O30" s="36" t="s">
        <v>455</v>
      </c>
      <c r="P30" s="711">
        <f t="shared" si="13"/>
        <v>79</v>
      </c>
      <c r="Q30" s="709">
        <v>5</v>
      </c>
      <c r="R30" s="709">
        <v>5</v>
      </c>
      <c r="S30" s="709">
        <v>5</v>
      </c>
      <c r="T30" s="709">
        <v>7</v>
      </c>
      <c r="U30" s="709">
        <v>7</v>
      </c>
      <c r="V30" s="709">
        <v>6</v>
      </c>
      <c r="W30" s="709">
        <v>7</v>
      </c>
      <c r="X30" s="709">
        <v>7</v>
      </c>
      <c r="Y30" s="709">
        <v>7</v>
      </c>
      <c r="Z30" s="709">
        <v>7</v>
      </c>
      <c r="AA30" s="709">
        <v>8</v>
      </c>
      <c r="AB30" s="709">
        <v>8</v>
      </c>
      <c r="AC30" s="36" t="s">
        <v>455</v>
      </c>
      <c r="AD30" s="689">
        <f t="shared" si="24"/>
        <v>13.057851239669422</v>
      </c>
      <c r="AE30" s="685">
        <f t="shared" si="24"/>
        <v>11.82033096926714</v>
      </c>
      <c r="AF30" s="685">
        <f t="shared" si="24"/>
        <v>12.048192771084338</v>
      </c>
      <c r="AG30" s="685">
        <f t="shared" si="24"/>
        <v>11.494252873563218</v>
      </c>
      <c r="AH30" s="685">
        <f t="shared" si="24"/>
        <v>14.227642276422763</v>
      </c>
      <c r="AI30" s="685">
        <f t="shared" si="24"/>
        <v>14.344262295081968</v>
      </c>
      <c r="AJ30" s="685">
        <f t="shared" si="24"/>
        <v>12.371134020618555</v>
      </c>
      <c r="AK30" s="685">
        <f t="shared" si="24"/>
        <v>13.944223107569721</v>
      </c>
      <c r="AL30" s="685">
        <f t="shared" si="24"/>
        <v>12.844036697247708</v>
      </c>
      <c r="AM30" s="685">
        <f t="shared" si="18"/>
        <v>12.727272727272728</v>
      </c>
      <c r="AN30" s="685">
        <f t="shared" si="19"/>
        <v>12.962962962962962</v>
      </c>
      <c r="AO30" s="685">
        <f t="shared" si="20"/>
        <v>13.559322033898304</v>
      </c>
      <c r="AP30" s="685">
        <f t="shared" si="21"/>
        <v>13.675213675213675</v>
      </c>
      <c r="AQ30" s="36" t="s">
        <v>455</v>
      </c>
      <c r="AR30" s="699">
        <f t="shared" si="14"/>
        <v>8434</v>
      </c>
      <c r="AS30" s="701">
        <v>655</v>
      </c>
      <c r="AT30" s="701">
        <v>745</v>
      </c>
      <c r="AU30" s="701">
        <v>730</v>
      </c>
      <c r="AV30" s="701">
        <v>677</v>
      </c>
      <c r="AW30" s="701">
        <v>717</v>
      </c>
      <c r="AX30" s="701">
        <v>585</v>
      </c>
      <c r="AY30" s="701">
        <v>645</v>
      </c>
      <c r="AZ30" s="701">
        <v>720</v>
      </c>
      <c r="BA30" s="701">
        <v>710</v>
      </c>
      <c r="BB30" s="701">
        <v>645</v>
      </c>
      <c r="BC30" s="701">
        <v>780</v>
      </c>
      <c r="BD30" s="701">
        <v>825</v>
      </c>
      <c r="BE30" s="36" t="s">
        <v>455</v>
      </c>
      <c r="BF30" s="681">
        <f t="shared" si="15"/>
        <v>358</v>
      </c>
      <c r="BG30" s="693">
        <v>28</v>
      </c>
      <c r="BH30" s="693">
        <v>32</v>
      </c>
      <c r="BI30" s="693">
        <v>31</v>
      </c>
      <c r="BJ30" s="693">
        <v>28</v>
      </c>
      <c r="BK30" s="693">
        <v>31</v>
      </c>
      <c r="BL30" s="693">
        <v>24</v>
      </c>
      <c r="BM30" s="693">
        <v>27</v>
      </c>
      <c r="BN30" s="693">
        <v>30</v>
      </c>
      <c r="BO30" s="693">
        <v>30</v>
      </c>
      <c r="BP30" s="693">
        <v>28</v>
      </c>
      <c r="BQ30" s="693">
        <v>34</v>
      </c>
      <c r="BR30" s="693">
        <v>35</v>
      </c>
      <c r="BS30" s="36" t="s">
        <v>455</v>
      </c>
      <c r="BT30" s="688">
        <f t="shared" si="22"/>
        <v>42.447237372539718</v>
      </c>
      <c r="BU30" s="684">
        <f t="shared" si="22"/>
        <v>42.748091603053439</v>
      </c>
      <c r="BV30" s="684">
        <f t="shared" si="22"/>
        <v>42.953020134228183</v>
      </c>
      <c r="BW30" s="684">
        <f t="shared" si="22"/>
        <v>42.465753424657535</v>
      </c>
      <c r="BX30" s="684">
        <f t="shared" si="22"/>
        <v>41.3589364844904</v>
      </c>
      <c r="BY30" s="684">
        <f t="shared" si="22"/>
        <v>43.235704323570431</v>
      </c>
      <c r="BZ30" s="684">
        <f t="shared" si="22"/>
        <v>41.025641025641029</v>
      </c>
      <c r="CA30" s="684">
        <f t="shared" si="22"/>
        <v>41.860465116279066</v>
      </c>
      <c r="CB30" s="684">
        <f t="shared" si="22"/>
        <v>41.666666666666664</v>
      </c>
      <c r="CC30" s="684">
        <f t="shared" si="22"/>
        <v>42.25352112676056</v>
      </c>
      <c r="CD30" s="684">
        <f t="shared" si="22"/>
        <v>43.410852713178294</v>
      </c>
      <c r="CE30" s="684">
        <f t="shared" si="22"/>
        <v>43.589743589743584</v>
      </c>
      <c r="CF30" s="684">
        <f t="shared" si="22"/>
        <v>42.424242424242429</v>
      </c>
      <c r="CG30" s="36" t="s">
        <v>455</v>
      </c>
      <c r="CH30" s="681">
        <f t="shared" si="16"/>
        <v>11112</v>
      </c>
      <c r="CI30" s="680">
        <v>933</v>
      </c>
      <c r="CJ30" s="680">
        <v>867</v>
      </c>
      <c r="CK30" s="680">
        <v>835</v>
      </c>
      <c r="CL30" s="680">
        <v>825</v>
      </c>
      <c r="CM30" s="680">
        <v>885</v>
      </c>
      <c r="CN30" s="680">
        <v>877</v>
      </c>
      <c r="CO30" s="680">
        <v>910</v>
      </c>
      <c r="CP30" s="680">
        <v>960</v>
      </c>
      <c r="CQ30" s="680">
        <v>1010</v>
      </c>
      <c r="CR30" s="680">
        <v>990</v>
      </c>
      <c r="CS30" s="680">
        <v>995</v>
      </c>
      <c r="CT30" s="680">
        <v>1025</v>
      </c>
      <c r="CU30" s="36" t="s">
        <v>455</v>
      </c>
      <c r="CV30" s="681">
        <f t="shared" si="17"/>
        <v>1283</v>
      </c>
      <c r="CW30" s="680">
        <v>110</v>
      </c>
      <c r="CX30" s="680">
        <v>102</v>
      </c>
      <c r="CY30" s="680">
        <v>95</v>
      </c>
      <c r="CZ30" s="680">
        <v>94</v>
      </c>
      <c r="DA30" s="680">
        <v>102</v>
      </c>
      <c r="DB30" s="680">
        <v>101</v>
      </c>
      <c r="DC30" s="680">
        <v>103</v>
      </c>
      <c r="DD30" s="680">
        <v>112</v>
      </c>
      <c r="DE30" s="680">
        <v>116</v>
      </c>
      <c r="DF30" s="680">
        <v>114</v>
      </c>
      <c r="DG30" s="680">
        <v>116</v>
      </c>
      <c r="DH30" s="680">
        <v>118</v>
      </c>
      <c r="DI30" s="36" t="s">
        <v>455</v>
      </c>
      <c r="DJ30" s="675">
        <f t="shared" si="25"/>
        <v>115.46076313894889</v>
      </c>
      <c r="DK30" s="673">
        <f t="shared" si="25"/>
        <v>117.89924973204715</v>
      </c>
      <c r="DL30" s="673">
        <f t="shared" si="25"/>
        <v>117.64705882352941</v>
      </c>
      <c r="DM30" s="673">
        <f t="shared" si="25"/>
        <v>113.77245508982035</v>
      </c>
      <c r="DN30" s="673">
        <f t="shared" si="25"/>
        <v>113.93939393939394</v>
      </c>
      <c r="DO30" s="673">
        <f t="shared" si="25"/>
        <v>115.2542372881356</v>
      </c>
      <c r="DP30" s="673">
        <f t="shared" si="25"/>
        <v>115.16533637400228</v>
      </c>
      <c r="DQ30" s="673">
        <f t="shared" si="25"/>
        <v>113.18681318681318</v>
      </c>
      <c r="DR30" s="673">
        <f t="shared" si="23"/>
        <v>116.66666666666667</v>
      </c>
      <c r="DS30" s="673">
        <f t="shared" si="23"/>
        <v>114.85148514851485</v>
      </c>
      <c r="DT30" s="673">
        <f t="shared" si="23"/>
        <v>115.15151515151516</v>
      </c>
      <c r="DU30" s="673">
        <f t="shared" si="23"/>
        <v>116.58291457286433</v>
      </c>
      <c r="DV30" s="673">
        <f t="shared" si="23"/>
        <v>115.1219512195122</v>
      </c>
    </row>
    <row r="31" spans="1:126" ht="12.25" customHeight="1">
      <c r="A31" s="36" t="s">
        <v>456</v>
      </c>
      <c r="B31" s="681">
        <f t="shared" si="12"/>
        <v>7050</v>
      </c>
      <c r="C31" s="680">
        <v>570</v>
      </c>
      <c r="D31" s="680">
        <v>590</v>
      </c>
      <c r="E31" s="680">
        <v>630</v>
      </c>
      <c r="F31" s="680">
        <v>605</v>
      </c>
      <c r="G31" s="680">
        <v>625</v>
      </c>
      <c r="H31" s="680">
        <v>630</v>
      </c>
      <c r="I31" s="680">
        <v>635</v>
      </c>
      <c r="J31" s="680">
        <v>625</v>
      </c>
      <c r="K31" s="680">
        <v>595</v>
      </c>
      <c r="L31" s="680">
        <v>560</v>
      </c>
      <c r="M31" s="680">
        <v>460</v>
      </c>
      <c r="N31" s="680">
        <v>525</v>
      </c>
      <c r="O31" s="36" t="s">
        <v>456</v>
      </c>
      <c r="P31" s="711">
        <f t="shared" si="13"/>
        <v>98</v>
      </c>
      <c r="Q31" s="709">
        <v>8</v>
      </c>
      <c r="R31" s="709">
        <v>8</v>
      </c>
      <c r="S31" s="709">
        <v>9</v>
      </c>
      <c r="T31" s="709">
        <v>8</v>
      </c>
      <c r="U31" s="709">
        <v>8</v>
      </c>
      <c r="V31" s="709">
        <v>9</v>
      </c>
      <c r="W31" s="709">
        <v>9</v>
      </c>
      <c r="X31" s="709">
        <v>9</v>
      </c>
      <c r="Y31" s="709">
        <v>8</v>
      </c>
      <c r="Z31" s="709">
        <v>8</v>
      </c>
      <c r="AA31" s="709">
        <v>6</v>
      </c>
      <c r="AB31" s="709">
        <v>8</v>
      </c>
      <c r="AC31" s="36" t="s">
        <v>456</v>
      </c>
      <c r="AD31" s="689">
        <f t="shared" si="24"/>
        <v>13.900709219858157</v>
      </c>
      <c r="AE31" s="685">
        <f t="shared" si="24"/>
        <v>14.035087719298247</v>
      </c>
      <c r="AF31" s="685">
        <f t="shared" si="24"/>
        <v>13.559322033898304</v>
      </c>
      <c r="AG31" s="685">
        <f t="shared" si="24"/>
        <v>14.285714285714285</v>
      </c>
      <c r="AH31" s="685">
        <f t="shared" si="24"/>
        <v>13.223140495867769</v>
      </c>
      <c r="AI31" s="685">
        <f t="shared" si="24"/>
        <v>12.8</v>
      </c>
      <c r="AJ31" s="685">
        <f t="shared" si="24"/>
        <v>14.285714285714285</v>
      </c>
      <c r="AK31" s="685">
        <f t="shared" si="24"/>
        <v>14.173228346456693</v>
      </c>
      <c r="AL31" s="685">
        <f t="shared" si="24"/>
        <v>14.4</v>
      </c>
      <c r="AM31" s="685">
        <f t="shared" si="18"/>
        <v>13.445378151260504</v>
      </c>
      <c r="AN31" s="685">
        <f t="shared" si="19"/>
        <v>14.285714285714285</v>
      </c>
      <c r="AO31" s="685">
        <f t="shared" si="20"/>
        <v>13.043478260869565</v>
      </c>
      <c r="AP31" s="685">
        <f t="shared" si="21"/>
        <v>15.238095238095237</v>
      </c>
      <c r="AQ31" s="36" t="s">
        <v>456</v>
      </c>
      <c r="AR31" s="702" t="s">
        <v>598</v>
      </c>
      <c r="AS31" s="703">
        <v>0</v>
      </c>
      <c r="AT31" s="703">
        <v>0</v>
      </c>
      <c r="AU31" s="703">
        <v>0</v>
      </c>
      <c r="AV31" s="703">
        <v>0</v>
      </c>
      <c r="AW31" s="703">
        <v>0</v>
      </c>
      <c r="AX31" s="703">
        <v>0</v>
      </c>
      <c r="AY31" s="703">
        <v>0</v>
      </c>
      <c r="AZ31" s="703">
        <v>0</v>
      </c>
      <c r="BA31" s="703">
        <v>0</v>
      </c>
      <c r="BB31" s="703">
        <v>0</v>
      </c>
      <c r="BC31" s="703">
        <v>0</v>
      </c>
      <c r="BD31" s="703">
        <v>0</v>
      </c>
      <c r="BE31" s="36" t="s">
        <v>456</v>
      </c>
      <c r="BF31" s="694" t="s">
        <v>81</v>
      </c>
      <c r="BG31" s="695">
        <v>0</v>
      </c>
      <c r="BH31" s="695">
        <v>0</v>
      </c>
      <c r="BI31" s="695">
        <v>0</v>
      </c>
      <c r="BJ31" s="695">
        <v>0</v>
      </c>
      <c r="BK31" s="695">
        <v>0</v>
      </c>
      <c r="BL31" s="695">
        <v>0</v>
      </c>
      <c r="BM31" s="695">
        <v>0</v>
      </c>
      <c r="BN31" s="695">
        <v>0</v>
      </c>
      <c r="BO31" s="695">
        <v>0</v>
      </c>
      <c r="BP31" s="695">
        <v>0</v>
      </c>
      <c r="BQ31" s="695">
        <v>0</v>
      </c>
      <c r="BR31" s="695">
        <v>0</v>
      </c>
      <c r="BS31" s="36" t="s">
        <v>456</v>
      </c>
      <c r="BT31" s="689" t="s">
        <v>50</v>
      </c>
      <c r="BU31" s="685" t="s">
        <v>50</v>
      </c>
      <c r="BV31" s="685" t="s">
        <v>50</v>
      </c>
      <c r="BW31" s="685" t="s">
        <v>50</v>
      </c>
      <c r="BX31" s="685" t="s">
        <v>50</v>
      </c>
      <c r="BY31" s="685" t="s">
        <v>50</v>
      </c>
      <c r="BZ31" s="685" t="s">
        <v>50</v>
      </c>
      <c r="CA31" s="685" t="s">
        <v>50</v>
      </c>
      <c r="CB31" s="685" t="s">
        <v>50</v>
      </c>
      <c r="CC31" s="685" t="s">
        <v>50</v>
      </c>
      <c r="CD31" s="685" t="s">
        <v>50</v>
      </c>
      <c r="CE31" s="685" t="s">
        <v>50</v>
      </c>
      <c r="CF31" s="685" t="s">
        <v>50</v>
      </c>
      <c r="CG31" s="36" t="s">
        <v>456</v>
      </c>
      <c r="CH31" s="681">
        <f t="shared" si="16"/>
        <v>65816</v>
      </c>
      <c r="CI31" s="680">
        <v>6223</v>
      </c>
      <c r="CJ31" s="680">
        <v>6345</v>
      </c>
      <c r="CK31" s="680">
        <v>6051</v>
      </c>
      <c r="CL31" s="680">
        <v>5754</v>
      </c>
      <c r="CM31" s="680">
        <v>5648</v>
      </c>
      <c r="CN31" s="680">
        <v>5194</v>
      </c>
      <c r="CO31" s="680">
        <v>4972</v>
      </c>
      <c r="CP31" s="680">
        <v>5163</v>
      </c>
      <c r="CQ31" s="680">
        <v>4998</v>
      </c>
      <c r="CR31" s="680">
        <v>5231</v>
      </c>
      <c r="CS31" s="680">
        <v>5170</v>
      </c>
      <c r="CT31" s="680">
        <v>5067</v>
      </c>
      <c r="CU31" s="36" t="s">
        <v>456</v>
      </c>
      <c r="CV31" s="681">
        <f t="shared" si="17"/>
        <v>10961</v>
      </c>
      <c r="CW31" s="680">
        <v>1063</v>
      </c>
      <c r="CX31" s="680">
        <v>1099</v>
      </c>
      <c r="CY31" s="680">
        <v>1069</v>
      </c>
      <c r="CZ31" s="680">
        <v>995</v>
      </c>
      <c r="DA31" s="680">
        <v>985</v>
      </c>
      <c r="DB31" s="680">
        <v>777</v>
      </c>
      <c r="DC31" s="680">
        <v>792</v>
      </c>
      <c r="DD31" s="680">
        <v>824</v>
      </c>
      <c r="DE31" s="680">
        <v>802</v>
      </c>
      <c r="DF31" s="680">
        <v>841</v>
      </c>
      <c r="DG31" s="680">
        <v>838</v>
      </c>
      <c r="DH31" s="680">
        <v>876</v>
      </c>
      <c r="DI31" s="36" t="s">
        <v>456</v>
      </c>
      <c r="DJ31" s="675">
        <f t="shared" si="25"/>
        <v>166.54005105141607</v>
      </c>
      <c r="DK31" s="673">
        <f t="shared" si="25"/>
        <v>170.81793347260162</v>
      </c>
      <c r="DL31" s="673">
        <f t="shared" si="25"/>
        <v>173.20724980299448</v>
      </c>
      <c r="DM31" s="673">
        <f t="shared" si="25"/>
        <v>176.66501404726492</v>
      </c>
      <c r="DN31" s="673">
        <f t="shared" si="25"/>
        <v>172.923183872089</v>
      </c>
      <c r="DO31" s="673">
        <f t="shared" si="25"/>
        <v>174.39801699716713</v>
      </c>
      <c r="DP31" s="673">
        <f t="shared" si="25"/>
        <v>149.5956873315364</v>
      </c>
      <c r="DQ31" s="673">
        <f t="shared" si="25"/>
        <v>159.2920353982301</v>
      </c>
      <c r="DR31" s="673">
        <f t="shared" si="23"/>
        <v>159.59713344954486</v>
      </c>
      <c r="DS31" s="673">
        <f t="shared" si="23"/>
        <v>160.46418567426971</v>
      </c>
      <c r="DT31" s="673">
        <f t="shared" si="23"/>
        <v>160.77231886828523</v>
      </c>
      <c r="DU31" s="673">
        <f t="shared" si="23"/>
        <v>162.08897485493227</v>
      </c>
      <c r="DV31" s="673">
        <f t="shared" si="23"/>
        <v>172.88336293664892</v>
      </c>
    </row>
    <row r="32" spans="1:126" ht="12.25" customHeight="1">
      <c r="A32" s="36" t="s">
        <v>457</v>
      </c>
      <c r="B32" s="681">
        <f t="shared" si="12"/>
        <v>45236</v>
      </c>
      <c r="C32" s="680">
        <v>3858</v>
      </c>
      <c r="D32" s="680">
        <v>5279</v>
      </c>
      <c r="E32" s="680">
        <v>4510</v>
      </c>
      <c r="F32" s="680">
        <v>2785</v>
      </c>
      <c r="G32" s="680">
        <v>3250</v>
      </c>
      <c r="H32" s="680">
        <v>3789</v>
      </c>
      <c r="I32" s="680">
        <v>3984</v>
      </c>
      <c r="J32" s="680">
        <v>3835</v>
      </c>
      <c r="K32" s="680">
        <v>3453</v>
      </c>
      <c r="L32" s="680">
        <v>3816</v>
      </c>
      <c r="M32" s="680">
        <v>3175</v>
      </c>
      <c r="N32" s="680">
        <v>3502</v>
      </c>
      <c r="O32" s="36" t="s">
        <v>457</v>
      </c>
      <c r="P32" s="711">
        <f t="shared" si="13"/>
        <v>653</v>
      </c>
      <c r="Q32" s="709">
        <v>55</v>
      </c>
      <c r="R32" s="709">
        <v>75</v>
      </c>
      <c r="S32" s="709">
        <v>66</v>
      </c>
      <c r="T32" s="709">
        <v>43</v>
      </c>
      <c r="U32" s="709">
        <v>44</v>
      </c>
      <c r="V32" s="709">
        <v>57</v>
      </c>
      <c r="W32" s="709">
        <v>58</v>
      </c>
      <c r="X32" s="709">
        <v>55</v>
      </c>
      <c r="Y32" s="709">
        <v>51</v>
      </c>
      <c r="Z32" s="709">
        <v>54</v>
      </c>
      <c r="AA32" s="709">
        <v>45</v>
      </c>
      <c r="AB32" s="709">
        <v>50</v>
      </c>
      <c r="AC32" s="36" t="s">
        <v>457</v>
      </c>
      <c r="AD32" s="689">
        <f t="shared" si="24"/>
        <v>14.435405429304094</v>
      </c>
      <c r="AE32" s="685">
        <f t="shared" si="24"/>
        <v>14.256091238983931</v>
      </c>
      <c r="AF32" s="685">
        <f t="shared" si="24"/>
        <v>14.207236218980867</v>
      </c>
      <c r="AG32" s="685">
        <f t="shared" si="24"/>
        <v>14.634146341463415</v>
      </c>
      <c r="AH32" s="685">
        <f t="shared" si="24"/>
        <v>15.439856373429084</v>
      </c>
      <c r="AI32" s="685">
        <f t="shared" si="24"/>
        <v>13.538461538461538</v>
      </c>
      <c r="AJ32" s="685">
        <f t="shared" si="24"/>
        <v>15.043547110055425</v>
      </c>
      <c r="AK32" s="685">
        <f t="shared" si="24"/>
        <v>14.558232931726907</v>
      </c>
      <c r="AL32" s="685">
        <f t="shared" si="24"/>
        <v>14.341590612777052</v>
      </c>
      <c r="AM32" s="685">
        <f t="shared" si="18"/>
        <v>14.769765421372719</v>
      </c>
      <c r="AN32" s="685">
        <f t="shared" si="19"/>
        <v>14.150943396226415</v>
      </c>
      <c r="AO32" s="685">
        <f t="shared" si="20"/>
        <v>14.173228346456693</v>
      </c>
      <c r="AP32" s="685">
        <f t="shared" si="21"/>
        <v>14.277555682467161</v>
      </c>
      <c r="AQ32" s="36" t="s">
        <v>457</v>
      </c>
      <c r="AR32" s="699">
        <f t="shared" si="14"/>
        <v>7580</v>
      </c>
      <c r="AS32" s="701">
        <v>580</v>
      </c>
      <c r="AT32" s="701">
        <v>611</v>
      </c>
      <c r="AU32" s="701">
        <v>602</v>
      </c>
      <c r="AV32" s="701">
        <v>581</v>
      </c>
      <c r="AW32" s="701">
        <v>777</v>
      </c>
      <c r="AX32" s="701">
        <v>749</v>
      </c>
      <c r="AY32" s="701">
        <v>701</v>
      </c>
      <c r="AZ32" s="701">
        <v>613</v>
      </c>
      <c r="BA32" s="701">
        <v>619</v>
      </c>
      <c r="BB32" s="701">
        <v>571</v>
      </c>
      <c r="BC32" s="701">
        <v>585</v>
      </c>
      <c r="BD32" s="701">
        <v>591</v>
      </c>
      <c r="BE32" s="36" t="s">
        <v>457</v>
      </c>
      <c r="BF32" s="681">
        <f t="shared" si="15"/>
        <v>271</v>
      </c>
      <c r="BG32" s="693">
        <v>21</v>
      </c>
      <c r="BH32" s="693">
        <v>22</v>
      </c>
      <c r="BI32" s="693">
        <v>20</v>
      </c>
      <c r="BJ32" s="693">
        <v>20</v>
      </c>
      <c r="BK32" s="693">
        <v>29</v>
      </c>
      <c r="BL32" s="693">
        <v>28</v>
      </c>
      <c r="BM32" s="693">
        <v>26</v>
      </c>
      <c r="BN32" s="693">
        <v>21</v>
      </c>
      <c r="BO32" s="693">
        <v>23</v>
      </c>
      <c r="BP32" s="693">
        <v>20</v>
      </c>
      <c r="BQ32" s="693">
        <v>20</v>
      </c>
      <c r="BR32" s="693">
        <v>21</v>
      </c>
      <c r="BS32" s="36" t="s">
        <v>457</v>
      </c>
      <c r="BT32" s="688">
        <f t="shared" si="22"/>
        <v>35.751978891820578</v>
      </c>
      <c r="BU32" s="684">
        <f t="shared" si="22"/>
        <v>36.206896551724142</v>
      </c>
      <c r="BV32" s="684">
        <f t="shared" si="22"/>
        <v>36.006546644844519</v>
      </c>
      <c r="BW32" s="684">
        <f t="shared" si="22"/>
        <v>33.222591362126245</v>
      </c>
      <c r="BX32" s="684">
        <f t="shared" si="22"/>
        <v>34.42340791738382</v>
      </c>
      <c r="BY32" s="684">
        <f t="shared" si="22"/>
        <v>37.323037323037326</v>
      </c>
      <c r="BZ32" s="684">
        <f t="shared" si="22"/>
        <v>37.383177570093459</v>
      </c>
      <c r="CA32" s="684">
        <f t="shared" si="22"/>
        <v>37.089871611982886</v>
      </c>
      <c r="CB32" s="684">
        <f t="shared" si="22"/>
        <v>34.257748776508976</v>
      </c>
      <c r="CC32" s="684">
        <f t="shared" si="22"/>
        <v>37.156704361873985</v>
      </c>
      <c r="CD32" s="684">
        <f t="shared" si="22"/>
        <v>35.026269702276707</v>
      </c>
      <c r="CE32" s="684">
        <f t="shared" si="22"/>
        <v>34.188034188034194</v>
      </c>
      <c r="CF32" s="684">
        <f t="shared" si="22"/>
        <v>35.532994923857871</v>
      </c>
      <c r="CG32" s="36" t="s">
        <v>457</v>
      </c>
      <c r="CH32" s="681">
        <f t="shared" si="16"/>
        <v>27860</v>
      </c>
      <c r="CI32" s="680">
        <v>1536</v>
      </c>
      <c r="CJ32" s="680">
        <v>1598</v>
      </c>
      <c r="CK32" s="680">
        <v>3282</v>
      </c>
      <c r="CL32" s="680">
        <v>3178</v>
      </c>
      <c r="CM32" s="680">
        <v>3262</v>
      </c>
      <c r="CN32" s="680">
        <v>3106</v>
      </c>
      <c r="CO32" s="680">
        <v>2938</v>
      </c>
      <c r="CP32" s="680">
        <v>2831</v>
      </c>
      <c r="CQ32" s="680">
        <v>1523</v>
      </c>
      <c r="CR32" s="680">
        <v>1532</v>
      </c>
      <c r="CS32" s="680">
        <v>1529</v>
      </c>
      <c r="CT32" s="680">
        <v>1545</v>
      </c>
      <c r="CU32" s="36" t="s">
        <v>457</v>
      </c>
      <c r="CV32" s="681">
        <f t="shared" si="17"/>
        <v>3887</v>
      </c>
      <c r="CW32" s="680">
        <v>232</v>
      </c>
      <c r="CX32" s="680">
        <v>238</v>
      </c>
      <c r="CY32" s="680">
        <v>450</v>
      </c>
      <c r="CZ32" s="680">
        <v>428</v>
      </c>
      <c r="DA32" s="680">
        <v>435</v>
      </c>
      <c r="DB32" s="680">
        <v>406</v>
      </c>
      <c r="DC32" s="680">
        <v>390</v>
      </c>
      <c r="DD32" s="680">
        <v>385</v>
      </c>
      <c r="DE32" s="680">
        <v>229</v>
      </c>
      <c r="DF32" s="680">
        <v>232</v>
      </c>
      <c r="DG32" s="680">
        <v>229</v>
      </c>
      <c r="DH32" s="680">
        <v>233</v>
      </c>
      <c r="DI32" s="36" t="s">
        <v>457</v>
      </c>
      <c r="DJ32" s="675">
        <f t="shared" si="25"/>
        <v>139.51902368987794</v>
      </c>
      <c r="DK32" s="673">
        <f t="shared" si="25"/>
        <v>151.04166666666666</v>
      </c>
      <c r="DL32" s="673">
        <f t="shared" si="25"/>
        <v>148.93617021276594</v>
      </c>
      <c r="DM32" s="673">
        <f t="shared" si="25"/>
        <v>137.11151736745884</v>
      </c>
      <c r="DN32" s="673">
        <f t="shared" si="25"/>
        <v>134.67589679043422</v>
      </c>
      <c r="DO32" s="673">
        <f t="shared" si="25"/>
        <v>133.35377069282649</v>
      </c>
      <c r="DP32" s="673">
        <f t="shared" si="25"/>
        <v>130.71474565357371</v>
      </c>
      <c r="DQ32" s="673">
        <f t="shared" si="25"/>
        <v>132.74336283185841</v>
      </c>
      <c r="DR32" s="673">
        <f t="shared" si="23"/>
        <v>135.99434828682445</v>
      </c>
      <c r="DS32" s="673">
        <f t="shared" si="23"/>
        <v>150.36112934996717</v>
      </c>
      <c r="DT32" s="673">
        <f t="shared" si="23"/>
        <v>151.43603133159269</v>
      </c>
      <c r="DU32" s="673">
        <f t="shared" si="23"/>
        <v>149.77109221713539</v>
      </c>
      <c r="DV32" s="673">
        <f t="shared" si="23"/>
        <v>150.80906148867317</v>
      </c>
    </row>
    <row r="33" spans="1:127" ht="12.25" customHeight="1">
      <c r="A33" s="36" t="s">
        <v>458</v>
      </c>
      <c r="B33" s="681">
        <f t="shared" si="12"/>
        <v>3398</v>
      </c>
      <c r="C33" s="680">
        <v>282</v>
      </c>
      <c r="D33" s="680">
        <v>257</v>
      </c>
      <c r="E33" s="680">
        <v>281</v>
      </c>
      <c r="F33" s="680">
        <v>291</v>
      </c>
      <c r="G33" s="680">
        <v>274</v>
      </c>
      <c r="H33" s="680">
        <v>300</v>
      </c>
      <c r="I33" s="680">
        <v>289</v>
      </c>
      <c r="J33" s="680">
        <v>274</v>
      </c>
      <c r="K33" s="680">
        <v>279</v>
      </c>
      <c r="L33" s="680">
        <v>312</v>
      </c>
      <c r="M33" s="680">
        <v>235</v>
      </c>
      <c r="N33" s="680">
        <v>324</v>
      </c>
      <c r="O33" s="36" t="s">
        <v>458</v>
      </c>
      <c r="P33" s="711">
        <f t="shared" si="13"/>
        <v>51</v>
      </c>
      <c r="Q33" s="709">
        <v>4</v>
      </c>
      <c r="R33" s="709">
        <v>4</v>
      </c>
      <c r="S33" s="709">
        <v>4</v>
      </c>
      <c r="T33" s="709">
        <v>4</v>
      </c>
      <c r="U33" s="709">
        <v>4</v>
      </c>
      <c r="V33" s="709">
        <v>5</v>
      </c>
      <c r="W33" s="709">
        <v>4</v>
      </c>
      <c r="X33" s="709">
        <v>4</v>
      </c>
      <c r="Y33" s="709">
        <v>4</v>
      </c>
      <c r="Z33" s="709">
        <v>5</v>
      </c>
      <c r="AA33" s="709">
        <v>4</v>
      </c>
      <c r="AB33" s="709">
        <v>5</v>
      </c>
      <c r="AC33" s="36" t="s">
        <v>458</v>
      </c>
      <c r="AD33" s="689">
        <f t="shared" si="24"/>
        <v>15.008828722778105</v>
      </c>
      <c r="AE33" s="685">
        <f t="shared" si="24"/>
        <v>14.184397163120567</v>
      </c>
      <c r="AF33" s="685">
        <f t="shared" si="24"/>
        <v>15.56420233463035</v>
      </c>
      <c r="AG33" s="685">
        <f t="shared" si="24"/>
        <v>14.234875444839856</v>
      </c>
      <c r="AH33" s="685">
        <f t="shared" si="24"/>
        <v>13.745704467353951</v>
      </c>
      <c r="AI33" s="685">
        <f t="shared" si="24"/>
        <v>14.598540145985401</v>
      </c>
      <c r="AJ33" s="685">
        <f t="shared" si="24"/>
        <v>16.666666666666668</v>
      </c>
      <c r="AK33" s="685">
        <f t="shared" si="24"/>
        <v>13.84083044982699</v>
      </c>
      <c r="AL33" s="685">
        <f t="shared" si="24"/>
        <v>14.598540145985401</v>
      </c>
      <c r="AM33" s="685">
        <f t="shared" si="18"/>
        <v>14.336917562724015</v>
      </c>
      <c r="AN33" s="685">
        <f t="shared" si="19"/>
        <v>16.025641025641026</v>
      </c>
      <c r="AO33" s="685">
        <f t="shared" si="20"/>
        <v>17.021276595744681</v>
      </c>
      <c r="AP33" s="685">
        <f t="shared" si="21"/>
        <v>15.432098765432098</v>
      </c>
      <c r="AQ33" s="36" t="s">
        <v>458</v>
      </c>
      <c r="AR33" s="699">
        <f t="shared" si="14"/>
        <v>60622</v>
      </c>
      <c r="AS33" s="701">
        <v>4012</v>
      </c>
      <c r="AT33" s="701">
        <v>3788</v>
      </c>
      <c r="AU33" s="701">
        <v>3861</v>
      </c>
      <c r="AV33" s="701">
        <v>4744</v>
      </c>
      <c r="AW33" s="701">
        <v>4988</v>
      </c>
      <c r="AX33" s="701">
        <v>5517</v>
      </c>
      <c r="AY33" s="701">
        <v>5620</v>
      </c>
      <c r="AZ33" s="701">
        <v>5366</v>
      </c>
      <c r="BA33" s="701">
        <v>4919</v>
      </c>
      <c r="BB33" s="701">
        <v>5304</v>
      </c>
      <c r="BC33" s="701">
        <v>5248</v>
      </c>
      <c r="BD33" s="701">
        <v>7255</v>
      </c>
      <c r="BE33" s="36" t="s">
        <v>458</v>
      </c>
      <c r="BF33" s="681">
        <f t="shared" si="15"/>
        <v>3708</v>
      </c>
      <c r="BG33" s="693">
        <v>248</v>
      </c>
      <c r="BH33" s="693">
        <v>238</v>
      </c>
      <c r="BI33" s="693">
        <v>238</v>
      </c>
      <c r="BJ33" s="693">
        <v>293</v>
      </c>
      <c r="BK33" s="693">
        <v>310</v>
      </c>
      <c r="BL33" s="693">
        <v>330</v>
      </c>
      <c r="BM33" s="693">
        <v>360</v>
      </c>
      <c r="BN33" s="693">
        <v>338</v>
      </c>
      <c r="BO33" s="693">
        <v>296</v>
      </c>
      <c r="BP33" s="693">
        <v>326</v>
      </c>
      <c r="BQ33" s="693">
        <v>317</v>
      </c>
      <c r="BR33" s="693">
        <v>414</v>
      </c>
      <c r="BS33" s="36" t="s">
        <v>458</v>
      </c>
      <c r="BT33" s="688">
        <f t="shared" si="22"/>
        <v>61.165913364785055</v>
      </c>
      <c r="BU33" s="684">
        <f t="shared" si="22"/>
        <v>61.814556331006976</v>
      </c>
      <c r="BV33" s="684">
        <f t="shared" si="22"/>
        <v>62.829989440337911</v>
      </c>
      <c r="BW33" s="684">
        <f t="shared" si="22"/>
        <v>61.642061642061648</v>
      </c>
      <c r="BX33" s="684">
        <f t="shared" si="22"/>
        <v>61.762225969645868</v>
      </c>
      <c r="BY33" s="684">
        <f t="shared" si="22"/>
        <v>62.149157979149962</v>
      </c>
      <c r="BZ33" s="684">
        <f t="shared" si="22"/>
        <v>59.815116911364875</v>
      </c>
      <c r="CA33" s="684">
        <f t="shared" si="22"/>
        <v>64.056939501779368</v>
      </c>
      <c r="CB33" s="684">
        <f t="shared" si="22"/>
        <v>62.98919120387626</v>
      </c>
      <c r="CC33" s="684">
        <f t="shared" si="22"/>
        <v>60.174832282984347</v>
      </c>
      <c r="CD33" s="684">
        <f t="shared" si="22"/>
        <v>61.463046757164399</v>
      </c>
      <c r="CE33" s="684">
        <f t="shared" si="22"/>
        <v>60.403963414634141</v>
      </c>
      <c r="CF33" s="684">
        <f t="shared" si="22"/>
        <v>57.064093728463128</v>
      </c>
      <c r="CG33" s="36" t="s">
        <v>458</v>
      </c>
      <c r="CH33" s="681">
        <f t="shared" si="16"/>
        <v>23528</v>
      </c>
      <c r="CI33" s="680">
        <v>1957</v>
      </c>
      <c r="CJ33" s="680">
        <v>1870</v>
      </c>
      <c r="CK33" s="680">
        <v>2068</v>
      </c>
      <c r="CL33" s="680">
        <v>2126</v>
      </c>
      <c r="CM33" s="680">
        <v>2141</v>
      </c>
      <c r="CN33" s="680">
        <v>2072</v>
      </c>
      <c r="CO33" s="680">
        <v>2015</v>
      </c>
      <c r="CP33" s="680">
        <v>1991</v>
      </c>
      <c r="CQ33" s="680">
        <v>1620</v>
      </c>
      <c r="CR33" s="680">
        <v>1851</v>
      </c>
      <c r="CS33" s="680">
        <v>1721</v>
      </c>
      <c r="CT33" s="680">
        <v>2096</v>
      </c>
      <c r="CU33" s="36" t="s">
        <v>458</v>
      </c>
      <c r="CV33" s="681">
        <f t="shared" si="17"/>
        <v>3472</v>
      </c>
      <c r="CW33" s="680">
        <v>272</v>
      </c>
      <c r="CX33" s="680">
        <v>270</v>
      </c>
      <c r="CY33" s="680">
        <v>299</v>
      </c>
      <c r="CZ33" s="680">
        <v>320</v>
      </c>
      <c r="DA33" s="680">
        <v>316</v>
      </c>
      <c r="DB33" s="680">
        <v>313</v>
      </c>
      <c r="DC33" s="680">
        <v>317</v>
      </c>
      <c r="DD33" s="680">
        <v>300</v>
      </c>
      <c r="DE33" s="680">
        <v>227</v>
      </c>
      <c r="DF33" s="680">
        <v>277</v>
      </c>
      <c r="DG33" s="680">
        <v>244</v>
      </c>
      <c r="DH33" s="680">
        <v>317</v>
      </c>
      <c r="DI33" s="36" t="s">
        <v>458</v>
      </c>
      <c r="DJ33" s="675">
        <f t="shared" si="25"/>
        <v>147.56885413124786</v>
      </c>
      <c r="DK33" s="673">
        <f t="shared" si="25"/>
        <v>138.98824731732242</v>
      </c>
      <c r="DL33" s="673">
        <f t="shared" si="25"/>
        <v>144.38502673796791</v>
      </c>
      <c r="DM33" s="673">
        <f t="shared" si="25"/>
        <v>144.58413926499034</v>
      </c>
      <c r="DN33" s="673">
        <f t="shared" si="25"/>
        <v>150.51740357478832</v>
      </c>
      <c r="DO33" s="673">
        <f t="shared" si="25"/>
        <v>147.59458197104158</v>
      </c>
      <c r="DP33" s="673">
        <f t="shared" si="25"/>
        <v>151.06177606177607</v>
      </c>
      <c r="DQ33" s="673">
        <f t="shared" si="25"/>
        <v>157.32009925558313</v>
      </c>
      <c r="DR33" s="673">
        <f t="shared" si="23"/>
        <v>150.67805123053742</v>
      </c>
      <c r="DS33" s="673">
        <f t="shared" si="23"/>
        <v>140.12345679012344</v>
      </c>
      <c r="DT33" s="673">
        <f t="shared" si="23"/>
        <v>149.64883846569421</v>
      </c>
      <c r="DU33" s="673">
        <f t="shared" si="23"/>
        <v>141.77803602556651</v>
      </c>
      <c r="DV33" s="673">
        <f t="shared" si="23"/>
        <v>151.24045801526717</v>
      </c>
    </row>
    <row r="34" spans="1:127" ht="12.25" customHeight="1">
      <c r="A34" s="36" t="s">
        <v>459</v>
      </c>
      <c r="B34" s="681">
        <f t="shared" si="12"/>
        <v>1278</v>
      </c>
      <c r="C34" s="680">
        <v>106</v>
      </c>
      <c r="D34" s="680">
        <v>97</v>
      </c>
      <c r="E34" s="680">
        <v>120</v>
      </c>
      <c r="F34" s="680">
        <v>113</v>
      </c>
      <c r="G34" s="680">
        <v>110</v>
      </c>
      <c r="H34" s="680">
        <v>95</v>
      </c>
      <c r="I34" s="680">
        <v>111</v>
      </c>
      <c r="J34" s="680">
        <v>101</v>
      </c>
      <c r="K34" s="680">
        <v>97</v>
      </c>
      <c r="L34" s="680">
        <v>96</v>
      </c>
      <c r="M34" s="680">
        <v>103</v>
      </c>
      <c r="N34" s="680">
        <v>129</v>
      </c>
      <c r="O34" s="36" t="s">
        <v>459</v>
      </c>
      <c r="P34" s="711">
        <f t="shared" si="13"/>
        <v>27</v>
      </c>
      <c r="Q34" s="709">
        <v>2</v>
      </c>
      <c r="R34" s="709">
        <v>2</v>
      </c>
      <c r="S34" s="709">
        <v>3</v>
      </c>
      <c r="T34" s="709">
        <v>3</v>
      </c>
      <c r="U34" s="709">
        <v>2</v>
      </c>
      <c r="V34" s="709">
        <v>2</v>
      </c>
      <c r="W34" s="709">
        <v>2</v>
      </c>
      <c r="X34" s="709">
        <v>2</v>
      </c>
      <c r="Y34" s="709">
        <v>2</v>
      </c>
      <c r="Z34" s="709">
        <v>2</v>
      </c>
      <c r="AA34" s="709">
        <v>2</v>
      </c>
      <c r="AB34" s="709">
        <v>3</v>
      </c>
      <c r="AC34" s="36" t="s">
        <v>459</v>
      </c>
      <c r="AD34" s="689">
        <f t="shared" si="24"/>
        <v>21.12676056338028</v>
      </c>
      <c r="AE34" s="685">
        <f t="shared" si="24"/>
        <v>18.867924528301884</v>
      </c>
      <c r="AF34" s="685">
        <f t="shared" si="24"/>
        <v>20.618556701030929</v>
      </c>
      <c r="AG34" s="685">
        <f t="shared" si="24"/>
        <v>25</v>
      </c>
      <c r="AH34" s="685">
        <f t="shared" si="24"/>
        <v>26.548672566371682</v>
      </c>
      <c r="AI34" s="685">
        <f t="shared" si="24"/>
        <v>18.18181818181818</v>
      </c>
      <c r="AJ34" s="685">
        <f t="shared" si="24"/>
        <v>21.052631578947366</v>
      </c>
      <c r="AK34" s="685">
        <f t="shared" si="24"/>
        <v>18.018018018018019</v>
      </c>
      <c r="AL34" s="685">
        <f t="shared" si="24"/>
        <v>19.801980198019802</v>
      </c>
      <c r="AM34" s="685">
        <f t="shared" si="18"/>
        <v>20.618556701030929</v>
      </c>
      <c r="AN34" s="685">
        <f t="shared" si="19"/>
        <v>20.833333333333332</v>
      </c>
      <c r="AO34" s="685">
        <f t="shared" si="20"/>
        <v>19.417475728155338</v>
      </c>
      <c r="AP34" s="685">
        <f t="shared" si="21"/>
        <v>23.255813953488371</v>
      </c>
      <c r="AQ34" s="36" t="s">
        <v>459</v>
      </c>
      <c r="AR34" s="699">
        <f t="shared" si="14"/>
        <v>25750</v>
      </c>
      <c r="AS34" s="701">
        <v>1918</v>
      </c>
      <c r="AT34" s="701">
        <v>2070</v>
      </c>
      <c r="AU34" s="701">
        <v>2161</v>
      </c>
      <c r="AV34" s="701">
        <v>2323</v>
      </c>
      <c r="AW34" s="701">
        <v>2268</v>
      </c>
      <c r="AX34" s="701">
        <v>2250</v>
      </c>
      <c r="AY34" s="701">
        <v>2305</v>
      </c>
      <c r="AZ34" s="701">
        <v>2170</v>
      </c>
      <c r="BA34" s="701">
        <v>1958</v>
      </c>
      <c r="BB34" s="701">
        <v>2077</v>
      </c>
      <c r="BC34" s="701">
        <v>1985</v>
      </c>
      <c r="BD34" s="701">
        <v>2265</v>
      </c>
      <c r="BE34" s="36" t="s">
        <v>459</v>
      </c>
      <c r="BF34" s="681">
        <f t="shared" si="15"/>
        <v>1305</v>
      </c>
      <c r="BG34" s="693">
        <v>96</v>
      </c>
      <c r="BH34" s="693">
        <v>104</v>
      </c>
      <c r="BI34" s="693">
        <v>108</v>
      </c>
      <c r="BJ34" s="693">
        <v>113</v>
      </c>
      <c r="BK34" s="693">
        <v>113</v>
      </c>
      <c r="BL34" s="693">
        <v>112</v>
      </c>
      <c r="BM34" s="693">
        <v>117</v>
      </c>
      <c r="BN34" s="693">
        <v>110</v>
      </c>
      <c r="BO34" s="693">
        <v>100</v>
      </c>
      <c r="BP34" s="693">
        <v>107</v>
      </c>
      <c r="BQ34" s="693">
        <v>104</v>
      </c>
      <c r="BR34" s="693">
        <v>121</v>
      </c>
      <c r="BS34" s="36" t="s">
        <v>459</v>
      </c>
      <c r="BT34" s="688">
        <f t="shared" si="22"/>
        <v>50.679611650485434</v>
      </c>
      <c r="BU34" s="684">
        <f t="shared" si="22"/>
        <v>50.052137643378522</v>
      </c>
      <c r="BV34" s="684">
        <f t="shared" si="22"/>
        <v>50.241545893719803</v>
      </c>
      <c r="BW34" s="684">
        <f t="shared" si="22"/>
        <v>49.976862563627947</v>
      </c>
      <c r="BX34" s="684">
        <f t="shared" si="22"/>
        <v>48.643994834266032</v>
      </c>
      <c r="BY34" s="684">
        <f t="shared" si="22"/>
        <v>49.823633156966487</v>
      </c>
      <c r="BZ34" s="684">
        <f t="shared" si="22"/>
        <v>49.777777777777771</v>
      </c>
      <c r="CA34" s="684">
        <f t="shared" si="22"/>
        <v>50.759219088937094</v>
      </c>
      <c r="CB34" s="684">
        <f t="shared" si="22"/>
        <v>50.691244239631338</v>
      </c>
      <c r="CC34" s="684">
        <f t="shared" si="22"/>
        <v>51.072522982635341</v>
      </c>
      <c r="CD34" s="684">
        <f t="shared" si="22"/>
        <v>51.516610495907564</v>
      </c>
      <c r="CE34" s="684">
        <f t="shared" si="22"/>
        <v>52.392947103274558</v>
      </c>
      <c r="CF34" s="684">
        <f t="shared" si="22"/>
        <v>53.421633554083883</v>
      </c>
      <c r="CG34" s="36" t="s">
        <v>459</v>
      </c>
      <c r="CH34" s="681">
        <f t="shared" si="16"/>
        <v>15726</v>
      </c>
      <c r="CI34" s="680">
        <v>1321</v>
      </c>
      <c r="CJ34" s="680">
        <v>1346</v>
      </c>
      <c r="CK34" s="680">
        <v>1232</v>
      </c>
      <c r="CL34" s="680">
        <v>1256</v>
      </c>
      <c r="CM34" s="680">
        <v>1310</v>
      </c>
      <c r="CN34" s="680">
        <v>1291</v>
      </c>
      <c r="CO34" s="680">
        <v>1296</v>
      </c>
      <c r="CP34" s="680">
        <v>1341</v>
      </c>
      <c r="CQ34" s="680">
        <v>1192</v>
      </c>
      <c r="CR34" s="680">
        <v>1277</v>
      </c>
      <c r="CS34" s="680">
        <v>1342</v>
      </c>
      <c r="CT34" s="680">
        <v>1522</v>
      </c>
      <c r="CU34" s="36" t="s">
        <v>459</v>
      </c>
      <c r="CV34" s="681">
        <f t="shared" si="17"/>
        <v>1928</v>
      </c>
      <c r="CW34" s="680">
        <v>165</v>
      </c>
      <c r="CX34" s="680">
        <v>164</v>
      </c>
      <c r="CY34" s="680">
        <v>150</v>
      </c>
      <c r="CZ34" s="680">
        <v>152</v>
      </c>
      <c r="DA34" s="680">
        <v>158</v>
      </c>
      <c r="DB34" s="680">
        <v>157</v>
      </c>
      <c r="DC34" s="680">
        <v>159</v>
      </c>
      <c r="DD34" s="680">
        <v>169</v>
      </c>
      <c r="DE34" s="680">
        <v>149</v>
      </c>
      <c r="DF34" s="680">
        <v>156</v>
      </c>
      <c r="DG34" s="680">
        <v>165</v>
      </c>
      <c r="DH34" s="680">
        <v>184</v>
      </c>
      <c r="DI34" s="36" t="s">
        <v>459</v>
      </c>
      <c r="DJ34" s="675">
        <f t="shared" si="25"/>
        <v>122.59951672389673</v>
      </c>
      <c r="DK34" s="673">
        <f t="shared" si="25"/>
        <v>124.90537471612414</v>
      </c>
      <c r="DL34" s="673">
        <f t="shared" si="25"/>
        <v>121.84249628528974</v>
      </c>
      <c r="DM34" s="673">
        <f t="shared" si="25"/>
        <v>121.75324675324676</v>
      </c>
      <c r="DN34" s="673">
        <f t="shared" si="25"/>
        <v>121.01910828025478</v>
      </c>
      <c r="DO34" s="673">
        <f t="shared" si="25"/>
        <v>120.61068702290076</v>
      </c>
      <c r="DP34" s="673">
        <f t="shared" si="25"/>
        <v>121.61115414407436</v>
      </c>
      <c r="DQ34" s="673">
        <f t="shared" si="25"/>
        <v>122.68518518518519</v>
      </c>
      <c r="DR34" s="673">
        <f t="shared" si="23"/>
        <v>126.02535421327369</v>
      </c>
      <c r="DS34" s="673">
        <f t="shared" si="23"/>
        <v>125</v>
      </c>
      <c r="DT34" s="673">
        <f t="shared" si="23"/>
        <v>122.16131558339859</v>
      </c>
      <c r="DU34" s="673">
        <f t="shared" si="23"/>
        <v>122.95081967213115</v>
      </c>
      <c r="DV34" s="673">
        <f t="shared" si="23"/>
        <v>120.89356110381078</v>
      </c>
    </row>
    <row r="35" spans="1:127" ht="12.25" customHeight="1">
      <c r="A35" s="36" t="s">
        <v>460</v>
      </c>
      <c r="B35" s="681">
        <f t="shared" si="12"/>
        <v>81</v>
      </c>
      <c r="C35" s="680">
        <v>8</v>
      </c>
      <c r="D35" s="680">
        <v>8</v>
      </c>
      <c r="E35" s="680">
        <v>8</v>
      </c>
      <c r="F35" s="680">
        <v>8</v>
      </c>
      <c r="G35" s="680">
        <v>11</v>
      </c>
      <c r="H35" s="680">
        <v>9</v>
      </c>
      <c r="I35" s="680">
        <v>9</v>
      </c>
      <c r="J35" s="680">
        <v>10</v>
      </c>
      <c r="K35" s="680">
        <v>10</v>
      </c>
      <c r="L35" s="680">
        <v>0</v>
      </c>
      <c r="M35" s="680">
        <v>0</v>
      </c>
      <c r="N35" s="680">
        <v>0</v>
      </c>
      <c r="O35" s="36" t="s">
        <v>460</v>
      </c>
      <c r="P35" s="711">
        <f t="shared" si="13"/>
        <v>0</v>
      </c>
      <c r="Q35" s="709">
        <v>0</v>
      </c>
      <c r="R35" s="709">
        <v>0</v>
      </c>
      <c r="S35" s="709">
        <v>0</v>
      </c>
      <c r="T35" s="709">
        <v>0</v>
      </c>
      <c r="U35" s="709">
        <v>0</v>
      </c>
      <c r="V35" s="709">
        <v>0</v>
      </c>
      <c r="W35" s="709">
        <v>0</v>
      </c>
      <c r="X35" s="709">
        <v>0</v>
      </c>
      <c r="Y35" s="709">
        <v>0</v>
      </c>
      <c r="Z35" s="709">
        <v>0</v>
      </c>
      <c r="AA35" s="709">
        <v>0</v>
      </c>
      <c r="AB35" s="709">
        <v>0</v>
      </c>
      <c r="AC35" s="36" t="s">
        <v>460</v>
      </c>
      <c r="AD35" s="689">
        <f t="shared" si="24"/>
        <v>0</v>
      </c>
      <c r="AE35" s="685">
        <f t="shared" si="24"/>
        <v>0</v>
      </c>
      <c r="AF35" s="685">
        <f t="shared" si="24"/>
        <v>0</v>
      </c>
      <c r="AG35" s="685">
        <f t="shared" si="24"/>
        <v>0</v>
      </c>
      <c r="AH35" s="685">
        <f t="shared" si="24"/>
        <v>0</v>
      </c>
      <c r="AI35" s="685">
        <f t="shared" si="24"/>
        <v>0</v>
      </c>
      <c r="AJ35" s="685">
        <f t="shared" si="24"/>
        <v>0</v>
      </c>
      <c r="AK35" s="685">
        <f t="shared" si="24"/>
        <v>0</v>
      </c>
      <c r="AL35" s="685">
        <f t="shared" si="24"/>
        <v>0</v>
      </c>
      <c r="AM35" s="685">
        <f t="shared" si="18"/>
        <v>0</v>
      </c>
      <c r="AN35" s="685">
        <v>0</v>
      </c>
      <c r="AO35" s="685">
        <v>0</v>
      </c>
      <c r="AP35" s="685">
        <v>0</v>
      </c>
      <c r="AQ35" s="36" t="s">
        <v>460</v>
      </c>
      <c r="AR35" s="699">
        <f t="shared" si="14"/>
        <v>13010</v>
      </c>
      <c r="AS35" s="701">
        <v>918</v>
      </c>
      <c r="AT35" s="701">
        <v>1146</v>
      </c>
      <c r="AU35" s="701">
        <v>1558</v>
      </c>
      <c r="AV35" s="701">
        <v>1514</v>
      </c>
      <c r="AW35" s="701">
        <v>995</v>
      </c>
      <c r="AX35" s="701">
        <v>1030</v>
      </c>
      <c r="AY35" s="701">
        <v>1034</v>
      </c>
      <c r="AZ35" s="701">
        <v>1174</v>
      </c>
      <c r="BA35" s="701">
        <v>1009</v>
      </c>
      <c r="BB35" s="701">
        <v>795</v>
      </c>
      <c r="BC35" s="701">
        <v>825</v>
      </c>
      <c r="BD35" s="701">
        <v>1012</v>
      </c>
      <c r="BE35" s="36" t="s">
        <v>460</v>
      </c>
      <c r="BF35" s="681">
        <f t="shared" si="15"/>
        <v>861</v>
      </c>
      <c r="BG35" s="693">
        <v>54</v>
      </c>
      <c r="BH35" s="693">
        <v>88</v>
      </c>
      <c r="BI35" s="693">
        <v>106</v>
      </c>
      <c r="BJ35" s="693">
        <v>108</v>
      </c>
      <c r="BK35" s="693">
        <v>58</v>
      </c>
      <c r="BL35" s="693">
        <v>64</v>
      </c>
      <c r="BM35" s="693">
        <v>66</v>
      </c>
      <c r="BN35" s="693">
        <v>75</v>
      </c>
      <c r="BO35" s="693">
        <v>64</v>
      </c>
      <c r="BP35" s="693">
        <v>54</v>
      </c>
      <c r="BQ35" s="693">
        <v>56</v>
      </c>
      <c r="BR35" s="693">
        <v>68</v>
      </c>
      <c r="BS35" s="36" t="s">
        <v>460</v>
      </c>
      <c r="BT35" s="688">
        <f t="shared" si="22"/>
        <v>66.179861644888547</v>
      </c>
      <c r="BU35" s="684">
        <f t="shared" si="22"/>
        <v>58.823529411764703</v>
      </c>
      <c r="BV35" s="684">
        <f t="shared" si="22"/>
        <v>76.788830715532285</v>
      </c>
      <c r="BW35" s="684">
        <f t="shared" si="22"/>
        <v>68.035943517329912</v>
      </c>
      <c r="BX35" s="684">
        <f t="shared" si="22"/>
        <v>71.334214002642</v>
      </c>
      <c r="BY35" s="684">
        <f t="shared" si="22"/>
        <v>58.291457286432163</v>
      </c>
      <c r="BZ35" s="684">
        <f t="shared" si="22"/>
        <v>62.135922330097088</v>
      </c>
      <c r="CA35" s="684">
        <f t="shared" si="22"/>
        <v>63.829787234042549</v>
      </c>
      <c r="CB35" s="684">
        <f t="shared" si="22"/>
        <v>63.88415672913117</v>
      </c>
      <c r="CC35" s="684">
        <f t="shared" si="22"/>
        <v>63.429137760158568</v>
      </c>
      <c r="CD35" s="684">
        <f t="shared" si="22"/>
        <v>67.924528301886795</v>
      </c>
      <c r="CE35" s="684">
        <f t="shared" si="22"/>
        <v>67.87878787878789</v>
      </c>
      <c r="CF35" s="684">
        <f t="shared" si="22"/>
        <v>67.193675889328063</v>
      </c>
      <c r="CG35" s="36" t="s">
        <v>460</v>
      </c>
      <c r="CH35" s="681">
        <f t="shared" si="16"/>
        <v>8864</v>
      </c>
      <c r="CI35" s="680">
        <v>885</v>
      </c>
      <c r="CJ35" s="680">
        <v>731</v>
      </c>
      <c r="CK35" s="680">
        <v>797</v>
      </c>
      <c r="CL35" s="680">
        <v>748</v>
      </c>
      <c r="CM35" s="680">
        <v>890</v>
      </c>
      <c r="CN35" s="680">
        <v>687</v>
      </c>
      <c r="CO35" s="680">
        <v>571</v>
      </c>
      <c r="CP35" s="680">
        <v>745</v>
      </c>
      <c r="CQ35" s="680">
        <v>709</v>
      </c>
      <c r="CR35" s="680">
        <v>640</v>
      </c>
      <c r="CS35" s="680">
        <v>674</v>
      </c>
      <c r="CT35" s="680">
        <v>787</v>
      </c>
      <c r="CU35" s="36" t="s">
        <v>460</v>
      </c>
      <c r="CV35" s="681">
        <f t="shared" si="17"/>
        <v>1479</v>
      </c>
      <c r="CW35" s="680">
        <v>159</v>
      </c>
      <c r="CX35" s="680">
        <v>143</v>
      </c>
      <c r="CY35" s="680">
        <v>140</v>
      </c>
      <c r="CZ35" s="680">
        <v>132</v>
      </c>
      <c r="DA35" s="680">
        <v>160</v>
      </c>
      <c r="DB35" s="680">
        <v>111</v>
      </c>
      <c r="DC35" s="680">
        <v>92</v>
      </c>
      <c r="DD35" s="680">
        <v>114</v>
      </c>
      <c r="DE35" s="680">
        <v>118</v>
      </c>
      <c r="DF35" s="680">
        <v>107</v>
      </c>
      <c r="DG35" s="680">
        <v>91</v>
      </c>
      <c r="DH35" s="680">
        <v>112</v>
      </c>
      <c r="DI35" s="36" t="s">
        <v>460</v>
      </c>
      <c r="DJ35" s="675">
        <f t="shared" si="25"/>
        <v>166.85469314079424</v>
      </c>
      <c r="DK35" s="673">
        <f t="shared" si="25"/>
        <v>179.66101694915255</v>
      </c>
      <c r="DL35" s="673">
        <f t="shared" si="25"/>
        <v>195.62243502051984</v>
      </c>
      <c r="DM35" s="673">
        <f t="shared" si="25"/>
        <v>175.65872020075281</v>
      </c>
      <c r="DN35" s="673">
        <f t="shared" si="25"/>
        <v>176.47058823529412</v>
      </c>
      <c r="DO35" s="673">
        <f t="shared" si="25"/>
        <v>179.77528089887639</v>
      </c>
      <c r="DP35" s="673">
        <f t="shared" si="25"/>
        <v>161.5720524017467</v>
      </c>
      <c r="DQ35" s="673">
        <f t="shared" si="25"/>
        <v>161.12084063047286</v>
      </c>
      <c r="DR35" s="673">
        <f t="shared" si="23"/>
        <v>153.02013422818791</v>
      </c>
      <c r="DS35" s="673">
        <f t="shared" si="23"/>
        <v>166.43159379407615</v>
      </c>
      <c r="DT35" s="673">
        <f t="shared" si="23"/>
        <v>167.1875</v>
      </c>
      <c r="DU35" s="673">
        <f t="shared" si="23"/>
        <v>135.01483679525222</v>
      </c>
      <c r="DV35" s="673">
        <f t="shared" si="23"/>
        <v>142.31257941550192</v>
      </c>
    </row>
    <row r="36" spans="1:127" ht="12.25" customHeight="1" thickBot="1">
      <c r="A36" s="654" t="s">
        <v>461</v>
      </c>
      <c r="B36" s="696">
        <v>0</v>
      </c>
      <c r="C36" s="697">
        <v>0</v>
      </c>
      <c r="D36" s="697">
        <v>0</v>
      </c>
      <c r="E36" s="697">
        <v>0</v>
      </c>
      <c r="F36" s="697">
        <v>0</v>
      </c>
      <c r="G36" s="697">
        <v>0</v>
      </c>
      <c r="H36" s="697">
        <v>0</v>
      </c>
      <c r="I36" s="697">
        <v>0</v>
      </c>
      <c r="J36" s="697">
        <v>0</v>
      </c>
      <c r="K36" s="697">
        <v>0</v>
      </c>
      <c r="L36" s="697">
        <v>0</v>
      </c>
      <c r="M36" s="697">
        <v>0</v>
      </c>
      <c r="N36" s="697">
        <v>0</v>
      </c>
      <c r="O36" s="654" t="s">
        <v>461</v>
      </c>
      <c r="P36" s="712">
        <v>0</v>
      </c>
      <c r="Q36" s="710">
        <v>0</v>
      </c>
      <c r="R36" s="710">
        <v>0</v>
      </c>
      <c r="S36" s="710">
        <v>0</v>
      </c>
      <c r="T36" s="710">
        <v>0</v>
      </c>
      <c r="U36" s="710">
        <v>0</v>
      </c>
      <c r="V36" s="710">
        <v>0</v>
      </c>
      <c r="W36" s="710">
        <v>0</v>
      </c>
      <c r="X36" s="710">
        <v>0</v>
      </c>
      <c r="Y36" s="710">
        <v>0</v>
      </c>
      <c r="Z36" s="710">
        <v>0</v>
      </c>
      <c r="AA36" s="710">
        <v>0</v>
      </c>
      <c r="AB36" s="710">
        <v>0</v>
      </c>
      <c r="AC36" s="654" t="s">
        <v>461</v>
      </c>
      <c r="AD36" s="690" t="s">
        <v>50</v>
      </c>
      <c r="AE36" s="686" t="s">
        <v>81</v>
      </c>
      <c r="AF36" s="686" t="s">
        <v>81</v>
      </c>
      <c r="AG36" s="686" t="s">
        <v>81</v>
      </c>
      <c r="AH36" s="686" t="s">
        <v>81</v>
      </c>
      <c r="AI36" s="686" t="s">
        <v>81</v>
      </c>
      <c r="AJ36" s="686" t="s">
        <v>81</v>
      </c>
      <c r="AK36" s="686" t="s">
        <v>81</v>
      </c>
      <c r="AL36" s="686" t="s">
        <v>81</v>
      </c>
      <c r="AM36" s="686" t="s">
        <v>81</v>
      </c>
      <c r="AN36" s="686" t="s">
        <v>81</v>
      </c>
      <c r="AO36" s="686" t="s">
        <v>81</v>
      </c>
      <c r="AP36" s="686" t="s">
        <v>81</v>
      </c>
      <c r="AQ36" s="654" t="s">
        <v>461</v>
      </c>
      <c r="AR36" s="704" t="s">
        <v>598</v>
      </c>
      <c r="AS36" s="705">
        <v>0</v>
      </c>
      <c r="AT36" s="705">
        <v>0</v>
      </c>
      <c r="AU36" s="705">
        <v>0</v>
      </c>
      <c r="AV36" s="705">
        <v>0</v>
      </c>
      <c r="AW36" s="705">
        <v>0</v>
      </c>
      <c r="AX36" s="705">
        <v>0</v>
      </c>
      <c r="AY36" s="705">
        <v>0</v>
      </c>
      <c r="AZ36" s="705">
        <v>0</v>
      </c>
      <c r="BA36" s="705">
        <v>0</v>
      </c>
      <c r="BB36" s="705">
        <v>0</v>
      </c>
      <c r="BC36" s="705">
        <v>0</v>
      </c>
      <c r="BD36" s="705">
        <v>0</v>
      </c>
      <c r="BE36" s="654" t="s">
        <v>461</v>
      </c>
      <c r="BF36" s="696" t="s">
        <v>81</v>
      </c>
      <c r="BG36" s="697">
        <v>0</v>
      </c>
      <c r="BH36" s="697">
        <v>0</v>
      </c>
      <c r="BI36" s="697">
        <v>0</v>
      </c>
      <c r="BJ36" s="697">
        <v>0</v>
      </c>
      <c r="BK36" s="697">
        <v>0</v>
      </c>
      <c r="BL36" s="697">
        <v>0</v>
      </c>
      <c r="BM36" s="697">
        <v>0</v>
      </c>
      <c r="BN36" s="697">
        <v>0</v>
      </c>
      <c r="BO36" s="697">
        <v>0</v>
      </c>
      <c r="BP36" s="697">
        <v>0</v>
      </c>
      <c r="BQ36" s="697">
        <v>0</v>
      </c>
      <c r="BR36" s="697">
        <v>0</v>
      </c>
      <c r="BS36" s="654" t="s">
        <v>461</v>
      </c>
      <c r="BT36" s="690" t="s">
        <v>81</v>
      </c>
      <c r="BU36" s="686" t="s">
        <v>81</v>
      </c>
      <c r="BV36" s="686" t="s">
        <v>81</v>
      </c>
      <c r="BW36" s="686" t="s">
        <v>81</v>
      </c>
      <c r="BX36" s="686" t="s">
        <v>81</v>
      </c>
      <c r="BY36" s="686" t="s">
        <v>81</v>
      </c>
      <c r="BZ36" s="686" t="s">
        <v>81</v>
      </c>
      <c r="CA36" s="686" t="s">
        <v>81</v>
      </c>
      <c r="CB36" s="686" t="s">
        <v>81</v>
      </c>
      <c r="CC36" s="686" t="s">
        <v>81</v>
      </c>
      <c r="CD36" s="686" t="s">
        <v>81</v>
      </c>
      <c r="CE36" s="686" t="s">
        <v>81</v>
      </c>
      <c r="CF36" s="686" t="s">
        <v>81</v>
      </c>
      <c r="CG36" s="654" t="s">
        <v>461</v>
      </c>
      <c r="CH36" s="682">
        <f t="shared" si="16"/>
        <v>13638</v>
      </c>
      <c r="CI36" s="683">
        <v>1096</v>
      </c>
      <c r="CJ36" s="683">
        <v>1033</v>
      </c>
      <c r="CK36" s="683">
        <v>1153</v>
      </c>
      <c r="CL36" s="683">
        <v>1061</v>
      </c>
      <c r="CM36" s="683">
        <v>1116</v>
      </c>
      <c r="CN36" s="683">
        <v>1100</v>
      </c>
      <c r="CO36" s="683">
        <v>1121</v>
      </c>
      <c r="CP36" s="683">
        <v>1227</v>
      </c>
      <c r="CQ36" s="683">
        <v>1099</v>
      </c>
      <c r="CR36" s="683">
        <v>1352</v>
      </c>
      <c r="CS36" s="683">
        <v>1113</v>
      </c>
      <c r="CT36" s="683">
        <v>1167</v>
      </c>
      <c r="CU36" s="654" t="s">
        <v>461</v>
      </c>
      <c r="CV36" s="682">
        <f t="shared" si="17"/>
        <v>2206</v>
      </c>
      <c r="CW36" s="683">
        <v>180</v>
      </c>
      <c r="CX36" s="683">
        <v>171</v>
      </c>
      <c r="CY36" s="683">
        <v>187</v>
      </c>
      <c r="CZ36" s="683">
        <v>174</v>
      </c>
      <c r="DA36" s="683">
        <v>182</v>
      </c>
      <c r="DB36" s="683">
        <v>151</v>
      </c>
      <c r="DC36" s="683">
        <v>182</v>
      </c>
      <c r="DD36" s="683">
        <v>200</v>
      </c>
      <c r="DE36" s="683">
        <v>180</v>
      </c>
      <c r="DF36" s="683">
        <v>222</v>
      </c>
      <c r="DG36" s="683">
        <v>183</v>
      </c>
      <c r="DH36" s="683">
        <v>194</v>
      </c>
      <c r="DI36" s="654" t="s">
        <v>461</v>
      </c>
      <c r="DJ36" s="676">
        <f t="shared" si="25"/>
        <v>161.75392286258983</v>
      </c>
      <c r="DK36" s="674">
        <f t="shared" si="25"/>
        <v>164.23357664233575</v>
      </c>
      <c r="DL36" s="674">
        <f t="shared" si="25"/>
        <v>165.53727008712488</v>
      </c>
      <c r="DM36" s="674">
        <f t="shared" si="25"/>
        <v>162.18560277536861</v>
      </c>
      <c r="DN36" s="674">
        <f t="shared" si="25"/>
        <v>163.99622997172477</v>
      </c>
      <c r="DO36" s="674">
        <f t="shared" si="25"/>
        <v>163.08243727598568</v>
      </c>
      <c r="DP36" s="674">
        <f t="shared" si="25"/>
        <v>137.27272727272728</v>
      </c>
      <c r="DQ36" s="674">
        <f t="shared" si="25"/>
        <v>162.35504014272971</v>
      </c>
      <c r="DR36" s="674">
        <f t="shared" si="23"/>
        <v>162.99918500407497</v>
      </c>
      <c r="DS36" s="674">
        <f t="shared" si="23"/>
        <v>163.78525932666059</v>
      </c>
      <c r="DT36" s="674">
        <f t="shared" si="23"/>
        <v>164.20118343195267</v>
      </c>
      <c r="DU36" s="674">
        <f t="shared" si="23"/>
        <v>164.42048517520217</v>
      </c>
      <c r="DV36" s="674">
        <f t="shared" si="23"/>
        <v>166.23821765209939</v>
      </c>
    </row>
    <row r="37" spans="1:127" ht="10" customHeight="1">
      <c r="A37" s="28" t="s">
        <v>238</v>
      </c>
      <c r="B37" s="537"/>
      <c r="C37" s="537"/>
      <c r="D37" s="537"/>
      <c r="E37" s="537"/>
      <c r="F37" s="537"/>
      <c r="G37" s="537"/>
      <c r="H37" s="537"/>
      <c r="I37" s="537"/>
      <c r="J37" s="655"/>
      <c r="K37" s="655"/>
      <c r="L37" s="655"/>
      <c r="M37" s="655"/>
      <c r="N37" s="655"/>
      <c r="O37" s="28" t="s">
        <v>238</v>
      </c>
      <c r="P37" s="537"/>
      <c r="Q37" s="537"/>
      <c r="R37" s="537"/>
      <c r="S37" s="537"/>
      <c r="T37" s="537"/>
      <c r="U37" s="537"/>
      <c r="V37" s="537"/>
      <c r="W37" s="537"/>
      <c r="X37" s="656"/>
      <c r="Y37" s="656"/>
      <c r="Z37" s="656"/>
      <c r="AA37" s="656"/>
      <c r="AB37" s="656"/>
      <c r="AC37" s="28" t="s">
        <v>238</v>
      </c>
      <c r="AD37" s="537"/>
      <c r="AE37" s="537"/>
      <c r="AF37" s="537"/>
      <c r="AG37" s="537"/>
      <c r="AH37" s="537"/>
      <c r="AI37" s="537"/>
      <c r="AJ37" s="537"/>
      <c r="AK37" s="537"/>
      <c r="AL37" s="657"/>
      <c r="AM37" s="657"/>
      <c r="AN37" s="657"/>
      <c r="AO37" s="657"/>
      <c r="AP37" s="657"/>
      <c r="AQ37" s="28" t="s">
        <v>238</v>
      </c>
      <c r="AR37" s="537"/>
      <c r="AS37" s="537"/>
      <c r="AT37" s="537"/>
      <c r="AU37" s="537"/>
      <c r="AV37" s="537"/>
      <c r="AW37" s="537"/>
      <c r="AX37" s="537"/>
      <c r="AY37" s="537"/>
      <c r="AZ37" s="655"/>
      <c r="BA37" s="655"/>
      <c r="BB37" s="655"/>
      <c r="BC37" s="655"/>
      <c r="BD37" s="655"/>
      <c r="BE37" s="28" t="s">
        <v>238</v>
      </c>
      <c r="BF37" s="537"/>
      <c r="BG37" s="537"/>
      <c r="BH37" s="537"/>
      <c r="BI37" s="537"/>
      <c r="BJ37" s="537"/>
      <c r="BK37" s="537"/>
      <c r="BL37" s="537"/>
      <c r="BM37" s="537"/>
      <c r="BN37" s="656"/>
      <c r="BO37" s="656"/>
      <c r="BP37" s="656"/>
      <c r="BQ37" s="656"/>
      <c r="BR37" s="656"/>
      <c r="BS37" s="28" t="s">
        <v>238</v>
      </c>
      <c r="BT37" s="537"/>
      <c r="BU37" s="537"/>
      <c r="BV37" s="537"/>
      <c r="BW37" s="537"/>
      <c r="BX37" s="537"/>
      <c r="BY37" s="537"/>
      <c r="BZ37" s="537"/>
      <c r="CA37" s="537"/>
      <c r="CB37" s="656"/>
      <c r="CC37" s="656"/>
      <c r="CD37" s="656"/>
      <c r="CE37" s="656"/>
      <c r="CF37" s="656"/>
      <c r="CG37" s="28" t="s">
        <v>238</v>
      </c>
      <c r="CH37" s="537"/>
      <c r="CI37" s="537"/>
      <c r="CJ37" s="537"/>
      <c r="CK37" s="537"/>
      <c r="CL37" s="537"/>
      <c r="CM37" s="537"/>
      <c r="CN37" s="537"/>
      <c r="CO37" s="537"/>
      <c r="CP37" s="655"/>
      <c r="CQ37" s="655"/>
      <c r="CR37" s="655"/>
      <c r="CS37" s="655"/>
      <c r="CT37" s="655"/>
      <c r="CU37" s="28" t="s">
        <v>238</v>
      </c>
      <c r="CV37" s="537"/>
      <c r="CW37" s="537"/>
      <c r="CX37" s="537"/>
      <c r="CY37" s="537"/>
      <c r="CZ37" s="537"/>
      <c r="DA37" s="537"/>
      <c r="DB37" s="537"/>
      <c r="DC37" s="537"/>
      <c r="DD37" s="656"/>
      <c r="DE37" s="656"/>
      <c r="DF37" s="656"/>
      <c r="DG37" s="656"/>
      <c r="DH37" s="656"/>
      <c r="DI37" s="28" t="s">
        <v>238</v>
      </c>
      <c r="DJ37" s="537"/>
      <c r="DK37" s="537"/>
      <c r="DL37" s="537"/>
      <c r="DM37" s="537"/>
      <c r="DN37" s="537"/>
      <c r="DO37" s="537"/>
      <c r="DP37" s="537"/>
      <c r="DQ37" s="537"/>
      <c r="DR37" s="656"/>
      <c r="DS37" s="656"/>
      <c r="DT37" s="656"/>
      <c r="DU37" s="656"/>
      <c r="DV37" s="656"/>
      <c r="DW37" s="40"/>
    </row>
    <row r="38" spans="1:127" ht="10" customHeight="1">
      <c r="A38" s="28" t="s">
        <v>192</v>
      </c>
      <c r="B38" s="537"/>
      <c r="C38" s="537"/>
      <c r="D38" s="537"/>
      <c r="E38" s="537"/>
      <c r="F38" s="537"/>
      <c r="G38" s="537"/>
      <c r="H38" s="537"/>
      <c r="I38" s="537"/>
      <c r="J38" s="655"/>
      <c r="K38" s="655"/>
      <c r="L38" s="658"/>
      <c r="M38" s="659"/>
      <c r="N38" s="655"/>
      <c r="O38" s="28" t="s">
        <v>192</v>
      </c>
      <c r="P38" s="537"/>
      <c r="Q38" s="537"/>
      <c r="R38" s="537"/>
      <c r="S38" s="537"/>
      <c r="T38" s="537"/>
      <c r="U38" s="537"/>
      <c r="V38" s="537"/>
      <c r="W38" s="537"/>
      <c r="X38" s="655"/>
      <c r="Y38" s="655"/>
      <c r="Z38" s="658"/>
      <c r="AA38" s="659"/>
      <c r="AB38" s="655"/>
      <c r="AC38" s="28" t="s">
        <v>192</v>
      </c>
      <c r="AD38" s="537"/>
      <c r="AE38" s="537"/>
      <c r="AF38" s="537"/>
      <c r="AG38" s="537"/>
      <c r="AH38" s="537"/>
      <c r="AI38" s="537"/>
      <c r="AJ38" s="537"/>
      <c r="AK38" s="537"/>
      <c r="AL38" s="657"/>
      <c r="AM38" s="657"/>
      <c r="AN38" s="657"/>
      <c r="AO38" s="657"/>
      <c r="AP38" s="657"/>
      <c r="AQ38" s="28" t="s">
        <v>192</v>
      </c>
      <c r="AR38" s="537"/>
      <c r="AS38" s="537"/>
      <c r="AT38" s="537"/>
      <c r="AU38" s="537"/>
      <c r="AV38" s="537"/>
      <c r="AW38" s="537"/>
      <c r="AX38" s="537"/>
      <c r="AY38" s="537"/>
      <c r="AZ38" s="660"/>
      <c r="BA38" s="655"/>
      <c r="BB38" s="658"/>
      <c r="BC38" s="659"/>
      <c r="BD38" s="655"/>
      <c r="BE38" s="28" t="s">
        <v>192</v>
      </c>
      <c r="BF38" s="537"/>
      <c r="BG38" s="537"/>
      <c r="BH38" s="537"/>
      <c r="BI38" s="537"/>
      <c r="BJ38" s="537"/>
      <c r="BK38" s="537"/>
      <c r="BL38" s="537"/>
      <c r="BM38" s="537"/>
      <c r="BN38" s="660"/>
      <c r="BO38" s="655"/>
      <c r="BP38" s="658"/>
      <c r="BQ38" s="659"/>
      <c r="BR38" s="655"/>
      <c r="BS38" s="28" t="s">
        <v>192</v>
      </c>
      <c r="BT38" s="537"/>
      <c r="BU38" s="537"/>
      <c r="BV38" s="537"/>
      <c r="BW38" s="537"/>
      <c r="BX38" s="537"/>
      <c r="BY38" s="537"/>
      <c r="BZ38" s="537"/>
      <c r="CA38" s="537"/>
      <c r="CB38" s="660"/>
      <c r="CC38" s="655"/>
      <c r="CD38" s="658"/>
      <c r="CE38" s="659"/>
      <c r="CF38" s="655"/>
      <c r="CG38" s="28" t="s">
        <v>192</v>
      </c>
      <c r="CH38" s="537"/>
      <c r="CI38" s="537"/>
      <c r="CJ38" s="537"/>
      <c r="CK38" s="537"/>
      <c r="CL38" s="537"/>
      <c r="CM38" s="537"/>
      <c r="CN38" s="537"/>
      <c r="CO38" s="537"/>
      <c r="CP38" s="655"/>
      <c r="CQ38" s="655"/>
      <c r="CR38" s="658"/>
      <c r="CS38" s="659"/>
      <c r="CT38" s="655"/>
      <c r="CU38" s="28" t="s">
        <v>192</v>
      </c>
      <c r="CV38" s="537"/>
      <c r="CW38" s="537"/>
      <c r="CX38" s="537"/>
      <c r="CY38" s="537"/>
      <c r="CZ38" s="537"/>
      <c r="DA38" s="537"/>
      <c r="DB38" s="537"/>
      <c r="DC38" s="537"/>
      <c r="DD38" s="655"/>
      <c r="DE38" s="655"/>
      <c r="DF38" s="658"/>
      <c r="DG38" s="659"/>
      <c r="DH38" s="655"/>
      <c r="DI38" s="28" t="s">
        <v>192</v>
      </c>
      <c r="DJ38" s="537"/>
      <c r="DK38" s="537"/>
      <c r="DL38" s="537"/>
      <c r="DM38" s="537"/>
      <c r="DN38" s="537"/>
      <c r="DO38" s="537"/>
      <c r="DP38" s="537"/>
      <c r="DQ38" s="537"/>
      <c r="DR38" s="655"/>
      <c r="DS38" s="655"/>
      <c r="DT38" s="658"/>
      <c r="DU38" s="659"/>
      <c r="DV38" s="655"/>
      <c r="DW38" s="40"/>
    </row>
    <row r="39" spans="1:127" s="34" customFormat="1" ht="10" customHeight="1">
      <c r="A39" s="40" t="s">
        <v>261</v>
      </c>
      <c r="B39" s="537"/>
      <c r="C39" s="537"/>
      <c r="D39" s="537"/>
      <c r="E39" s="537"/>
      <c r="F39" s="537"/>
      <c r="G39" s="537"/>
      <c r="H39" s="537"/>
      <c r="I39" s="537"/>
      <c r="J39" s="658"/>
      <c r="K39" s="658"/>
      <c r="L39" s="658"/>
      <c r="M39" s="661"/>
      <c r="N39" s="658"/>
      <c r="O39" s="40" t="s">
        <v>261</v>
      </c>
      <c r="P39" s="537"/>
      <c r="Q39" s="537"/>
      <c r="R39" s="537"/>
      <c r="S39" s="537"/>
      <c r="T39" s="537"/>
      <c r="U39" s="537"/>
      <c r="V39" s="537"/>
      <c r="W39" s="537"/>
      <c r="X39" s="658"/>
      <c r="Y39" s="658"/>
      <c r="Z39" s="658"/>
      <c r="AA39" s="661"/>
      <c r="AB39" s="658"/>
      <c r="AC39" s="40" t="s">
        <v>261</v>
      </c>
      <c r="AD39" s="537"/>
      <c r="AE39" s="537"/>
      <c r="AF39" s="537"/>
      <c r="AG39" s="537"/>
      <c r="AH39" s="537"/>
      <c r="AI39" s="537"/>
      <c r="AJ39" s="537"/>
      <c r="AK39" s="537"/>
      <c r="AL39" s="662"/>
      <c r="AM39" s="662"/>
      <c r="AN39" s="662"/>
      <c r="AO39" s="662"/>
      <c r="AP39" s="662"/>
      <c r="AQ39" s="40" t="s">
        <v>261</v>
      </c>
      <c r="AR39" s="537"/>
      <c r="AS39" s="537"/>
      <c r="AT39" s="537"/>
      <c r="AU39" s="537"/>
      <c r="AV39" s="537"/>
      <c r="AW39" s="537"/>
      <c r="AX39" s="537"/>
      <c r="AY39" s="537"/>
      <c r="AZ39" s="658"/>
      <c r="BA39" s="658"/>
      <c r="BB39" s="658"/>
      <c r="BC39" s="661"/>
      <c r="BD39" s="658"/>
      <c r="BE39" s="40" t="s">
        <v>261</v>
      </c>
      <c r="BF39" s="537"/>
      <c r="BG39" s="537"/>
      <c r="BH39" s="537"/>
      <c r="BI39" s="537"/>
      <c r="BJ39" s="537"/>
      <c r="BK39" s="537"/>
      <c r="BL39" s="537"/>
      <c r="BM39" s="537"/>
      <c r="BN39" s="658"/>
      <c r="BO39" s="658"/>
      <c r="BP39" s="658"/>
      <c r="BQ39" s="661"/>
      <c r="BR39" s="658"/>
      <c r="BS39" s="40" t="s">
        <v>261</v>
      </c>
      <c r="BT39" s="537"/>
      <c r="BU39" s="537"/>
      <c r="BV39" s="537"/>
      <c r="BW39" s="537"/>
      <c r="BX39" s="537"/>
      <c r="BY39" s="537"/>
      <c r="BZ39" s="537"/>
      <c r="CA39" s="537"/>
      <c r="CB39" s="658"/>
      <c r="CC39" s="658"/>
      <c r="CD39" s="658"/>
      <c r="CE39" s="661"/>
      <c r="CF39" s="658"/>
      <c r="CG39" s="40" t="s">
        <v>261</v>
      </c>
      <c r="CH39" s="537"/>
      <c r="CI39" s="537"/>
      <c r="CJ39" s="537"/>
      <c r="CK39" s="537"/>
      <c r="CL39" s="537"/>
      <c r="CM39" s="537"/>
      <c r="CN39" s="537"/>
      <c r="CO39" s="537"/>
      <c r="CP39" s="658"/>
      <c r="CQ39" s="658"/>
      <c r="CR39" s="658"/>
      <c r="CS39" s="661"/>
      <c r="CT39" s="658"/>
      <c r="CU39" s="40" t="s">
        <v>261</v>
      </c>
      <c r="CV39" s="537"/>
      <c r="CW39" s="537"/>
      <c r="CX39" s="537"/>
      <c r="CY39" s="537"/>
      <c r="CZ39" s="537"/>
      <c r="DA39" s="537"/>
      <c r="DB39" s="537"/>
      <c r="DC39" s="537"/>
      <c r="DD39" s="658"/>
      <c r="DE39" s="658"/>
      <c r="DF39" s="658"/>
      <c r="DG39" s="661"/>
      <c r="DH39" s="658"/>
      <c r="DI39" s="40" t="s">
        <v>261</v>
      </c>
      <c r="DJ39" s="537"/>
      <c r="DK39" s="537"/>
      <c r="DL39" s="537"/>
      <c r="DM39" s="537"/>
      <c r="DN39" s="537"/>
      <c r="DO39" s="537"/>
      <c r="DP39" s="537"/>
      <c r="DQ39" s="537"/>
      <c r="DR39" s="658"/>
      <c r="DS39" s="658"/>
      <c r="DT39" s="658"/>
      <c r="DU39" s="661"/>
      <c r="DV39" s="658"/>
      <c r="DW39" s="663"/>
    </row>
    <row r="40" spans="1:127" s="34" customFormat="1" ht="13" customHeight="1">
      <c r="A40" s="12"/>
      <c r="B40" s="213"/>
      <c r="C40" s="213"/>
      <c r="D40" s="213"/>
      <c r="E40" s="213"/>
      <c r="F40" s="213"/>
      <c r="G40" s="213"/>
      <c r="H40" s="213"/>
      <c r="I40" s="213"/>
      <c r="J40" s="119"/>
      <c r="K40" s="119"/>
      <c r="L40" s="119"/>
      <c r="M40" s="119"/>
      <c r="N40" s="119"/>
      <c r="O40" s="12"/>
      <c r="P40" s="213"/>
      <c r="Q40" s="213"/>
      <c r="R40" s="213"/>
      <c r="S40" s="213"/>
      <c r="T40" s="213"/>
      <c r="U40" s="213"/>
      <c r="V40" s="213"/>
      <c r="W40" s="213"/>
      <c r="X40" s="120"/>
      <c r="Y40" s="120"/>
      <c r="Z40" s="120"/>
      <c r="AA40" s="120"/>
      <c r="AB40" s="120"/>
      <c r="AC40" s="12"/>
      <c r="AD40" s="213"/>
      <c r="AE40" s="213"/>
      <c r="AF40" s="213"/>
      <c r="AG40" s="213"/>
      <c r="AH40" s="213"/>
      <c r="AI40" s="213"/>
      <c r="AJ40" s="213"/>
      <c r="AK40" s="213"/>
      <c r="AL40" s="121"/>
      <c r="AM40" s="121"/>
      <c r="AN40" s="121"/>
      <c r="AO40" s="121"/>
      <c r="AP40" s="121"/>
      <c r="AQ40" s="12"/>
      <c r="AR40" s="213"/>
      <c r="AS40" s="213"/>
      <c r="AT40" s="213"/>
      <c r="AU40" s="213"/>
      <c r="AV40" s="213"/>
      <c r="AW40" s="213"/>
      <c r="AX40" s="213"/>
      <c r="AY40" s="213"/>
      <c r="AZ40" s="119"/>
      <c r="BA40" s="119"/>
      <c r="BB40" s="119"/>
      <c r="BC40" s="119"/>
      <c r="BD40" s="119"/>
      <c r="BE40" s="12"/>
      <c r="BF40" s="213"/>
      <c r="BG40" s="213"/>
      <c r="BH40" s="213"/>
      <c r="BI40" s="213"/>
      <c r="BJ40" s="213"/>
      <c r="BK40" s="213"/>
      <c r="BL40" s="213"/>
      <c r="BM40" s="213"/>
      <c r="BN40" s="120"/>
      <c r="BO40" s="120"/>
      <c r="BP40" s="120"/>
      <c r="BQ40" s="120"/>
      <c r="BR40" s="120"/>
      <c r="BS40" s="12"/>
      <c r="BT40" s="213"/>
      <c r="BU40" s="213"/>
      <c r="BV40" s="213"/>
      <c r="BW40" s="213"/>
      <c r="BX40" s="213"/>
      <c r="BY40" s="213"/>
      <c r="BZ40" s="213"/>
      <c r="CA40" s="213"/>
      <c r="CB40" s="120"/>
      <c r="CC40" s="120"/>
      <c r="CD40" s="120"/>
      <c r="CE40" s="120"/>
      <c r="CF40" s="120"/>
      <c r="CG40" s="12"/>
      <c r="CH40" s="213"/>
      <c r="CI40" s="213"/>
      <c r="CJ40" s="213"/>
      <c r="CK40" s="213"/>
      <c r="CL40" s="213"/>
      <c r="CM40" s="213"/>
      <c r="CN40" s="213"/>
      <c r="CO40" s="213"/>
      <c r="CP40" s="246"/>
      <c r="CQ40" s="246"/>
      <c r="CR40" s="246"/>
      <c r="CS40" s="246"/>
      <c r="CT40" s="246"/>
      <c r="CU40" s="12"/>
      <c r="CV40" s="213"/>
      <c r="CW40" s="213"/>
      <c r="CX40" s="213"/>
      <c r="CY40" s="213"/>
      <c r="CZ40" s="213"/>
      <c r="DA40" s="213"/>
      <c r="DB40" s="213"/>
      <c r="DC40" s="213"/>
      <c r="DD40" s="246"/>
      <c r="DE40" s="246"/>
      <c r="DF40" s="246"/>
      <c r="DG40" s="246"/>
      <c r="DH40" s="246"/>
      <c r="DI40" s="12"/>
      <c r="DJ40" s="213"/>
      <c r="DK40" s="213"/>
      <c r="DL40" s="213"/>
      <c r="DM40" s="213"/>
      <c r="DN40" s="213"/>
      <c r="DO40" s="213"/>
      <c r="DP40" s="213"/>
      <c r="DQ40" s="213"/>
      <c r="DR40" s="246"/>
      <c r="DS40" s="246"/>
      <c r="DT40" s="246"/>
      <c r="DU40" s="246"/>
      <c r="DV40" s="246"/>
    </row>
    <row r="41" spans="1:127" ht="13" customHeight="1">
      <c r="A41" s="141"/>
      <c r="B41" s="213"/>
      <c r="C41" s="213"/>
      <c r="D41" s="213"/>
      <c r="E41" s="213"/>
      <c r="F41" s="213"/>
      <c r="G41" s="213"/>
      <c r="H41" s="213"/>
      <c r="I41" s="213"/>
      <c r="J41" s="38"/>
      <c r="K41" s="38"/>
      <c r="L41" s="38"/>
      <c r="M41" s="38"/>
      <c r="N41" s="38"/>
      <c r="O41" s="141"/>
      <c r="P41" s="213"/>
      <c r="Q41" s="213"/>
      <c r="R41" s="213"/>
      <c r="S41" s="213"/>
      <c r="T41" s="213"/>
      <c r="U41" s="213"/>
      <c r="V41" s="213"/>
      <c r="W41" s="213"/>
      <c r="X41" s="39"/>
      <c r="Y41" s="39"/>
      <c r="Z41" s="39"/>
      <c r="AA41" s="39"/>
      <c r="AB41" s="39"/>
      <c r="AC41" s="141"/>
      <c r="AD41" s="213"/>
      <c r="AE41" s="213"/>
      <c r="AF41" s="213"/>
      <c r="AG41" s="213"/>
      <c r="AH41" s="213"/>
      <c r="AI41" s="213"/>
      <c r="AJ41" s="213"/>
      <c r="AK41" s="213"/>
      <c r="AL41" s="41"/>
      <c r="AM41" s="41"/>
      <c r="AN41" s="41"/>
      <c r="AO41" s="41"/>
      <c r="AP41" s="41"/>
      <c r="AQ41" s="141"/>
      <c r="AR41" s="213"/>
      <c r="AS41" s="213"/>
      <c r="AT41" s="213"/>
      <c r="AU41" s="213"/>
      <c r="AV41" s="213"/>
      <c r="AW41" s="213"/>
      <c r="AX41" s="213"/>
      <c r="AY41" s="213"/>
      <c r="AZ41" s="42"/>
      <c r="BA41" s="42"/>
      <c r="BB41" s="42"/>
      <c r="BC41" s="42"/>
      <c r="BD41" s="42"/>
      <c r="BE41" s="141"/>
      <c r="BF41" s="213"/>
      <c r="BG41" s="213"/>
      <c r="BH41" s="213"/>
      <c r="BI41" s="213"/>
      <c r="BJ41" s="213"/>
      <c r="BK41" s="213"/>
      <c r="BL41" s="213"/>
      <c r="BM41" s="213"/>
      <c r="BN41" s="43"/>
      <c r="BO41" s="43"/>
      <c r="BP41" s="43"/>
      <c r="BQ41" s="43"/>
      <c r="BR41" s="43"/>
      <c r="BS41" s="141"/>
      <c r="BT41" s="213"/>
      <c r="BU41" s="213"/>
      <c r="BV41" s="213"/>
      <c r="BW41" s="213"/>
      <c r="BX41" s="213"/>
      <c r="BY41" s="213"/>
      <c r="BZ41" s="213"/>
      <c r="CA41" s="213"/>
      <c r="CB41" s="43"/>
      <c r="CC41" s="43"/>
      <c r="CD41" s="43"/>
      <c r="CE41" s="43"/>
      <c r="CF41" s="43"/>
      <c r="CG41" s="141"/>
      <c r="CH41" s="213"/>
      <c r="CI41" s="213"/>
      <c r="CJ41" s="213"/>
      <c r="CK41" s="213"/>
      <c r="CL41" s="213"/>
      <c r="CM41" s="213"/>
      <c r="CN41" s="213"/>
      <c r="CO41" s="213"/>
      <c r="CP41" s="38"/>
      <c r="CQ41" s="38"/>
      <c r="CR41" s="38"/>
      <c r="CS41" s="38"/>
      <c r="CT41" s="38"/>
      <c r="CU41" s="141"/>
      <c r="CV41" s="213"/>
      <c r="CW41" s="213"/>
      <c r="CX41" s="213"/>
      <c r="CY41" s="213"/>
      <c r="CZ41" s="213"/>
      <c r="DA41" s="213"/>
      <c r="DB41" s="213"/>
      <c r="DC41" s="213"/>
      <c r="DD41" s="38"/>
      <c r="DE41" s="38"/>
      <c r="DF41" s="38"/>
      <c r="DG41" s="38"/>
      <c r="DH41" s="38"/>
      <c r="DI41" s="141"/>
      <c r="DJ41" s="213"/>
      <c r="DK41" s="213"/>
      <c r="DL41" s="213"/>
      <c r="DM41" s="213"/>
      <c r="DN41" s="213"/>
      <c r="DO41" s="213"/>
      <c r="DP41" s="213"/>
      <c r="DQ41" s="213"/>
      <c r="DR41" s="120"/>
      <c r="DS41" s="120"/>
      <c r="DT41" s="120"/>
      <c r="DU41" s="120"/>
      <c r="DV41" s="120"/>
    </row>
    <row r="42" spans="1:127" ht="13" customHeight="1">
      <c r="A42" s="191"/>
      <c r="B42" s="213"/>
      <c r="C42" s="213"/>
      <c r="D42" s="213"/>
      <c r="E42" s="213"/>
      <c r="F42" s="213"/>
      <c r="G42" s="213"/>
      <c r="H42" s="213"/>
      <c r="I42" s="213"/>
      <c r="J42" s="38"/>
      <c r="K42" s="38"/>
      <c r="L42" s="38"/>
      <c r="M42" s="38"/>
      <c r="N42" s="38"/>
      <c r="O42" s="191"/>
      <c r="P42" s="213"/>
      <c r="Q42" s="213"/>
      <c r="R42" s="213"/>
      <c r="S42" s="213"/>
      <c r="T42" s="213"/>
      <c r="U42" s="213"/>
      <c r="V42" s="213"/>
      <c r="W42" s="213"/>
      <c r="X42" s="39"/>
      <c r="Y42" s="39"/>
      <c r="Z42" s="39"/>
      <c r="AA42" s="39"/>
      <c r="AB42" s="39"/>
      <c r="AC42" s="191"/>
      <c r="AD42" s="213"/>
      <c r="AE42" s="213"/>
      <c r="AF42" s="213"/>
      <c r="AG42" s="213"/>
      <c r="AH42" s="213"/>
      <c r="AI42" s="213"/>
      <c r="AJ42" s="213"/>
      <c r="AK42" s="213"/>
      <c r="AL42" s="41"/>
      <c r="AM42" s="41"/>
      <c r="AN42" s="41"/>
      <c r="AO42" s="41"/>
      <c r="AP42" s="41"/>
      <c r="AQ42" s="191"/>
      <c r="AR42" s="213"/>
      <c r="AS42" s="213"/>
      <c r="AT42" s="213"/>
      <c r="AU42" s="213"/>
      <c r="AV42" s="213"/>
      <c r="AW42" s="213"/>
      <c r="AX42" s="213"/>
      <c r="AY42" s="213"/>
      <c r="AZ42" s="42"/>
      <c r="BA42" s="42"/>
      <c r="BB42" s="42"/>
      <c r="BC42" s="42"/>
      <c r="BD42" s="42"/>
      <c r="BE42" s="191"/>
      <c r="BF42" s="213"/>
      <c r="BG42" s="213"/>
      <c r="BH42" s="213"/>
      <c r="BI42" s="213"/>
      <c r="BJ42" s="213"/>
      <c r="BK42" s="213"/>
      <c r="BL42" s="213"/>
      <c r="BM42" s="213"/>
      <c r="BN42" s="43"/>
      <c r="BO42" s="43"/>
      <c r="BP42" s="43"/>
      <c r="BQ42" s="43"/>
      <c r="BR42" s="43"/>
      <c r="BS42" s="191"/>
      <c r="BT42" s="213"/>
      <c r="BU42" s="213"/>
      <c r="BV42" s="213"/>
      <c r="BW42" s="213"/>
      <c r="BX42" s="213"/>
      <c r="BY42" s="213"/>
      <c r="BZ42" s="213"/>
      <c r="CA42" s="213"/>
      <c r="CB42" s="43"/>
      <c r="CC42" s="43"/>
      <c r="CD42" s="43"/>
      <c r="CE42" s="43"/>
      <c r="CF42" s="43"/>
      <c r="CG42" s="191"/>
      <c r="CH42" s="213"/>
      <c r="CI42" s="213"/>
      <c r="CJ42" s="213"/>
      <c r="CK42" s="213"/>
      <c r="CL42" s="213"/>
      <c r="CM42" s="213"/>
      <c r="CN42" s="213"/>
      <c r="CO42" s="213"/>
      <c r="CP42" s="38"/>
      <c r="CQ42" s="38"/>
      <c r="CR42" s="38"/>
      <c r="CS42" s="38"/>
      <c r="CT42" s="38"/>
      <c r="CU42" s="191"/>
      <c r="CV42" s="213"/>
      <c r="CW42" s="213"/>
      <c r="CX42" s="213"/>
      <c r="CY42" s="213"/>
      <c r="CZ42" s="213"/>
      <c r="DA42" s="213"/>
      <c r="DB42" s="213"/>
      <c r="DC42" s="213"/>
      <c r="DD42" s="38"/>
      <c r="DE42" s="38"/>
      <c r="DF42" s="38"/>
      <c r="DG42" s="38"/>
      <c r="DH42" s="38"/>
      <c r="DI42" s="191"/>
      <c r="DJ42" s="213"/>
      <c r="DK42" s="213"/>
      <c r="DL42" s="213"/>
      <c r="DM42" s="213"/>
      <c r="DN42" s="213"/>
      <c r="DO42" s="213"/>
      <c r="DP42" s="213"/>
      <c r="DQ42" s="213"/>
      <c r="DR42" s="39"/>
      <c r="DS42" s="39"/>
      <c r="DT42" s="39"/>
      <c r="DU42" s="39"/>
      <c r="DV42" s="39"/>
    </row>
    <row r="43" spans="1:127" ht="13" customHeight="1">
      <c r="A43" s="31"/>
      <c r="B43" s="213"/>
      <c r="C43" s="213"/>
      <c r="D43" s="213"/>
      <c r="E43" s="213"/>
      <c r="F43" s="213"/>
      <c r="G43" s="213"/>
      <c r="H43" s="213"/>
      <c r="I43" s="213"/>
      <c r="J43" s="35"/>
      <c r="K43" s="35"/>
      <c r="L43" s="35"/>
      <c r="M43" s="35"/>
      <c r="N43" s="35"/>
      <c r="O43" s="31"/>
      <c r="P43" s="213"/>
      <c r="Q43" s="213"/>
      <c r="R43" s="213"/>
      <c r="S43" s="213"/>
      <c r="T43" s="213"/>
      <c r="U43" s="213"/>
      <c r="V43" s="213"/>
      <c r="W43" s="213"/>
      <c r="X43" s="35"/>
      <c r="Y43" s="35"/>
      <c r="Z43" s="35"/>
      <c r="AA43" s="35"/>
      <c r="AB43" s="35"/>
      <c r="AC43" s="31"/>
      <c r="AD43" s="213"/>
      <c r="AE43" s="213"/>
      <c r="AF43" s="213"/>
      <c r="AG43" s="213"/>
      <c r="AH43" s="213"/>
      <c r="AI43" s="213"/>
      <c r="AJ43" s="213"/>
      <c r="AK43" s="213"/>
      <c r="AL43" s="121"/>
      <c r="AM43" s="121"/>
      <c r="AN43" s="121"/>
      <c r="AO43" s="121"/>
      <c r="AP43" s="121"/>
      <c r="AQ43" s="31"/>
      <c r="AR43" s="213"/>
      <c r="AS43" s="213"/>
      <c r="AT43" s="213"/>
      <c r="AU43" s="213"/>
      <c r="AV43" s="213"/>
      <c r="AW43" s="213"/>
      <c r="AX43" s="213"/>
      <c r="AY43" s="213"/>
      <c r="AZ43" s="35"/>
      <c r="BA43" s="35"/>
      <c r="BB43" s="35"/>
      <c r="BC43" s="35"/>
      <c r="BD43" s="35"/>
      <c r="BE43" s="31"/>
      <c r="BF43" s="213"/>
      <c r="BG43" s="213"/>
      <c r="BH43" s="213"/>
      <c r="BI43" s="213"/>
      <c r="BJ43" s="213"/>
      <c r="BK43" s="213"/>
      <c r="BL43" s="213"/>
      <c r="BM43" s="213"/>
      <c r="BN43" s="35"/>
      <c r="BO43" s="35"/>
      <c r="BP43" s="35"/>
      <c r="BQ43" s="35"/>
      <c r="BR43" s="35"/>
      <c r="BS43" s="31"/>
      <c r="BT43" s="213"/>
      <c r="BU43" s="213"/>
      <c r="BV43" s="213"/>
      <c r="BW43" s="213"/>
      <c r="BX43" s="213"/>
      <c r="BY43" s="213"/>
      <c r="BZ43" s="213"/>
      <c r="CA43" s="213"/>
      <c r="CB43" s="120"/>
      <c r="CC43" s="120"/>
      <c r="CD43" s="120"/>
      <c r="CE43" s="120"/>
      <c r="CF43" s="120"/>
      <c r="CG43" s="31"/>
      <c r="CH43" s="213"/>
      <c r="CI43" s="213"/>
      <c r="CJ43" s="213"/>
      <c r="CK43" s="213"/>
      <c r="CL43" s="213"/>
      <c r="CM43" s="213"/>
      <c r="CN43" s="213"/>
      <c r="CO43" s="213"/>
      <c r="CP43" s="35"/>
      <c r="CQ43" s="35"/>
      <c r="CR43" s="35"/>
      <c r="CS43" s="35"/>
      <c r="CT43" s="35"/>
      <c r="CU43" s="31"/>
      <c r="CV43" s="213"/>
      <c r="CW43" s="213"/>
      <c r="CX43" s="213"/>
      <c r="CY43" s="213"/>
      <c r="CZ43" s="213"/>
      <c r="DA43" s="213"/>
      <c r="DB43" s="213"/>
      <c r="DC43" s="213"/>
      <c r="DD43" s="35"/>
      <c r="DE43" s="35"/>
      <c r="DF43" s="35"/>
      <c r="DG43" s="35"/>
      <c r="DH43" s="35"/>
      <c r="DI43" s="31"/>
      <c r="DJ43" s="213"/>
      <c r="DK43" s="213"/>
      <c r="DL43" s="213"/>
      <c r="DM43" s="213"/>
      <c r="DN43" s="213"/>
      <c r="DO43" s="213"/>
      <c r="DP43" s="213"/>
      <c r="DQ43" s="213"/>
      <c r="DR43" s="120"/>
      <c r="DS43" s="120"/>
      <c r="DT43" s="120"/>
      <c r="DU43" s="120"/>
      <c r="DV43" s="120"/>
    </row>
    <row r="44" spans="1:127" ht="13" customHeight="1">
      <c r="A44" s="58"/>
      <c r="B44" s="213"/>
      <c r="C44" s="213"/>
      <c r="D44" s="213"/>
      <c r="E44" s="213"/>
      <c r="F44" s="213"/>
      <c r="G44" s="213"/>
      <c r="H44" s="213"/>
      <c r="I44" s="213"/>
      <c r="J44" s="35"/>
      <c r="K44" s="35"/>
      <c r="L44" s="35"/>
      <c r="M44" s="35"/>
      <c r="N44" s="35"/>
      <c r="O44" s="58"/>
      <c r="P44" s="213"/>
      <c r="Q44" s="213"/>
      <c r="R44" s="213"/>
      <c r="S44" s="213"/>
      <c r="T44" s="213"/>
      <c r="U44" s="213"/>
      <c r="V44" s="213"/>
      <c r="W44" s="213"/>
      <c r="X44" s="35"/>
      <c r="Y44" s="35"/>
      <c r="Z44" s="35"/>
      <c r="AA44" s="35"/>
      <c r="AB44" s="35"/>
      <c r="AC44" s="58"/>
      <c r="AD44" s="213"/>
      <c r="AE44" s="213"/>
      <c r="AF44" s="213"/>
      <c r="AG44" s="213"/>
      <c r="AH44" s="213"/>
      <c r="AI44" s="213"/>
      <c r="AJ44" s="213"/>
      <c r="AK44" s="213"/>
      <c r="AL44" s="122"/>
      <c r="AM44" s="122"/>
      <c r="AN44" s="122"/>
      <c r="AO44" s="122"/>
      <c r="AP44" s="122"/>
      <c r="AQ44" s="58"/>
      <c r="AR44" s="213"/>
      <c r="AS44" s="213"/>
      <c r="AT44" s="213"/>
      <c r="AU44" s="213"/>
      <c r="AV44" s="213"/>
      <c r="AW44" s="213"/>
      <c r="AX44" s="213"/>
      <c r="AY44" s="213"/>
      <c r="AZ44" s="35"/>
      <c r="BA44" s="35"/>
      <c r="BB44" s="35"/>
      <c r="BC44" s="35"/>
      <c r="BD44" s="35"/>
      <c r="BE44" s="58"/>
      <c r="BF44" s="213"/>
      <c r="BG44" s="213"/>
      <c r="BH44" s="213"/>
      <c r="BI44" s="213"/>
      <c r="BJ44" s="213"/>
      <c r="BK44" s="213"/>
      <c r="BL44" s="213"/>
      <c r="BM44" s="213"/>
      <c r="BN44" s="35"/>
      <c r="BO44" s="35"/>
      <c r="BP44" s="35"/>
      <c r="BQ44" s="35"/>
      <c r="BR44" s="35"/>
      <c r="BS44" s="58"/>
      <c r="BT44" s="213"/>
      <c r="BU44" s="213"/>
      <c r="BV44" s="213"/>
      <c r="BW44" s="213"/>
      <c r="BX44" s="213"/>
      <c r="BY44" s="213"/>
      <c r="BZ44" s="213"/>
      <c r="CA44" s="213"/>
      <c r="CB44" s="120"/>
      <c r="CC44" s="120"/>
      <c r="CD44" s="120"/>
      <c r="CE44" s="120"/>
      <c r="CF44" s="120"/>
      <c r="CG44" s="58"/>
      <c r="CH44" s="213"/>
      <c r="CI44" s="213"/>
      <c r="CJ44" s="213"/>
      <c r="CK44" s="213"/>
      <c r="CL44" s="213"/>
      <c r="CM44" s="213"/>
      <c r="CN44" s="213"/>
      <c r="CO44" s="213"/>
      <c r="CP44" s="35"/>
      <c r="CQ44" s="35"/>
      <c r="CR44" s="35"/>
      <c r="CS44" s="35"/>
      <c r="CT44" s="35"/>
      <c r="CU44" s="58"/>
      <c r="CV44" s="213"/>
      <c r="CW44" s="213"/>
      <c r="CX44" s="213"/>
      <c r="CY44" s="213"/>
      <c r="CZ44" s="213"/>
      <c r="DA44" s="213"/>
      <c r="DB44" s="213"/>
      <c r="DC44" s="213"/>
      <c r="DD44" s="35"/>
      <c r="DE44" s="35"/>
      <c r="DF44" s="35"/>
      <c r="DG44" s="35"/>
      <c r="DH44" s="35"/>
      <c r="DI44" s="58"/>
      <c r="DJ44" s="213"/>
      <c r="DK44" s="213"/>
      <c r="DL44" s="213"/>
      <c r="DM44" s="213"/>
      <c r="DN44" s="213"/>
      <c r="DO44" s="213"/>
      <c r="DP44" s="213"/>
      <c r="DQ44" s="213"/>
      <c r="DR44" s="120"/>
      <c r="DS44" s="120"/>
      <c r="DT44" s="120"/>
      <c r="DU44" s="120"/>
      <c r="DV44" s="120"/>
    </row>
    <row r="45" spans="1:127" ht="13" customHeight="1">
      <c r="A45" s="31"/>
      <c r="B45" s="213"/>
      <c r="C45" s="213"/>
      <c r="D45" s="213"/>
      <c r="E45" s="213"/>
      <c r="F45" s="213"/>
      <c r="G45" s="213"/>
      <c r="H45" s="213"/>
      <c r="I45" s="213"/>
      <c r="J45" s="35"/>
      <c r="K45" s="35"/>
      <c r="L45" s="35"/>
      <c r="M45" s="35"/>
      <c r="N45" s="35"/>
      <c r="O45" s="31"/>
      <c r="P45" s="213"/>
      <c r="Q45" s="213"/>
      <c r="R45" s="213"/>
      <c r="S45" s="213"/>
      <c r="T45" s="213"/>
      <c r="U45" s="213"/>
      <c r="V45" s="213"/>
      <c r="W45" s="213"/>
      <c r="X45" s="35"/>
      <c r="Y45" s="35"/>
      <c r="Z45" s="35"/>
      <c r="AA45" s="35"/>
      <c r="AB45" s="35"/>
      <c r="AC45" s="31"/>
      <c r="AD45" s="213"/>
      <c r="AE45" s="213"/>
      <c r="AF45" s="213"/>
      <c r="AG45" s="213"/>
      <c r="AH45" s="213"/>
      <c r="AI45" s="213"/>
      <c r="AJ45" s="213"/>
      <c r="AK45" s="213"/>
      <c r="AL45" s="121"/>
      <c r="AM45" s="121"/>
      <c r="AN45" s="121"/>
      <c r="AO45" s="121"/>
      <c r="AP45" s="121"/>
      <c r="AQ45" s="31"/>
      <c r="AR45" s="213"/>
      <c r="AS45" s="213"/>
      <c r="AT45" s="213"/>
      <c r="AU45" s="213"/>
      <c r="AV45" s="213"/>
      <c r="AW45" s="213"/>
      <c r="AX45" s="213"/>
      <c r="AY45" s="213"/>
      <c r="AZ45" s="35"/>
      <c r="BA45" s="35"/>
      <c r="BB45" s="35"/>
      <c r="BC45" s="35"/>
      <c r="BD45" s="35"/>
      <c r="BE45" s="31"/>
      <c r="BF45" s="213"/>
      <c r="BG45" s="213"/>
      <c r="BH45" s="213"/>
      <c r="BI45" s="213"/>
      <c r="BJ45" s="213"/>
      <c r="BK45" s="213"/>
      <c r="BL45" s="213"/>
      <c r="BM45" s="213"/>
      <c r="BN45" s="35"/>
      <c r="BO45" s="35"/>
      <c r="BP45" s="35"/>
      <c r="BQ45" s="35"/>
      <c r="BR45" s="35"/>
      <c r="BS45" s="31"/>
      <c r="BT45" s="213"/>
      <c r="BU45" s="213"/>
      <c r="BV45" s="213"/>
      <c r="BW45" s="213"/>
      <c r="BX45" s="213"/>
      <c r="BY45" s="213"/>
      <c r="BZ45" s="213"/>
      <c r="CA45" s="213"/>
      <c r="CB45" s="120"/>
      <c r="CC45" s="120"/>
      <c r="CD45" s="120"/>
      <c r="CE45" s="120"/>
      <c r="CF45" s="120"/>
      <c r="CG45" s="31"/>
      <c r="CH45" s="213"/>
      <c r="CI45" s="213"/>
      <c r="CJ45" s="213"/>
      <c r="CK45" s="213"/>
      <c r="CL45" s="213"/>
      <c r="CM45" s="213"/>
      <c r="CN45" s="213"/>
      <c r="CO45" s="213"/>
      <c r="CP45" s="35"/>
      <c r="CQ45" s="35"/>
      <c r="CR45" s="35"/>
      <c r="CS45" s="35"/>
      <c r="CT45" s="35"/>
      <c r="CU45" s="31"/>
      <c r="CV45" s="213"/>
      <c r="CW45" s="213"/>
      <c r="CX45" s="213"/>
      <c r="CY45" s="213"/>
      <c r="CZ45" s="213"/>
      <c r="DA45" s="213"/>
      <c r="DB45" s="213"/>
      <c r="DC45" s="213"/>
      <c r="DD45" s="35"/>
      <c r="DE45" s="35"/>
      <c r="DF45" s="35"/>
      <c r="DG45" s="35"/>
      <c r="DH45" s="35"/>
      <c r="DI45" s="31"/>
      <c r="DJ45" s="213"/>
      <c r="DK45" s="213"/>
      <c r="DL45" s="213"/>
      <c r="DM45" s="213"/>
      <c r="DN45" s="213"/>
      <c r="DO45" s="213"/>
      <c r="DP45" s="213"/>
      <c r="DQ45" s="213"/>
      <c r="DR45" s="120"/>
      <c r="DS45" s="120"/>
      <c r="DT45" s="120"/>
      <c r="DU45" s="120"/>
      <c r="DV45" s="120"/>
    </row>
    <row r="46" spans="1:127" ht="13" customHeight="1">
      <c r="A46" s="141"/>
      <c r="B46" s="213"/>
      <c r="C46" s="213"/>
      <c r="D46" s="213"/>
      <c r="E46" s="213"/>
      <c r="F46" s="213"/>
      <c r="G46" s="213"/>
      <c r="H46" s="213"/>
      <c r="I46" s="213"/>
      <c r="J46" s="35"/>
      <c r="K46" s="35"/>
      <c r="L46" s="35"/>
      <c r="M46" s="35"/>
      <c r="N46" s="35"/>
      <c r="O46" s="141"/>
      <c r="P46" s="213"/>
      <c r="Q46" s="213"/>
      <c r="R46" s="213"/>
      <c r="S46" s="213"/>
      <c r="T46" s="213"/>
      <c r="U46" s="213"/>
      <c r="V46" s="213"/>
      <c r="W46" s="213"/>
      <c r="X46" s="35"/>
      <c r="Y46" s="35"/>
      <c r="Z46" s="35"/>
      <c r="AA46" s="35"/>
      <c r="AB46" s="35"/>
      <c r="AC46" s="141"/>
      <c r="AD46" s="213"/>
      <c r="AE46" s="213"/>
      <c r="AF46" s="213"/>
      <c r="AG46" s="213"/>
      <c r="AH46" s="213"/>
      <c r="AI46" s="213"/>
      <c r="AJ46" s="213"/>
      <c r="AK46" s="213"/>
      <c r="AL46" s="49"/>
      <c r="AM46" s="49"/>
      <c r="AN46" s="49"/>
      <c r="AO46" s="49"/>
      <c r="AP46" s="49"/>
      <c r="AQ46" s="141"/>
      <c r="AR46" s="213"/>
      <c r="AS46" s="213"/>
      <c r="AT46" s="213"/>
      <c r="AU46" s="213"/>
      <c r="AV46" s="213"/>
      <c r="AW46" s="213"/>
      <c r="AX46" s="213"/>
      <c r="AY46" s="213"/>
      <c r="AZ46" s="35"/>
      <c r="BA46" s="35"/>
      <c r="BB46" s="35"/>
      <c r="BC46" s="35"/>
      <c r="BD46" s="35"/>
      <c r="BE46" s="141"/>
      <c r="BF46" s="213"/>
      <c r="BG46" s="213"/>
      <c r="BH46" s="213"/>
      <c r="BI46" s="213"/>
      <c r="BJ46" s="213"/>
      <c r="BK46" s="213"/>
      <c r="BL46" s="213"/>
      <c r="BM46" s="213"/>
      <c r="BN46" s="35"/>
      <c r="BO46" s="35"/>
      <c r="BP46" s="35"/>
      <c r="BQ46" s="35"/>
      <c r="BR46" s="35"/>
      <c r="BS46" s="141"/>
      <c r="BT46" s="213"/>
      <c r="BU46" s="213"/>
      <c r="BV46" s="213"/>
      <c r="BW46" s="213"/>
      <c r="BX46" s="213"/>
      <c r="BY46" s="213"/>
      <c r="BZ46" s="213"/>
      <c r="CA46" s="213"/>
      <c r="CB46" s="50"/>
      <c r="CC46" s="50"/>
      <c r="CD46" s="50"/>
      <c r="CE46" s="50"/>
      <c r="CF46" s="50"/>
      <c r="CG46" s="141"/>
      <c r="CH46" s="213"/>
      <c r="CI46" s="213"/>
      <c r="CJ46" s="213"/>
      <c r="CK46" s="213"/>
      <c r="CL46" s="213"/>
      <c r="CM46" s="213"/>
      <c r="CN46" s="213"/>
      <c r="CO46" s="213"/>
      <c r="CP46" s="35"/>
      <c r="CQ46" s="35"/>
      <c r="CR46" s="35"/>
      <c r="CS46" s="35"/>
      <c r="CT46" s="35"/>
      <c r="CU46" s="141"/>
      <c r="CV46" s="213"/>
      <c r="CW46" s="213"/>
      <c r="CX46" s="213"/>
      <c r="CY46" s="213"/>
      <c r="CZ46" s="213"/>
      <c r="DA46" s="213"/>
      <c r="DB46" s="213"/>
      <c r="DC46" s="213"/>
      <c r="DD46" s="35"/>
      <c r="DE46" s="35"/>
      <c r="DF46" s="35"/>
      <c r="DG46" s="35"/>
      <c r="DH46" s="35"/>
      <c r="DI46" s="141"/>
      <c r="DJ46" s="213"/>
      <c r="DK46" s="213"/>
      <c r="DL46" s="213"/>
      <c r="DM46" s="213"/>
      <c r="DN46" s="213"/>
      <c r="DO46" s="213"/>
      <c r="DP46" s="213"/>
      <c r="DQ46" s="213"/>
      <c r="DR46" s="50"/>
      <c r="DS46" s="50"/>
      <c r="DT46" s="50"/>
      <c r="DU46" s="50"/>
      <c r="DV46" s="50"/>
    </row>
    <row r="47" spans="1:127" ht="13" customHeight="1">
      <c r="A47" s="141"/>
      <c r="B47" s="213"/>
      <c r="C47" s="213"/>
      <c r="D47" s="213"/>
      <c r="E47" s="213"/>
      <c r="F47" s="213"/>
      <c r="G47" s="213"/>
      <c r="H47" s="213"/>
      <c r="I47" s="213"/>
      <c r="J47" s="35"/>
      <c r="K47" s="35"/>
      <c r="L47" s="35"/>
      <c r="M47" s="35"/>
      <c r="N47" s="35"/>
      <c r="O47" s="141"/>
      <c r="P47" s="213"/>
      <c r="Q47" s="213"/>
      <c r="R47" s="213"/>
      <c r="S47" s="213"/>
      <c r="T47" s="213"/>
      <c r="U47" s="213"/>
      <c r="V47" s="213"/>
      <c r="W47" s="213"/>
      <c r="X47" s="35"/>
      <c r="Y47" s="35"/>
      <c r="Z47" s="35"/>
      <c r="AA47" s="35"/>
      <c r="AB47" s="35"/>
      <c r="AC47" s="141"/>
      <c r="AD47" s="213"/>
      <c r="AE47" s="213"/>
      <c r="AF47" s="213"/>
      <c r="AG47" s="213"/>
      <c r="AH47" s="213"/>
      <c r="AI47" s="213"/>
      <c r="AJ47" s="213"/>
      <c r="AK47" s="213"/>
      <c r="AL47" s="44"/>
      <c r="AM47" s="44"/>
      <c r="AN47" s="44"/>
      <c r="AO47" s="44"/>
      <c r="AP47" s="44"/>
      <c r="AQ47" s="141"/>
      <c r="AR47" s="213"/>
      <c r="AS47" s="213"/>
      <c r="AT47" s="213"/>
      <c r="AU47" s="213"/>
      <c r="AV47" s="213"/>
      <c r="AW47" s="213"/>
      <c r="AX47" s="213"/>
      <c r="AY47" s="213"/>
      <c r="AZ47" s="35"/>
      <c r="BA47" s="35"/>
      <c r="BB47" s="35"/>
      <c r="BC47" s="35"/>
      <c r="BD47" s="35"/>
      <c r="BE47" s="141"/>
      <c r="BF47" s="213"/>
      <c r="BG47" s="213"/>
      <c r="BH47" s="213"/>
      <c r="BI47" s="213"/>
      <c r="BJ47" s="213"/>
      <c r="BK47" s="213"/>
      <c r="BL47" s="213"/>
      <c r="BM47" s="213"/>
      <c r="BN47" s="35"/>
      <c r="BO47" s="35"/>
      <c r="BP47" s="35"/>
      <c r="BQ47" s="35"/>
      <c r="BR47" s="35"/>
      <c r="BS47" s="141"/>
      <c r="BT47" s="213"/>
      <c r="BU47" s="213"/>
      <c r="BV47" s="213"/>
      <c r="BW47" s="213"/>
      <c r="BX47" s="213"/>
      <c r="BY47" s="213"/>
      <c r="BZ47" s="213"/>
      <c r="CA47" s="213"/>
      <c r="CB47" s="45"/>
      <c r="CC47" s="45"/>
      <c r="CD47" s="45"/>
      <c r="CE47" s="45"/>
      <c r="CF47" s="45"/>
      <c r="CG47" s="141"/>
      <c r="CH47" s="213"/>
      <c r="CI47" s="213"/>
      <c r="CJ47" s="213"/>
      <c r="CK47" s="213"/>
      <c r="CL47" s="213"/>
      <c r="CM47" s="213"/>
      <c r="CN47" s="213"/>
      <c r="CO47" s="213"/>
      <c r="CP47" s="35"/>
      <c r="CQ47" s="35"/>
      <c r="CR47" s="35"/>
      <c r="CS47" s="35"/>
      <c r="CT47" s="35"/>
      <c r="CU47" s="141"/>
      <c r="CV47" s="213"/>
      <c r="CW47" s="213"/>
      <c r="CX47" s="213"/>
      <c r="CY47" s="213"/>
      <c r="CZ47" s="213"/>
      <c r="DA47" s="213"/>
      <c r="DB47" s="213"/>
      <c r="DC47" s="213"/>
      <c r="DD47" s="35"/>
      <c r="DE47" s="35"/>
      <c r="DF47" s="35"/>
      <c r="DG47" s="35"/>
      <c r="DH47" s="35"/>
      <c r="DI47" s="141"/>
      <c r="DJ47" s="213"/>
      <c r="DK47" s="213"/>
      <c r="DL47" s="213"/>
      <c r="DM47" s="213"/>
      <c r="DN47" s="213"/>
      <c r="DO47" s="213"/>
      <c r="DP47" s="213"/>
      <c r="DQ47" s="213"/>
      <c r="DR47" s="46"/>
      <c r="DS47" s="46"/>
      <c r="DT47" s="46"/>
      <c r="DU47" s="46"/>
      <c r="DV47" s="45"/>
    </row>
    <row r="48" spans="1:127" ht="13" customHeight="1">
      <c r="A48" s="37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7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37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7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37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7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51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</row>
    <row r="49" spans="1:126" ht="13" customHeight="1">
      <c r="A49" s="37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7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245"/>
      <c r="AD49" s="245"/>
      <c r="AE49" s="245"/>
      <c r="AF49" s="245"/>
      <c r="AG49" s="245"/>
      <c r="AH49" s="245"/>
      <c r="AI49" s="245"/>
      <c r="AJ49" s="245"/>
      <c r="AK49" s="245"/>
      <c r="AL49" s="245"/>
      <c r="AM49" s="245"/>
      <c r="AN49" s="245"/>
      <c r="AO49" s="245"/>
      <c r="AP49" s="245"/>
      <c r="AQ49" s="37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7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247"/>
      <c r="BT49" s="247"/>
      <c r="BU49" s="247"/>
      <c r="BV49" s="247"/>
      <c r="BW49" s="247"/>
      <c r="BX49" s="247"/>
      <c r="BY49" s="247"/>
      <c r="BZ49" s="247"/>
      <c r="CA49" s="247"/>
      <c r="CB49" s="247"/>
      <c r="CC49" s="247"/>
      <c r="CD49" s="247"/>
      <c r="CE49" s="247"/>
      <c r="CF49" s="247"/>
      <c r="CG49" s="37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7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47"/>
      <c r="DJ49" s="247"/>
      <c r="DK49" s="247"/>
      <c r="DL49" s="247"/>
      <c r="DM49" s="247"/>
      <c r="DN49" s="247"/>
      <c r="DO49" s="247"/>
      <c r="DP49" s="247"/>
      <c r="DQ49" s="247"/>
      <c r="DR49" s="247"/>
      <c r="DS49" s="247"/>
      <c r="DT49" s="247"/>
      <c r="DU49" s="247"/>
      <c r="DV49" s="247"/>
    </row>
    <row r="50" spans="1:126" ht="13" customHeight="1">
      <c r="A50" s="37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7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245"/>
      <c r="AD50" s="245"/>
      <c r="AE50" s="245"/>
      <c r="AF50" s="245"/>
      <c r="AG50" s="245"/>
      <c r="AH50" s="245"/>
      <c r="AI50" s="245"/>
      <c r="AJ50" s="245"/>
      <c r="AK50" s="245"/>
      <c r="AL50" s="245"/>
      <c r="AM50" s="245"/>
      <c r="AN50" s="245"/>
      <c r="AO50" s="245"/>
      <c r="AP50" s="245"/>
      <c r="AQ50" s="37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7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247"/>
      <c r="BT50" s="247"/>
      <c r="BU50" s="247"/>
      <c r="BV50" s="247"/>
      <c r="BW50" s="247"/>
      <c r="BX50" s="247"/>
      <c r="BY50" s="247"/>
      <c r="BZ50" s="247"/>
      <c r="CA50" s="247"/>
      <c r="CB50" s="247"/>
      <c r="CC50" s="247"/>
      <c r="CD50" s="247"/>
      <c r="CE50" s="247"/>
      <c r="CF50" s="247"/>
      <c r="CG50" s="37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7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247"/>
      <c r="DK50" s="247"/>
      <c r="DL50" s="247"/>
      <c r="DM50" s="247"/>
      <c r="DN50" s="247"/>
      <c r="DO50" s="247"/>
      <c r="DP50" s="247"/>
      <c r="DQ50" s="247"/>
      <c r="DR50" s="247"/>
      <c r="DS50" s="247"/>
      <c r="DT50" s="247"/>
      <c r="DU50" s="247"/>
      <c r="DV50" s="247"/>
    </row>
    <row r="51" spans="1:126" ht="13" customHeight="1">
      <c r="A51" s="37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7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245"/>
      <c r="AD51" s="245"/>
      <c r="AE51" s="245"/>
      <c r="AF51" s="245"/>
      <c r="AG51" s="245"/>
      <c r="AH51" s="245"/>
      <c r="AI51" s="245"/>
      <c r="AJ51" s="245"/>
      <c r="AK51" s="245"/>
      <c r="AL51" s="245"/>
      <c r="AM51" s="245"/>
      <c r="AN51" s="245"/>
      <c r="AO51" s="245"/>
      <c r="AP51" s="245"/>
      <c r="AQ51" s="37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7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37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7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9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</row>
    <row r="52" spans="1:126" ht="13" customHeight="1">
      <c r="A52" s="37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7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245"/>
      <c r="AD52" s="245"/>
      <c r="AE52" s="245"/>
      <c r="AF52" s="245"/>
      <c r="AG52" s="245"/>
      <c r="AH52" s="245"/>
      <c r="AI52" s="245"/>
      <c r="AJ52" s="245"/>
      <c r="AK52" s="245"/>
      <c r="AL52" s="245"/>
      <c r="AM52" s="245"/>
      <c r="AN52" s="245"/>
      <c r="AO52" s="245"/>
      <c r="AP52" s="245"/>
      <c r="AQ52" s="37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7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37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7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9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</row>
    <row r="53" spans="1:126" ht="13" customHeight="1">
      <c r="A53" s="37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7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244"/>
      <c r="AD53" s="244"/>
      <c r="AE53" s="244"/>
      <c r="AF53" s="244"/>
      <c r="AG53" s="244"/>
      <c r="AH53" s="244"/>
      <c r="AI53" s="244"/>
      <c r="AJ53" s="244"/>
      <c r="AK53" s="244"/>
      <c r="AL53" s="244"/>
      <c r="AM53" s="244"/>
      <c r="AN53" s="244"/>
      <c r="AO53" s="244"/>
      <c r="AP53" s="244"/>
      <c r="AQ53" s="37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7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7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7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55"/>
      <c r="DJ53" s="43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</row>
    <row r="54" spans="1:126" ht="13" customHeight="1">
      <c r="A54" s="37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7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244"/>
      <c r="AD54" s="244"/>
      <c r="AE54" s="244"/>
      <c r="AF54" s="244"/>
      <c r="AG54" s="244"/>
      <c r="AH54" s="244"/>
      <c r="AI54" s="244"/>
      <c r="AJ54" s="244"/>
      <c r="AK54" s="244"/>
      <c r="AL54" s="244"/>
      <c r="AM54" s="244"/>
      <c r="AN54" s="244"/>
      <c r="AO54" s="244"/>
      <c r="AP54" s="244"/>
      <c r="AQ54" s="37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7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7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7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55"/>
      <c r="DJ54" s="43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</row>
    <row r="55" spans="1:126" ht="13" customHeight="1">
      <c r="A55" s="37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7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244"/>
      <c r="AD55" s="244"/>
      <c r="AE55" s="244"/>
      <c r="AF55" s="244"/>
      <c r="AG55" s="244"/>
      <c r="AH55" s="244"/>
      <c r="AI55" s="244"/>
      <c r="AJ55" s="244"/>
      <c r="AK55" s="244"/>
      <c r="AL55" s="244"/>
      <c r="AM55" s="244"/>
      <c r="AN55" s="244"/>
      <c r="AO55" s="244"/>
      <c r="AP55" s="244"/>
      <c r="AQ55" s="37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7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7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7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55"/>
      <c r="DJ55" s="43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</row>
    <row r="56" spans="1:126" ht="13" customHeight="1">
      <c r="A56" s="37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7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244"/>
      <c r="AD56" s="244"/>
      <c r="AE56" s="244"/>
      <c r="AF56" s="244"/>
      <c r="AG56" s="244"/>
      <c r="AH56" s="244"/>
      <c r="AI56" s="244"/>
      <c r="AJ56" s="244"/>
      <c r="AK56" s="244"/>
      <c r="AL56" s="244"/>
      <c r="AM56" s="244"/>
      <c r="AN56" s="244"/>
      <c r="AO56" s="244"/>
      <c r="AP56" s="244"/>
      <c r="AQ56" s="37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7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7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7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55"/>
      <c r="DJ56" s="43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</row>
    <row r="57" spans="1:126" ht="13" customHeight="1">
      <c r="A57" s="37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7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244"/>
      <c r="AD57" s="244"/>
      <c r="AE57" s="244"/>
      <c r="AF57" s="244"/>
      <c r="AG57" s="244"/>
      <c r="AH57" s="244"/>
      <c r="AI57" s="244"/>
      <c r="AJ57" s="244"/>
      <c r="AK57" s="244"/>
      <c r="AL57" s="244"/>
      <c r="AM57" s="244"/>
      <c r="AN57" s="244"/>
      <c r="AO57" s="244"/>
      <c r="AP57" s="244"/>
      <c r="AQ57" s="37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7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7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7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55"/>
      <c r="DJ57" s="43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</row>
    <row r="58" spans="1:126" ht="13" customHeight="1">
      <c r="A58" s="37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7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244"/>
      <c r="AD58" s="244"/>
      <c r="AE58" s="244"/>
      <c r="AF58" s="244"/>
      <c r="AG58" s="244"/>
      <c r="AH58" s="244"/>
      <c r="AI58" s="244"/>
      <c r="AJ58" s="244"/>
      <c r="AK58" s="244"/>
      <c r="AL58" s="244"/>
      <c r="AM58" s="244"/>
      <c r="AN58" s="244"/>
      <c r="AO58" s="244"/>
      <c r="AP58" s="244"/>
      <c r="AQ58" s="37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7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7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7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55"/>
      <c r="DJ58" s="43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</row>
    <row r="59" spans="1:126" ht="13" customHeight="1">
      <c r="A59" s="37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7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244"/>
      <c r="AD59" s="244"/>
      <c r="AE59" s="244"/>
      <c r="AF59" s="244"/>
      <c r="AG59" s="244"/>
      <c r="AH59" s="244"/>
      <c r="AI59" s="244"/>
      <c r="AJ59" s="244"/>
      <c r="AK59" s="244"/>
      <c r="AL59" s="244"/>
      <c r="AM59" s="244"/>
      <c r="AN59" s="244"/>
      <c r="AO59" s="244"/>
      <c r="AP59" s="244"/>
      <c r="AQ59" s="37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7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7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7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55"/>
      <c r="DJ59" s="43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</row>
    <row r="60" spans="1:126" ht="13" customHeight="1">
      <c r="A60" s="37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7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244"/>
      <c r="AD60" s="244"/>
      <c r="AE60" s="244"/>
      <c r="AF60" s="244"/>
      <c r="AG60" s="244"/>
      <c r="AH60" s="244"/>
      <c r="AI60" s="244"/>
      <c r="AJ60" s="244"/>
      <c r="AK60" s="244"/>
      <c r="AL60" s="244"/>
      <c r="AM60" s="244"/>
      <c r="AN60" s="244"/>
      <c r="AO60" s="244"/>
      <c r="AP60" s="244"/>
      <c r="AQ60" s="37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7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7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7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55"/>
      <c r="DJ60" s="43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</row>
    <row r="61" spans="1:126" ht="13" customHeight="1">
      <c r="A61" s="37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7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  <c r="AO61" s="244"/>
      <c r="AP61" s="244"/>
      <c r="AQ61" s="37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7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37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7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</row>
    <row r="62" spans="1:126" ht="13" customHeight="1">
      <c r="A62" s="37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7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244"/>
      <c r="AD62" s="244"/>
      <c r="AE62" s="244"/>
      <c r="AF62" s="244"/>
      <c r="AG62" s="244"/>
      <c r="AH62" s="244"/>
      <c r="AI62" s="244"/>
      <c r="AJ62" s="244"/>
      <c r="AK62" s="244"/>
      <c r="AL62" s="244"/>
      <c r="AM62" s="244"/>
      <c r="AN62" s="244"/>
      <c r="AO62" s="244"/>
      <c r="AP62" s="244"/>
      <c r="AQ62" s="37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7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37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7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</row>
    <row r="63" spans="1:126" ht="13" customHeight="1">
      <c r="A63" s="37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7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244"/>
      <c r="AD63" s="244"/>
      <c r="AE63" s="244"/>
      <c r="AF63" s="244"/>
      <c r="AG63" s="244"/>
      <c r="AH63" s="244"/>
      <c r="AI63" s="244"/>
      <c r="AJ63" s="244"/>
      <c r="AK63" s="244"/>
      <c r="AL63" s="244"/>
      <c r="AM63" s="244"/>
      <c r="AN63" s="244"/>
      <c r="AO63" s="244"/>
      <c r="AP63" s="244"/>
      <c r="AQ63" s="37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7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7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7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55"/>
      <c r="DJ63" s="43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</row>
    <row r="64" spans="1:126" ht="13" customHeight="1">
      <c r="A64" s="37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7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244"/>
      <c r="AD64" s="244"/>
      <c r="AE64" s="244"/>
      <c r="AF64" s="244"/>
      <c r="AG64" s="244"/>
      <c r="AH64" s="244"/>
      <c r="AI64" s="244"/>
      <c r="AJ64" s="244"/>
      <c r="AK64" s="244"/>
      <c r="AL64" s="244"/>
      <c r="AM64" s="244"/>
      <c r="AN64" s="244"/>
      <c r="AO64" s="244"/>
      <c r="AP64" s="244"/>
      <c r="AQ64" s="37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7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7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7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55"/>
      <c r="DJ64" s="43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</row>
    <row r="65" spans="1:126" ht="13" customHeight="1">
      <c r="A65" s="37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7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244"/>
      <c r="AD65" s="244"/>
      <c r="AE65" s="244"/>
      <c r="AF65" s="244"/>
      <c r="AG65" s="244"/>
      <c r="AH65" s="244"/>
      <c r="AI65" s="244"/>
      <c r="AJ65" s="244"/>
      <c r="AK65" s="244"/>
      <c r="AL65" s="244"/>
      <c r="AM65" s="244"/>
      <c r="AN65" s="244"/>
      <c r="AO65" s="244"/>
      <c r="AP65" s="244"/>
      <c r="AQ65" s="37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7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7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7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55"/>
      <c r="DJ65" s="43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</row>
    <row r="66" spans="1:126" ht="13" customHeight="1">
      <c r="A66" s="37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7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244"/>
      <c r="AD66" s="244"/>
      <c r="AE66" s="244"/>
      <c r="AF66" s="244"/>
      <c r="AG66" s="244"/>
      <c r="AH66" s="244"/>
      <c r="AI66" s="244"/>
      <c r="AJ66" s="244"/>
      <c r="AK66" s="244"/>
      <c r="AL66" s="244"/>
      <c r="AM66" s="244"/>
      <c r="AN66" s="244"/>
      <c r="AO66" s="244"/>
      <c r="AP66" s="244"/>
      <c r="AQ66" s="37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7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7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7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55"/>
      <c r="DJ66" s="43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</row>
    <row r="67" spans="1:126" ht="13" customHeight="1">
      <c r="A67" s="37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7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244"/>
      <c r="AD67" s="244"/>
      <c r="AE67" s="244"/>
      <c r="AF67" s="244"/>
      <c r="AG67" s="244"/>
      <c r="AH67" s="244"/>
      <c r="AI67" s="244"/>
      <c r="AJ67" s="244"/>
      <c r="AK67" s="244"/>
      <c r="AL67" s="244"/>
      <c r="AM67" s="244"/>
      <c r="AN67" s="244"/>
      <c r="AO67" s="244"/>
      <c r="AP67" s="244"/>
      <c r="AQ67" s="37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7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7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7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55"/>
      <c r="DJ67" s="43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</row>
    <row r="68" spans="1:126" ht="13" customHeight="1">
      <c r="A68" s="37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7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244"/>
      <c r="AD68" s="244"/>
      <c r="AE68" s="244"/>
      <c r="AF68" s="244"/>
      <c r="AG68" s="244"/>
      <c r="AH68" s="244"/>
      <c r="AI68" s="244"/>
      <c r="AJ68" s="244"/>
      <c r="AK68" s="244"/>
      <c r="AL68" s="244"/>
      <c r="AM68" s="244"/>
      <c r="AN68" s="244"/>
      <c r="AO68" s="244"/>
      <c r="AP68" s="244"/>
      <c r="AQ68" s="37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7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7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7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55"/>
      <c r="DJ68" s="43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</row>
    <row r="69" spans="1:126" ht="13" customHeight="1">
      <c r="A69" s="36"/>
      <c r="O69" s="36"/>
      <c r="AC69" s="244"/>
      <c r="AD69" s="244"/>
      <c r="AE69" s="244"/>
      <c r="AF69" s="244"/>
      <c r="AG69" s="244"/>
      <c r="AH69" s="244"/>
      <c r="AI69" s="244"/>
      <c r="AJ69" s="244"/>
      <c r="AK69" s="244"/>
      <c r="AL69" s="244"/>
      <c r="AM69" s="244"/>
      <c r="AN69" s="244"/>
      <c r="AO69" s="244"/>
      <c r="AP69" s="244"/>
      <c r="AQ69" s="36"/>
      <c r="BE69" s="36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6"/>
      <c r="CU69" s="36"/>
      <c r="DI69" s="55"/>
      <c r="DJ69" s="43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</row>
    <row r="70" spans="1:126" ht="13" customHeight="1">
      <c r="A70" s="36"/>
      <c r="O70" s="36"/>
      <c r="AC70" s="244"/>
      <c r="AD70" s="244"/>
      <c r="AE70" s="244"/>
      <c r="AF70" s="244"/>
      <c r="AG70" s="244"/>
      <c r="AH70" s="244"/>
      <c r="AI70" s="244"/>
      <c r="AJ70" s="244"/>
      <c r="AK70" s="244"/>
      <c r="AL70" s="244"/>
      <c r="AM70" s="244"/>
      <c r="AN70" s="244"/>
      <c r="AO70" s="244"/>
      <c r="AP70" s="244"/>
      <c r="AQ70" s="36"/>
      <c r="BE70" s="36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6"/>
      <c r="CU70" s="36"/>
      <c r="DI70" s="55"/>
      <c r="DJ70" s="43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</row>
    <row r="71" spans="1:126" ht="13" customHeight="1">
      <c r="A71" s="36"/>
      <c r="O71" s="36"/>
      <c r="AC71" s="244"/>
      <c r="AD71" s="244"/>
      <c r="AE71" s="244"/>
      <c r="AF71" s="244"/>
      <c r="AG71" s="244"/>
      <c r="AH71" s="244"/>
      <c r="AI71" s="244"/>
      <c r="AJ71" s="244"/>
      <c r="AK71" s="244"/>
      <c r="AL71" s="244"/>
      <c r="AM71" s="244"/>
      <c r="AN71" s="244"/>
      <c r="AO71" s="244"/>
      <c r="AP71" s="244"/>
      <c r="AQ71" s="36"/>
      <c r="BE71" s="36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6"/>
      <c r="CU71" s="36"/>
      <c r="DI71" s="55"/>
      <c r="DJ71" s="43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</row>
    <row r="72" spans="1:126" ht="13" customHeight="1">
      <c r="A72" s="36"/>
      <c r="O72" s="36"/>
      <c r="AC72" s="244"/>
      <c r="AD72" s="244"/>
      <c r="AE72" s="244"/>
      <c r="AF72" s="244"/>
      <c r="AG72" s="244"/>
      <c r="AH72" s="244"/>
      <c r="AI72" s="244"/>
      <c r="AJ72" s="244"/>
      <c r="AK72" s="244"/>
      <c r="AL72" s="244"/>
      <c r="AM72" s="244"/>
      <c r="AN72" s="244"/>
      <c r="AO72" s="244"/>
      <c r="AP72" s="244"/>
      <c r="AQ72" s="36"/>
      <c r="BE72" s="36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6"/>
      <c r="CU72" s="36"/>
      <c r="DI72" s="55"/>
      <c r="DJ72" s="43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</row>
    <row r="73" spans="1:126" ht="13" customHeight="1">
      <c r="A73" s="36"/>
      <c r="O73" s="36"/>
      <c r="AC73" s="244"/>
      <c r="AD73" s="244"/>
      <c r="AE73" s="244"/>
      <c r="AF73" s="244"/>
      <c r="AG73" s="244"/>
      <c r="AH73" s="244"/>
      <c r="AI73" s="244"/>
      <c r="AJ73" s="244"/>
      <c r="AK73" s="244"/>
      <c r="AL73" s="244"/>
      <c r="AM73" s="244"/>
      <c r="AN73" s="244"/>
      <c r="AO73" s="244"/>
      <c r="AP73" s="244"/>
      <c r="AQ73" s="36"/>
      <c r="BE73" s="36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6"/>
      <c r="CU73" s="36"/>
      <c r="DI73" s="55"/>
      <c r="DJ73" s="43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</row>
    <row r="74" spans="1:126" ht="13" customHeight="1">
      <c r="A74" s="36"/>
      <c r="O74" s="36"/>
      <c r="AC74" s="244"/>
      <c r="AD74" s="244"/>
      <c r="AE74" s="244"/>
      <c r="AF74" s="244"/>
      <c r="AG74" s="244"/>
      <c r="AH74" s="244"/>
      <c r="AI74" s="244"/>
      <c r="AJ74" s="244"/>
      <c r="AK74" s="244"/>
      <c r="AL74" s="244"/>
      <c r="AM74" s="244"/>
      <c r="AN74" s="244"/>
      <c r="AO74" s="244"/>
      <c r="AP74" s="244"/>
      <c r="AQ74" s="36"/>
      <c r="BE74" s="36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6"/>
      <c r="CU74" s="36"/>
      <c r="DI74" s="55"/>
      <c r="DJ74" s="43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</row>
    <row r="75" spans="1:126" ht="13" customHeight="1">
      <c r="A75" s="36"/>
      <c r="O75" s="36"/>
      <c r="AC75" s="244"/>
      <c r="AD75" s="244"/>
      <c r="AE75" s="244"/>
      <c r="AF75" s="244"/>
      <c r="AG75" s="244"/>
      <c r="AH75" s="244"/>
      <c r="AI75" s="244"/>
      <c r="AJ75" s="244"/>
      <c r="AK75" s="244"/>
      <c r="AL75" s="244"/>
      <c r="AM75" s="244"/>
      <c r="AN75" s="244"/>
      <c r="AO75" s="244"/>
      <c r="AP75" s="244"/>
      <c r="AQ75" s="36"/>
      <c r="BE75" s="36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6"/>
      <c r="CU75" s="36"/>
      <c r="DI75" s="55"/>
      <c r="DJ75" s="43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</row>
    <row r="76" spans="1:126" ht="13" customHeight="1">
      <c r="A76" s="36"/>
      <c r="O76" s="36"/>
      <c r="AC76" s="244"/>
      <c r="AD76" s="244"/>
      <c r="AE76" s="244"/>
      <c r="AF76" s="244"/>
      <c r="AG76" s="244"/>
      <c r="AH76" s="244"/>
      <c r="AI76" s="244"/>
      <c r="AJ76" s="244"/>
      <c r="AK76" s="244"/>
      <c r="AL76" s="244"/>
      <c r="AM76" s="244"/>
      <c r="AN76" s="244"/>
      <c r="AO76" s="244"/>
      <c r="AP76" s="244"/>
      <c r="AQ76" s="36"/>
      <c r="BE76" s="36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6"/>
      <c r="CU76" s="36"/>
      <c r="DI76" s="55"/>
      <c r="DJ76" s="43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</row>
    <row r="77" spans="1:126" ht="13" customHeight="1">
      <c r="A77" s="36"/>
      <c r="O77" s="36"/>
      <c r="AC77" s="244"/>
      <c r="AD77" s="244"/>
      <c r="AE77" s="244"/>
      <c r="AF77" s="244"/>
      <c r="AG77" s="244"/>
      <c r="AH77" s="244"/>
      <c r="AI77" s="244"/>
      <c r="AJ77" s="244"/>
      <c r="AK77" s="244"/>
      <c r="AL77" s="244"/>
      <c r="AM77" s="244"/>
      <c r="AN77" s="244"/>
      <c r="AO77" s="244"/>
      <c r="AP77" s="244"/>
      <c r="AQ77" s="36"/>
      <c r="BE77" s="36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6"/>
      <c r="CU77" s="36"/>
      <c r="DI77" s="55"/>
      <c r="DJ77" s="43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</row>
    <row r="78" spans="1:126" ht="13" customHeight="1">
      <c r="A78" s="36"/>
      <c r="O78" s="36"/>
      <c r="AC78" s="244"/>
      <c r="AD78" s="244"/>
      <c r="AE78" s="244"/>
      <c r="AF78" s="244"/>
      <c r="AG78" s="244"/>
      <c r="AH78" s="244"/>
      <c r="AI78" s="244"/>
      <c r="AJ78" s="244"/>
      <c r="AK78" s="244"/>
      <c r="AL78" s="244"/>
      <c r="AM78" s="244"/>
      <c r="AN78" s="244"/>
      <c r="AO78" s="244"/>
      <c r="AP78" s="244"/>
      <c r="AQ78" s="36"/>
      <c r="BE78" s="36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6"/>
      <c r="CU78" s="36"/>
      <c r="DI78" s="55"/>
      <c r="DJ78" s="43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</row>
    <row r="79" spans="1:126" ht="13" customHeight="1">
      <c r="A79" s="36"/>
      <c r="O79" s="36"/>
      <c r="AC79" s="244"/>
      <c r="AD79" s="244"/>
      <c r="AE79" s="244"/>
      <c r="AF79" s="244"/>
      <c r="AG79" s="244"/>
      <c r="AH79" s="244"/>
      <c r="AI79" s="244"/>
      <c r="AJ79" s="244"/>
      <c r="AK79" s="244"/>
      <c r="AL79" s="244"/>
      <c r="AM79" s="244"/>
      <c r="AN79" s="244"/>
      <c r="AO79" s="244"/>
      <c r="AP79" s="244"/>
      <c r="AQ79" s="36"/>
      <c r="BE79" s="36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36"/>
      <c r="CU79" s="36"/>
      <c r="DI79" s="35"/>
      <c r="DJ79" s="39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</row>
    <row r="80" spans="1:126" ht="13" customHeight="1">
      <c r="A80" s="36"/>
      <c r="O80" s="36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36"/>
      <c r="BE80" s="36"/>
      <c r="BS80" s="248"/>
      <c r="BT80" s="248"/>
      <c r="BU80" s="248"/>
      <c r="BV80" s="248"/>
      <c r="BW80" s="248"/>
      <c r="BX80" s="248"/>
      <c r="BY80" s="248"/>
      <c r="BZ80" s="248"/>
      <c r="CA80" s="248"/>
      <c r="CB80" s="248"/>
      <c r="CC80" s="248"/>
      <c r="CD80" s="248"/>
      <c r="CE80" s="248"/>
      <c r="CF80" s="248"/>
      <c r="CG80" s="36"/>
      <c r="CU80" s="36"/>
      <c r="DI80" s="249"/>
      <c r="DJ80" s="248"/>
      <c r="DK80" s="46"/>
      <c r="DL80" s="46"/>
      <c r="DM80" s="46"/>
      <c r="DN80" s="46"/>
      <c r="DO80" s="46"/>
      <c r="DP80" s="46"/>
      <c r="DQ80" s="46"/>
      <c r="DR80" s="46"/>
      <c r="DS80" s="46"/>
      <c r="DT80" s="46"/>
      <c r="DU80" s="46"/>
      <c r="DV80" s="248"/>
    </row>
    <row r="81" spans="1:182" ht="13" customHeight="1">
      <c r="A81" s="36"/>
      <c r="O81" s="36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36"/>
      <c r="BE81" s="36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36"/>
      <c r="CU81" s="36"/>
      <c r="DI81" s="2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</row>
    <row r="82" spans="1:182" ht="13" customHeight="1">
      <c r="A82" s="36"/>
      <c r="O82" s="36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36"/>
      <c r="BE82" s="36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  <c r="CF82" s="45"/>
      <c r="CG82" s="36"/>
      <c r="CU82" s="36"/>
      <c r="DI82" s="47"/>
      <c r="DJ82" s="48"/>
      <c r="DK82" s="46"/>
      <c r="DL82" s="46"/>
      <c r="DM82" s="46"/>
      <c r="DN82" s="46"/>
      <c r="DO82" s="46"/>
      <c r="DP82" s="46"/>
      <c r="DQ82" s="46"/>
      <c r="DR82" s="46"/>
      <c r="DS82" s="46"/>
      <c r="DT82" s="46"/>
      <c r="DU82" s="46"/>
      <c r="DV82" s="45"/>
    </row>
    <row r="83" spans="1:182" ht="13" customHeight="1">
      <c r="A83" s="36"/>
      <c r="O83" s="36"/>
      <c r="AC83" s="244"/>
      <c r="AD83" s="244"/>
      <c r="AE83" s="244"/>
      <c r="AF83" s="244"/>
      <c r="AG83" s="244"/>
      <c r="AH83" s="244"/>
      <c r="AI83" s="244"/>
      <c r="AJ83" s="244"/>
      <c r="AK83" s="244"/>
      <c r="AL83" s="244"/>
      <c r="AM83" s="244"/>
      <c r="AN83" s="244"/>
      <c r="AO83" s="244"/>
      <c r="AP83" s="244"/>
      <c r="AQ83" s="36"/>
      <c r="BE83" s="36"/>
      <c r="BS83" s="251"/>
      <c r="BT83" s="251"/>
      <c r="BU83" s="251"/>
      <c r="BV83" s="251"/>
      <c r="BW83" s="251"/>
      <c r="BX83" s="251"/>
      <c r="BY83" s="251"/>
      <c r="BZ83" s="251"/>
      <c r="CA83" s="251"/>
      <c r="CB83" s="251"/>
      <c r="CC83" s="251"/>
      <c r="CD83" s="251"/>
      <c r="CE83" s="251"/>
      <c r="CF83" s="251"/>
      <c r="CG83" s="36"/>
      <c r="CU83" s="36"/>
      <c r="DI83" s="35"/>
      <c r="DJ83" s="39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251"/>
    </row>
    <row r="84" spans="1:182" ht="13" customHeight="1">
      <c r="A84" s="36"/>
      <c r="O84" s="36"/>
      <c r="AC84" s="244"/>
      <c r="AD84" s="244"/>
      <c r="AE84" s="244"/>
      <c r="AF84" s="244"/>
      <c r="AG84" s="244"/>
      <c r="AH84" s="244"/>
      <c r="AI84" s="244"/>
      <c r="AJ84" s="244"/>
      <c r="AK84" s="244"/>
      <c r="AL84" s="244"/>
      <c r="AM84" s="244"/>
      <c r="AN84" s="244"/>
      <c r="AO84" s="244"/>
      <c r="AP84" s="244"/>
      <c r="AQ84" s="36"/>
      <c r="BE84" s="36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6"/>
      <c r="CU84" s="36"/>
      <c r="DI84" s="55"/>
      <c r="DJ84" s="43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</row>
    <row r="85" spans="1:182" ht="13" customHeight="1">
      <c r="A85" s="36"/>
      <c r="O85" s="36"/>
      <c r="AC85" s="244"/>
      <c r="AD85" s="244"/>
      <c r="AE85" s="244"/>
      <c r="AF85" s="244"/>
      <c r="AG85" s="244"/>
      <c r="AH85" s="244"/>
      <c r="AI85" s="244"/>
      <c r="AJ85" s="244"/>
      <c r="AK85" s="244"/>
      <c r="AL85" s="244"/>
      <c r="AM85" s="244"/>
      <c r="AN85" s="244"/>
      <c r="AO85" s="244"/>
      <c r="AP85" s="244"/>
      <c r="AQ85" s="36"/>
      <c r="BE85" s="36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6"/>
      <c r="CU85" s="36"/>
      <c r="DI85" s="55"/>
      <c r="DJ85" s="43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</row>
    <row r="86" spans="1:182" ht="13" customHeight="1">
      <c r="A86" s="37"/>
      <c r="O86" s="37"/>
      <c r="AC86" s="244"/>
      <c r="AD86" s="244"/>
      <c r="AE86" s="244"/>
      <c r="AF86" s="244"/>
      <c r="AG86" s="244"/>
      <c r="AH86" s="244"/>
      <c r="AI86" s="244"/>
      <c r="AJ86" s="244"/>
      <c r="AK86" s="244"/>
      <c r="AL86" s="244"/>
      <c r="AM86" s="244"/>
      <c r="AN86" s="244"/>
      <c r="AO86" s="244"/>
      <c r="AP86" s="244"/>
      <c r="AQ86" s="37"/>
      <c r="BE86" s="37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7"/>
      <c r="CU86" s="37"/>
      <c r="DI86" s="55"/>
      <c r="DJ86" s="43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</row>
    <row r="87" spans="1:182" ht="13" customHeight="1">
      <c r="A87" s="37"/>
      <c r="O87" s="37"/>
      <c r="AC87" s="244"/>
      <c r="AD87" s="244"/>
      <c r="AE87" s="244"/>
      <c r="AF87" s="244"/>
      <c r="AG87" s="244"/>
      <c r="AH87" s="244"/>
      <c r="AI87" s="244"/>
      <c r="AJ87" s="244"/>
      <c r="AK87" s="244"/>
      <c r="AL87" s="244"/>
      <c r="AM87" s="244"/>
      <c r="AN87" s="244"/>
      <c r="AO87" s="244"/>
      <c r="AP87" s="244"/>
      <c r="AQ87" s="37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7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7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7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55"/>
      <c r="DJ87" s="43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</row>
    <row r="88" spans="1:182" ht="13" customHeight="1">
      <c r="AC88" s="244"/>
      <c r="AD88" s="244"/>
      <c r="AE88" s="244"/>
      <c r="AF88" s="244"/>
      <c r="AG88" s="244"/>
      <c r="AH88" s="244"/>
      <c r="AI88" s="244"/>
      <c r="AJ88" s="244"/>
      <c r="AK88" s="244"/>
      <c r="AL88" s="244"/>
      <c r="AM88" s="244"/>
      <c r="AN88" s="244"/>
      <c r="AO88" s="244"/>
      <c r="AP88" s="244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DI88" s="55"/>
      <c r="DJ88" s="43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</row>
    <row r="89" spans="1:182" ht="13" customHeight="1">
      <c r="AC89" s="244"/>
      <c r="AD89" s="244"/>
      <c r="AE89" s="244"/>
      <c r="AF89" s="244"/>
      <c r="AG89" s="244"/>
      <c r="AH89" s="244"/>
      <c r="AI89" s="244"/>
      <c r="AJ89" s="244"/>
      <c r="AK89" s="244"/>
      <c r="AL89" s="244"/>
      <c r="AM89" s="244"/>
      <c r="AN89" s="244"/>
      <c r="AO89" s="244"/>
      <c r="AP89" s="244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DI89" s="55"/>
      <c r="DJ89" s="43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</row>
    <row r="90" spans="1:182" ht="13" customHeight="1">
      <c r="AC90" s="244"/>
      <c r="AD90" s="244"/>
      <c r="AE90" s="244"/>
      <c r="AF90" s="244"/>
      <c r="AG90" s="244"/>
      <c r="AH90" s="244"/>
      <c r="AI90" s="244"/>
      <c r="AJ90" s="244"/>
      <c r="AK90" s="244"/>
      <c r="AL90" s="244"/>
      <c r="AM90" s="244"/>
      <c r="AN90" s="244"/>
      <c r="AO90" s="244"/>
      <c r="AP90" s="244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DI90" s="55"/>
      <c r="DJ90" s="43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</row>
    <row r="91" spans="1:182" ht="13" customHeight="1">
      <c r="AC91" s="244"/>
      <c r="AD91" s="244"/>
      <c r="AE91" s="244"/>
      <c r="AF91" s="244"/>
      <c r="AG91" s="244"/>
      <c r="AH91" s="244"/>
      <c r="AI91" s="244"/>
      <c r="AJ91" s="244"/>
      <c r="AK91" s="244"/>
      <c r="AL91" s="244"/>
      <c r="AM91" s="244"/>
      <c r="AN91" s="244"/>
      <c r="AO91" s="244"/>
      <c r="AP91" s="244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DI91" s="55"/>
      <c r="DJ91" s="43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</row>
    <row r="92" spans="1:182" ht="13" customHeight="1">
      <c r="AC92" s="244"/>
      <c r="AD92" s="244"/>
      <c r="AE92" s="244"/>
      <c r="AF92" s="244"/>
      <c r="AG92" s="244"/>
      <c r="AH92" s="244"/>
      <c r="AI92" s="244"/>
      <c r="AJ92" s="244"/>
      <c r="AK92" s="244"/>
      <c r="AL92" s="244"/>
      <c r="AM92" s="244"/>
      <c r="AN92" s="244"/>
      <c r="AO92" s="244"/>
      <c r="AP92" s="244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DI92" s="55"/>
      <c r="DJ92" s="43"/>
      <c r="DK92" s="39"/>
      <c r="DL92" s="39"/>
      <c r="DM92" s="39"/>
      <c r="DN92" s="39"/>
      <c r="DO92" s="39"/>
      <c r="DP92" s="39"/>
      <c r="DQ92" s="39"/>
      <c r="DR92" s="39"/>
      <c r="DS92" s="39"/>
      <c r="DT92" s="39"/>
      <c r="DU92" s="39"/>
      <c r="DV92" s="39"/>
    </row>
    <row r="93" spans="1:182" ht="13" customHeight="1">
      <c r="AC93" s="244"/>
      <c r="AD93" s="244"/>
      <c r="AE93" s="244"/>
      <c r="AF93" s="244"/>
      <c r="AG93" s="244"/>
      <c r="AH93" s="244"/>
      <c r="AI93" s="244"/>
      <c r="AJ93" s="244"/>
      <c r="AK93" s="244"/>
      <c r="AL93" s="244"/>
      <c r="AM93" s="244"/>
      <c r="AN93" s="244"/>
      <c r="AO93" s="244"/>
      <c r="AP93" s="244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DI93" s="55"/>
      <c r="DJ93" s="43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</row>
    <row r="94" spans="1:182" ht="13" customHeight="1">
      <c r="AC94" s="244"/>
      <c r="AD94" s="244"/>
      <c r="AE94" s="244"/>
      <c r="AF94" s="244"/>
      <c r="AG94" s="244"/>
      <c r="AH94" s="244"/>
      <c r="AI94" s="244"/>
      <c r="AJ94" s="244"/>
      <c r="AK94" s="244"/>
      <c r="AL94" s="244"/>
      <c r="AM94" s="244"/>
      <c r="AN94" s="244"/>
      <c r="AO94" s="244"/>
      <c r="AP94" s="244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DI94" s="55"/>
      <c r="DJ94" s="43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</row>
    <row r="95" spans="1:182" ht="13" customHeight="1">
      <c r="AC95" s="244"/>
      <c r="AD95" s="244"/>
      <c r="AE95" s="244"/>
      <c r="AF95" s="244"/>
      <c r="AG95" s="244"/>
      <c r="AH95" s="244"/>
      <c r="AI95" s="244"/>
      <c r="AJ95" s="244"/>
      <c r="AK95" s="244"/>
      <c r="AL95" s="244"/>
      <c r="AM95" s="244"/>
      <c r="AN95" s="244"/>
      <c r="AO95" s="244"/>
      <c r="AP95" s="244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DI95" s="55"/>
      <c r="DJ95" s="43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</row>
    <row r="96" spans="1:182" ht="13" customHeight="1">
      <c r="AC96" s="244"/>
      <c r="AD96" s="244"/>
      <c r="AE96" s="244"/>
      <c r="AF96" s="244"/>
      <c r="AG96" s="244"/>
      <c r="AH96" s="244"/>
      <c r="AI96" s="244"/>
      <c r="AJ96" s="244"/>
      <c r="AK96" s="244"/>
      <c r="AL96" s="244"/>
      <c r="AM96" s="244"/>
      <c r="AN96" s="244"/>
      <c r="AO96" s="244"/>
      <c r="AP96" s="244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DI96" s="55"/>
      <c r="DJ96" s="43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</row>
    <row r="97" spans="29:126" ht="13" customHeight="1">
      <c r="AC97" s="244"/>
      <c r="AD97" s="244"/>
      <c r="AE97" s="244"/>
      <c r="AF97" s="244"/>
      <c r="AG97" s="244"/>
      <c r="AH97" s="244"/>
      <c r="AI97" s="244"/>
      <c r="AJ97" s="244"/>
      <c r="AK97" s="244"/>
      <c r="AL97" s="244"/>
      <c r="AM97" s="244"/>
      <c r="AN97" s="244"/>
      <c r="AO97" s="244"/>
      <c r="AP97" s="244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DI97" s="55"/>
      <c r="DJ97" s="43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</row>
    <row r="98" spans="29:126" ht="13" customHeight="1">
      <c r="AC98" s="244"/>
      <c r="AD98" s="244"/>
      <c r="AE98" s="244"/>
      <c r="AF98" s="244"/>
      <c r="AG98" s="244"/>
      <c r="AH98" s="244"/>
      <c r="AI98" s="244"/>
      <c r="AJ98" s="244"/>
      <c r="AK98" s="244"/>
      <c r="AL98" s="244"/>
      <c r="AM98" s="244"/>
      <c r="AN98" s="244"/>
      <c r="AO98" s="244"/>
      <c r="AP98" s="244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DI98" s="55"/>
      <c r="DJ98" s="43"/>
      <c r="DK98" s="43"/>
      <c r="DL98" s="43"/>
      <c r="DM98" s="43"/>
      <c r="DN98" s="43"/>
      <c r="DO98" s="43"/>
      <c r="DP98" s="43"/>
      <c r="DQ98" s="43"/>
      <c r="DR98" s="43"/>
      <c r="DS98" s="43"/>
      <c r="DT98" s="43"/>
      <c r="DU98" s="43"/>
      <c r="DV98" s="43"/>
    </row>
    <row r="99" spans="29:126" ht="13" customHeight="1">
      <c r="AC99" s="244"/>
      <c r="AD99" s="244"/>
      <c r="AE99" s="244"/>
      <c r="AF99" s="244"/>
      <c r="AG99" s="244"/>
      <c r="AH99" s="244"/>
      <c r="AI99" s="244"/>
      <c r="AJ99" s="244"/>
      <c r="AK99" s="244"/>
      <c r="AL99" s="244"/>
      <c r="AM99" s="244"/>
      <c r="AN99" s="244"/>
      <c r="AO99" s="244"/>
      <c r="AP99" s="244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DI99" s="55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</row>
    <row r="100" spans="29:126" ht="13" customHeight="1">
      <c r="AC100" s="244"/>
      <c r="AD100" s="244"/>
      <c r="AE100" s="244"/>
      <c r="AF100" s="244"/>
      <c r="AG100" s="244"/>
      <c r="AH100" s="244"/>
      <c r="AI100" s="244"/>
      <c r="AJ100" s="244"/>
      <c r="AK100" s="244"/>
      <c r="AL100" s="244"/>
      <c r="AM100" s="244"/>
      <c r="AN100" s="244"/>
      <c r="AO100" s="244"/>
      <c r="AP100" s="244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DI100" s="55"/>
      <c r="DJ100" s="43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</row>
    <row r="101" spans="29:126" ht="13" customHeight="1">
      <c r="AC101" s="244"/>
      <c r="AD101" s="244"/>
      <c r="AE101" s="244"/>
      <c r="AF101" s="244"/>
      <c r="AG101" s="244"/>
      <c r="AH101" s="244"/>
      <c r="AI101" s="244"/>
      <c r="AJ101" s="244"/>
      <c r="AK101" s="244"/>
      <c r="AL101" s="244"/>
      <c r="AM101" s="244"/>
      <c r="AN101" s="244"/>
      <c r="AO101" s="244"/>
      <c r="AP101" s="244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DI101" s="55"/>
      <c r="DJ101" s="43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</row>
    <row r="102" spans="29:126" ht="13" customHeight="1">
      <c r="AC102" s="244"/>
      <c r="AD102" s="244"/>
      <c r="AE102" s="244"/>
      <c r="AF102" s="244"/>
      <c r="AG102" s="244"/>
      <c r="AH102" s="244"/>
      <c r="AI102" s="244"/>
      <c r="AJ102" s="244"/>
      <c r="AK102" s="244"/>
      <c r="AL102" s="244"/>
      <c r="AM102" s="244"/>
      <c r="AN102" s="244"/>
      <c r="AO102" s="244"/>
      <c r="AP102" s="244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DI102" s="55"/>
      <c r="DJ102" s="43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</row>
    <row r="103" spans="29:126" ht="13" customHeight="1">
      <c r="AC103" s="244"/>
      <c r="AD103" s="244"/>
      <c r="AE103" s="244"/>
      <c r="AF103" s="244"/>
      <c r="AG103" s="244"/>
      <c r="AH103" s="244"/>
      <c r="AI103" s="244"/>
      <c r="AJ103" s="244"/>
      <c r="AK103" s="244"/>
      <c r="AL103" s="244"/>
      <c r="AM103" s="244"/>
      <c r="AN103" s="244"/>
      <c r="AO103" s="244"/>
      <c r="AP103" s="244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DI103" s="55"/>
      <c r="DJ103" s="43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</row>
    <row r="104" spans="29:126" ht="13" customHeight="1">
      <c r="AC104" s="244"/>
      <c r="AD104" s="244"/>
      <c r="AE104" s="244"/>
      <c r="AF104" s="244"/>
      <c r="AG104" s="244"/>
      <c r="AH104" s="244"/>
      <c r="AI104" s="244"/>
      <c r="AJ104" s="244"/>
      <c r="AK104" s="244"/>
      <c r="AL104" s="244"/>
      <c r="AM104" s="244"/>
      <c r="AN104" s="244"/>
      <c r="AO104" s="244"/>
      <c r="AP104" s="244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DI104" s="55"/>
      <c r="DJ104" s="43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</row>
    <row r="105" spans="29:126" ht="13" customHeight="1">
      <c r="AC105" s="244"/>
      <c r="AD105" s="244"/>
      <c r="AE105" s="244"/>
      <c r="AF105" s="244"/>
      <c r="AG105" s="244"/>
      <c r="AH105" s="244"/>
      <c r="AI105" s="244"/>
      <c r="AJ105" s="244"/>
      <c r="AK105" s="244"/>
      <c r="AL105" s="244"/>
      <c r="AM105" s="244"/>
      <c r="AN105" s="244"/>
      <c r="AO105" s="244"/>
      <c r="AP105" s="244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DI105" s="55"/>
      <c r="DJ105" s="43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</row>
    <row r="106" spans="29:126" ht="13" customHeight="1">
      <c r="AC106" s="244"/>
      <c r="AD106" s="244"/>
      <c r="AE106" s="244"/>
      <c r="AF106" s="244"/>
      <c r="AG106" s="244"/>
      <c r="AH106" s="244"/>
      <c r="AI106" s="244"/>
      <c r="AJ106" s="244"/>
      <c r="AK106" s="244"/>
      <c r="AL106" s="244"/>
      <c r="AM106" s="244"/>
      <c r="AN106" s="244"/>
      <c r="AO106" s="244"/>
      <c r="AP106" s="244"/>
      <c r="BS106" s="252"/>
      <c r="BT106" s="252"/>
      <c r="BU106" s="252"/>
      <c r="BV106" s="252"/>
      <c r="BW106" s="252"/>
      <c r="BX106" s="252"/>
      <c r="BY106" s="252"/>
      <c r="BZ106" s="252"/>
      <c r="CA106" s="252"/>
      <c r="CB106" s="252"/>
      <c r="CC106" s="252"/>
      <c r="CD106" s="252"/>
      <c r="CE106" s="252"/>
      <c r="CF106" s="252"/>
      <c r="DI106" s="55"/>
      <c r="DJ106" s="43"/>
      <c r="DK106" s="41"/>
      <c r="DL106" s="41"/>
      <c r="DM106" s="41"/>
      <c r="DN106" s="41"/>
      <c r="DO106" s="41"/>
      <c r="DP106" s="41"/>
      <c r="DQ106" s="41"/>
      <c r="DR106" s="41"/>
      <c r="DS106" s="41"/>
      <c r="DT106" s="41"/>
      <c r="DU106" s="41"/>
      <c r="DV106" s="41"/>
    </row>
    <row r="107" spans="29:126" ht="13" customHeight="1">
      <c r="AC107" s="244"/>
      <c r="AD107" s="244"/>
      <c r="AE107" s="244"/>
      <c r="AF107" s="244"/>
      <c r="AG107" s="244"/>
      <c r="AH107" s="244"/>
      <c r="AI107" s="244"/>
      <c r="AJ107" s="244"/>
      <c r="AK107" s="244"/>
      <c r="AL107" s="244"/>
      <c r="AM107" s="244"/>
      <c r="AN107" s="244"/>
      <c r="AO107" s="244"/>
      <c r="AP107" s="244"/>
      <c r="BS107" s="252"/>
      <c r="BT107" s="252"/>
      <c r="BU107" s="252"/>
      <c r="BV107" s="252"/>
      <c r="BW107" s="252"/>
      <c r="BX107" s="252"/>
      <c r="BY107" s="252"/>
      <c r="BZ107" s="252"/>
      <c r="CA107" s="252"/>
      <c r="CB107" s="252"/>
      <c r="CC107" s="252"/>
      <c r="CD107" s="252"/>
      <c r="CE107" s="252"/>
      <c r="CF107" s="252"/>
      <c r="DI107" s="55"/>
      <c r="DJ107" s="43"/>
      <c r="DK107" s="41"/>
      <c r="DL107" s="41"/>
      <c r="DM107" s="41"/>
      <c r="DN107" s="41"/>
      <c r="DO107" s="41"/>
      <c r="DP107" s="41"/>
      <c r="DQ107" s="41"/>
      <c r="DR107" s="41"/>
      <c r="DS107" s="41"/>
      <c r="DT107" s="41"/>
      <c r="DU107" s="41"/>
      <c r="DV107" s="41"/>
    </row>
    <row r="108" spans="29:126" ht="13" customHeight="1">
      <c r="AC108" s="244"/>
      <c r="AD108" s="244"/>
      <c r="AE108" s="244"/>
      <c r="AF108" s="244"/>
      <c r="AG108" s="244"/>
      <c r="AH108" s="244"/>
      <c r="AI108" s="244"/>
      <c r="AJ108" s="244"/>
      <c r="AK108" s="244"/>
      <c r="AL108" s="244"/>
      <c r="AM108" s="244"/>
      <c r="AN108" s="244"/>
      <c r="AO108" s="244"/>
      <c r="AP108" s="244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DI108" s="55"/>
      <c r="DJ108" s="43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</row>
    <row r="109" spans="29:126" ht="13" customHeight="1">
      <c r="AC109" s="244"/>
      <c r="AD109" s="244"/>
      <c r="AE109" s="244"/>
      <c r="AF109" s="244"/>
      <c r="AG109" s="244"/>
      <c r="AH109" s="244"/>
      <c r="AI109" s="244"/>
      <c r="AJ109" s="244"/>
      <c r="AK109" s="244"/>
      <c r="AL109" s="244"/>
      <c r="AM109" s="244"/>
      <c r="AN109" s="244"/>
      <c r="AO109" s="244"/>
      <c r="AP109" s="244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DI109" s="55"/>
      <c r="DJ109" s="43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</row>
    <row r="110" spans="29:126" ht="13" customHeight="1">
      <c r="AC110" s="244"/>
      <c r="AD110" s="244"/>
      <c r="AE110" s="244"/>
      <c r="AF110" s="244"/>
      <c r="AG110" s="244"/>
      <c r="AH110" s="244"/>
      <c r="AI110" s="244"/>
      <c r="AJ110" s="244"/>
      <c r="AK110" s="244"/>
      <c r="AL110" s="244"/>
      <c r="AM110" s="244"/>
      <c r="AN110" s="244"/>
      <c r="AO110" s="244"/>
      <c r="AP110" s="244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DI110" s="55"/>
      <c r="DJ110" s="43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</row>
    <row r="111" spans="29:126" ht="13" customHeight="1">
      <c r="AC111" s="244"/>
      <c r="AD111" s="244"/>
      <c r="AE111" s="244"/>
      <c r="AF111" s="244"/>
      <c r="AG111" s="244"/>
      <c r="AH111" s="244"/>
      <c r="AI111" s="244"/>
      <c r="AJ111" s="244"/>
      <c r="AK111" s="244"/>
      <c r="AL111" s="244"/>
      <c r="AM111" s="244"/>
      <c r="AN111" s="244"/>
      <c r="AO111" s="244"/>
      <c r="AP111" s="244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DI111" s="55"/>
      <c r="DJ111" s="43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</row>
    <row r="112" spans="29:126" ht="13" customHeight="1">
      <c r="AC112" s="244"/>
      <c r="AD112" s="244"/>
      <c r="AE112" s="244"/>
      <c r="AF112" s="244"/>
      <c r="AG112" s="244"/>
      <c r="AH112" s="244"/>
      <c r="AI112" s="244"/>
      <c r="AJ112" s="244"/>
      <c r="AK112" s="244"/>
      <c r="AL112" s="244"/>
      <c r="AM112" s="244"/>
      <c r="AN112" s="244"/>
      <c r="AO112" s="244"/>
      <c r="AP112" s="244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DI112" s="55"/>
      <c r="DJ112" s="43"/>
      <c r="DK112" s="39"/>
      <c r="DL112" s="39"/>
      <c r="DM112" s="39"/>
      <c r="DN112" s="39"/>
      <c r="DO112" s="39"/>
      <c r="DP112" s="39"/>
      <c r="DQ112" s="39"/>
      <c r="DR112" s="39"/>
      <c r="DS112" s="39"/>
      <c r="DT112" s="39"/>
      <c r="DU112" s="39"/>
      <c r="DV112" s="39"/>
    </row>
    <row r="113" spans="29:126" ht="13" customHeight="1">
      <c r="AC113" s="244"/>
      <c r="AD113" s="244"/>
      <c r="AE113" s="244"/>
      <c r="AF113" s="244"/>
      <c r="AG113" s="244"/>
      <c r="AH113" s="244"/>
      <c r="AI113" s="244"/>
      <c r="AJ113" s="244"/>
      <c r="AK113" s="244"/>
      <c r="AL113" s="244"/>
      <c r="AM113" s="244"/>
      <c r="AN113" s="244"/>
      <c r="AO113" s="244"/>
      <c r="AP113" s="244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DI113" s="55"/>
      <c r="DJ113" s="43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</row>
    <row r="114" spans="29:126" ht="13" customHeight="1">
      <c r="AC114" s="244"/>
      <c r="AD114" s="244"/>
      <c r="AE114" s="244"/>
      <c r="AF114" s="244"/>
      <c r="AG114" s="244"/>
      <c r="AH114" s="244"/>
      <c r="AI114" s="244"/>
      <c r="AJ114" s="244"/>
      <c r="AK114" s="244"/>
      <c r="AL114" s="244"/>
      <c r="AM114" s="244"/>
      <c r="AN114" s="244"/>
      <c r="AO114" s="244"/>
      <c r="AP114" s="244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DI114" s="55"/>
      <c r="DJ114" s="43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</row>
    <row r="115" spans="29:126" ht="13" customHeight="1">
      <c r="AC115" s="244"/>
      <c r="AD115" s="244"/>
      <c r="AE115" s="244"/>
      <c r="AF115" s="244"/>
      <c r="AG115" s="244"/>
      <c r="AH115" s="244"/>
      <c r="AI115" s="244"/>
      <c r="AJ115" s="244"/>
      <c r="AK115" s="244"/>
      <c r="AL115" s="244"/>
      <c r="AM115" s="244"/>
      <c r="AN115" s="244"/>
      <c r="AO115" s="244"/>
      <c r="AP115" s="244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DI115" s="55"/>
      <c r="DJ115" s="43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</row>
    <row r="116" spans="29:126" ht="13" customHeight="1">
      <c r="AC116" s="244"/>
      <c r="AD116" s="244"/>
      <c r="AE116" s="244"/>
      <c r="AF116" s="244"/>
      <c r="AG116" s="244"/>
      <c r="AH116" s="244"/>
      <c r="AI116" s="244"/>
      <c r="AJ116" s="244"/>
      <c r="AK116" s="244"/>
      <c r="AL116" s="244"/>
      <c r="AM116" s="244"/>
      <c r="AN116" s="244"/>
      <c r="AO116" s="244"/>
      <c r="AP116" s="244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DI116" s="55"/>
      <c r="DJ116" s="43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</row>
    <row r="117" spans="29:126" ht="13" customHeight="1">
      <c r="AC117" s="244"/>
      <c r="AD117" s="244"/>
      <c r="AE117" s="244"/>
      <c r="AF117" s="244"/>
      <c r="AG117" s="244"/>
      <c r="AH117" s="244"/>
      <c r="AI117" s="244"/>
      <c r="AJ117" s="244"/>
      <c r="AK117" s="244"/>
      <c r="AL117" s="244"/>
      <c r="AM117" s="244"/>
      <c r="AN117" s="244"/>
      <c r="AO117" s="244"/>
      <c r="AP117" s="244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DI117" s="253"/>
      <c r="DJ117" s="43"/>
      <c r="DK117" s="39"/>
      <c r="DL117" s="39"/>
      <c r="DM117" s="39"/>
      <c r="DN117" s="39"/>
      <c r="DO117" s="39"/>
      <c r="DP117" s="39"/>
      <c r="DQ117" s="39"/>
      <c r="DR117" s="39"/>
      <c r="DS117" s="39"/>
      <c r="DT117" s="247"/>
      <c r="DU117" s="39"/>
      <c r="DV117" s="39"/>
    </row>
    <row r="118" spans="29:126" ht="13" customHeight="1"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BS118" s="247"/>
      <c r="BT118" s="247"/>
      <c r="BU118" s="247"/>
      <c r="BV118" s="247"/>
      <c r="BW118" s="247"/>
      <c r="BX118" s="247"/>
      <c r="BY118" s="247"/>
      <c r="BZ118" s="247"/>
      <c r="CA118" s="247"/>
      <c r="CB118" s="247"/>
      <c r="CC118" s="247"/>
      <c r="CD118" s="247"/>
      <c r="CE118" s="247"/>
      <c r="CF118" s="247"/>
      <c r="DI118" s="254"/>
      <c r="DJ118" s="50"/>
      <c r="DK118" s="247"/>
      <c r="DL118" s="247"/>
      <c r="DM118" s="247"/>
      <c r="DN118" s="247"/>
      <c r="DO118" s="247"/>
      <c r="DP118" s="247"/>
      <c r="DQ118" s="247"/>
      <c r="DR118" s="247"/>
      <c r="DS118" s="247"/>
      <c r="DT118" s="247"/>
      <c r="DU118" s="50"/>
      <c r="DV118" s="247"/>
    </row>
    <row r="119" spans="29:126" ht="13" customHeight="1">
      <c r="AC119" s="245"/>
      <c r="AD119" s="245"/>
      <c r="AE119" s="245"/>
      <c r="AF119" s="245"/>
      <c r="AG119" s="245"/>
      <c r="AH119" s="245"/>
      <c r="AI119" s="245"/>
      <c r="AJ119" s="245"/>
      <c r="AK119" s="245"/>
      <c r="AL119" s="245"/>
      <c r="AM119" s="245"/>
      <c r="AN119" s="245"/>
      <c r="AO119" s="245"/>
      <c r="AP119" s="245"/>
      <c r="BS119" s="247"/>
      <c r="BT119" s="247"/>
      <c r="BU119" s="247"/>
      <c r="BV119" s="247"/>
      <c r="BW119" s="247"/>
      <c r="BX119" s="247"/>
      <c r="BY119" s="247"/>
      <c r="BZ119" s="247"/>
      <c r="CA119" s="247"/>
      <c r="CB119" s="247"/>
      <c r="CC119" s="247"/>
      <c r="CD119" s="247"/>
      <c r="CE119" s="247"/>
      <c r="CF119" s="247"/>
      <c r="DI119" s="253"/>
      <c r="DJ119" s="50"/>
      <c r="DK119" s="247"/>
      <c r="DL119" s="247"/>
      <c r="DM119" s="247"/>
      <c r="DN119" s="247"/>
      <c r="DO119" s="247"/>
      <c r="DP119" s="247"/>
      <c r="DQ119" s="247"/>
      <c r="DR119" s="247"/>
      <c r="DS119" s="247"/>
      <c r="DT119" s="247"/>
      <c r="DU119" s="247"/>
      <c r="DV119" s="247"/>
    </row>
    <row r="120" spans="29:126" ht="13" customHeight="1"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BS120" s="120"/>
      <c r="BT120" s="120"/>
      <c r="BU120" s="120"/>
      <c r="BV120" s="120"/>
      <c r="BW120" s="120"/>
      <c r="BX120" s="120"/>
      <c r="BY120" s="120"/>
      <c r="BZ120" s="120"/>
      <c r="CA120" s="120"/>
      <c r="CB120" s="120"/>
      <c r="CC120" s="120"/>
      <c r="CD120" s="120"/>
      <c r="CE120" s="120"/>
      <c r="CF120" s="120"/>
      <c r="DI120" s="122"/>
      <c r="DJ120" s="120"/>
      <c r="DK120" s="120"/>
      <c r="DL120" s="120"/>
      <c r="DM120" s="120"/>
      <c r="DN120" s="120"/>
      <c r="DO120" s="120"/>
      <c r="DP120" s="120"/>
      <c r="DQ120" s="120"/>
      <c r="DR120" s="120"/>
      <c r="DS120" s="120"/>
      <c r="DT120" s="120"/>
      <c r="DU120" s="120"/>
      <c r="DV120" s="120"/>
    </row>
    <row r="121" spans="29:126" ht="13" customHeight="1"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BS121" s="50"/>
      <c r="BT121" s="50"/>
      <c r="BU121" s="50"/>
      <c r="BV121" s="50"/>
      <c r="BW121" s="50"/>
      <c r="BX121" s="50"/>
      <c r="BY121" s="50"/>
      <c r="BZ121" s="50"/>
      <c r="CA121" s="50"/>
      <c r="CB121" s="50"/>
      <c r="CC121" s="50"/>
      <c r="CD121" s="50"/>
      <c r="CE121" s="50"/>
      <c r="CF121" s="50"/>
      <c r="DI121" s="51"/>
      <c r="DJ121" s="50"/>
      <c r="DK121" s="50"/>
      <c r="DL121" s="50"/>
      <c r="DM121" s="50"/>
      <c r="DN121" s="52"/>
      <c r="DO121" s="52"/>
      <c r="DP121" s="52"/>
      <c r="DQ121" s="50"/>
      <c r="DR121" s="50"/>
      <c r="DS121" s="50"/>
      <c r="DT121" s="50"/>
      <c r="DU121" s="50"/>
      <c r="DV121" s="50"/>
    </row>
    <row r="122" spans="29:126" ht="13" customHeight="1"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  <c r="AO122" s="121"/>
      <c r="AP122" s="121"/>
      <c r="BS122" s="120"/>
      <c r="BT122" s="120"/>
      <c r="BU122" s="120"/>
      <c r="BV122" s="120"/>
      <c r="BW122" s="120"/>
      <c r="BX122" s="120"/>
      <c r="BY122" s="120"/>
      <c r="BZ122" s="120"/>
      <c r="CA122" s="120"/>
      <c r="CB122" s="120"/>
      <c r="CC122" s="120"/>
      <c r="CD122" s="120"/>
      <c r="CE122" s="120"/>
      <c r="CF122" s="120"/>
      <c r="DI122" s="122"/>
      <c r="DJ122" s="120"/>
      <c r="DK122" s="120"/>
      <c r="DL122" s="120"/>
      <c r="DM122" s="120"/>
      <c r="DN122" s="120"/>
      <c r="DO122" s="120"/>
      <c r="DP122" s="120"/>
      <c r="DQ122" s="120"/>
      <c r="DR122" s="120"/>
      <c r="DS122" s="120"/>
      <c r="DT122" s="120"/>
      <c r="DU122" s="120"/>
      <c r="DV122" s="120"/>
    </row>
    <row r="123" spans="29:126" ht="13" customHeight="1"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BS123" s="120"/>
      <c r="BT123" s="120"/>
      <c r="BU123" s="120"/>
      <c r="BV123" s="120"/>
      <c r="BW123" s="120"/>
      <c r="BX123" s="120"/>
      <c r="BY123" s="120"/>
      <c r="BZ123" s="120"/>
      <c r="CA123" s="120"/>
      <c r="CB123" s="120"/>
      <c r="CC123" s="120"/>
      <c r="CD123" s="120"/>
      <c r="CE123" s="120"/>
      <c r="CF123" s="120"/>
      <c r="DI123" s="122"/>
      <c r="DJ123" s="120"/>
      <c r="DK123" s="120"/>
      <c r="DL123" s="120"/>
      <c r="DM123" s="120"/>
      <c r="DN123" s="120"/>
      <c r="DO123" s="120"/>
      <c r="DP123" s="120"/>
      <c r="DQ123" s="120"/>
      <c r="DR123" s="120"/>
      <c r="DS123" s="120"/>
      <c r="DT123" s="120"/>
      <c r="DU123" s="120"/>
      <c r="DV123" s="120"/>
    </row>
    <row r="124" spans="29:126" ht="13" customHeight="1"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BS124" s="120"/>
      <c r="BT124" s="120"/>
      <c r="BU124" s="120"/>
      <c r="BV124" s="120"/>
      <c r="BW124" s="120"/>
      <c r="BX124" s="120"/>
      <c r="BY124" s="120"/>
      <c r="BZ124" s="120"/>
      <c r="CA124" s="120"/>
      <c r="CB124" s="120"/>
      <c r="CC124" s="120"/>
      <c r="CD124" s="120"/>
      <c r="CE124" s="120"/>
      <c r="CF124" s="120"/>
      <c r="DI124" s="122"/>
      <c r="DJ124" s="120"/>
      <c r="DK124" s="120"/>
      <c r="DL124" s="120"/>
      <c r="DM124" s="120"/>
      <c r="DN124" s="120"/>
      <c r="DO124" s="120"/>
      <c r="DP124" s="120"/>
      <c r="DQ124" s="120"/>
      <c r="DR124" s="120"/>
      <c r="DS124" s="120"/>
      <c r="DT124" s="120"/>
      <c r="DU124" s="120"/>
      <c r="DV124" s="120"/>
    </row>
    <row r="125" spans="29:126" ht="13" customHeight="1"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BS125" s="50"/>
      <c r="BT125" s="50"/>
      <c r="BU125" s="50"/>
      <c r="BV125" s="50"/>
      <c r="BW125" s="50"/>
      <c r="BX125" s="50"/>
      <c r="BY125" s="50"/>
      <c r="BZ125" s="50"/>
      <c r="CA125" s="50"/>
      <c r="CB125" s="50"/>
      <c r="CC125" s="50"/>
      <c r="CD125" s="50"/>
      <c r="CE125" s="50"/>
      <c r="CF125" s="50"/>
      <c r="DI125" s="51"/>
      <c r="DJ125" s="50"/>
      <c r="DK125" s="50"/>
      <c r="DL125" s="50"/>
      <c r="DM125" s="50"/>
      <c r="DN125" s="50"/>
      <c r="DO125" s="50"/>
      <c r="DP125" s="50"/>
      <c r="DQ125" s="50"/>
      <c r="DR125" s="50"/>
      <c r="DS125" s="50"/>
      <c r="DT125" s="50"/>
      <c r="DU125" s="50"/>
      <c r="DV125" s="50"/>
    </row>
    <row r="126" spans="29:126" ht="13" customHeight="1"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BS126" s="45"/>
      <c r="BT126" s="45"/>
      <c r="BU126" s="45"/>
      <c r="BV126" s="45"/>
      <c r="BW126" s="45"/>
      <c r="BX126" s="45"/>
      <c r="BY126" s="45"/>
      <c r="BZ126" s="45"/>
      <c r="CA126" s="45"/>
      <c r="CB126" s="45"/>
      <c r="CC126" s="45"/>
      <c r="CD126" s="45"/>
      <c r="CE126" s="45"/>
      <c r="CF126" s="45"/>
      <c r="DI126" s="47"/>
      <c r="DJ126" s="48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5"/>
    </row>
    <row r="127" spans="29:126" ht="13" customHeight="1"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BS127" s="50"/>
      <c r="BT127" s="50"/>
      <c r="BU127" s="50"/>
      <c r="BV127" s="50"/>
      <c r="BW127" s="50"/>
      <c r="BX127" s="50"/>
      <c r="BY127" s="50"/>
      <c r="BZ127" s="50"/>
      <c r="CA127" s="50"/>
      <c r="CB127" s="50"/>
      <c r="CC127" s="50"/>
      <c r="CD127" s="50"/>
      <c r="CE127" s="50"/>
      <c r="CF127" s="50"/>
      <c r="DI127" s="51"/>
      <c r="DJ127" s="50"/>
      <c r="DK127" s="50"/>
      <c r="DL127" s="50"/>
      <c r="DM127" s="50"/>
      <c r="DN127" s="50"/>
      <c r="DO127" s="50"/>
      <c r="DP127" s="50"/>
      <c r="DQ127" s="50"/>
      <c r="DR127" s="50"/>
      <c r="DS127" s="50"/>
      <c r="DT127" s="50"/>
      <c r="DU127" s="50"/>
      <c r="DV127" s="50"/>
    </row>
    <row r="128" spans="29:126" ht="13" customHeight="1">
      <c r="AC128" s="245"/>
      <c r="AD128" s="245"/>
      <c r="AE128" s="245"/>
      <c r="AF128" s="245"/>
      <c r="AG128" s="245"/>
      <c r="AH128" s="245"/>
      <c r="AI128" s="245"/>
      <c r="AJ128" s="245"/>
      <c r="AK128" s="245"/>
      <c r="AL128" s="245"/>
      <c r="AM128" s="245"/>
      <c r="AN128" s="245"/>
      <c r="AO128" s="245"/>
      <c r="AP128" s="245"/>
      <c r="BS128" s="247"/>
      <c r="BT128" s="247"/>
      <c r="BU128" s="247"/>
      <c r="BV128" s="247"/>
      <c r="BW128" s="247"/>
      <c r="BX128" s="247"/>
      <c r="BY128" s="247"/>
      <c r="BZ128" s="247"/>
      <c r="CA128" s="247"/>
      <c r="CB128" s="247"/>
      <c r="CC128" s="247"/>
      <c r="CD128" s="247"/>
      <c r="CE128" s="247"/>
      <c r="CF128" s="247"/>
      <c r="DI128" s="47"/>
      <c r="DJ128" s="247"/>
      <c r="DK128" s="247"/>
      <c r="DL128" s="247"/>
      <c r="DM128" s="247"/>
      <c r="DN128" s="247"/>
      <c r="DO128" s="247"/>
      <c r="DP128" s="247"/>
      <c r="DQ128" s="247"/>
      <c r="DR128" s="247"/>
      <c r="DS128" s="247"/>
      <c r="DT128" s="247"/>
      <c r="DU128" s="247"/>
      <c r="DV128" s="247"/>
    </row>
    <row r="129" spans="29:126" ht="13" customHeight="1">
      <c r="AC129" s="245"/>
      <c r="AD129" s="245"/>
      <c r="AE129" s="245"/>
      <c r="AF129" s="245"/>
      <c r="AG129" s="245"/>
      <c r="AH129" s="245"/>
      <c r="AI129" s="245"/>
      <c r="AJ129" s="245"/>
      <c r="AK129" s="245"/>
      <c r="AL129" s="245"/>
      <c r="AM129" s="245"/>
      <c r="AN129" s="245"/>
      <c r="AO129" s="245"/>
      <c r="AP129" s="245"/>
      <c r="BS129" s="247"/>
      <c r="BT129" s="247"/>
      <c r="BU129" s="247"/>
      <c r="BV129" s="247"/>
      <c r="BW129" s="247"/>
      <c r="BX129" s="247"/>
      <c r="BY129" s="247"/>
      <c r="BZ129" s="247"/>
      <c r="CA129" s="247"/>
      <c r="CB129" s="247"/>
      <c r="CC129" s="247"/>
      <c r="CD129" s="247"/>
      <c r="CE129" s="247"/>
      <c r="CF129" s="247"/>
      <c r="DI129" s="35"/>
      <c r="DJ129" s="247"/>
      <c r="DK129" s="247"/>
      <c r="DL129" s="247"/>
      <c r="DM129" s="247"/>
      <c r="DN129" s="247"/>
      <c r="DO129" s="247"/>
      <c r="DP129" s="247"/>
      <c r="DQ129" s="247"/>
      <c r="DR129" s="247"/>
      <c r="DS129" s="247"/>
      <c r="DT129" s="247"/>
      <c r="DU129" s="247"/>
      <c r="DV129" s="247"/>
    </row>
    <row r="130" spans="29:126" ht="13" customHeight="1">
      <c r="AC130" s="245"/>
      <c r="AD130" s="245"/>
      <c r="AE130" s="245"/>
      <c r="AF130" s="245"/>
      <c r="AG130" s="245"/>
      <c r="AH130" s="245"/>
      <c r="AI130" s="245"/>
      <c r="AJ130" s="245"/>
      <c r="AK130" s="245"/>
      <c r="AL130" s="245"/>
      <c r="AM130" s="245"/>
      <c r="AN130" s="245"/>
      <c r="AO130" s="245"/>
      <c r="AP130" s="245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DI130" s="35"/>
      <c r="DJ130" s="39"/>
      <c r="DK130" s="43"/>
      <c r="DL130" s="43"/>
      <c r="DM130" s="43"/>
      <c r="DN130" s="43"/>
      <c r="DO130" s="43"/>
      <c r="DP130" s="43"/>
      <c r="DQ130" s="43"/>
      <c r="DR130" s="43"/>
      <c r="DS130" s="43"/>
      <c r="DT130" s="43"/>
      <c r="DU130" s="43"/>
      <c r="DV130" s="43"/>
    </row>
    <row r="131" spans="29:126" ht="13" customHeight="1">
      <c r="AC131" s="245"/>
      <c r="AD131" s="245"/>
      <c r="AE131" s="245"/>
      <c r="AF131" s="245"/>
      <c r="AG131" s="245"/>
      <c r="AH131" s="245"/>
      <c r="AI131" s="245"/>
      <c r="AJ131" s="245"/>
      <c r="AK131" s="245"/>
      <c r="AL131" s="245"/>
      <c r="AM131" s="245"/>
      <c r="AN131" s="245"/>
      <c r="AO131" s="245"/>
      <c r="AP131" s="245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DI131" s="35"/>
      <c r="DJ131" s="39"/>
      <c r="DK131" s="43"/>
      <c r="DL131" s="43"/>
      <c r="DM131" s="43"/>
      <c r="DN131" s="43"/>
      <c r="DO131" s="43"/>
      <c r="DP131" s="43"/>
      <c r="DQ131" s="43"/>
      <c r="DR131" s="43"/>
      <c r="DS131" s="43"/>
      <c r="DT131" s="43"/>
      <c r="DU131" s="43"/>
      <c r="DV131" s="43"/>
    </row>
    <row r="132" spans="29:126" ht="13" customHeight="1">
      <c r="AC132" s="244"/>
      <c r="AD132" s="244"/>
      <c r="AE132" s="244"/>
      <c r="AF132" s="244"/>
      <c r="AG132" s="244"/>
      <c r="AH132" s="244"/>
      <c r="AI132" s="244"/>
      <c r="AJ132" s="244"/>
      <c r="AK132" s="244"/>
      <c r="AL132" s="244"/>
      <c r="AM132" s="244"/>
      <c r="AN132" s="244"/>
      <c r="AO132" s="244"/>
      <c r="AP132" s="244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DI132" s="55"/>
      <c r="DJ132" s="43"/>
      <c r="DK132" s="39"/>
      <c r="DL132" s="39"/>
      <c r="DM132" s="39"/>
      <c r="DN132" s="39"/>
      <c r="DO132" s="39"/>
      <c r="DP132" s="39"/>
      <c r="DQ132" s="39"/>
      <c r="DR132" s="39"/>
      <c r="DS132" s="39"/>
      <c r="DT132" s="39"/>
      <c r="DU132" s="39"/>
      <c r="DV132" s="39"/>
    </row>
    <row r="133" spans="29:126" ht="13" customHeight="1">
      <c r="AC133" s="244"/>
      <c r="AD133" s="244"/>
      <c r="AE133" s="244"/>
      <c r="AF133" s="244"/>
      <c r="AG133" s="244"/>
      <c r="AH133" s="244"/>
      <c r="AI133" s="244"/>
      <c r="AJ133" s="244"/>
      <c r="AK133" s="244"/>
      <c r="AL133" s="244"/>
      <c r="AM133" s="244"/>
      <c r="AN133" s="244"/>
      <c r="AO133" s="244"/>
      <c r="AP133" s="244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DI133" s="55"/>
      <c r="DJ133" s="43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</row>
    <row r="134" spans="29:126" ht="13" customHeight="1">
      <c r="AC134" s="244"/>
      <c r="AD134" s="244"/>
      <c r="AE134" s="244"/>
      <c r="AF134" s="244"/>
      <c r="AG134" s="244"/>
      <c r="AH134" s="244"/>
      <c r="AI134" s="244"/>
      <c r="AJ134" s="244"/>
      <c r="AK134" s="244"/>
      <c r="AL134" s="244"/>
      <c r="AM134" s="244"/>
      <c r="AN134" s="244"/>
      <c r="AO134" s="244"/>
      <c r="AP134" s="244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DI134" s="55"/>
      <c r="DJ134" s="43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</row>
    <row r="135" spans="29:126" ht="13" customHeight="1">
      <c r="AC135" s="244"/>
      <c r="AD135" s="244"/>
      <c r="AE135" s="244"/>
      <c r="AF135" s="244"/>
      <c r="AG135" s="244"/>
      <c r="AH135" s="244"/>
      <c r="AI135" s="244"/>
      <c r="AJ135" s="244"/>
      <c r="AK135" s="244"/>
      <c r="AL135" s="244"/>
      <c r="AM135" s="244"/>
      <c r="AN135" s="244"/>
      <c r="AO135" s="244"/>
      <c r="AP135" s="244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DI135" s="55"/>
      <c r="DJ135" s="43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</row>
    <row r="136" spans="29:126" ht="13" customHeight="1">
      <c r="AC136" s="244"/>
      <c r="AD136" s="244"/>
      <c r="AE136" s="244"/>
      <c r="AF136" s="244"/>
      <c r="AG136" s="244"/>
      <c r="AH136" s="244"/>
      <c r="AI136" s="244"/>
      <c r="AJ136" s="244"/>
      <c r="AK136" s="244"/>
      <c r="AL136" s="244"/>
      <c r="AM136" s="244"/>
      <c r="AN136" s="244"/>
      <c r="AO136" s="244"/>
      <c r="AP136" s="244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DI136" s="55"/>
      <c r="DJ136" s="43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</row>
    <row r="137" spans="29:126" ht="13" customHeight="1">
      <c r="AC137" s="244"/>
      <c r="AD137" s="244"/>
      <c r="AE137" s="244"/>
      <c r="AF137" s="244"/>
      <c r="AG137" s="244"/>
      <c r="AH137" s="244"/>
      <c r="AI137" s="244"/>
      <c r="AJ137" s="244"/>
      <c r="AK137" s="244"/>
      <c r="AL137" s="244"/>
      <c r="AM137" s="244"/>
      <c r="AN137" s="244"/>
      <c r="AO137" s="244"/>
      <c r="AP137" s="244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DI137" s="55"/>
      <c r="DJ137" s="43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</row>
    <row r="138" spans="29:126" ht="13" customHeight="1">
      <c r="AC138" s="244"/>
      <c r="AD138" s="244"/>
      <c r="AE138" s="244"/>
      <c r="AF138" s="244"/>
      <c r="AG138" s="244"/>
      <c r="AH138" s="244"/>
      <c r="AI138" s="244"/>
      <c r="AJ138" s="244"/>
      <c r="AK138" s="244"/>
      <c r="AL138" s="244"/>
      <c r="AM138" s="244"/>
      <c r="AN138" s="244"/>
      <c r="AO138" s="244"/>
      <c r="AP138" s="244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DI138" s="55"/>
      <c r="DJ138" s="43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</row>
    <row r="139" spans="29:126" ht="13" customHeight="1">
      <c r="AC139" s="244"/>
      <c r="AD139" s="244"/>
      <c r="AE139" s="244"/>
      <c r="AF139" s="244"/>
      <c r="AG139" s="244"/>
      <c r="AH139" s="244"/>
      <c r="AI139" s="244"/>
      <c r="AJ139" s="244"/>
      <c r="AK139" s="244"/>
      <c r="AL139" s="244"/>
      <c r="AM139" s="244"/>
      <c r="AN139" s="244"/>
      <c r="AO139" s="244"/>
      <c r="AP139" s="244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DI139" s="55"/>
      <c r="DJ139" s="43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</row>
    <row r="140" spans="29:126" ht="13" customHeight="1">
      <c r="AC140" s="244"/>
      <c r="AD140" s="244"/>
      <c r="AE140" s="244"/>
      <c r="AF140" s="244"/>
      <c r="AG140" s="244"/>
      <c r="AH140" s="244"/>
      <c r="AI140" s="244"/>
      <c r="AJ140" s="244"/>
      <c r="AK140" s="244"/>
      <c r="AL140" s="244"/>
      <c r="AM140" s="244"/>
      <c r="AN140" s="244"/>
      <c r="AO140" s="244"/>
      <c r="AP140" s="244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DI140" s="35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</row>
    <row r="141" spans="29:126" ht="13" customHeight="1">
      <c r="AC141" s="244"/>
      <c r="AD141" s="244"/>
      <c r="AE141" s="244"/>
      <c r="AF141" s="244"/>
      <c r="AG141" s="244"/>
      <c r="AH141" s="244"/>
      <c r="AI141" s="244"/>
      <c r="AJ141" s="244"/>
      <c r="AK141" s="244"/>
      <c r="AL141" s="244"/>
      <c r="AM141" s="244"/>
      <c r="AN141" s="244"/>
      <c r="AO141" s="244"/>
      <c r="AP141" s="244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DI141" s="35"/>
      <c r="DJ141" s="43"/>
      <c r="DK141" s="43"/>
      <c r="DL141" s="43"/>
      <c r="DM141" s="43"/>
      <c r="DN141" s="43"/>
      <c r="DO141" s="43"/>
      <c r="DP141" s="43"/>
      <c r="DQ141" s="43"/>
      <c r="DR141" s="43"/>
      <c r="DS141" s="43"/>
      <c r="DT141" s="43"/>
      <c r="DU141" s="43"/>
      <c r="DV141" s="43"/>
    </row>
    <row r="142" spans="29:126" ht="13" customHeight="1">
      <c r="AC142" s="244"/>
      <c r="AD142" s="244"/>
      <c r="AE142" s="244"/>
      <c r="AF142" s="244"/>
      <c r="AG142" s="244"/>
      <c r="AH142" s="244"/>
      <c r="AI142" s="244"/>
      <c r="AJ142" s="244"/>
      <c r="AK142" s="244"/>
      <c r="AL142" s="244"/>
      <c r="AM142" s="244"/>
      <c r="AN142" s="244"/>
      <c r="AO142" s="244"/>
      <c r="AP142" s="244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DI142" s="55"/>
      <c r="DJ142" s="43"/>
      <c r="DK142" s="39"/>
      <c r="DL142" s="39"/>
      <c r="DM142" s="39"/>
      <c r="DN142" s="39"/>
      <c r="DO142" s="39"/>
      <c r="DP142" s="39"/>
      <c r="DQ142" s="39"/>
      <c r="DR142" s="39"/>
      <c r="DS142" s="39"/>
      <c r="DT142" s="39"/>
      <c r="DU142" s="39"/>
      <c r="DV142" s="39"/>
    </row>
    <row r="143" spans="29:126" ht="13" customHeight="1">
      <c r="AC143" s="244"/>
      <c r="AD143" s="244"/>
      <c r="AE143" s="244"/>
      <c r="AF143" s="244"/>
      <c r="AG143" s="244"/>
      <c r="AH143" s="244"/>
      <c r="AI143" s="244"/>
      <c r="AJ143" s="244"/>
      <c r="AK143" s="244"/>
      <c r="AL143" s="244"/>
      <c r="AM143" s="244"/>
      <c r="AN143" s="244"/>
      <c r="AO143" s="244"/>
      <c r="AP143" s="244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DI143" s="55"/>
      <c r="DJ143" s="43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</row>
    <row r="144" spans="29:126" ht="13" customHeight="1">
      <c r="AC144" s="244"/>
      <c r="AD144" s="244"/>
      <c r="AE144" s="244"/>
      <c r="AF144" s="244"/>
      <c r="AG144" s="244"/>
      <c r="AH144" s="244"/>
      <c r="AI144" s="244"/>
      <c r="AJ144" s="244"/>
      <c r="AK144" s="244"/>
      <c r="AL144" s="244"/>
      <c r="AM144" s="244"/>
      <c r="AN144" s="244"/>
      <c r="AO144" s="244"/>
      <c r="AP144" s="244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DI144" s="55"/>
      <c r="DJ144" s="43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</row>
    <row r="145" spans="29:126" ht="13" customHeight="1">
      <c r="AC145" s="244"/>
      <c r="AD145" s="244"/>
      <c r="AE145" s="244"/>
      <c r="AF145" s="244"/>
      <c r="AG145" s="244"/>
      <c r="AH145" s="244"/>
      <c r="AI145" s="244"/>
      <c r="AJ145" s="244"/>
      <c r="AK145" s="244"/>
      <c r="AL145" s="244"/>
      <c r="AM145" s="244"/>
      <c r="AN145" s="244"/>
      <c r="AO145" s="244"/>
      <c r="AP145" s="244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DI145" s="55"/>
      <c r="DJ145" s="43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</row>
    <row r="146" spans="29:126" ht="13" customHeight="1">
      <c r="AC146" s="244"/>
      <c r="AD146" s="244"/>
      <c r="AE146" s="244"/>
      <c r="AF146" s="244"/>
      <c r="AG146" s="244"/>
      <c r="AH146" s="244"/>
      <c r="AI146" s="244"/>
      <c r="AJ146" s="244"/>
      <c r="AK146" s="244"/>
      <c r="AL146" s="244"/>
      <c r="AM146" s="244"/>
      <c r="AN146" s="244"/>
      <c r="AO146" s="244"/>
      <c r="AP146" s="244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DI146" s="55"/>
      <c r="DJ146" s="43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</row>
    <row r="147" spans="29:126" ht="13" customHeight="1">
      <c r="AC147" s="244"/>
      <c r="AD147" s="244"/>
      <c r="AE147" s="244"/>
      <c r="AF147" s="244"/>
      <c r="AG147" s="244"/>
      <c r="AH147" s="244"/>
      <c r="AI147" s="244"/>
      <c r="AJ147" s="244"/>
      <c r="AK147" s="244"/>
      <c r="AL147" s="244"/>
      <c r="AM147" s="244"/>
      <c r="AN147" s="244"/>
      <c r="AO147" s="244"/>
      <c r="AP147" s="244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DI147" s="55"/>
      <c r="DJ147" s="43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</row>
    <row r="148" spans="29:126" ht="13" customHeight="1">
      <c r="AC148" s="244"/>
      <c r="AD148" s="244"/>
      <c r="AE148" s="244"/>
      <c r="AF148" s="244"/>
      <c r="AG148" s="244"/>
      <c r="AH148" s="244"/>
      <c r="AI148" s="244"/>
      <c r="AJ148" s="244"/>
      <c r="AK148" s="244"/>
      <c r="AL148" s="244"/>
      <c r="AM148" s="244"/>
      <c r="AN148" s="244"/>
      <c r="AO148" s="244"/>
      <c r="AP148" s="244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DI148" s="55"/>
      <c r="DJ148" s="43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</row>
    <row r="149" spans="29:126" ht="13" customHeight="1">
      <c r="AC149" s="244"/>
      <c r="AD149" s="244"/>
      <c r="AE149" s="244"/>
      <c r="AF149" s="244"/>
      <c r="AG149" s="244"/>
      <c r="AH149" s="244"/>
      <c r="AI149" s="244"/>
      <c r="AJ149" s="244"/>
      <c r="AK149" s="244"/>
      <c r="AL149" s="244"/>
      <c r="AM149" s="244"/>
      <c r="AN149" s="244"/>
      <c r="AO149" s="244"/>
      <c r="AP149" s="244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DI149" s="55"/>
      <c r="DJ149" s="43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</row>
    <row r="150" spans="29:126" ht="13" customHeight="1">
      <c r="AC150" s="244"/>
      <c r="AD150" s="244"/>
      <c r="AE150" s="244"/>
      <c r="AF150" s="244"/>
      <c r="AG150" s="244"/>
      <c r="AH150" s="244"/>
      <c r="AI150" s="244"/>
      <c r="AJ150" s="244"/>
      <c r="AK150" s="244"/>
      <c r="AL150" s="244"/>
      <c r="AM150" s="244"/>
      <c r="AN150" s="244"/>
      <c r="AO150" s="244"/>
      <c r="AP150" s="244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DI150" s="55"/>
      <c r="DJ150" s="43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</row>
    <row r="151" spans="29:126" ht="13" customHeight="1">
      <c r="AC151" s="244"/>
      <c r="AD151" s="244"/>
      <c r="AE151" s="244"/>
      <c r="AF151" s="244"/>
      <c r="AG151" s="244"/>
      <c r="AH151" s="244"/>
      <c r="AI151" s="244"/>
      <c r="AJ151" s="244"/>
      <c r="AK151" s="244"/>
      <c r="AL151" s="244"/>
      <c r="AM151" s="244"/>
      <c r="AN151" s="244"/>
      <c r="AO151" s="244"/>
      <c r="AP151" s="244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DI151" s="55"/>
      <c r="DJ151" s="43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</row>
    <row r="152" spans="29:126" ht="13" customHeight="1">
      <c r="AC152" s="244"/>
      <c r="AD152" s="244"/>
      <c r="AE152" s="244"/>
      <c r="AF152" s="244"/>
      <c r="AG152" s="244"/>
      <c r="AH152" s="244"/>
      <c r="AI152" s="244"/>
      <c r="AJ152" s="244"/>
      <c r="AK152" s="244"/>
      <c r="AL152" s="244"/>
      <c r="AM152" s="244"/>
      <c r="AN152" s="244"/>
      <c r="AO152" s="244"/>
      <c r="AP152" s="244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DI152" s="55"/>
      <c r="DJ152" s="43"/>
      <c r="DK152" s="39"/>
      <c r="DL152" s="39"/>
      <c r="DM152" s="39"/>
      <c r="DN152" s="39"/>
      <c r="DO152" s="39"/>
      <c r="DP152" s="39"/>
      <c r="DQ152" s="39"/>
      <c r="DR152" s="39"/>
      <c r="DS152" s="39"/>
      <c r="DT152" s="39"/>
      <c r="DU152" s="39"/>
      <c r="DV152" s="39"/>
    </row>
    <row r="153" spans="29:126" ht="13" customHeight="1">
      <c r="AC153" s="244"/>
      <c r="AD153" s="244"/>
      <c r="AE153" s="244"/>
      <c r="AF153" s="244"/>
      <c r="AG153" s="244"/>
      <c r="AH153" s="244"/>
      <c r="AI153" s="244"/>
      <c r="AJ153" s="244"/>
      <c r="AK153" s="244"/>
      <c r="AL153" s="244"/>
      <c r="AM153" s="244"/>
      <c r="AN153" s="244"/>
      <c r="AO153" s="244"/>
      <c r="AP153" s="244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DI153" s="55"/>
      <c r="DJ153" s="43"/>
      <c r="DK153" s="39"/>
      <c r="DL153" s="39"/>
      <c r="DM153" s="39"/>
      <c r="DN153" s="39"/>
      <c r="DO153" s="39"/>
      <c r="DP153" s="39"/>
      <c r="DQ153" s="39"/>
      <c r="DR153" s="39"/>
      <c r="DS153" s="39"/>
      <c r="DT153" s="39"/>
      <c r="DU153" s="39"/>
      <c r="DV153" s="39"/>
    </row>
    <row r="154" spans="29:126" ht="13" customHeight="1">
      <c r="AC154" s="244"/>
      <c r="AD154" s="244"/>
      <c r="AE154" s="244"/>
      <c r="AF154" s="244"/>
      <c r="AG154" s="244"/>
      <c r="AH154" s="244"/>
      <c r="AI154" s="244"/>
      <c r="AJ154" s="244"/>
      <c r="AK154" s="244"/>
      <c r="AL154" s="244"/>
      <c r="AM154" s="244"/>
      <c r="AN154" s="244"/>
      <c r="AO154" s="244"/>
      <c r="AP154" s="244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DI154" s="55"/>
      <c r="DJ154" s="43"/>
      <c r="DK154" s="39"/>
      <c r="DL154" s="39"/>
      <c r="DM154" s="39"/>
      <c r="DN154" s="39"/>
      <c r="DO154" s="39"/>
      <c r="DP154" s="39"/>
      <c r="DQ154" s="39"/>
      <c r="DR154" s="39"/>
      <c r="DS154" s="39"/>
      <c r="DT154" s="39"/>
      <c r="DU154" s="39"/>
      <c r="DV154" s="39"/>
    </row>
    <row r="155" spans="29:126" ht="13" customHeight="1">
      <c r="AC155" s="244"/>
      <c r="AD155" s="244"/>
      <c r="AE155" s="244"/>
      <c r="AF155" s="244"/>
      <c r="AG155" s="244"/>
      <c r="AH155" s="244"/>
      <c r="AI155" s="244"/>
      <c r="AJ155" s="244"/>
      <c r="AK155" s="244"/>
      <c r="AL155" s="244"/>
      <c r="AM155" s="244"/>
      <c r="AN155" s="244"/>
      <c r="AO155" s="244"/>
      <c r="AP155" s="244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DI155" s="55"/>
      <c r="DJ155" s="43"/>
      <c r="DK155" s="39"/>
      <c r="DL155" s="39"/>
      <c r="DM155" s="39"/>
      <c r="DN155" s="39"/>
      <c r="DO155" s="39"/>
      <c r="DP155" s="39"/>
      <c r="DQ155" s="39"/>
      <c r="DR155" s="39"/>
      <c r="DS155" s="39"/>
      <c r="DT155" s="39"/>
      <c r="DU155" s="39"/>
      <c r="DV155" s="39"/>
    </row>
    <row r="156" spans="29:126" ht="13" customHeight="1">
      <c r="AC156" s="244"/>
      <c r="AD156" s="244"/>
      <c r="AE156" s="244"/>
      <c r="AF156" s="244"/>
      <c r="AG156" s="244"/>
      <c r="AH156" s="244"/>
      <c r="AI156" s="244"/>
      <c r="AJ156" s="244"/>
      <c r="AK156" s="244"/>
      <c r="AL156" s="244"/>
      <c r="AM156" s="244"/>
      <c r="AN156" s="244"/>
      <c r="AO156" s="244"/>
      <c r="AP156" s="244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DI156" s="55"/>
      <c r="DJ156" s="43"/>
      <c r="DK156" s="39"/>
      <c r="DL156" s="39"/>
      <c r="DM156" s="39"/>
      <c r="DN156" s="39"/>
      <c r="DO156" s="39"/>
      <c r="DP156" s="39"/>
      <c r="DQ156" s="39"/>
      <c r="DR156" s="39"/>
      <c r="DS156" s="39"/>
      <c r="DT156" s="39"/>
      <c r="DU156" s="39"/>
      <c r="DV156" s="39"/>
    </row>
    <row r="157" spans="29:126" ht="13" customHeight="1">
      <c r="AC157" s="244"/>
      <c r="AD157" s="244"/>
      <c r="AE157" s="244"/>
      <c r="AF157" s="244"/>
      <c r="AG157" s="244"/>
      <c r="AH157" s="244"/>
      <c r="AI157" s="244"/>
      <c r="AJ157" s="244"/>
      <c r="AK157" s="244"/>
      <c r="AL157" s="244"/>
      <c r="AM157" s="244"/>
      <c r="AN157" s="244"/>
      <c r="AO157" s="244"/>
      <c r="AP157" s="244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DI157" s="55"/>
      <c r="DJ157" s="43"/>
      <c r="DK157" s="39"/>
      <c r="DL157" s="39"/>
      <c r="DM157" s="39"/>
      <c r="DN157" s="39"/>
      <c r="DO157" s="39"/>
      <c r="DP157" s="39"/>
      <c r="DQ157" s="39"/>
      <c r="DR157" s="39"/>
      <c r="DS157" s="39"/>
      <c r="DT157" s="39"/>
      <c r="DU157" s="39"/>
      <c r="DV157" s="39"/>
    </row>
    <row r="158" spans="29:126" ht="13" customHeight="1">
      <c r="AC158" s="244"/>
      <c r="AD158" s="244"/>
      <c r="AE158" s="244"/>
      <c r="AF158" s="244"/>
      <c r="AG158" s="244"/>
      <c r="AH158" s="244"/>
      <c r="AI158" s="244"/>
      <c r="AJ158" s="244"/>
      <c r="AK158" s="244"/>
      <c r="AL158" s="244"/>
      <c r="AM158" s="244"/>
      <c r="AN158" s="244"/>
      <c r="AO158" s="244"/>
      <c r="AP158" s="244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DI158" s="35"/>
      <c r="DJ158" s="39"/>
      <c r="DK158" s="43"/>
      <c r="DL158" s="43"/>
      <c r="DM158" s="43"/>
      <c r="DN158" s="43"/>
      <c r="DO158" s="43"/>
      <c r="DP158" s="43"/>
      <c r="DQ158" s="43"/>
      <c r="DR158" s="43"/>
      <c r="DS158" s="43"/>
      <c r="DT158" s="43"/>
      <c r="DU158" s="43"/>
      <c r="DV158" s="43"/>
    </row>
    <row r="159" spans="29:126" ht="13" customHeight="1"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BS159" s="248"/>
      <c r="BT159" s="248"/>
      <c r="BU159" s="248"/>
      <c r="BV159" s="248"/>
      <c r="BW159" s="248"/>
      <c r="BX159" s="248"/>
      <c r="BY159" s="248"/>
      <c r="BZ159" s="248"/>
      <c r="CA159" s="248"/>
      <c r="CB159" s="248"/>
      <c r="CC159" s="248"/>
      <c r="CD159" s="248"/>
      <c r="CE159" s="248"/>
      <c r="CF159" s="248"/>
      <c r="DI159" s="249"/>
      <c r="DJ159" s="248"/>
      <c r="DK159" s="46"/>
      <c r="DL159" s="46"/>
      <c r="DM159" s="46"/>
      <c r="DN159" s="46"/>
      <c r="DO159" s="46"/>
      <c r="DP159" s="46"/>
      <c r="DQ159" s="46"/>
      <c r="DR159" s="46"/>
      <c r="DS159" s="46"/>
      <c r="DT159" s="46"/>
      <c r="DU159" s="46"/>
      <c r="DV159" s="248"/>
    </row>
    <row r="160" spans="29:126" ht="13" customHeight="1"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BS160" s="50"/>
      <c r="BT160" s="50"/>
      <c r="BU160" s="50"/>
      <c r="BV160" s="50"/>
      <c r="BW160" s="50"/>
      <c r="BX160" s="50"/>
      <c r="BY160" s="50"/>
      <c r="BZ160" s="50"/>
      <c r="CA160" s="50"/>
      <c r="CB160" s="50"/>
      <c r="CC160" s="50"/>
      <c r="CD160" s="50"/>
      <c r="CE160" s="50"/>
      <c r="CF160" s="50"/>
      <c r="DI160" s="250"/>
      <c r="DJ160" s="50"/>
      <c r="DK160" s="50"/>
      <c r="DL160" s="50"/>
      <c r="DM160" s="50"/>
      <c r="DN160" s="50"/>
      <c r="DO160" s="50"/>
      <c r="DP160" s="50"/>
      <c r="DQ160" s="50"/>
      <c r="DR160" s="50"/>
      <c r="DS160" s="50"/>
      <c r="DT160" s="50"/>
      <c r="DU160" s="50"/>
      <c r="DV160" s="50"/>
    </row>
    <row r="161" spans="29:126" ht="13" customHeight="1"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5"/>
      <c r="CF161" s="45"/>
      <c r="DI161" s="47"/>
      <c r="DJ161" s="48"/>
      <c r="DK161" s="46"/>
      <c r="DL161" s="46"/>
      <c r="DM161" s="46"/>
      <c r="DN161" s="46"/>
      <c r="DO161" s="46"/>
      <c r="DP161" s="46"/>
      <c r="DQ161" s="46"/>
      <c r="DR161" s="46"/>
      <c r="DS161" s="46"/>
      <c r="DT161" s="46"/>
      <c r="DU161" s="46"/>
      <c r="DV161" s="45"/>
    </row>
    <row r="162" spans="29:126" ht="13" customHeight="1">
      <c r="AC162" s="244"/>
      <c r="AD162" s="244"/>
      <c r="AE162" s="244"/>
      <c r="AF162" s="244"/>
      <c r="AG162" s="244"/>
      <c r="AH162" s="244"/>
      <c r="AI162" s="244"/>
      <c r="AJ162" s="244"/>
      <c r="AK162" s="244"/>
      <c r="AL162" s="244"/>
      <c r="AM162" s="244"/>
      <c r="AN162" s="244"/>
      <c r="AO162" s="244"/>
      <c r="AP162" s="244"/>
      <c r="BS162" s="251"/>
      <c r="BT162" s="251"/>
      <c r="BU162" s="251"/>
      <c r="BV162" s="251"/>
      <c r="BW162" s="251"/>
      <c r="BX162" s="251"/>
      <c r="BY162" s="251"/>
      <c r="BZ162" s="251"/>
      <c r="CA162" s="251"/>
      <c r="CB162" s="251"/>
      <c r="CC162" s="251"/>
      <c r="CD162" s="251"/>
      <c r="CE162" s="251"/>
      <c r="CF162" s="251"/>
      <c r="DI162" s="35"/>
      <c r="DJ162" s="39"/>
      <c r="DK162" s="43"/>
      <c r="DL162" s="43"/>
      <c r="DM162" s="43"/>
      <c r="DN162" s="43"/>
      <c r="DO162" s="43"/>
      <c r="DP162" s="43"/>
      <c r="DQ162" s="43"/>
      <c r="DR162" s="43"/>
      <c r="DS162" s="43"/>
      <c r="DT162" s="43"/>
      <c r="DU162" s="43"/>
      <c r="DV162" s="251"/>
    </row>
    <row r="163" spans="29:126" ht="13" customHeight="1">
      <c r="AC163" s="244"/>
      <c r="AD163" s="244"/>
      <c r="AE163" s="244"/>
      <c r="AF163" s="244"/>
      <c r="AG163" s="244"/>
      <c r="AH163" s="244"/>
      <c r="AI163" s="244"/>
      <c r="AJ163" s="244"/>
      <c r="AK163" s="244"/>
      <c r="AL163" s="244"/>
      <c r="AM163" s="244"/>
      <c r="AN163" s="244"/>
      <c r="AO163" s="244"/>
      <c r="AP163" s="244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DI163" s="55"/>
      <c r="DJ163" s="43"/>
      <c r="DK163" s="39"/>
      <c r="DL163" s="39"/>
      <c r="DM163" s="39"/>
      <c r="DN163" s="39"/>
      <c r="DO163" s="39"/>
      <c r="DP163" s="39"/>
      <c r="DQ163" s="39"/>
      <c r="DR163" s="39"/>
      <c r="DS163" s="39"/>
      <c r="DT163" s="39"/>
      <c r="DU163" s="39"/>
      <c r="DV163" s="39"/>
    </row>
    <row r="164" spans="29:126" ht="13" customHeight="1">
      <c r="AC164" s="244"/>
      <c r="AD164" s="244"/>
      <c r="AE164" s="244"/>
      <c r="AF164" s="244"/>
      <c r="AG164" s="244"/>
      <c r="AH164" s="244"/>
      <c r="AI164" s="244"/>
      <c r="AJ164" s="244"/>
      <c r="AK164" s="244"/>
      <c r="AL164" s="244"/>
      <c r="AM164" s="244"/>
      <c r="AN164" s="244"/>
      <c r="AO164" s="244"/>
      <c r="AP164" s="244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DI164" s="55"/>
      <c r="DJ164" s="43"/>
      <c r="DK164" s="39"/>
      <c r="DL164" s="39"/>
      <c r="DM164" s="39"/>
      <c r="DN164" s="39"/>
      <c r="DO164" s="39"/>
      <c r="DP164" s="39"/>
      <c r="DQ164" s="39"/>
      <c r="DR164" s="39"/>
      <c r="DS164" s="39"/>
      <c r="DT164" s="39"/>
      <c r="DU164" s="39"/>
      <c r="DV164" s="39"/>
    </row>
    <row r="165" spans="29:126" ht="13" customHeight="1">
      <c r="AC165" s="244"/>
      <c r="AD165" s="244"/>
      <c r="AE165" s="244"/>
      <c r="AF165" s="244"/>
      <c r="AG165" s="244"/>
      <c r="AH165" s="244"/>
      <c r="AI165" s="244"/>
      <c r="AJ165" s="244"/>
      <c r="AK165" s="244"/>
      <c r="AL165" s="244"/>
      <c r="AM165" s="244"/>
      <c r="AN165" s="244"/>
      <c r="AO165" s="244"/>
      <c r="AP165" s="244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DI165" s="55"/>
      <c r="DJ165" s="43"/>
      <c r="DK165" s="39"/>
      <c r="DL165" s="39"/>
      <c r="DM165" s="39"/>
      <c r="DN165" s="39"/>
      <c r="DO165" s="39"/>
      <c r="DP165" s="39"/>
      <c r="DQ165" s="39"/>
      <c r="DR165" s="39"/>
      <c r="DS165" s="39"/>
      <c r="DT165" s="39"/>
      <c r="DU165" s="39"/>
      <c r="DV165" s="39"/>
    </row>
    <row r="166" spans="29:126" ht="13" customHeight="1">
      <c r="AC166" s="244"/>
      <c r="AD166" s="244"/>
      <c r="AE166" s="244"/>
      <c r="AF166" s="244"/>
      <c r="AG166" s="244"/>
      <c r="AH166" s="244"/>
      <c r="AI166" s="244"/>
      <c r="AJ166" s="244"/>
      <c r="AK166" s="244"/>
      <c r="AL166" s="244"/>
      <c r="AM166" s="244"/>
      <c r="AN166" s="244"/>
      <c r="AO166" s="244"/>
      <c r="AP166" s="244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DI166" s="55"/>
      <c r="DJ166" s="43"/>
      <c r="DK166" s="39"/>
      <c r="DL166" s="39"/>
      <c r="DM166" s="39"/>
      <c r="DN166" s="39"/>
      <c r="DO166" s="39"/>
      <c r="DP166" s="39"/>
      <c r="DQ166" s="39"/>
      <c r="DR166" s="39"/>
      <c r="DS166" s="39"/>
      <c r="DT166" s="39"/>
      <c r="DU166" s="39"/>
      <c r="DV166" s="39"/>
    </row>
    <row r="167" spans="29:126" ht="13" customHeight="1">
      <c r="AC167" s="244"/>
      <c r="AD167" s="244"/>
      <c r="AE167" s="244"/>
      <c r="AF167" s="244"/>
      <c r="AG167" s="244"/>
      <c r="AH167" s="244"/>
      <c r="AI167" s="244"/>
      <c r="AJ167" s="244"/>
      <c r="AK167" s="244"/>
      <c r="AL167" s="244"/>
      <c r="AM167" s="244"/>
      <c r="AN167" s="244"/>
      <c r="AO167" s="244"/>
      <c r="AP167" s="244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DI167" s="55"/>
      <c r="DJ167" s="43"/>
      <c r="DK167" s="39"/>
      <c r="DL167" s="39"/>
      <c r="DM167" s="39"/>
      <c r="DN167" s="39"/>
      <c r="DO167" s="39"/>
      <c r="DP167" s="39"/>
      <c r="DQ167" s="39"/>
      <c r="DR167" s="39"/>
      <c r="DS167" s="39"/>
      <c r="DT167" s="39"/>
      <c r="DU167" s="39"/>
      <c r="DV167" s="39"/>
    </row>
    <row r="168" spans="29:126" ht="13" customHeight="1">
      <c r="AC168" s="244"/>
      <c r="AD168" s="244"/>
      <c r="AE168" s="244"/>
      <c r="AF168" s="244"/>
      <c r="AG168" s="244"/>
      <c r="AH168" s="244"/>
      <c r="AI168" s="244"/>
      <c r="AJ168" s="244"/>
      <c r="AK168" s="244"/>
      <c r="AL168" s="244"/>
      <c r="AM168" s="244"/>
      <c r="AN168" s="244"/>
      <c r="AO168" s="244"/>
      <c r="AP168" s="244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DI168" s="55"/>
      <c r="DJ168" s="43"/>
      <c r="DK168" s="39"/>
      <c r="DL168" s="39"/>
      <c r="DM168" s="39"/>
      <c r="DN168" s="39"/>
      <c r="DO168" s="39"/>
      <c r="DP168" s="39"/>
      <c r="DQ168" s="39"/>
      <c r="DR168" s="39"/>
      <c r="DS168" s="39"/>
      <c r="DT168" s="39"/>
      <c r="DU168" s="39"/>
      <c r="DV168" s="39"/>
    </row>
    <row r="169" spans="29:126" ht="13" customHeight="1">
      <c r="AC169" s="244"/>
      <c r="AD169" s="244"/>
      <c r="AE169" s="244"/>
      <c r="AF169" s="244"/>
      <c r="AG169" s="244"/>
      <c r="AH169" s="244"/>
      <c r="AI169" s="244"/>
      <c r="AJ169" s="244"/>
      <c r="AK169" s="244"/>
      <c r="AL169" s="244"/>
      <c r="AM169" s="244"/>
      <c r="AN169" s="244"/>
      <c r="AO169" s="244"/>
      <c r="AP169" s="244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DI169" s="55"/>
      <c r="DJ169" s="43"/>
      <c r="DK169" s="39"/>
      <c r="DL169" s="39"/>
      <c r="DM169" s="39"/>
      <c r="DN169" s="39"/>
      <c r="DO169" s="39"/>
      <c r="DP169" s="39"/>
      <c r="DQ169" s="39"/>
      <c r="DR169" s="39"/>
      <c r="DS169" s="39"/>
      <c r="DT169" s="39"/>
      <c r="DU169" s="39"/>
      <c r="DV169" s="39"/>
    </row>
    <row r="170" spans="29:126" ht="13" customHeight="1">
      <c r="AC170" s="244"/>
      <c r="AD170" s="244"/>
      <c r="AE170" s="244"/>
      <c r="AF170" s="244"/>
      <c r="AG170" s="244"/>
      <c r="AH170" s="244"/>
      <c r="AI170" s="244"/>
      <c r="AJ170" s="244"/>
      <c r="AK170" s="244"/>
      <c r="AL170" s="244"/>
      <c r="AM170" s="244"/>
      <c r="AN170" s="244"/>
      <c r="AO170" s="244"/>
      <c r="AP170" s="244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DI170" s="55"/>
      <c r="DJ170" s="43"/>
      <c r="DK170" s="39"/>
      <c r="DL170" s="39"/>
      <c r="DM170" s="39"/>
      <c r="DN170" s="39"/>
      <c r="DO170" s="39"/>
      <c r="DP170" s="39"/>
      <c r="DQ170" s="39"/>
      <c r="DR170" s="39"/>
      <c r="DS170" s="39"/>
      <c r="DT170" s="39"/>
      <c r="DU170" s="39"/>
      <c r="DV170" s="39"/>
    </row>
    <row r="171" spans="29:126" ht="13" customHeight="1">
      <c r="AC171" s="244"/>
      <c r="AD171" s="244"/>
      <c r="AE171" s="244"/>
      <c r="AF171" s="244"/>
      <c r="AG171" s="244"/>
      <c r="AH171" s="244"/>
      <c r="AI171" s="244"/>
      <c r="AJ171" s="244"/>
      <c r="AK171" s="244"/>
      <c r="AL171" s="244"/>
      <c r="AM171" s="244"/>
      <c r="AN171" s="244"/>
      <c r="AO171" s="244"/>
      <c r="AP171" s="244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DI171" s="55"/>
      <c r="DJ171" s="43"/>
      <c r="DK171" s="39"/>
      <c r="DL171" s="39"/>
      <c r="DM171" s="39"/>
      <c r="DN171" s="39"/>
      <c r="DO171" s="39"/>
      <c r="DP171" s="39"/>
      <c r="DQ171" s="39"/>
      <c r="DR171" s="39"/>
      <c r="DS171" s="39"/>
      <c r="DT171" s="39"/>
      <c r="DU171" s="39"/>
      <c r="DV171" s="39"/>
    </row>
    <row r="172" spans="29:126" ht="13" customHeight="1">
      <c r="AC172" s="244"/>
      <c r="AD172" s="244"/>
      <c r="AE172" s="244"/>
      <c r="AF172" s="244"/>
      <c r="AG172" s="244"/>
      <c r="AH172" s="244"/>
      <c r="AI172" s="244"/>
      <c r="AJ172" s="244"/>
      <c r="AK172" s="244"/>
      <c r="AL172" s="244"/>
      <c r="AM172" s="244"/>
      <c r="AN172" s="244"/>
      <c r="AO172" s="244"/>
      <c r="AP172" s="244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DI172" s="55"/>
      <c r="DJ172" s="43"/>
      <c r="DK172" s="39"/>
      <c r="DL172" s="39"/>
      <c r="DM172" s="39"/>
      <c r="DN172" s="39"/>
      <c r="DO172" s="39"/>
      <c r="DP172" s="39"/>
      <c r="DQ172" s="39"/>
      <c r="DR172" s="39"/>
      <c r="DS172" s="39"/>
      <c r="DT172" s="39"/>
      <c r="DU172" s="39"/>
      <c r="DV172" s="39"/>
    </row>
    <row r="173" spans="29:126" ht="13" customHeight="1">
      <c r="AC173" s="244"/>
      <c r="AD173" s="244"/>
      <c r="AE173" s="244"/>
      <c r="AF173" s="244"/>
      <c r="AG173" s="244"/>
      <c r="AH173" s="244"/>
      <c r="AI173" s="244"/>
      <c r="AJ173" s="244"/>
      <c r="AK173" s="244"/>
      <c r="AL173" s="244"/>
      <c r="AM173" s="244"/>
      <c r="AN173" s="244"/>
      <c r="AO173" s="244"/>
      <c r="AP173" s="244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DI173" s="55"/>
      <c r="DJ173" s="43"/>
      <c r="DK173" s="39"/>
      <c r="DL173" s="39"/>
      <c r="DM173" s="39"/>
      <c r="DN173" s="39"/>
      <c r="DO173" s="39"/>
      <c r="DP173" s="39"/>
      <c r="DQ173" s="39"/>
      <c r="DR173" s="39"/>
      <c r="DS173" s="39"/>
      <c r="DT173" s="39"/>
      <c r="DU173" s="39"/>
      <c r="DV173" s="39"/>
    </row>
    <row r="174" spans="29:126" ht="13" customHeight="1">
      <c r="AC174" s="244"/>
      <c r="AD174" s="244"/>
      <c r="AE174" s="244"/>
      <c r="AF174" s="244"/>
      <c r="AG174" s="244"/>
      <c r="AH174" s="244"/>
      <c r="AI174" s="244"/>
      <c r="AJ174" s="244"/>
      <c r="AK174" s="244"/>
      <c r="AL174" s="244"/>
      <c r="AM174" s="244"/>
      <c r="AN174" s="244"/>
      <c r="AO174" s="244"/>
      <c r="AP174" s="244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DI174" s="55"/>
      <c r="DJ174" s="43"/>
      <c r="DK174" s="39"/>
      <c r="DL174" s="39"/>
      <c r="DM174" s="39"/>
      <c r="DN174" s="39"/>
      <c r="DO174" s="39"/>
      <c r="DP174" s="39"/>
      <c r="DQ174" s="39"/>
      <c r="DR174" s="39"/>
      <c r="DS174" s="39"/>
      <c r="DT174" s="39"/>
      <c r="DU174" s="39"/>
      <c r="DV174" s="39"/>
    </row>
    <row r="175" spans="29:126" ht="13" customHeight="1">
      <c r="AC175" s="244"/>
      <c r="AD175" s="244"/>
      <c r="AE175" s="244"/>
      <c r="AF175" s="244"/>
      <c r="AG175" s="244"/>
      <c r="AH175" s="244"/>
      <c r="AI175" s="244"/>
      <c r="AJ175" s="244"/>
      <c r="AK175" s="244"/>
      <c r="AL175" s="244"/>
      <c r="AM175" s="244"/>
      <c r="AN175" s="244"/>
      <c r="AO175" s="244"/>
      <c r="AP175" s="244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DI175" s="55"/>
      <c r="DJ175" s="43"/>
      <c r="DK175" s="39"/>
      <c r="DL175" s="39"/>
      <c r="DM175" s="39"/>
      <c r="DN175" s="39"/>
      <c r="DO175" s="39"/>
      <c r="DP175" s="39"/>
      <c r="DQ175" s="39"/>
      <c r="DR175" s="39"/>
      <c r="DS175" s="39"/>
      <c r="DT175" s="39"/>
      <c r="DU175" s="39"/>
      <c r="DV175" s="39"/>
    </row>
    <row r="176" spans="29:126" ht="13" customHeight="1">
      <c r="AC176" s="244"/>
      <c r="AD176" s="244"/>
      <c r="AE176" s="244"/>
      <c r="AF176" s="244"/>
      <c r="AG176" s="244"/>
      <c r="AH176" s="244"/>
      <c r="AI176" s="244"/>
      <c r="AJ176" s="244"/>
      <c r="AK176" s="244"/>
      <c r="AL176" s="244"/>
      <c r="AM176" s="244"/>
      <c r="AN176" s="244"/>
      <c r="AO176" s="244"/>
      <c r="AP176" s="244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DI176" s="55"/>
      <c r="DJ176" s="43"/>
      <c r="DK176" s="39"/>
      <c r="DL176" s="39"/>
      <c r="DM176" s="39"/>
      <c r="DN176" s="39"/>
      <c r="DO176" s="39"/>
      <c r="DP176" s="39"/>
      <c r="DQ176" s="39"/>
      <c r="DR176" s="39"/>
      <c r="DS176" s="39"/>
      <c r="DT176" s="39"/>
      <c r="DU176" s="39"/>
      <c r="DV176" s="39"/>
    </row>
    <row r="177" spans="29:126" ht="13" customHeight="1">
      <c r="AC177" s="244"/>
      <c r="AD177" s="244"/>
      <c r="AE177" s="244"/>
      <c r="AF177" s="244"/>
      <c r="AG177" s="244"/>
      <c r="AH177" s="244"/>
      <c r="AI177" s="244"/>
      <c r="AJ177" s="244"/>
      <c r="AK177" s="244"/>
      <c r="AL177" s="244"/>
      <c r="AM177" s="244"/>
      <c r="AN177" s="244"/>
      <c r="AO177" s="244"/>
      <c r="AP177" s="244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DI177" s="55"/>
      <c r="DJ177" s="43"/>
      <c r="DK177" s="43"/>
      <c r="DL177" s="43"/>
      <c r="DM177" s="43"/>
      <c r="DN177" s="43"/>
      <c r="DO177" s="43"/>
      <c r="DP177" s="43"/>
      <c r="DQ177" s="43"/>
      <c r="DR177" s="43"/>
      <c r="DS177" s="43"/>
      <c r="DT177" s="43"/>
      <c r="DU177" s="43"/>
      <c r="DV177" s="43"/>
    </row>
    <row r="178" spans="29:126" ht="13" customHeight="1">
      <c r="AC178" s="244"/>
      <c r="AD178" s="244"/>
      <c r="AE178" s="244"/>
      <c r="AF178" s="244"/>
      <c r="AG178" s="244"/>
      <c r="AH178" s="244"/>
      <c r="AI178" s="244"/>
      <c r="AJ178" s="244"/>
      <c r="AK178" s="244"/>
      <c r="AL178" s="244"/>
      <c r="AM178" s="244"/>
      <c r="AN178" s="244"/>
      <c r="AO178" s="244"/>
      <c r="AP178" s="244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DI178" s="55"/>
      <c r="DJ178" s="43"/>
      <c r="DK178" s="43"/>
      <c r="DL178" s="43"/>
      <c r="DM178" s="43"/>
      <c r="DN178" s="43"/>
      <c r="DO178" s="43"/>
      <c r="DP178" s="43"/>
      <c r="DQ178" s="43"/>
      <c r="DR178" s="43"/>
      <c r="DS178" s="43"/>
      <c r="DT178" s="43"/>
      <c r="DU178" s="43"/>
      <c r="DV178" s="43"/>
    </row>
    <row r="179" spans="29:126" ht="13" customHeight="1">
      <c r="AC179" s="244"/>
      <c r="AD179" s="244"/>
      <c r="AE179" s="244"/>
      <c r="AF179" s="244"/>
      <c r="AG179" s="244"/>
      <c r="AH179" s="244"/>
      <c r="AI179" s="244"/>
      <c r="AJ179" s="244"/>
      <c r="AK179" s="244"/>
      <c r="AL179" s="244"/>
      <c r="AM179" s="244"/>
      <c r="AN179" s="244"/>
      <c r="AO179" s="244"/>
      <c r="AP179" s="244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DI179" s="55"/>
      <c r="DJ179" s="43"/>
      <c r="DK179" s="39"/>
      <c r="DL179" s="39"/>
      <c r="DM179" s="39"/>
      <c r="DN179" s="39"/>
      <c r="DO179" s="39"/>
      <c r="DP179" s="39"/>
      <c r="DQ179" s="39"/>
      <c r="DR179" s="39"/>
      <c r="DS179" s="39"/>
      <c r="DT179" s="39"/>
      <c r="DU179" s="39"/>
      <c r="DV179" s="39"/>
    </row>
    <row r="180" spans="29:126" ht="13" customHeight="1">
      <c r="AC180" s="244"/>
      <c r="AD180" s="244"/>
      <c r="AE180" s="244"/>
      <c r="AF180" s="244"/>
      <c r="AG180" s="244"/>
      <c r="AH180" s="244"/>
      <c r="AI180" s="244"/>
      <c r="AJ180" s="244"/>
      <c r="AK180" s="244"/>
      <c r="AL180" s="244"/>
      <c r="AM180" s="244"/>
      <c r="AN180" s="244"/>
      <c r="AO180" s="244"/>
      <c r="AP180" s="244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DI180" s="55"/>
      <c r="DJ180" s="43"/>
      <c r="DK180" s="39"/>
      <c r="DL180" s="39"/>
      <c r="DM180" s="39"/>
      <c r="DN180" s="39"/>
      <c r="DO180" s="39"/>
      <c r="DP180" s="39"/>
      <c r="DQ180" s="39"/>
      <c r="DR180" s="39"/>
      <c r="DS180" s="39"/>
      <c r="DT180" s="39"/>
      <c r="DU180" s="39"/>
      <c r="DV180" s="39"/>
    </row>
    <row r="181" spans="29:126" ht="13" customHeight="1">
      <c r="AC181" s="244"/>
      <c r="AD181" s="244"/>
      <c r="AE181" s="244"/>
      <c r="AF181" s="244"/>
      <c r="AG181" s="244"/>
      <c r="AH181" s="244"/>
      <c r="AI181" s="244"/>
      <c r="AJ181" s="244"/>
      <c r="AK181" s="244"/>
      <c r="AL181" s="244"/>
      <c r="AM181" s="244"/>
      <c r="AN181" s="244"/>
      <c r="AO181" s="244"/>
      <c r="AP181" s="244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DI181" s="55"/>
      <c r="DJ181" s="43"/>
      <c r="DK181" s="39"/>
      <c r="DL181" s="39"/>
      <c r="DM181" s="39"/>
      <c r="DN181" s="39"/>
      <c r="DO181" s="39"/>
      <c r="DP181" s="39"/>
      <c r="DQ181" s="39"/>
      <c r="DR181" s="39"/>
      <c r="DS181" s="39"/>
      <c r="DT181" s="39"/>
      <c r="DU181" s="39"/>
      <c r="DV181" s="39"/>
    </row>
    <row r="182" spans="29:126" ht="13" customHeight="1">
      <c r="AC182" s="244"/>
      <c r="AD182" s="244"/>
      <c r="AE182" s="244"/>
      <c r="AF182" s="244"/>
      <c r="AG182" s="244"/>
      <c r="AH182" s="244"/>
      <c r="AI182" s="244"/>
      <c r="AJ182" s="244"/>
      <c r="AK182" s="244"/>
      <c r="AL182" s="244"/>
      <c r="AM182" s="244"/>
      <c r="AN182" s="244"/>
      <c r="AO182" s="244"/>
      <c r="AP182" s="244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DI182" s="55"/>
      <c r="DJ182" s="43"/>
      <c r="DK182" s="39"/>
      <c r="DL182" s="39"/>
      <c r="DM182" s="39"/>
      <c r="DN182" s="39"/>
      <c r="DO182" s="39"/>
      <c r="DP182" s="39"/>
      <c r="DQ182" s="39"/>
      <c r="DR182" s="39"/>
      <c r="DS182" s="39"/>
      <c r="DT182" s="39"/>
      <c r="DU182" s="39"/>
      <c r="DV182" s="39"/>
    </row>
    <row r="183" spans="29:126" ht="13" customHeight="1">
      <c r="AC183" s="244"/>
      <c r="AD183" s="244"/>
      <c r="AE183" s="244"/>
      <c r="AF183" s="244"/>
      <c r="AG183" s="244"/>
      <c r="AH183" s="244"/>
      <c r="AI183" s="244"/>
      <c r="AJ183" s="244"/>
      <c r="AK183" s="244"/>
      <c r="AL183" s="244"/>
      <c r="AM183" s="244"/>
      <c r="AN183" s="244"/>
      <c r="AO183" s="244"/>
      <c r="AP183" s="244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DI183" s="55"/>
      <c r="DJ183" s="43"/>
      <c r="DK183" s="39"/>
      <c r="DL183" s="39"/>
      <c r="DM183" s="39"/>
      <c r="DN183" s="39"/>
      <c r="DO183" s="39"/>
      <c r="DP183" s="39"/>
      <c r="DQ183" s="39"/>
      <c r="DR183" s="39"/>
      <c r="DS183" s="39"/>
      <c r="DT183" s="39"/>
      <c r="DU183" s="39"/>
      <c r="DV183" s="39"/>
    </row>
    <row r="184" spans="29:126" ht="13" customHeight="1">
      <c r="AC184" s="244"/>
      <c r="AD184" s="244"/>
      <c r="AE184" s="244"/>
      <c r="AF184" s="244"/>
      <c r="AG184" s="244"/>
      <c r="AH184" s="244"/>
      <c r="AI184" s="244"/>
      <c r="AJ184" s="244"/>
      <c r="AK184" s="244"/>
      <c r="AL184" s="244"/>
      <c r="AM184" s="244"/>
      <c r="AN184" s="244"/>
      <c r="AO184" s="244"/>
      <c r="AP184" s="244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DI184" s="55"/>
      <c r="DJ184" s="43"/>
      <c r="DK184" s="39"/>
      <c r="DL184" s="39"/>
      <c r="DM184" s="39"/>
      <c r="DN184" s="39"/>
      <c r="DO184" s="39"/>
      <c r="DP184" s="39"/>
      <c r="DQ184" s="39"/>
      <c r="DR184" s="39"/>
      <c r="DS184" s="39"/>
      <c r="DT184" s="39"/>
      <c r="DU184" s="39"/>
      <c r="DV184" s="39"/>
    </row>
    <row r="185" spans="29:126" ht="13" customHeight="1">
      <c r="AC185" s="244"/>
      <c r="AD185" s="244"/>
      <c r="AE185" s="244"/>
      <c r="AF185" s="244"/>
      <c r="AG185" s="244"/>
      <c r="AH185" s="244"/>
      <c r="AI185" s="244"/>
      <c r="AJ185" s="244"/>
      <c r="AK185" s="244"/>
      <c r="AL185" s="244"/>
      <c r="AM185" s="244"/>
      <c r="AN185" s="244"/>
      <c r="AO185" s="244"/>
      <c r="AP185" s="244"/>
      <c r="BS185" s="252"/>
      <c r="BT185" s="252"/>
      <c r="BU185" s="252"/>
      <c r="BV185" s="252"/>
      <c r="BW185" s="252"/>
      <c r="BX185" s="252"/>
      <c r="BY185" s="252"/>
      <c r="BZ185" s="252"/>
      <c r="CA185" s="252"/>
      <c r="CB185" s="252"/>
      <c r="CC185" s="252"/>
      <c r="CD185" s="252"/>
      <c r="CE185" s="252"/>
      <c r="CF185" s="252"/>
      <c r="DI185" s="55"/>
      <c r="DJ185" s="43"/>
      <c r="DK185" s="41"/>
      <c r="DL185" s="41"/>
      <c r="DM185" s="41"/>
      <c r="DN185" s="41"/>
      <c r="DO185" s="41"/>
      <c r="DP185" s="41"/>
      <c r="DQ185" s="41"/>
      <c r="DR185" s="41"/>
      <c r="DS185" s="41"/>
      <c r="DT185" s="41"/>
      <c r="DU185" s="41"/>
      <c r="DV185" s="41"/>
    </row>
    <row r="186" spans="29:126" ht="13" customHeight="1">
      <c r="AC186" s="244"/>
      <c r="AD186" s="244"/>
      <c r="AE186" s="244"/>
      <c r="AF186" s="244"/>
      <c r="AG186" s="244"/>
      <c r="AH186" s="244"/>
      <c r="AI186" s="244"/>
      <c r="AJ186" s="244"/>
      <c r="AK186" s="244"/>
      <c r="AL186" s="244"/>
      <c r="AM186" s="244"/>
      <c r="AN186" s="244"/>
      <c r="AO186" s="244"/>
      <c r="AP186" s="244"/>
      <c r="BS186" s="252"/>
      <c r="BT186" s="252"/>
      <c r="BU186" s="252"/>
      <c r="BV186" s="252"/>
      <c r="BW186" s="252"/>
      <c r="BX186" s="252"/>
      <c r="BY186" s="252"/>
      <c r="BZ186" s="252"/>
      <c r="CA186" s="252"/>
      <c r="CB186" s="252"/>
      <c r="CC186" s="252"/>
      <c r="CD186" s="252"/>
      <c r="CE186" s="252"/>
      <c r="CF186" s="252"/>
      <c r="DI186" s="55"/>
      <c r="DJ186" s="43"/>
      <c r="DK186" s="41"/>
      <c r="DL186" s="41"/>
      <c r="DM186" s="41"/>
      <c r="DN186" s="41"/>
      <c r="DO186" s="41"/>
      <c r="DP186" s="41"/>
      <c r="DQ186" s="41"/>
      <c r="DR186" s="41"/>
      <c r="DS186" s="41"/>
      <c r="DT186" s="41"/>
      <c r="DU186" s="41"/>
      <c r="DV186" s="41"/>
    </row>
    <row r="187" spans="29:126" ht="13" customHeight="1">
      <c r="AC187" s="244"/>
      <c r="AD187" s="244"/>
      <c r="AE187" s="244"/>
      <c r="AF187" s="244"/>
      <c r="AG187" s="244"/>
      <c r="AH187" s="244"/>
      <c r="AI187" s="244"/>
      <c r="AJ187" s="244"/>
      <c r="AK187" s="244"/>
      <c r="AL187" s="244"/>
      <c r="AM187" s="244"/>
      <c r="AN187" s="244"/>
      <c r="AO187" s="244"/>
      <c r="AP187" s="244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DI187" s="55"/>
      <c r="DJ187" s="43"/>
      <c r="DK187" s="39"/>
      <c r="DL187" s="39"/>
      <c r="DM187" s="39"/>
      <c r="DN187" s="39"/>
      <c r="DO187" s="39"/>
      <c r="DP187" s="39"/>
      <c r="DQ187" s="39"/>
      <c r="DR187" s="39"/>
      <c r="DS187" s="39"/>
      <c r="DT187" s="39"/>
      <c r="DU187" s="39"/>
      <c r="DV187" s="39"/>
    </row>
    <row r="188" spans="29:126" ht="13" customHeight="1">
      <c r="AC188" s="244"/>
      <c r="AD188" s="244"/>
      <c r="AE188" s="244"/>
      <c r="AF188" s="244"/>
      <c r="AG188" s="244"/>
      <c r="AH188" s="244"/>
      <c r="AI188" s="244"/>
      <c r="AJ188" s="244"/>
      <c r="AK188" s="244"/>
      <c r="AL188" s="244"/>
      <c r="AM188" s="244"/>
      <c r="AN188" s="244"/>
      <c r="AO188" s="244"/>
      <c r="AP188" s="244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DI188" s="55"/>
      <c r="DJ188" s="43"/>
      <c r="DK188" s="39"/>
      <c r="DL188" s="39"/>
      <c r="DM188" s="39"/>
      <c r="DN188" s="39"/>
      <c r="DO188" s="39"/>
      <c r="DP188" s="39"/>
      <c r="DQ188" s="39"/>
      <c r="DR188" s="39"/>
      <c r="DS188" s="39"/>
      <c r="DT188" s="39"/>
      <c r="DU188" s="39"/>
      <c r="DV188" s="39"/>
    </row>
    <row r="189" spans="29:126" ht="13" customHeight="1">
      <c r="AC189" s="244"/>
      <c r="AD189" s="244"/>
      <c r="AE189" s="244"/>
      <c r="AF189" s="244"/>
      <c r="AG189" s="244"/>
      <c r="AH189" s="244"/>
      <c r="AI189" s="244"/>
      <c r="AJ189" s="244"/>
      <c r="AK189" s="244"/>
      <c r="AL189" s="244"/>
      <c r="AM189" s="244"/>
      <c r="AN189" s="244"/>
      <c r="AO189" s="244"/>
      <c r="AP189" s="244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DI189" s="55"/>
      <c r="DJ189" s="43"/>
      <c r="DK189" s="39"/>
      <c r="DL189" s="39"/>
      <c r="DM189" s="39"/>
      <c r="DN189" s="39"/>
      <c r="DO189" s="39"/>
      <c r="DP189" s="39"/>
      <c r="DQ189" s="39"/>
      <c r="DR189" s="39"/>
      <c r="DS189" s="39"/>
      <c r="DT189" s="39"/>
      <c r="DU189" s="39"/>
      <c r="DV189" s="39"/>
    </row>
    <row r="190" spans="29:126" ht="13" customHeight="1">
      <c r="AC190" s="244"/>
      <c r="AD190" s="244"/>
      <c r="AE190" s="244"/>
      <c r="AF190" s="244"/>
      <c r="AG190" s="244"/>
      <c r="AH190" s="244"/>
      <c r="AI190" s="244"/>
      <c r="AJ190" s="244"/>
      <c r="AK190" s="244"/>
      <c r="AL190" s="244"/>
      <c r="AM190" s="244"/>
      <c r="AN190" s="244"/>
      <c r="AO190" s="244"/>
      <c r="AP190" s="244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DI190" s="55"/>
      <c r="DJ190" s="43"/>
      <c r="DK190" s="39"/>
      <c r="DL190" s="39"/>
      <c r="DM190" s="39"/>
      <c r="DN190" s="39"/>
      <c r="DO190" s="39"/>
      <c r="DP190" s="39"/>
      <c r="DQ190" s="39"/>
      <c r="DR190" s="39"/>
      <c r="DS190" s="39"/>
      <c r="DT190" s="39"/>
      <c r="DU190" s="39"/>
      <c r="DV190" s="39"/>
    </row>
    <row r="191" spans="29:126" ht="13" customHeight="1">
      <c r="AC191" s="244"/>
      <c r="AD191" s="244"/>
      <c r="AE191" s="244"/>
      <c r="AF191" s="244"/>
      <c r="AG191" s="244"/>
      <c r="AH191" s="244"/>
      <c r="AI191" s="244"/>
      <c r="AJ191" s="244"/>
      <c r="AK191" s="244"/>
      <c r="AL191" s="244"/>
      <c r="AM191" s="244"/>
      <c r="AN191" s="244"/>
      <c r="AO191" s="244"/>
      <c r="AP191" s="244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DI191" s="55"/>
      <c r="DJ191" s="43"/>
      <c r="DK191" s="39"/>
      <c r="DL191" s="39"/>
      <c r="DM191" s="39"/>
      <c r="DN191" s="39"/>
      <c r="DO191" s="39"/>
      <c r="DP191" s="39"/>
      <c r="DQ191" s="39"/>
      <c r="DR191" s="39"/>
      <c r="DS191" s="39"/>
      <c r="DT191" s="39"/>
      <c r="DU191" s="39"/>
      <c r="DV191" s="39"/>
    </row>
    <row r="192" spans="29:126" ht="13" customHeight="1">
      <c r="AC192" s="244"/>
      <c r="AD192" s="244"/>
      <c r="AE192" s="244"/>
      <c r="AF192" s="244"/>
      <c r="AG192" s="244"/>
      <c r="AH192" s="244"/>
      <c r="AI192" s="244"/>
      <c r="AJ192" s="244"/>
      <c r="AK192" s="244"/>
      <c r="AL192" s="244"/>
      <c r="AM192" s="244"/>
      <c r="AN192" s="244"/>
      <c r="AO192" s="244"/>
      <c r="AP192" s="244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DI192" s="55"/>
      <c r="DJ192" s="43"/>
      <c r="DK192" s="39"/>
      <c r="DL192" s="39"/>
      <c r="DM192" s="39"/>
      <c r="DN192" s="39"/>
      <c r="DO192" s="39"/>
      <c r="DP192" s="39"/>
      <c r="DQ192" s="39"/>
      <c r="DR192" s="39"/>
      <c r="DS192" s="39"/>
      <c r="DT192" s="39"/>
      <c r="DU192" s="39"/>
      <c r="DV192" s="39"/>
    </row>
    <row r="193" spans="29:126" ht="13" customHeight="1">
      <c r="AC193" s="244"/>
      <c r="AD193" s="244"/>
      <c r="AE193" s="244"/>
      <c r="AF193" s="244"/>
      <c r="AG193" s="244"/>
      <c r="AH193" s="244"/>
      <c r="AI193" s="244"/>
      <c r="AJ193" s="244"/>
      <c r="AK193" s="244"/>
      <c r="AL193" s="244"/>
      <c r="AM193" s="244"/>
      <c r="AN193" s="244"/>
      <c r="AO193" s="244"/>
      <c r="AP193" s="244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DI193" s="55"/>
      <c r="DJ193" s="43"/>
      <c r="DK193" s="39"/>
      <c r="DL193" s="39"/>
      <c r="DM193" s="39"/>
      <c r="DN193" s="39"/>
      <c r="DO193" s="39"/>
      <c r="DP193" s="39"/>
      <c r="DQ193" s="39"/>
      <c r="DR193" s="39"/>
      <c r="DS193" s="39"/>
      <c r="DT193" s="39"/>
      <c r="DU193" s="39"/>
      <c r="DV193" s="39"/>
    </row>
    <row r="194" spans="29:126" ht="13" customHeight="1">
      <c r="AC194" s="244"/>
      <c r="AD194" s="244"/>
      <c r="AE194" s="244"/>
      <c r="AF194" s="244"/>
      <c r="AG194" s="244"/>
      <c r="AH194" s="244"/>
      <c r="AI194" s="244"/>
      <c r="AJ194" s="244"/>
      <c r="AK194" s="244"/>
      <c r="AL194" s="244"/>
      <c r="AM194" s="244"/>
      <c r="AN194" s="244"/>
      <c r="AO194" s="244"/>
      <c r="AP194" s="244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DI194" s="55"/>
      <c r="DJ194" s="43"/>
      <c r="DK194" s="39"/>
      <c r="DL194" s="39"/>
      <c r="DM194" s="39"/>
      <c r="DN194" s="39"/>
      <c r="DO194" s="39"/>
      <c r="DP194" s="39"/>
      <c r="DQ194" s="39"/>
      <c r="DR194" s="39"/>
      <c r="DS194" s="39"/>
      <c r="DT194" s="39"/>
      <c r="DU194" s="39"/>
      <c r="DV194" s="39"/>
    </row>
    <row r="195" spans="29:126" ht="13" customHeight="1">
      <c r="AC195" s="244"/>
      <c r="AD195" s="244"/>
      <c r="AE195" s="244"/>
      <c r="AF195" s="244"/>
      <c r="AG195" s="244"/>
      <c r="AH195" s="244"/>
      <c r="AI195" s="244"/>
      <c r="AJ195" s="244"/>
      <c r="AK195" s="244"/>
      <c r="AL195" s="244"/>
      <c r="AM195" s="244"/>
      <c r="AN195" s="244"/>
      <c r="AO195" s="244"/>
      <c r="AP195" s="244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DI195" s="55"/>
      <c r="DJ195" s="244"/>
      <c r="DK195" s="41"/>
      <c r="DL195" s="41"/>
      <c r="DM195" s="41"/>
      <c r="DN195" s="41"/>
      <c r="DO195" s="41"/>
      <c r="DP195" s="41"/>
      <c r="DQ195" s="41"/>
      <c r="DR195" s="41"/>
      <c r="DS195" s="41"/>
      <c r="DT195" s="41"/>
      <c r="DU195" s="41"/>
      <c r="DV195" s="41"/>
    </row>
    <row r="196" spans="29:126" ht="13" customHeight="1">
      <c r="AC196" s="244"/>
      <c r="AD196" s="244"/>
      <c r="AE196" s="244"/>
      <c r="AF196" s="244"/>
      <c r="AG196" s="244"/>
      <c r="AH196" s="244"/>
      <c r="AI196" s="244"/>
      <c r="AJ196" s="244"/>
      <c r="AK196" s="244"/>
      <c r="AL196" s="244"/>
      <c r="AM196" s="244"/>
      <c r="AN196" s="244"/>
      <c r="AO196" s="244"/>
      <c r="AP196" s="244"/>
      <c r="BS196" s="255"/>
      <c r="BT196" s="255"/>
      <c r="BU196" s="255"/>
      <c r="BV196" s="255"/>
      <c r="BW196" s="255"/>
      <c r="BX196" s="255"/>
      <c r="BY196" s="255"/>
      <c r="BZ196" s="255"/>
      <c r="CA196" s="255"/>
      <c r="CB196" s="255"/>
      <c r="CC196" s="255"/>
      <c r="CD196" s="255"/>
      <c r="CE196" s="255"/>
      <c r="CF196" s="255"/>
      <c r="DI196" s="253"/>
      <c r="DJ196" s="256"/>
      <c r="DK196" s="255"/>
      <c r="DL196" s="255"/>
      <c r="DM196" s="255"/>
      <c r="DN196" s="255"/>
      <c r="DO196" s="255"/>
      <c r="DP196" s="255"/>
      <c r="DQ196" s="255"/>
      <c r="DR196" s="255"/>
      <c r="DS196" s="255"/>
      <c r="DT196" s="257"/>
      <c r="DU196" s="35"/>
      <c r="DV196" s="255"/>
    </row>
    <row r="197" spans="29:126" ht="13" customHeight="1">
      <c r="AC197" s="258"/>
      <c r="AD197" s="258"/>
      <c r="AE197" s="258"/>
      <c r="AF197" s="258"/>
      <c r="AG197" s="258"/>
      <c r="AH197" s="258"/>
      <c r="AI197" s="258"/>
      <c r="AJ197" s="258"/>
      <c r="AK197" s="258"/>
      <c r="AL197" s="258"/>
      <c r="AM197" s="258"/>
      <c r="AN197" s="258"/>
      <c r="AO197" s="258"/>
      <c r="AP197" s="258"/>
      <c r="BS197" s="257"/>
      <c r="BT197" s="257"/>
      <c r="BU197" s="257"/>
      <c r="BV197" s="257"/>
      <c r="BW197" s="257"/>
      <c r="BX197" s="257"/>
      <c r="BY197" s="257"/>
      <c r="BZ197" s="257"/>
      <c r="CA197" s="257"/>
      <c r="CB197" s="257"/>
      <c r="CC197" s="257"/>
      <c r="CD197" s="257"/>
      <c r="CE197" s="257"/>
      <c r="CF197" s="257"/>
      <c r="DI197" s="254"/>
      <c r="DJ197" s="51"/>
      <c r="DK197" s="257"/>
      <c r="DL197" s="257"/>
      <c r="DM197" s="257"/>
      <c r="DN197" s="257"/>
      <c r="DO197" s="257"/>
      <c r="DP197" s="257"/>
      <c r="DQ197" s="257"/>
      <c r="DR197" s="257"/>
      <c r="DS197" s="257"/>
      <c r="DT197" s="257"/>
      <c r="DU197" s="51"/>
      <c r="DV197" s="257"/>
    </row>
    <row r="198" spans="29:126" ht="13" customHeight="1"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BS198" s="259"/>
      <c r="BT198" s="259"/>
      <c r="BU198" s="259"/>
      <c r="BV198" s="259"/>
      <c r="BW198" s="259"/>
      <c r="BX198" s="259"/>
      <c r="BY198" s="259"/>
      <c r="BZ198" s="259"/>
      <c r="CA198" s="259"/>
      <c r="CB198" s="259"/>
      <c r="CC198" s="259"/>
      <c r="CD198" s="259"/>
      <c r="CE198" s="259"/>
      <c r="CF198" s="259"/>
      <c r="DI198" s="260"/>
      <c r="DJ198" s="34"/>
      <c r="DK198" s="259"/>
      <c r="DL198" s="259"/>
      <c r="DM198" s="259"/>
      <c r="DN198" s="259"/>
      <c r="DO198" s="259"/>
      <c r="DP198" s="259"/>
      <c r="DQ198" s="259"/>
      <c r="DR198" s="259"/>
      <c r="DS198" s="259"/>
      <c r="DT198" s="259"/>
      <c r="DU198" s="259"/>
      <c r="DV198" s="259"/>
    </row>
    <row r="199" spans="29:126" ht="13" customHeight="1"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DI199" s="68"/>
      <c r="DJ199" s="68"/>
      <c r="DK199" s="68"/>
      <c r="DL199" s="68"/>
      <c r="DM199" s="68"/>
    </row>
    <row r="200" spans="29:126" ht="13" customHeight="1"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DI200" s="68"/>
      <c r="DJ200" s="68"/>
      <c r="DK200" s="68"/>
      <c r="DL200" s="68"/>
      <c r="DM200" s="68"/>
    </row>
    <row r="201" spans="29:126" ht="13" customHeight="1">
      <c r="BS201" s="68"/>
      <c r="BT201" s="68"/>
      <c r="BU201" s="68"/>
      <c r="BV201" s="68"/>
      <c r="BW201" s="68"/>
      <c r="BX201" s="68"/>
      <c r="BY201" s="68"/>
      <c r="BZ201" s="68"/>
      <c r="CA201" s="68"/>
      <c r="CB201" s="68"/>
      <c r="CC201" s="68"/>
      <c r="CD201" s="68"/>
      <c r="CE201" s="68"/>
      <c r="CF201" s="68"/>
      <c r="DI201" s="68"/>
      <c r="DJ201" s="68"/>
      <c r="DK201" s="68"/>
      <c r="DL201" s="68"/>
      <c r="DM201" s="68"/>
    </row>
    <row r="202" spans="29:126" ht="13" customHeight="1">
      <c r="BS202" s="68"/>
      <c r="BT202" s="68"/>
      <c r="BU202" s="68"/>
      <c r="BV202" s="68"/>
      <c r="BW202" s="68"/>
      <c r="BX202" s="68"/>
      <c r="BY202" s="68"/>
      <c r="BZ202" s="68"/>
      <c r="CA202" s="68"/>
      <c r="CB202" s="68"/>
      <c r="CC202" s="68"/>
      <c r="CD202" s="68"/>
      <c r="CE202" s="68"/>
      <c r="CF202" s="68"/>
      <c r="DI202" s="68"/>
      <c r="DJ202" s="68"/>
      <c r="DK202" s="68"/>
      <c r="DL202" s="68"/>
      <c r="DM202" s="68"/>
    </row>
    <row r="203" spans="29:126" ht="13" customHeight="1">
      <c r="BS203" s="68"/>
      <c r="BT203" s="68"/>
      <c r="BU203" s="68"/>
      <c r="BV203" s="68"/>
      <c r="BW203" s="68"/>
      <c r="BX203" s="68"/>
      <c r="BY203" s="68"/>
      <c r="BZ203" s="68"/>
      <c r="CA203" s="68"/>
      <c r="CB203" s="68"/>
      <c r="CC203" s="68"/>
      <c r="CD203" s="68"/>
      <c r="CE203" s="68"/>
      <c r="CF203" s="68"/>
      <c r="DI203" s="68"/>
      <c r="DJ203" s="68"/>
      <c r="DK203" s="68"/>
      <c r="DL203" s="68"/>
      <c r="DM203" s="68"/>
    </row>
    <row r="204" spans="29:126" ht="13" customHeight="1"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BS204" s="69"/>
      <c r="BT204" s="69"/>
      <c r="BU204" s="69"/>
      <c r="BV204" s="69"/>
      <c r="BW204" s="69"/>
      <c r="BX204" s="69"/>
      <c r="BY204" s="69"/>
      <c r="BZ204" s="69"/>
      <c r="CA204" s="69"/>
      <c r="CB204" s="69"/>
      <c r="CC204" s="69"/>
      <c r="CD204" s="69"/>
      <c r="CE204" s="69"/>
      <c r="CF204" s="69"/>
      <c r="DI204" s="69"/>
      <c r="DJ204" s="69"/>
      <c r="DK204" s="69"/>
      <c r="DL204" s="69"/>
      <c r="DM204" s="69"/>
      <c r="DN204" s="35"/>
      <c r="DO204" s="35"/>
      <c r="DP204" s="35"/>
      <c r="DQ204" s="35"/>
      <c r="DR204" s="35"/>
      <c r="DS204" s="35"/>
      <c r="DT204" s="35"/>
      <c r="DU204" s="35"/>
      <c r="DV204" s="35"/>
    </row>
    <row r="205" spans="29:126" ht="13" customHeight="1"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BS205" s="47"/>
      <c r="BT205" s="47"/>
      <c r="BU205" s="47"/>
      <c r="BV205" s="47"/>
      <c r="BW205" s="47"/>
      <c r="BX205" s="47"/>
      <c r="BY205" s="47"/>
      <c r="BZ205" s="47"/>
      <c r="CA205" s="47"/>
      <c r="CB205" s="47"/>
      <c r="CC205" s="47"/>
      <c r="CD205" s="47"/>
      <c r="CE205" s="47"/>
      <c r="CF205" s="47"/>
      <c r="DI205" s="47"/>
      <c r="DJ205" s="54"/>
      <c r="DK205" s="53"/>
      <c r="DL205" s="53"/>
      <c r="DM205" s="53"/>
      <c r="DN205" s="53"/>
      <c r="DO205" s="53"/>
      <c r="DP205" s="53"/>
      <c r="DQ205" s="53"/>
      <c r="DR205" s="53"/>
      <c r="DS205" s="53"/>
      <c r="DT205" s="53"/>
      <c r="DU205" s="53"/>
      <c r="DV205" s="47"/>
    </row>
    <row r="206" spans="29:126" ht="13" customHeight="1"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BS206" s="35"/>
      <c r="BT206" s="35"/>
      <c r="BU206" s="35"/>
      <c r="BV206" s="35"/>
      <c r="BW206" s="35"/>
      <c r="BX206" s="35"/>
      <c r="BY206" s="35"/>
      <c r="BZ206" s="35"/>
      <c r="CA206" s="35"/>
      <c r="CB206" s="35"/>
      <c r="CC206" s="35"/>
      <c r="CD206" s="35"/>
      <c r="CE206" s="35"/>
      <c r="CF206" s="35"/>
      <c r="DI206" s="51"/>
      <c r="DJ206" s="35"/>
      <c r="DK206" s="35"/>
      <c r="DL206" s="35"/>
      <c r="DM206" s="35"/>
      <c r="DN206" s="35"/>
      <c r="DO206" s="35"/>
      <c r="DP206" s="35"/>
      <c r="DQ206" s="35"/>
      <c r="DR206" s="35"/>
      <c r="DS206" s="35"/>
      <c r="DT206" s="35"/>
      <c r="DU206" s="35"/>
      <c r="DV206" s="35"/>
    </row>
    <row r="207" spans="29:126" ht="13" customHeight="1"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BS207" s="35"/>
      <c r="BT207" s="35"/>
      <c r="BU207" s="35"/>
      <c r="BV207" s="35"/>
      <c r="BW207" s="35"/>
      <c r="BX207" s="35"/>
      <c r="BY207" s="35"/>
      <c r="BZ207" s="35"/>
      <c r="CA207" s="35"/>
      <c r="CB207" s="35"/>
      <c r="CC207" s="35"/>
      <c r="CD207" s="35"/>
      <c r="CE207" s="35"/>
      <c r="CF207" s="35"/>
      <c r="DI207" s="47"/>
      <c r="DJ207" s="35"/>
      <c r="DK207" s="35"/>
      <c r="DL207" s="35"/>
      <c r="DM207" s="35"/>
      <c r="DN207" s="35"/>
      <c r="DO207" s="35"/>
      <c r="DP207" s="35"/>
      <c r="DQ207" s="35"/>
      <c r="DR207" s="35"/>
      <c r="DS207" s="35"/>
      <c r="DT207" s="35"/>
      <c r="DU207" s="35"/>
      <c r="DV207" s="35"/>
    </row>
    <row r="208" spans="29:126" ht="13" customHeight="1"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BS208" s="35"/>
      <c r="BT208" s="35"/>
      <c r="BU208" s="35"/>
      <c r="BV208" s="35"/>
      <c r="BW208" s="35"/>
      <c r="BX208" s="35"/>
      <c r="BY208" s="35"/>
      <c r="BZ208" s="35"/>
      <c r="CA208" s="35"/>
      <c r="CB208" s="35"/>
      <c r="CC208" s="35"/>
      <c r="CD208" s="35"/>
      <c r="CE208" s="35"/>
      <c r="CF208" s="35"/>
      <c r="DI208" s="35"/>
      <c r="DJ208" s="35"/>
      <c r="DK208" s="35"/>
      <c r="DL208" s="35"/>
      <c r="DM208" s="35"/>
      <c r="DN208" s="35"/>
      <c r="DO208" s="35"/>
      <c r="DP208" s="35"/>
      <c r="DQ208" s="35"/>
      <c r="DR208" s="35"/>
      <c r="DS208" s="35"/>
      <c r="DT208" s="35"/>
      <c r="DU208" s="35"/>
      <c r="DV208" s="35"/>
    </row>
    <row r="209" spans="29:126" ht="13" customHeight="1"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BS209" s="35"/>
      <c r="BT209" s="35"/>
      <c r="BU209" s="35"/>
      <c r="BV209" s="35"/>
      <c r="BW209" s="35"/>
      <c r="BX209" s="35"/>
      <c r="BY209" s="35"/>
      <c r="BZ209" s="35"/>
      <c r="CA209" s="35"/>
      <c r="CB209" s="35"/>
      <c r="CC209" s="35"/>
      <c r="CD209" s="35"/>
      <c r="CE209" s="35"/>
      <c r="CF209" s="35"/>
      <c r="DI209" s="35"/>
      <c r="DJ209" s="35"/>
      <c r="DK209" s="35"/>
      <c r="DL209" s="35"/>
      <c r="DM209" s="35"/>
      <c r="DN209" s="35"/>
      <c r="DO209" s="35"/>
      <c r="DP209" s="35"/>
      <c r="DQ209" s="35"/>
      <c r="DR209" s="35"/>
      <c r="DS209" s="35"/>
      <c r="DT209" s="35"/>
      <c r="DU209" s="35"/>
      <c r="DV209" s="35"/>
    </row>
    <row r="210" spans="29:126" ht="13" customHeight="1"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BS210" s="35"/>
      <c r="BT210" s="35"/>
      <c r="BU210" s="35"/>
      <c r="BV210" s="35"/>
      <c r="BW210" s="35"/>
      <c r="BX210" s="35"/>
      <c r="BY210" s="35"/>
      <c r="BZ210" s="35"/>
      <c r="CA210" s="35"/>
      <c r="CB210" s="35"/>
      <c r="CC210" s="35"/>
      <c r="CD210" s="35"/>
      <c r="CE210" s="35"/>
      <c r="CF210" s="35"/>
      <c r="DI210" s="35"/>
      <c r="DJ210" s="35"/>
      <c r="DK210" s="35"/>
      <c r="DL210" s="35"/>
      <c r="DM210" s="35"/>
      <c r="DN210" s="35"/>
      <c r="DO210" s="35"/>
      <c r="DP210" s="35"/>
      <c r="DQ210" s="35"/>
      <c r="DR210" s="35"/>
      <c r="DS210" s="35"/>
      <c r="DT210" s="35"/>
      <c r="DU210" s="35"/>
      <c r="DV210" s="35"/>
    </row>
    <row r="211" spans="29:126" ht="13" customHeight="1"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BS211" s="35"/>
      <c r="BT211" s="35"/>
      <c r="BU211" s="35"/>
      <c r="BV211" s="35"/>
      <c r="BW211" s="35"/>
      <c r="BX211" s="35"/>
      <c r="BY211" s="35"/>
      <c r="BZ211" s="35"/>
      <c r="CA211" s="35"/>
      <c r="CB211" s="35"/>
      <c r="CC211" s="35"/>
      <c r="CD211" s="35"/>
      <c r="CE211" s="35"/>
      <c r="CF211" s="35"/>
      <c r="DI211" s="55"/>
      <c r="DJ211" s="35"/>
      <c r="DK211" s="35"/>
      <c r="DL211" s="35"/>
      <c r="DM211" s="35"/>
      <c r="DN211" s="35"/>
      <c r="DO211" s="35"/>
      <c r="DP211" s="35"/>
      <c r="DQ211" s="35"/>
      <c r="DR211" s="35"/>
      <c r="DS211" s="35"/>
      <c r="DT211" s="35"/>
      <c r="DU211" s="35"/>
      <c r="DV211" s="35"/>
    </row>
    <row r="212" spans="29:126" ht="13" customHeight="1"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BS212" s="35"/>
      <c r="BT212" s="35"/>
      <c r="BU212" s="35"/>
      <c r="BV212" s="35"/>
      <c r="BW212" s="35"/>
      <c r="BX212" s="35"/>
      <c r="BY212" s="35"/>
      <c r="BZ212" s="35"/>
      <c r="CA212" s="35"/>
      <c r="CB212" s="35"/>
      <c r="CC212" s="35"/>
      <c r="CD212" s="35"/>
      <c r="CE212" s="35"/>
      <c r="CF212" s="35"/>
      <c r="DI212" s="55"/>
      <c r="DJ212" s="35"/>
      <c r="DK212" s="35"/>
      <c r="DL212" s="35"/>
      <c r="DM212" s="35"/>
      <c r="DN212" s="35"/>
      <c r="DO212" s="35"/>
      <c r="DP212" s="35"/>
      <c r="DQ212" s="35"/>
      <c r="DR212" s="35"/>
      <c r="DS212" s="35"/>
      <c r="DT212" s="35"/>
      <c r="DU212" s="35"/>
      <c r="DV212" s="35"/>
    </row>
    <row r="213" spans="29:126" ht="13" customHeight="1"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BS213" s="35"/>
      <c r="BT213" s="35"/>
      <c r="BU213" s="35"/>
      <c r="BV213" s="35"/>
      <c r="BW213" s="35"/>
      <c r="BX213" s="35"/>
      <c r="BY213" s="35"/>
      <c r="BZ213" s="35"/>
      <c r="CA213" s="35"/>
      <c r="CB213" s="35"/>
      <c r="CC213" s="35"/>
      <c r="CD213" s="35"/>
      <c r="CE213" s="35"/>
      <c r="CF213" s="35"/>
      <c r="DI213" s="55"/>
      <c r="DJ213" s="35"/>
      <c r="DK213" s="35"/>
      <c r="DL213" s="35"/>
      <c r="DM213" s="35"/>
      <c r="DN213" s="35"/>
      <c r="DO213" s="35"/>
      <c r="DP213" s="35"/>
      <c r="DQ213" s="35"/>
      <c r="DR213" s="35"/>
      <c r="DS213" s="35"/>
      <c r="DT213" s="35"/>
      <c r="DU213" s="35"/>
      <c r="DV213" s="35"/>
    </row>
    <row r="214" spans="29:126" ht="13" customHeight="1"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BS214" s="35"/>
      <c r="BT214" s="35"/>
      <c r="BU214" s="35"/>
      <c r="BV214" s="35"/>
      <c r="BW214" s="35"/>
      <c r="BX214" s="35"/>
      <c r="BY214" s="35"/>
      <c r="BZ214" s="35"/>
      <c r="CA214" s="35"/>
      <c r="CB214" s="35"/>
      <c r="CC214" s="35"/>
      <c r="CD214" s="35"/>
      <c r="CE214" s="35"/>
      <c r="CF214" s="35"/>
      <c r="DI214" s="55"/>
      <c r="DJ214" s="35"/>
      <c r="DK214" s="35"/>
      <c r="DL214" s="35"/>
      <c r="DM214" s="35"/>
      <c r="DN214" s="35"/>
      <c r="DO214" s="35"/>
      <c r="DP214" s="35"/>
      <c r="DQ214" s="35"/>
      <c r="DR214" s="35"/>
      <c r="DS214" s="35"/>
      <c r="DT214" s="35"/>
      <c r="DU214" s="35"/>
      <c r="DV214" s="35"/>
    </row>
    <row r="215" spans="29:126" ht="13" customHeight="1"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BS215" s="35"/>
      <c r="BT215" s="35"/>
      <c r="BU215" s="35"/>
      <c r="BV215" s="35"/>
      <c r="BW215" s="35"/>
      <c r="BX215" s="35"/>
      <c r="BY215" s="35"/>
      <c r="BZ215" s="35"/>
      <c r="CA215" s="35"/>
      <c r="CB215" s="35"/>
      <c r="CC215" s="35"/>
      <c r="CD215" s="35"/>
      <c r="CE215" s="35"/>
      <c r="CF215" s="35"/>
      <c r="DI215" s="55"/>
      <c r="DJ215" s="35"/>
      <c r="DK215" s="35"/>
      <c r="DL215" s="35"/>
      <c r="DM215" s="35"/>
      <c r="DN215" s="35"/>
      <c r="DO215" s="35"/>
      <c r="DP215" s="35"/>
      <c r="DQ215" s="35"/>
      <c r="DR215" s="35"/>
      <c r="DS215" s="35"/>
      <c r="DT215" s="35"/>
      <c r="DU215" s="35"/>
      <c r="DV215" s="35"/>
    </row>
    <row r="216" spans="29:126" ht="13" customHeight="1"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BS216" s="35"/>
      <c r="BT216" s="35"/>
      <c r="BU216" s="35"/>
      <c r="BV216" s="35"/>
      <c r="BW216" s="35"/>
      <c r="BX216" s="35"/>
      <c r="BY216" s="35"/>
      <c r="BZ216" s="35"/>
      <c r="CA216" s="35"/>
      <c r="CB216" s="35"/>
      <c r="CC216" s="35"/>
      <c r="CD216" s="35"/>
      <c r="CE216" s="35"/>
      <c r="CF216" s="35"/>
      <c r="DI216" s="55"/>
      <c r="DJ216" s="35"/>
      <c r="DK216" s="35"/>
      <c r="DL216" s="35"/>
      <c r="DM216" s="35"/>
      <c r="DN216" s="35"/>
      <c r="DO216" s="35"/>
      <c r="DP216" s="35"/>
      <c r="DQ216" s="35"/>
      <c r="DR216" s="35"/>
      <c r="DS216" s="35"/>
      <c r="DT216" s="35"/>
      <c r="DU216" s="35"/>
      <c r="DV216" s="35"/>
    </row>
    <row r="217" spans="29:126" ht="13" customHeight="1"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BS217" s="35"/>
      <c r="BT217" s="35"/>
      <c r="BU217" s="35"/>
      <c r="BV217" s="35"/>
      <c r="BW217" s="35"/>
      <c r="BX217" s="35"/>
      <c r="BY217" s="35"/>
      <c r="BZ217" s="35"/>
      <c r="CA217" s="35"/>
      <c r="CB217" s="35"/>
      <c r="CC217" s="35"/>
      <c r="CD217" s="35"/>
      <c r="CE217" s="35"/>
      <c r="CF217" s="35"/>
      <c r="DI217" s="55"/>
      <c r="DJ217" s="35"/>
      <c r="DK217" s="35"/>
      <c r="DL217" s="35"/>
      <c r="DM217" s="35"/>
      <c r="DN217" s="35"/>
      <c r="DO217" s="35"/>
      <c r="DP217" s="35"/>
      <c r="DQ217" s="35"/>
      <c r="DR217" s="35"/>
      <c r="DS217" s="35"/>
      <c r="DT217" s="35"/>
      <c r="DU217" s="35"/>
      <c r="DV217" s="35"/>
    </row>
    <row r="218" spans="29:126" ht="13" customHeight="1"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BS218" s="35"/>
      <c r="BT218" s="35"/>
      <c r="BU218" s="35"/>
      <c r="BV218" s="35"/>
      <c r="BW218" s="35"/>
      <c r="BX218" s="35"/>
      <c r="BY218" s="35"/>
      <c r="BZ218" s="35"/>
      <c r="CA218" s="35"/>
      <c r="CB218" s="35"/>
      <c r="CC218" s="35"/>
      <c r="CD218" s="35"/>
      <c r="CE218" s="35"/>
      <c r="CF218" s="35"/>
      <c r="DI218" s="55"/>
      <c r="DJ218" s="35"/>
      <c r="DK218" s="35"/>
      <c r="DL218" s="35"/>
      <c r="DM218" s="35"/>
      <c r="DN218" s="35"/>
      <c r="DO218" s="35"/>
      <c r="DP218" s="35"/>
      <c r="DQ218" s="35"/>
      <c r="DR218" s="35"/>
      <c r="DS218" s="35"/>
      <c r="DT218" s="35"/>
      <c r="DU218" s="35"/>
      <c r="DV218" s="35"/>
    </row>
    <row r="219" spans="29:126" ht="13" customHeight="1"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BS219" s="35"/>
      <c r="BT219" s="35"/>
      <c r="BU219" s="35"/>
      <c r="BV219" s="35"/>
      <c r="BW219" s="35"/>
      <c r="BX219" s="35"/>
      <c r="BY219" s="35"/>
      <c r="BZ219" s="35"/>
      <c r="CA219" s="35"/>
      <c r="CB219" s="35"/>
      <c r="CC219" s="35"/>
      <c r="CD219" s="35"/>
      <c r="CE219" s="35"/>
      <c r="CF219" s="35"/>
      <c r="DI219" s="35"/>
      <c r="DJ219" s="35"/>
      <c r="DK219" s="35"/>
      <c r="DL219" s="35"/>
      <c r="DM219" s="35"/>
      <c r="DN219" s="35"/>
      <c r="DO219" s="35"/>
      <c r="DP219" s="35"/>
      <c r="DQ219" s="35"/>
      <c r="DR219" s="35"/>
      <c r="DS219" s="35"/>
      <c r="DT219" s="35"/>
      <c r="DU219" s="35"/>
      <c r="DV219" s="35"/>
    </row>
    <row r="220" spans="29:126" ht="13" customHeight="1"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BS220" s="35"/>
      <c r="BT220" s="35"/>
      <c r="BU220" s="35"/>
      <c r="BV220" s="35"/>
      <c r="BW220" s="35"/>
      <c r="BX220" s="35"/>
      <c r="BY220" s="35"/>
      <c r="BZ220" s="35"/>
      <c r="CA220" s="35"/>
      <c r="CB220" s="35"/>
      <c r="CC220" s="35"/>
      <c r="CD220" s="35"/>
      <c r="CE220" s="35"/>
      <c r="CF220" s="35"/>
      <c r="DI220" s="35"/>
      <c r="DJ220" s="35"/>
      <c r="DK220" s="35"/>
      <c r="DL220" s="35"/>
      <c r="DM220" s="35"/>
      <c r="DN220" s="35"/>
      <c r="DO220" s="35"/>
      <c r="DP220" s="35"/>
      <c r="DQ220" s="35"/>
      <c r="DR220" s="35"/>
      <c r="DS220" s="35"/>
      <c r="DT220" s="35"/>
      <c r="DU220" s="35"/>
      <c r="DV220" s="35"/>
    </row>
    <row r="221" spans="29:126" ht="13" customHeight="1"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BS221" s="35"/>
      <c r="BT221" s="35"/>
      <c r="BU221" s="35"/>
      <c r="BV221" s="35"/>
      <c r="BW221" s="35"/>
      <c r="BX221" s="35"/>
      <c r="BY221" s="35"/>
      <c r="BZ221" s="35"/>
      <c r="CA221" s="35"/>
      <c r="CB221" s="35"/>
      <c r="CC221" s="35"/>
      <c r="CD221" s="35"/>
      <c r="CE221" s="35"/>
      <c r="CF221" s="35"/>
      <c r="DI221" s="55"/>
      <c r="DJ221" s="35"/>
      <c r="DK221" s="35"/>
      <c r="DL221" s="35"/>
      <c r="DM221" s="35"/>
      <c r="DN221" s="35"/>
      <c r="DO221" s="35"/>
      <c r="DP221" s="35"/>
      <c r="DQ221" s="35"/>
      <c r="DR221" s="35"/>
      <c r="DS221" s="35"/>
      <c r="DT221" s="35"/>
      <c r="DU221" s="35"/>
      <c r="DV221" s="35"/>
    </row>
    <row r="222" spans="29:126" ht="13" customHeight="1"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BS222" s="35"/>
      <c r="BT222" s="35"/>
      <c r="BU222" s="35"/>
      <c r="BV222" s="35"/>
      <c r="BW222" s="35"/>
      <c r="BX222" s="35"/>
      <c r="BY222" s="35"/>
      <c r="BZ222" s="35"/>
      <c r="CA222" s="35"/>
      <c r="CB222" s="35"/>
      <c r="CC222" s="35"/>
      <c r="CD222" s="35"/>
      <c r="CE222" s="35"/>
      <c r="CF222" s="35"/>
      <c r="DI222" s="55"/>
      <c r="DJ222" s="35"/>
      <c r="DK222" s="35"/>
      <c r="DL222" s="35"/>
      <c r="DM222" s="35"/>
      <c r="DN222" s="35"/>
      <c r="DO222" s="35"/>
      <c r="DP222" s="35"/>
      <c r="DQ222" s="35"/>
      <c r="DR222" s="35"/>
      <c r="DS222" s="35"/>
      <c r="DT222" s="35"/>
      <c r="DU222" s="35"/>
      <c r="DV222" s="35"/>
    </row>
    <row r="223" spans="29:126" ht="13" customHeight="1"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BS223" s="35"/>
      <c r="BT223" s="35"/>
      <c r="BU223" s="35"/>
      <c r="BV223" s="35"/>
      <c r="BW223" s="35"/>
      <c r="BX223" s="35"/>
      <c r="BY223" s="35"/>
      <c r="BZ223" s="35"/>
      <c r="CA223" s="35"/>
      <c r="CB223" s="35"/>
      <c r="CC223" s="35"/>
      <c r="CD223" s="35"/>
      <c r="CE223" s="35"/>
      <c r="CF223" s="35"/>
      <c r="DI223" s="55"/>
      <c r="DJ223" s="35"/>
      <c r="DK223" s="35"/>
      <c r="DL223" s="35"/>
      <c r="DM223" s="35"/>
      <c r="DN223" s="35"/>
      <c r="DO223" s="35"/>
      <c r="DP223" s="35"/>
      <c r="DQ223" s="35"/>
      <c r="DR223" s="35"/>
      <c r="DS223" s="35"/>
      <c r="DT223" s="35"/>
      <c r="DU223" s="35"/>
      <c r="DV223" s="35"/>
    </row>
    <row r="224" spans="29:126" ht="13" customHeight="1"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BS224" s="35"/>
      <c r="BT224" s="35"/>
      <c r="BU224" s="35"/>
      <c r="BV224" s="35"/>
      <c r="BW224" s="35"/>
      <c r="BX224" s="35"/>
      <c r="BY224" s="35"/>
      <c r="BZ224" s="35"/>
      <c r="CA224" s="35"/>
      <c r="CB224" s="35"/>
      <c r="CC224" s="35"/>
      <c r="CD224" s="35"/>
      <c r="CE224" s="35"/>
      <c r="CF224" s="35"/>
      <c r="DI224" s="55"/>
      <c r="DJ224" s="35"/>
      <c r="DK224" s="35"/>
      <c r="DL224" s="35"/>
      <c r="DM224" s="35"/>
      <c r="DN224" s="35"/>
      <c r="DO224" s="35"/>
      <c r="DP224" s="35"/>
      <c r="DQ224" s="35"/>
      <c r="DR224" s="35"/>
      <c r="DS224" s="35"/>
      <c r="DT224" s="35"/>
      <c r="DU224" s="35"/>
      <c r="DV224" s="35"/>
    </row>
    <row r="225" spans="29:126" ht="13" customHeight="1"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BS225" s="35"/>
      <c r="BT225" s="35"/>
      <c r="BU225" s="35"/>
      <c r="BV225" s="35"/>
      <c r="BW225" s="35"/>
      <c r="BX225" s="35"/>
      <c r="BY225" s="35"/>
      <c r="BZ225" s="35"/>
      <c r="CA225" s="35"/>
      <c r="CB225" s="35"/>
      <c r="CC225" s="35"/>
      <c r="CD225" s="35"/>
      <c r="CE225" s="35"/>
      <c r="CF225" s="35"/>
      <c r="DI225" s="55"/>
      <c r="DJ225" s="35"/>
      <c r="DK225" s="35"/>
      <c r="DL225" s="35"/>
      <c r="DM225" s="35"/>
      <c r="DN225" s="35"/>
      <c r="DO225" s="35"/>
      <c r="DP225" s="35"/>
      <c r="DQ225" s="35"/>
      <c r="DR225" s="35"/>
      <c r="DS225" s="35"/>
      <c r="DT225" s="35"/>
      <c r="DU225" s="35"/>
      <c r="DV225" s="35"/>
    </row>
    <row r="226" spans="29:126" ht="13" customHeight="1"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BS226" s="35"/>
      <c r="BT226" s="35"/>
      <c r="BU226" s="35"/>
      <c r="BV226" s="35"/>
      <c r="BW226" s="35"/>
      <c r="BX226" s="35"/>
      <c r="BY226" s="35"/>
      <c r="BZ226" s="35"/>
      <c r="CA226" s="35"/>
      <c r="CB226" s="35"/>
      <c r="CC226" s="35"/>
      <c r="CD226" s="35"/>
      <c r="CE226" s="35"/>
      <c r="CF226" s="35"/>
      <c r="DI226" s="55"/>
      <c r="DJ226" s="35"/>
      <c r="DK226" s="35"/>
      <c r="DL226" s="35"/>
      <c r="DM226" s="35"/>
      <c r="DN226" s="35"/>
      <c r="DO226" s="35"/>
      <c r="DP226" s="35"/>
      <c r="DQ226" s="35"/>
      <c r="DR226" s="35"/>
      <c r="DS226" s="35"/>
      <c r="DT226" s="35"/>
      <c r="DU226" s="35"/>
      <c r="DV226" s="35"/>
    </row>
    <row r="227" spans="29:126" ht="13" customHeight="1"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BS227" s="35"/>
      <c r="BT227" s="35"/>
      <c r="BU227" s="35"/>
      <c r="BV227" s="35"/>
      <c r="BW227" s="35"/>
      <c r="BX227" s="35"/>
      <c r="BY227" s="35"/>
      <c r="BZ227" s="35"/>
      <c r="CA227" s="35"/>
      <c r="CB227" s="35"/>
      <c r="CC227" s="35"/>
      <c r="CD227" s="35"/>
      <c r="CE227" s="35"/>
      <c r="CF227" s="35"/>
      <c r="DI227" s="55"/>
      <c r="DJ227" s="35"/>
      <c r="DK227" s="35"/>
      <c r="DL227" s="35"/>
      <c r="DM227" s="35"/>
      <c r="DN227" s="35"/>
      <c r="DO227" s="35"/>
      <c r="DP227" s="35"/>
      <c r="DQ227" s="35"/>
      <c r="DR227" s="35"/>
      <c r="DS227" s="35"/>
      <c r="DT227" s="35"/>
      <c r="DU227" s="35"/>
      <c r="DV227" s="35"/>
    </row>
    <row r="228" spans="29:126" ht="13" customHeight="1"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BS228" s="35"/>
      <c r="BT228" s="35"/>
      <c r="BU228" s="35"/>
      <c r="BV228" s="35"/>
      <c r="BW228" s="35"/>
      <c r="BX228" s="35"/>
      <c r="BY228" s="35"/>
      <c r="BZ228" s="35"/>
      <c r="CA228" s="35"/>
      <c r="CB228" s="35"/>
      <c r="CC228" s="35"/>
      <c r="CD228" s="35"/>
      <c r="CE228" s="35"/>
      <c r="CF228" s="35"/>
      <c r="DI228" s="55"/>
      <c r="DJ228" s="35"/>
      <c r="DK228" s="35"/>
      <c r="DL228" s="35"/>
      <c r="DM228" s="35"/>
      <c r="DN228" s="35"/>
      <c r="DO228" s="35"/>
      <c r="DP228" s="35"/>
      <c r="DQ228" s="35"/>
      <c r="DR228" s="35"/>
      <c r="DS228" s="35"/>
      <c r="DT228" s="35"/>
      <c r="DU228" s="35"/>
      <c r="DV228" s="35"/>
    </row>
    <row r="229" spans="29:126" ht="13" customHeight="1"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BS229" s="35"/>
      <c r="BT229" s="35"/>
      <c r="BU229" s="35"/>
      <c r="BV229" s="35"/>
      <c r="BW229" s="35"/>
      <c r="BX229" s="35"/>
      <c r="BY229" s="35"/>
      <c r="BZ229" s="35"/>
      <c r="CA229" s="35"/>
      <c r="CB229" s="35"/>
      <c r="CC229" s="35"/>
      <c r="CD229" s="35"/>
      <c r="CE229" s="35"/>
      <c r="CF229" s="35"/>
      <c r="DI229" s="55"/>
      <c r="DJ229" s="35"/>
      <c r="DK229" s="35"/>
      <c r="DL229" s="35"/>
      <c r="DM229" s="35"/>
      <c r="DN229" s="35"/>
      <c r="DO229" s="35"/>
      <c r="DP229" s="35"/>
      <c r="DQ229" s="35"/>
      <c r="DR229" s="35"/>
      <c r="DS229" s="35"/>
      <c r="DT229" s="35"/>
      <c r="DU229" s="35"/>
      <c r="DV229" s="35"/>
    </row>
    <row r="230" spans="29:126" ht="13" customHeight="1"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BS230" s="35"/>
      <c r="BT230" s="35"/>
      <c r="BU230" s="35"/>
      <c r="BV230" s="35"/>
      <c r="BW230" s="35"/>
      <c r="BX230" s="35"/>
      <c r="BY230" s="35"/>
      <c r="BZ230" s="35"/>
      <c r="CA230" s="35"/>
      <c r="CB230" s="35"/>
      <c r="CC230" s="35"/>
      <c r="CD230" s="35"/>
      <c r="CE230" s="35"/>
      <c r="CF230" s="35"/>
      <c r="DI230" s="55"/>
      <c r="DJ230" s="35"/>
      <c r="DK230" s="35"/>
      <c r="DL230" s="35"/>
      <c r="DM230" s="35"/>
      <c r="DN230" s="35"/>
      <c r="DO230" s="35"/>
      <c r="DP230" s="35"/>
      <c r="DQ230" s="35"/>
      <c r="DR230" s="35"/>
      <c r="DS230" s="35"/>
      <c r="DT230" s="35"/>
      <c r="DU230" s="35"/>
      <c r="DV230" s="35"/>
    </row>
    <row r="231" spans="29:126" ht="13" customHeight="1"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BS231" s="35"/>
      <c r="BT231" s="35"/>
      <c r="BU231" s="35"/>
      <c r="BV231" s="35"/>
      <c r="BW231" s="35"/>
      <c r="BX231" s="35"/>
      <c r="BY231" s="35"/>
      <c r="BZ231" s="35"/>
      <c r="CA231" s="35"/>
      <c r="CB231" s="35"/>
      <c r="CC231" s="35"/>
      <c r="CD231" s="35"/>
      <c r="CE231" s="35"/>
      <c r="CF231" s="35"/>
      <c r="DI231" s="55"/>
      <c r="DJ231" s="35"/>
      <c r="DK231" s="35"/>
      <c r="DL231" s="35"/>
      <c r="DM231" s="35"/>
      <c r="DN231" s="35"/>
      <c r="DO231" s="35"/>
      <c r="DP231" s="35"/>
      <c r="DQ231" s="35"/>
      <c r="DR231" s="35"/>
      <c r="DS231" s="35"/>
      <c r="DT231" s="35"/>
      <c r="DU231" s="35"/>
      <c r="DV231" s="35"/>
    </row>
    <row r="232" spans="29:126" ht="13" customHeight="1"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BS232" s="35"/>
      <c r="BT232" s="35"/>
      <c r="BU232" s="35"/>
      <c r="BV232" s="35"/>
      <c r="BW232" s="35"/>
      <c r="BX232" s="35"/>
      <c r="BY232" s="35"/>
      <c r="BZ232" s="35"/>
      <c r="CA232" s="35"/>
      <c r="CB232" s="35"/>
      <c r="CC232" s="35"/>
      <c r="CD232" s="35"/>
      <c r="CE232" s="35"/>
      <c r="CF232" s="35"/>
      <c r="DI232" s="55"/>
      <c r="DJ232" s="35"/>
      <c r="DK232" s="35"/>
      <c r="DL232" s="35"/>
      <c r="DM232" s="35"/>
      <c r="DN232" s="35"/>
      <c r="DO232" s="35"/>
      <c r="DP232" s="35"/>
      <c r="DQ232" s="35"/>
      <c r="DR232" s="35"/>
      <c r="DS232" s="35"/>
      <c r="DT232" s="35"/>
      <c r="DU232" s="35"/>
      <c r="DV232" s="35"/>
    </row>
    <row r="233" spans="29:126" ht="13" customHeight="1"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BS233" s="35"/>
      <c r="BT233" s="35"/>
      <c r="BU233" s="35"/>
      <c r="BV233" s="35"/>
      <c r="BW233" s="35"/>
      <c r="BX233" s="35"/>
      <c r="BY233" s="35"/>
      <c r="BZ233" s="35"/>
      <c r="CA233" s="35"/>
      <c r="CB233" s="35"/>
      <c r="CC233" s="35"/>
      <c r="CD233" s="35"/>
      <c r="CE233" s="35"/>
      <c r="CF233" s="35"/>
      <c r="DI233" s="55"/>
      <c r="DJ233" s="35"/>
      <c r="DK233" s="35"/>
      <c r="DL233" s="35"/>
      <c r="DM233" s="35"/>
      <c r="DN233" s="35"/>
      <c r="DO233" s="35"/>
      <c r="DP233" s="35"/>
      <c r="DQ233" s="35"/>
      <c r="DR233" s="35"/>
      <c r="DS233" s="35"/>
      <c r="DT233" s="35"/>
      <c r="DU233" s="35"/>
      <c r="DV233" s="35"/>
    </row>
    <row r="234" spans="29:126" ht="13" customHeight="1"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BS234" s="35"/>
      <c r="BT234" s="35"/>
      <c r="BU234" s="35"/>
      <c r="BV234" s="35"/>
      <c r="BW234" s="35"/>
      <c r="BX234" s="35"/>
      <c r="BY234" s="35"/>
      <c r="BZ234" s="35"/>
      <c r="CA234" s="35"/>
      <c r="CB234" s="35"/>
      <c r="CC234" s="35"/>
      <c r="CD234" s="35"/>
      <c r="CE234" s="35"/>
      <c r="CF234" s="35"/>
      <c r="DI234" s="55"/>
      <c r="DJ234" s="35"/>
      <c r="DK234" s="35"/>
      <c r="DL234" s="35"/>
      <c r="DM234" s="35"/>
      <c r="DN234" s="35"/>
      <c r="DO234" s="35"/>
      <c r="DP234" s="35"/>
      <c r="DQ234" s="35"/>
      <c r="DR234" s="35"/>
      <c r="DS234" s="35"/>
      <c r="DT234" s="35"/>
      <c r="DU234" s="35"/>
      <c r="DV234" s="35"/>
    </row>
    <row r="235" spans="29:126" ht="13" customHeight="1"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BS235" s="35"/>
      <c r="BT235" s="35"/>
      <c r="BU235" s="35"/>
      <c r="BV235" s="35"/>
      <c r="BW235" s="35"/>
      <c r="BX235" s="35"/>
      <c r="BY235" s="35"/>
      <c r="BZ235" s="35"/>
      <c r="CA235" s="35"/>
      <c r="CB235" s="35"/>
      <c r="CC235" s="35"/>
      <c r="CD235" s="35"/>
      <c r="CE235" s="35"/>
      <c r="CF235" s="35"/>
      <c r="DI235" s="55"/>
      <c r="DJ235" s="35"/>
      <c r="DK235" s="35"/>
      <c r="DL235" s="35"/>
      <c r="DM235" s="35"/>
      <c r="DN235" s="35"/>
      <c r="DO235" s="35"/>
      <c r="DP235" s="35"/>
      <c r="DQ235" s="35"/>
      <c r="DR235" s="35"/>
      <c r="DS235" s="35"/>
      <c r="DT235" s="35"/>
      <c r="DU235" s="35"/>
      <c r="DV235" s="35"/>
    </row>
    <row r="236" spans="29:126" ht="13" customHeight="1"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BS236" s="35"/>
      <c r="BT236" s="35"/>
      <c r="BU236" s="35"/>
      <c r="BV236" s="35"/>
      <c r="BW236" s="35"/>
      <c r="BX236" s="35"/>
      <c r="BY236" s="35"/>
      <c r="BZ236" s="35"/>
      <c r="CA236" s="35"/>
      <c r="CB236" s="35"/>
      <c r="CC236" s="35"/>
      <c r="CD236" s="35"/>
      <c r="CE236" s="35"/>
      <c r="CF236" s="35"/>
      <c r="DI236" s="55"/>
      <c r="DJ236" s="35"/>
      <c r="DK236" s="35"/>
      <c r="DL236" s="35"/>
      <c r="DM236" s="35"/>
      <c r="DN236" s="35"/>
      <c r="DO236" s="35"/>
      <c r="DP236" s="35"/>
      <c r="DQ236" s="35"/>
      <c r="DR236" s="35"/>
      <c r="DS236" s="35"/>
      <c r="DT236" s="35"/>
      <c r="DU236" s="35"/>
      <c r="DV236" s="35"/>
    </row>
    <row r="237" spans="29:126" ht="13" customHeight="1"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BS237" s="35"/>
      <c r="BT237" s="35"/>
      <c r="BU237" s="35"/>
      <c r="BV237" s="35"/>
      <c r="BW237" s="35"/>
      <c r="BX237" s="35"/>
      <c r="BY237" s="35"/>
      <c r="BZ237" s="35"/>
      <c r="CA237" s="35"/>
      <c r="CB237" s="35"/>
      <c r="CC237" s="35"/>
      <c r="CD237" s="35"/>
      <c r="CE237" s="35"/>
      <c r="CF237" s="35"/>
      <c r="DI237" s="55"/>
      <c r="DJ237" s="35"/>
      <c r="DK237" s="35"/>
      <c r="DL237" s="35"/>
      <c r="DM237" s="35"/>
      <c r="DN237" s="35"/>
      <c r="DO237" s="35"/>
      <c r="DP237" s="35"/>
      <c r="DQ237" s="35"/>
      <c r="DR237" s="35"/>
      <c r="DS237" s="35"/>
      <c r="DT237" s="35"/>
      <c r="DU237" s="35"/>
      <c r="DV237" s="35"/>
    </row>
    <row r="238" spans="29:126" ht="13" customHeight="1"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BS238" s="35"/>
      <c r="BT238" s="35"/>
      <c r="BU238" s="35"/>
      <c r="BV238" s="35"/>
      <c r="BW238" s="35"/>
      <c r="BX238" s="35"/>
      <c r="BY238" s="35"/>
      <c r="BZ238" s="35"/>
      <c r="CA238" s="35"/>
      <c r="CB238" s="35"/>
      <c r="CC238" s="35"/>
      <c r="CD238" s="35"/>
      <c r="CE238" s="35"/>
      <c r="CF238" s="35"/>
      <c r="DI238" s="55"/>
      <c r="DJ238" s="35"/>
      <c r="DK238" s="35"/>
      <c r="DL238" s="35"/>
      <c r="DM238" s="35"/>
      <c r="DN238" s="35"/>
      <c r="DO238" s="35"/>
      <c r="DP238" s="35"/>
      <c r="DQ238" s="35"/>
      <c r="DR238" s="35"/>
      <c r="DS238" s="35"/>
      <c r="DT238" s="35"/>
      <c r="DU238" s="35"/>
      <c r="DV238" s="35"/>
    </row>
    <row r="239" spans="29:126" ht="13" customHeight="1"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BS239" s="35"/>
      <c r="BT239" s="35"/>
      <c r="BU239" s="35"/>
      <c r="BV239" s="35"/>
      <c r="BW239" s="35"/>
      <c r="BX239" s="35"/>
      <c r="BY239" s="35"/>
      <c r="BZ239" s="35"/>
      <c r="CA239" s="35"/>
      <c r="CB239" s="35"/>
      <c r="CC239" s="35"/>
      <c r="CD239" s="35"/>
      <c r="CE239" s="35"/>
      <c r="CF239" s="35"/>
      <c r="DI239" s="55"/>
      <c r="DJ239" s="35"/>
      <c r="DK239" s="35"/>
      <c r="DL239" s="35"/>
      <c r="DM239" s="35"/>
      <c r="DN239" s="35"/>
      <c r="DO239" s="35"/>
      <c r="DP239" s="35"/>
      <c r="DQ239" s="35"/>
      <c r="DR239" s="35"/>
      <c r="DS239" s="35"/>
      <c r="DT239" s="35"/>
      <c r="DU239" s="35"/>
      <c r="DV239" s="35"/>
    </row>
    <row r="240" spans="29:126" ht="13" customHeight="1"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BS240" s="35"/>
      <c r="BT240" s="35"/>
      <c r="BU240" s="35"/>
      <c r="BV240" s="35"/>
      <c r="BW240" s="35"/>
      <c r="BX240" s="35"/>
      <c r="BY240" s="35"/>
      <c r="BZ240" s="35"/>
      <c r="CA240" s="35"/>
      <c r="CB240" s="35"/>
      <c r="CC240" s="35"/>
      <c r="CD240" s="35"/>
      <c r="CE240" s="35"/>
      <c r="CF240" s="35"/>
      <c r="DI240" s="55"/>
      <c r="DJ240" s="35"/>
      <c r="DK240" s="35"/>
      <c r="DL240" s="35"/>
      <c r="DM240" s="35"/>
      <c r="DN240" s="35"/>
      <c r="DO240" s="35"/>
      <c r="DP240" s="35"/>
      <c r="DQ240" s="35"/>
      <c r="DR240" s="35"/>
      <c r="DS240" s="35"/>
      <c r="DT240" s="35"/>
      <c r="DU240" s="35"/>
      <c r="DV240" s="35"/>
    </row>
    <row r="241" spans="29:126" ht="13" customHeight="1"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BS241" s="35"/>
      <c r="BT241" s="35"/>
      <c r="BU241" s="35"/>
      <c r="BV241" s="35"/>
      <c r="BW241" s="35"/>
      <c r="BX241" s="35"/>
      <c r="BY241" s="35"/>
      <c r="BZ241" s="35"/>
      <c r="CA241" s="35"/>
      <c r="CB241" s="35"/>
      <c r="CC241" s="35"/>
      <c r="CD241" s="35"/>
      <c r="CE241" s="35"/>
      <c r="CF241" s="35"/>
      <c r="DI241" s="55"/>
      <c r="DJ241" s="35"/>
      <c r="DK241" s="35"/>
      <c r="DL241" s="35"/>
      <c r="DM241" s="35"/>
      <c r="DN241" s="35"/>
      <c r="DO241" s="35"/>
      <c r="DP241" s="35"/>
      <c r="DQ241" s="35"/>
      <c r="DR241" s="35"/>
      <c r="DS241" s="35"/>
      <c r="DT241" s="35"/>
      <c r="DU241" s="35"/>
      <c r="DV241" s="35"/>
    </row>
    <row r="242" spans="29:126" ht="13" customHeight="1"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BS242" s="35"/>
      <c r="BT242" s="35"/>
      <c r="BU242" s="35"/>
      <c r="BV242" s="35"/>
      <c r="BW242" s="35"/>
      <c r="BX242" s="35"/>
      <c r="BY242" s="35"/>
      <c r="BZ242" s="35"/>
      <c r="CA242" s="35"/>
      <c r="CB242" s="35"/>
      <c r="CC242" s="35"/>
      <c r="CD242" s="35"/>
      <c r="CE242" s="35"/>
      <c r="CF242" s="35"/>
      <c r="DI242" s="55"/>
      <c r="DJ242" s="35"/>
      <c r="DK242" s="35"/>
      <c r="DL242" s="35"/>
      <c r="DM242" s="35"/>
      <c r="DN242" s="35"/>
      <c r="DO242" s="35"/>
      <c r="DP242" s="35"/>
      <c r="DQ242" s="35"/>
      <c r="DR242" s="35"/>
      <c r="DS242" s="35"/>
      <c r="DT242" s="35"/>
      <c r="DU242" s="35"/>
      <c r="DV242" s="35"/>
    </row>
    <row r="243" spans="29:126" ht="13" customHeight="1"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BS243" s="35"/>
      <c r="BT243" s="35"/>
      <c r="BU243" s="35"/>
      <c r="BV243" s="35"/>
      <c r="BW243" s="35"/>
      <c r="BX243" s="35"/>
      <c r="BY243" s="35"/>
      <c r="BZ243" s="35"/>
      <c r="CA243" s="35"/>
      <c r="CB243" s="35"/>
      <c r="CC243" s="35"/>
      <c r="CD243" s="35"/>
      <c r="CE243" s="35"/>
      <c r="CF243" s="35"/>
      <c r="DI243" s="55"/>
      <c r="DJ243" s="35"/>
      <c r="DK243" s="35"/>
      <c r="DL243" s="35"/>
      <c r="DM243" s="35"/>
      <c r="DN243" s="35"/>
      <c r="DO243" s="35"/>
      <c r="DP243" s="35"/>
      <c r="DQ243" s="35"/>
      <c r="DR243" s="35"/>
      <c r="DS243" s="35"/>
      <c r="DT243" s="35"/>
      <c r="DU243" s="35"/>
      <c r="DV243" s="35"/>
    </row>
    <row r="244" spans="29:126" ht="13" customHeight="1"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BS244" s="35"/>
      <c r="BT244" s="35"/>
      <c r="BU244" s="35"/>
      <c r="BV244" s="35"/>
      <c r="BW244" s="35"/>
      <c r="BX244" s="35"/>
      <c r="BY244" s="35"/>
      <c r="BZ244" s="35"/>
      <c r="CA244" s="35"/>
      <c r="CB244" s="35"/>
      <c r="CC244" s="35"/>
      <c r="CD244" s="35"/>
      <c r="CE244" s="35"/>
      <c r="CF244" s="35"/>
      <c r="DI244" s="55"/>
      <c r="DJ244" s="35"/>
      <c r="DK244" s="35"/>
      <c r="DL244" s="35"/>
      <c r="DM244" s="35"/>
      <c r="DN244" s="35"/>
      <c r="DO244" s="35"/>
      <c r="DP244" s="35"/>
      <c r="DQ244" s="35"/>
      <c r="DR244" s="35"/>
      <c r="DS244" s="35"/>
      <c r="DT244" s="35"/>
      <c r="DU244" s="35"/>
      <c r="DV244" s="35"/>
    </row>
    <row r="245" spans="29:126" ht="13" customHeight="1"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BS245" s="35"/>
      <c r="BT245" s="35"/>
      <c r="BU245" s="35"/>
      <c r="BV245" s="35"/>
      <c r="BW245" s="35"/>
      <c r="BX245" s="35"/>
      <c r="BY245" s="35"/>
      <c r="BZ245" s="35"/>
      <c r="CA245" s="35"/>
      <c r="CB245" s="35"/>
      <c r="CC245" s="35"/>
      <c r="CD245" s="35"/>
      <c r="CE245" s="35"/>
      <c r="CF245" s="35"/>
      <c r="DI245" s="55"/>
      <c r="DJ245" s="35"/>
      <c r="DK245" s="35"/>
      <c r="DL245" s="35"/>
      <c r="DM245" s="35"/>
      <c r="DN245" s="35"/>
      <c r="DO245" s="35"/>
      <c r="DP245" s="35"/>
      <c r="DQ245" s="35"/>
      <c r="DR245" s="35"/>
      <c r="DS245" s="35"/>
      <c r="DT245" s="35"/>
      <c r="DU245" s="35"/>
      <c r="DV245" s="35"/>
    </row>
    <row r="246" spans="29:126" ht="13" customHeight="1"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BS246" s="35"/>
      <c r="BT246" s="35"/>
      <c r="BU246" s="35"/>
      <c r="BV246" s="35"/>
      <c r="BW246" s="35"/>
      <c r="BX246" s="35"/>
      <c r="BY246" s="35"/>
      <c r="BZ246" s="35"/>
      <c r="CA246" s="35"/>
      <c r="CB246" s="35"/>
      <c r="CC246" s="35"/>
      <c r="CD246" s="35"/>
      <c r="CE246" s="35"/>
      <c r="CF246" s="35"/>
      <c r="DI246" s="55"/>
      <c r="DJ246" s="35"/>
      <c r="DK246" s="35"/>
      <c r="DL246" s="35"/>
      <c r="DM246" s="35"/>
      <c r="DN246" s="35"/>
      <c r="DO246" s="35"/>
      <c r="DP246" s="35"/>
      <c r="DQ246" s="35"/>
      <c r="DR246" s="35"/>
      <c r="DS246" s="35"/>
      <c r="DT246" s="35"/>
      <c r="DU246" s="35"/>
      <c r="DV246" s="35"/>
    </row>
    <row r="247" spans="29:126" ht="13" customHeight="1"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BS247" s="35"/>
      <c r="BT247" s="35"/>
      <c r="BU247" s="35"/>
      <c r="BV247" s="35"/>
      <c r="BW247" s="35"/>
      <c r="BX247" s="35"/>
      <c r="BY247" s="35"/>
      <c r="BZ247" s="35"/>
      <c r="CA247" s="35"/>
      <c r="CB247" s="35"/>
      <c r="CC247" s="35"/>
      <c r="CD247" s="35"/>
      <c r="CE247" s="35"/>
      <c r="CF247" s="35"/>
      <c r="DI247" s="55"/>
      <c r="DJ247" s="35"/>
      <c r="DK247" s="35"/>
      <c r="DL247" s="35"/>
      <c r="DM247" s="35"/>
      <c r="DN247" s="35"/>
      <c r="DO247" s="35"/>
      <c r="DP247" s="35"/>
      <c r="DQ247" s="35"/>
      <c r="DR247" s="35"/>
      <c r="DS247" s="35"/>
      <c r="DT247" s="35"/>
      <c r="DU247" s="35"/>
      <c r="DV247" s="35"/>
    </row>
    <row r="248" spans="29:126" ht="13" customHeight="1"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BS248" s="35"/>
      <c r="BT248" s="35"/>
      <c r="BU248" s="35"/>
      <c r="BV248" s="35"/>
      <c r="BW248" s="35"/>
      <c r="BX248" s="35"/>
      <c r="BY248" s="35"/>
      <c r="BZ248" s="35"/>
      <c r="CA248" s="35"/>
      <c r="CB248" s="35"/>
      <c r="CC248" s="35"/>
      <c r="CD248" s="35"/>
      <c r="CE248" s="35"/>
      <c r="CF248" s="35"/>
      <c r="DI248" s="55"/>
      <c r="DJ248" s="35"/>
      <c r="DK248" s="35"/>
      <c r="DL248" s="35"/>
      <c r="DM248" s="35"/>
      <c r="DN248" s="35"/>
      <c r="DO248" s="35"/>
      <c r="DP248" s="35"/>
      <c r="DQ248" s="35"/>
      <c r="DR248" s="35"/>
      <c r="DS248" s="35"/>
      <c r="DT248" s="35"/>
      <c r="DU248" s="35"/>
      <c r="DV248" s="35"/>
    </row>
    <row r="249" spans="29:126" ht="13" customHeight="1"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BS249" s="35"/>
      <c r="BT249" s="35"/>
      <c r="BU249" s="35"/>
      <c r="BV249" s="35"/>
      <c r="BW249" s="35"/>
      <c r="BX249" s="35"/>
      <c r="BY249" s="35"/>
      <c r="BZ249" s="35"/>
      <c r="CA249" s="35"/>
      <c r="CB249" s="35"/>
      <c r="CC249" s="35"/>
      <c r="CD249" s="35"/>
      <c r="CE249" s="35"/>
      <c r="CF249" s="35"/>
      <c r="DI249" s="55"/>
      <c r="DJ249" s="35"/>
      <c r="DK249" s="35"/>
      <c r="DL249" s="35"/>
      <c r="DM249" s="35"/>
      <c r="DN249" s="35"/>
      <c r="DO249" s="35"/>
      <c r="DP249" s="35"/>
      <c r="DQ249" s="35"/>
      <c r="DR249" s="35"/>
      <c r="DS249" s="35"/>
      <c r="DT249" s="35"/>
      <c r="DU249" s="35"/>
      <c r="DV249" s="35"/>
    </row>
    <row r="250" spans="29:126" ht="13" customHeight="1"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BS250" s="35"/>
      <c r="BT250" s="35"/>
      <c r="BU250" s="35"/>
      <c r="BV250" s="35"/>
      <c r="BW250" s="35"/>
      <c r="BX250" s="35"/>
      <c r="BY250" s="35"/>
      <c r="BZ250" s="35"/>
      <c r="CA250" s="35"/>
      <c r="CB250" s="35"/>
      <c r="CC250" s="35"/>
      <c r="CD250" s="35"/>
      <c r="CE250" s="35"/>
      <c r="CF250" s="35"/>
      <c r="DI250" s="55"/>
      <c r="DJ250" s="35"/>
      <c r="DK250" s="35"/>
      <c r="DL250" s="35"/>
      <c r="DM250" s="35"/>
      <c r="DN250" s="35"/>
      <c r="DO250" s="35"/>
      <c r="DP250" s="35"/>
      <c r="DQ250" s="35"/>
      <c r="DR250" s="35"/>
      <c r="DS250" s="35"/>
      <c r="DT250" s="35"/>
      <c r="DU250" s="35"/>
      <c r="DV250" s="35"/>
    </row>
    <row r="251" spans="29:126" ht="13" customHeight="1"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BS251" s="35"/>
      <c r="BT251" s="35"/>
      <c r="BU251" s="35"/>
      <c r="BV251" s="35"/>
      <c r="BW251" s="35"/>
      <c r="BX251" s="35"/>
      <c r="BY251" s="35"/>
      <c r="BZ251" s="35"/>
      <c r="CA251" s="35"/>
      <c r="CB251" s="35"/>
      <c r="CC251" s="35"/>
      <c r="CD251" s="35"/>
      <c r="CE251" s="35"/>
      <c r="CF251" s="35"/>
      <c r="DI251" s="55"/>
      <c r="DJ251" s="35"/>
      <c r="DK251" s="35"/>
      <c r="DL251" s="35"/>
      <c r="DM251" s="35"/>
      <c r="DN251" s="35"/>
      <c r="DO251" s="35"/>
      <c r="DP251" s="35"/>
      <c r="DQ251" s="35"/>
      <c r="DR251" s="35"/>
      <c r="DS251" s="35"/>
      <c r="DT251" s="35"/>
      <c r="DU251" s="35"/>
      <c r="DV251" s="35"/>
    </row>
    <row r="252" spans="29:126" ht="13" customHeight="1">
      <c r="DI252" s="56"/>
    </row>
    <row r="253" spans="29:126" ht="13" customHeight="1">
      <c r="DI253" s="56"/>
    </row>
    <row r="254" spans="29:126" ht="13" customHeight="1">
      <c r="DI254" s="56"/>
    </row>
    <row r="255" spans="29:126" ht="13" customHeight="1">
      <c r="DI255" s="56"/>
    </row>
    <row r="256" spans="29:126" ht="13" customHeight="1">
      <c r="DI256" s="56"/>
    </row>
    <row r="257" spans="113:113" ht="13" customHeight="1">
      <c r="DI257" s="56"/>
    </row>
    <row r="258" spans="113:113" ht="13" customHeight="1">
      <c r="DI258" s="56"/>
    </row>
    <row r="259" spans="113:113" ht="13" customHeight="1">
      <c r="DI259" s="56"/>
    </row>
    <row r="260" spans="113:113" ht="13" customHeight="1">
      <c r="DI260" s="56"/>
    </row>
    <row r="261" spans="113:113" ht="13" customHeight="1">
      <c r="DI261" s="56"/>
    </row>
    <row r="262" spans="113:113" ht="13" customHeight="1">
      <c r="DI262" s="56"/>
    </row>
    <row r="263" spans="113:113" ht="13" customHeight="1">
      <c r="DI263" s="56"/>
    </row>
    <row r="264" spans="113:113" ht="13" customHeight="1">
      <c r="DI264" s="56"/>
    </row>
    <row r="265" spans="113:113" ht="13" customHeight="1">
      <c r="DI265" s="56"/>
    </row>
    <row r="266" spans="113:113" ht="13" customHeight="1">
      <c r="DI266" s="56"/>
    </row>
    <row r="267" spans="113:113" ht="13" customHeight="1">
      <c r="DI267" s="56"/>
    </row>
    <row r="268" spans="113:113" ht="13" customHeight="1">
      <c r="DI268" s="56"/>
    </row>
    <row r="269" spans="113:113" ht="13" customHeight="1">
      <c r="DI269" s="55"/>
    </row>
    <row r="270" spans="113:113" ht="13" customHeight="1" thickBot="1">
      <c r="DI270" s="57"/>
    </row>
  </sheetData>
  <printOptions horizontalCentered="1" verticalCentered="1" gridLinesSet="0"/>
  <pageMargins left="0" right="0" top="0" bottom="0" header="0" footer="0"/>
  <pageSetup paperSize="9" orientation="landscape"/>
  <headerFooter scaleWithDoc="0" alignWithMargins="0"/>
  <colBreaks count="8" manualBreakCount="8">
    <brk id="14" max="1048575" man="1"/>
    <brk id="28" min="1" max="39" man="1"/>
    <brk id="42" max="1048575" man="1"/>
    <brk id="56" max="1048575" man="1"/>
    <brk id="70" min="1" max="39" man="1"/>
    <brk id="84" max="1048575" man="1"/>
    <brk id="98" max="1048575" man="1"/>
    <brk id="112" min="1" max="39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Hoja93">
    <tabColor theme="9" tint="0.59999389629810485"/>
  </sheetPr>
  <dimension ref="A1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" customWidth="1"/>
    <col min="2" max="9" width="8" style="21" customWidth="1"/>
    <col min="10" max="16384" width="7" style="21"/>
  </cols>
  <sheetData/>
  <printOptions horizontalCentered="1" verticalCentered="1"/>
  <pageMargins left="0" right="0" top="0" bottom="0" header="0" footer="0"/>
  <pageSetup paperSize="9" orientation="landscape" horizontalDpi="0" verticalDpi="0"/>
  <headerFooter scaleWithDoc="0"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syncVertical="1" syncRef="A1" transitionEvaluation="1" codeName="Hoja94">
    <tabColor theme="9" tint="0.59999389629810485"/>
  </sheetPr>
  <dimension ref="A1:X57"/>
  <sheetViews>
    <sheetView showGridLines="0" zoomScale="151" zoomScaleNormal="151" workbookViewId="0">
      <selection activeCell="B8" sqref="B8:E11"/>
    </sheetView>
  </sheetViews>
  <sheetFormatPr baseColWidth="10" defaultColWidth="9.796875" defaultRowHeight="13" customHeight="1"/>
  <cols>
    <col min="1" max="1" width="7.3984375" style="714" customWidth="1"/>
    <col min="2" max="3" width="9.19921875" style="714" customWidth="1"/>
    <col min="4" max="9" width="8" style="714" customWidth="1"/>
    <col min="10" max="10" width="8.59765625" style="714" customWidth="1"/>
    <col min="11" max="11" width="8.3984375" style="714" customWidth="1"/>
    <col min="12" max="12" width="6.19921875" style="714" customWidth="1"/>
    <col min="13" max="13" width="8.3984375" style="714" customWidth="1"/>
    <col min="14" max="256" width="9.796875" style="714"/>
    <col min="257" max="257" width="7.3984375" style="714" customWidth="1"/>
    <col min="258" max="258" width="9.59765625" style="714" customWidth="1"/>
    <col min="259" max="259" width="8.59765625" style="714" customWidth="1"/>
    <col min="260" max="260" width="9.19921875" style="714" customWidth="1"/>
    <col min="261" max="261" width="9" style="714" customWidth="1"/>
    <col min="262" max="263" width="9.3984375" style="714" customWidth="1"/>
    <col min="264" max="264" width="8.796875" style="714" customWidth="1"/>
    <col min="265" max="265" width="8.59765625" style="714" customWidth="1"/>
    <col min="266" max="266" width="1.19921875" style="714" customWidth="1"/>
    <col min="267" max="267" width="10.3984375" style="714" customWidth="1"/>
    <col min="268" max="268" width="1.3984375" style="714" customWidth="1"/>
    <col min="269" max="269" width="8.3984375" style="714" customWidth="1"/>
    <col min="270" max="512" width="9.796875" style="714"/>
    <col min="513" max="513" width="7.3984375" style="714" customWidth="1"/>
    <col min="514" max="514" width="9.59765625" style="714" customWidth="1"/>
    <col min="515" max="515" width="8.59765625" style="714" customWidth="1"/>
    <col min="516" max="516" width="9.19921875" style="714" customWidth="1"/>
    <col min="517" max="517" width="9" style="714" customWidth="1"/>
    <col min="518" max="519" width="9.3984375" style="714" customWidth="1"/>
    <col min="520" max="520" width="8.796875" style="714" customWidth="1"/>
    <col min="521" max="521" width="8.59765625" style="714" customWidth="1"/>
    <col min="522" max="522" width="1.19921875" style="714" customWidth="1"/>
    <col min="523" max="523" width="10.3984375" style="714" customWidth="1"/>
    <col min="524" max="524" width="1.3984375" style="714" customWidth="1"/>
    <col min="525" max="525" width="8.3984375" style="714" customWidth="1"/>
    <col min="526" max="768" width="9.796875" style="714"/>
    <col min="769" max="769" width="7.3984375" style="714" customWidth="1"/>
    <col min="770" max="770" width="9.59765625" style="714" customWidth="1"/>
    <col min="771" max="771" width="8.59765625" style="714" customWidth="1"/>
    <col min="772" max="772" width="9.19921875" style="714" customWidth="1"/>
    <col min="773" max="773" width="9" style="714" customWidth="1"/>
    <col min="774" max="775" width="9.3984375" style="714" customWidth="1"/>
    <col min="776" max="776" width="8.796875" style="714" customWidth="1"/>
    <col min="777" max="777" width="8.59765625" style="714" customWidth="1"/>
    <col min="778" max="778" width="1.19921875" style="714" customWidth="1"/>
    <col min="779" max="779" width="10.3984375" style="714" customWidth="1"/>
    <col min="780" max="780" width="1.3984375" style="714" customWidth="1"/>
    <col min="781" max="781" width="8.3984375" style="714" customWidth="1"/>
    <col min="782" max="1024" width="9.796875" style="714"/>
    <col min="1025" max="1025" width="7.3984375" style="714" customWidth="1"/>
    <col min="1026" max="1026" width="9.59765625" style="714" customWidth="1"/>
    <col min="1027" max="1027" width="8.59765625" style="714" customWidth="1"/>
    <col min="1028" max="1028" width="9.19921875" style="714" customWidth="1"/>
    <col min="1029" max="1029" width="9" style="714" customWidth="1"/>
    <col min="1030" max="1031" width="9.3984375" style="714" customWidth="1"/>
    <col min="1032" max="1032" width="8.796875" style="714" customWidth="1"/>
    <col min="1033" max="1033" width="8.59765625" style="714" customWidth="1"/>
    <col min="1034" max="1034" width="1.19921875" style="714" customWidth="1"/>
    <col min="1035" max="1035" width="10.3984375" style="714" customWidth="1"/>
    <col min="1036" max="1036" width="1.3984375" style="714" customWidth="1"/>
    <col min="1037" max="1037" width="8.3984375" style="714" customWidth="1"/>
    <col min="1038" max="1280" width="9.796875" style="714"/>
    <col min="1281" max="1281" width="7.3984375" style="714" customWidth="1"/>
    <col min="1282" max="1282" width="9.59765625" style="714" customWidth="1"/>
    <col min="1283" max="1283" width="8.59765625" style="714" customWidth="1"/>
    <col min="1284" max="1284" width="9.19921875" style="714" customWidth="1"/>
    <col min="1285" max="1285" width="9" style="714" customWidth="1"/>
    <col min="1286" max="1287" width="9.3984375" style="714" customWidth="1"/>
    <col min="1288" max="1288" width="8.796875" style="714" customWidth="1"/>
    <col min="1289" max="1289" width="8.59765625" style="714" customWidth="1"/>
    <col min="1290" max="1290" width="1.19921875" style="714" customWidth="1"/>
    <col min="1291" max="1291" width="10.3984375" style="714" customWidth="1"/>
    <col min="1292" max="1292" width="1.3984375" style="714" customWidth="1"/>
    <col min="1293" max="1293" width="8.3984375" style="714" customWidth="1"/>
    <col min="1294" max="1536" width="9.796875" style="714"/>
    <col min="1537" max="1537" width="7.3984375" style="714" customWidth="1"/>
    <col min="1538" max="1538" width="9.59765625" style="714" customWidth="1"/>
    <col min="1539" max="1539" width="8.59765625" style="714" customWidth="1"/>
    <col min="1540" max="1540" width="9.19921875" style="714" customWidth="1"/>
    <col min="1541" max="1541" width="9" style="714" customWidth="1"/>
    <col min="1542" max="1543" width="9.3984375" style="714" customWidth="1"/>
    <col min="1544" max="1544" width="8.796875" style="714" customWidth="1"/>
    <col min="1545" max="1545" width="8.59765625" style="714" customWidth="1"/>
    <col min="1546" max="1546" width="1.19921875" style="714" customWidth="1"/>
    <col min="1547" max="1547" width="10.3984375" style="714" customWidth="1"/>
    <col min="1548" max="1548" width="1.3984375" style="714" customWidth="1"/>
    <col min="1549" max="1549" width="8.3984375" style="714" customWidth="1"/>
    <col min="1550" max="1792" width="9.796875" style="714"/>
    <col min="1793" max="1793" width="7.3984375" style="714" customWidth="1"/>
    <col min="1794" max="1794" width="9.59765625" style="714" customWidth="1"/>
    <col min="1795" max="1795" width="8.59765625" style="714" customWidth="1"/>
    <col min="1796" max="1796" width="9.19921875" style="714" customWidth="1"/>
    <col min="1797" max="1797" width="9" style="714" customWidth="1"/>
    <col min="1798" max="1799" width="9.3984375" style="714" customWidth="1"/>
    <col min="1800" max="1800" width="8.796875" style="714" customWidth="1"/>
    <col min="1801" max="1801" width="8.59765625" style="714" customWidth="1"/>
    <col min="1802" max="1802" width="1.19921875" style="714" customWidth="1"/>
    <col min="1803" max="1803" width="10.3984375" style="714" customWidth="1"/>
    <col min="1804" max="1804" width="1.3984375" style="714" customWidth="1"/>
    <col min="1805" max="1805" width="8.3984375" style="714" customWidth="1"/>
    <col min="1806" max="2048" width="9.796875" style="714"/>
    <col min="2049" max="2049" width="7.3984375" style="714" customWidth="1"/>
    <col min="2050" max="2050" width="9.59765625" style="714" customWidth="1"/>
    <col min="2051" max="2051" width="8.59765625" style="714" customWidth="1"/>
    <col min="2052" max="2052" width="9.19921875" style="714" customWidth="1"/>
    <col min="2053" max="2053" width="9" style="714" customWidth="1"/>
    <col min="2054" max="2055" width="9.3984375" style="714" customWidth="1"/>
    <col min="2056" max="2056" width="8.796875" style="714" customWidth="1"/>
    <col min="2057" max="2057" width="8.59765625" style="714" customWidth="1"/>
    <col min="2058" max="2058" width="1.19921875" style="714" customWidth="1"/>
    <col min="2059" max="2059" width="10.3984375" style="714" customWidth="1"/>
    <col min="2060" max="2060" width="1.3984375" style="714" customWidth="1"/>
    <col min="2061" max="2061" width="8.3984375" style="714" customWidth="1"/>
    <col min="2062" max="2304" width="9.796875" style="714"/>
    <col min="2305" max="2305" width="7.3984375" style="714" customWidth="1"/>
    <col min="2306" max="2306" width="9.59765625" style="714" customWidth="1"/>
    <col min="2307" max="2307" width="8.59765625" style="714" customWidth="1"/>
    <col min="2308" max="2308" width="9.19921875" style="714" customWidth="1"/>
    <col min="2309" max="2309" width="9" style="714" customWidth="1"/>
    <col min="2310" max="2311" width="9.3984375" style="714" customWidth="1"/>
    <col min="2312" max="2312" width="8.796875" style="714" customWidth="1"/>
    <col min="2313" max="2313" width="8.59765625" style="714" customWidth="1"/>
    <col min="2314" max="2314" width="1.19921875" style="714" customWidth="1"/>
    <col min="2315" max="2315" width="10.3984375" style="714" customWidth="1"/>
    <col min="2316" max="2316" width="1.3984375" style="714" customWidth="1"/>
    <col min="2317" max="2317" width="8.3984375" style="714" customWidth="1"/>
    <col min="2318" max="2560" width="9.796875" style="714"/>
    <col min="2561" max="2561" width="7.3984375" style="714" customWidth="1"/>
    <col min="2562" max="2562" width="9.59765625" style="714" customWidth="1"/>
    <col min="2563" max="2563" width="8.59765625" style="714" customWidth="1"/>
    <col min="2564" max="2564" width="9.19921875" style="714" customWidth="1"/>
    <col min="2565" max="2565" width="9" style="714" customWidth="1"/>
    <col min="2566" max="2567" width="9.3984375" style="714" customWidth="1"/>
    <col min="2568" max="2568" width="8.796875" style="714" customWidth="1"/>
    <col min="2569" max="2569" width="8.59765625" style="714" customWidth="1"/>
    <col min="2570" max="2570" width="1.19921875" style="714" customWidth="1"/>
    <col min="2571" max="2571" width="10.3984375" style="714" customWidth="1"/>
    <col min="2572" max="2572" width="1.3984375" style="714" customWidth="1"/>
    <col min="2573" max="2573" width="8.3984375" style="714" customWidth="1"/>
    <col min="2574" max="2816" width="9.796875" style="714"/>
    <col min="2817" max="2817" width="7.3984375" style="714" customWidth="1"/>
    <col min="2818" max="2818" width="9.59765625" style="714" customWidth="1"/>
    <col min="2819" max="2819" width="8.59765625" style="714" customWidth="1"/>
    <col min="2820" max="2820" width="9.19921875" style="714" customWidth="1"/>
    <col min="2821" max="2821" width="9" style="714" customWidth="1"/>
    <col min="2822" max="2823" width="9.3984375" style="714" customWidth="1"/>
    <col min="2824" max="2824" width="8.796875" style="714" customWidth="1"/>
    <col min="2825" max="2825" width="8.59765625" style="714" customWidth="1"/>
    <col min="2826" max="2826" width="1.19921875" style="714" customWidth="1"/>
    <col min="2827" max="2827" width="10.3984375" style="714" customWidth="1"/>
    <col min="2828" max="2828" width="1.3984375" style="714" customWidth="1"/>
    <col min="2829" max="2829" width="8.3984375" style="714" customWidth="1"/>
    <col min="2830" max="3072" width="9.796875" style="714"/>
    <col min="3073" max="3073" width="7.3984375" style="714" customWidth="1"/>
    <col min="3074" max="3074" width="9.59765625" style="714" customWidth="1"/>
    <col min="3075" max="3075" width="8.59765625" style="714" customWidth="1"/>
    <col min="3076" max="3076" width="9.19921875" style="714" customWidth="1"/>
    <col min="3077" max="3077" width="9" style="714" customWidth="1"/>
    <col min="3078" max="3079" width="9.3984375" style="714" customWidth="1"/>
    <col min="3080" max="3080" width="8.796875" style="714" customWidth="1"/>
    <col min="3081" max="3081" width="8.59765625" style="714" customWidth="1"/>
    <col min="3082" max="3082" width="1.19921875" style="714" customWidth="1"/>
    <col min="3083" max="3083" width="10.3984375" style="714" customWidth="1"/>
    <col min="3084" max="3084" width="1.3984375" style="714" customWidth="1"/>
    <col min="3085" max="3085" width="8.3984375" style="714" customWidth="1"/>
    <col min="3086" max="3328" width="9.796875" style="714"/>
    <col min="3329" max="3329" width="7.3984375" style="714" customWidth="1"/>
    <col min="3330" max="3330" width="9.59765625" style="714" customWidth="1"/>
    <col min="3331" max="3331" width="8.59765625" style="714" customWidth="1"/>
    <col min="3332" max="3332" width="9.19921875" style="714" customWidth="1"/>
    <col min="3333" max="3333" width="9" style="714" customWidth="1"/>
    <col min="3334" max="3335" width="9.3984375" style="714" customWidth="1"/>
    <col min="3336" max="3336" width="8.796875" style="714" customWidth="1"/>
    <col min="3337" max="3337" width="8.59765625" style="714" customWidth="1"/>
    <col min="3338" max="3338" width="1.19921875" style="714" customWidth="1"/>
    <col min="3339" max="3339" width="10.3984375" style="714" customWidth="1"/>
    <col min="3340" max="3340" width="1.3984375" style="714" customWidth="1"/>
    <col min="3341" max="3341" width="8.3984375" style="714" customWidth="1"/>
    <col min="3342" max="3584" width="9.796875" style="714"/>
    <col min="3585" max="3585" width="7.3984375" style="714" customWidth="1"/>
    <col min="3586" max="3586" width="9.59765625" style="714" customWidth="1"/>
    <col min="3587" max="3587" width="8.59765625" style="714" customWidth="1"/>
    <col min="3588" max="3588" width="9.19921875" style="714" customWidth="1"/>
    <col min="3589" max="3589" width="9" style="714" customWidth="1"/>
    <col min="3590" max="3591" width="9.3984375" style="714" customWidth="1"/>
    <col min="3592" max="3592" width="8.796875" style="714" customWidth="1"/>
    <col min="3593" max="3593" width="8.59765625" style="714" customWidth="1"/>
    <col min="3594" max="3594" width="1.19921875" style="714" customWidth="1"/>
    <col min="3595" max="3595" width="10.3984375" style="714" customWidth="1"/>
    <col min="3596" max="3596" width="1.3984375" style="714" customWidth="1"/>
    <col min="3597" max="3597" width="8.3984375" style="714" customWidth="1"/>
    <col min="3598" max="3840" width="9.796875" style="714"/>
    <col min="3841" max="3841" width="7.3984375" style="714" customWidth="1"/>
    <col min="3842" max="3842" width="9.59765625" style="714" customWidth="1"/>
    <col min="3843" max="3843" width="8.59765625" style="714" customWidth="1"/>
    <col min="3844" max="3844" width="9.19921875" style="714" customWidth="1"/>
    <col min="3845" max="3845" width="9" style="714" customWidth="1"/>
    <col min="3846" max="3847" width="9.3984375" style="714" customWidth="1"/>
    <col min="3848" max="3848" width="8.796875" style="714" customWidth="1"/>
    <col min="3849" max="3849" width="8.59765625" style="714" customWidth="1"/>
    <col min="3850" max="3850" width="1.19921875" style="714" customWidth="1"/>
    <col min="3851" max="3851" width="10.3984375" style="714" customWidth="1"/>
    <col min="3852" max="3852" width="1.3984375" style="714" customWidth="1"/>
    <col min="3853" max="3853" width="8.3984375" style="714" customWidth="1"/>
    <col min="3854" max="4096" width="9.796875" style="714"/>
    <col min="4097" max="4097" width="7.3984375" style="714" customWidth="1"/>
    <col min="4098" max="4098" width="9.59765625" style="714" customWidth="1"/>
    <col min="4099" max="4099" width="8.59765625" style="714" customWidth="1"/>
    <col min="4100" max="4100" width="9.19921875" style="714" customWidth="1"/>
    <col min="4101" max="4101" width="9" style="714" customWidth="1"/>
    <col min="4102" max="4103" width="9.3984375" style="714" customWidth="1"/>
    <col min="4104" max="4104" width="8.796875" style="714" customWidth="1"/>
    <col min="4105" max="4105" width="8.59765625" style="714" customWidth="1"/>
    <col min="4106" max="4106" width="1.19921875" style="714" customWidth="1"/>
    <col min="4107" max="4107" width="10.3984375" style="714" customWidth="1"/>
    <col min="4108" max="4108" width="1.3984375" style="714" customWidth="1"/>
    <col min="4109" max="4109" width="8.3984375" style="714" customWidth="1"/>
    <col min="4110" max="4352" width="9.796875" style="714"/>
    <col min="4353" max="4353" width="7.3984375" style="714" customWidth="1"/>
    <col min="4354" max="4354" width="9.59765625" style="714" customWidth="1"/>
    <col min="4355" max="4355" width="8.59765625" style="714" customWidth="1"/>
    <col min="4356" max="4356" width="9.19921875" style="714" customWidth="1"/>
    <col min="4357" max="4357" width="9" style="714" customWidth="1"/>
    <col min="4358" max="4359" width="9.3984375" style="714" customWidth="1"/>
    <col min="4360" max="4360" width="8.796875" style="714" customWidth="1"/>
    <col min="4361" max="4361" width="8.59765625" style="714" customWidth="1"/>
    <col min="4362" max="4362" width="1.19921875" style="714" customWidth="1"/>
    <col min="4363" max="4363" width="10.3984375" style="714" customWidth="1"/>
    <col min="4364" max="4364" width="1.3984375" style="714" customWidth="1"/>
    <col min="4365" max="4365" width="8.3984375" style="714" customWidth="1"/>
    <col min="4366" max="4608" width="9.796875" style="714"/>
    <col min="4609" max="4609" width="7.3984375" style="714" customWidth="1"/>
    <col min="4610" max="4610" width="9.59765625" style="714" customWidth="1"/>
    <col min="4611" max="4611" width="8.59765625" style="714" customWidth="1"/>
    <col min="4612" max="4612" width="9.19921875" style="714" customWidth="1"/>
    <col min="4613" max="4613" width="9" style="714" customWidth="1"/>
    <col min="4614" max="4615" width="9.3984375" style="714" customWidth="1"/>
    <col min="4616" max="4616" width="8.796875" style="714" customWidth="1"/>
    <col min="4617" max="4617" width="8.59765625" style="714" customWidth="1"/>
    <col min="4618" max="4618" width="1.19921875" style="714" customWidth="1"/>
    <col min="4619" max="4619" width="10.3984375" style="714" customWidth="1"/>
    <col min="4620" max="4620" width="1.3984375" style="714" customWidth="1"/>
    <col min="4621" max="4621" width="8.3984375" style="714" customWidth="1"/>
    <col min="4622" max="4864" width="9.796875" style="714"/>
    <col min="4865" max="4865" width="7.3984375" style="714" customWidth="1"/>
    <col min="4866" max="4866" width="9.59765625" style="714" customWidth="1"/>
    <col min="4867" max="4867" width="8.59765625" style="714" customWidth="1"/>
    <col min="4868" max="4868" width="9.19921875" style="714" customWidth="1"/>
    <col min="4869" max="4869" width="9" style="714" customWidth="1"/>
    <col min="4870" max="4871" width="9.3984375" style="714" customWidth="1"/>
    <col min="4872" max="4872" width="8.796875" style="714" customWidth="1"/>
    <col min="4873" max="4873" width="8.59765625" style="714" customWidth="1"/>
    <col min="4874" max="4874" width="1.19921875" style="714" customWidth="1"/>
    <col min="4875" max="4875" width="10.3984375" style="714" customWidth="1"/>
    <col min="4876" max="4876" width="1.3984375" style="714" customWidth="1"/>
    <col min="4877" max="4877" width="8.3984375" style="714" customWidth="1"/>
    <col min="4878" max="5120" width="9.796875" style="714"/>
    <col min="5121" max="5121" width="7.3984375" style="714" customWidth="1"/>
    <col min="5122" max="5122" width="9.59765625" style="714" customWidth="1"/>
    <col min="5123" max="5123" width="8.59765625" style="714" customWidth="1"/>
    <col min="5124" max="5124" width="9.19921875" style="714" customWidth="1"/>
    <col min="5125" max="5125" width="9" style="714" customWidth="1"/>
    <col min="5126" max="5127" width="9.3984375" style="714" customWidth="1"/>
    <col min="5128" max="5128" width="8.796875" style="714" customWidth="1"/>
    <col min="5129" max="5129" width="8.59765625" style="714" customWidth="1"/>
    <col min="5130" max="5130" width="1.19921875" style="714" customWidth="1"/>
    <col min="5131" max="5131" width="10.3984375" style="714" customWidth="1"/>
    <col min="5132" max="5132" width="1.3984375" style="714" customWidth="1"/>
    <col min="5133" max="5133" width="8.3984375" style="714" customWidth="1"/>
    <col min="5134" max="5376" width="9.796875" style="714"/>
    <col min="5377" max="5377" width="7.3984375" style="714" customWidth="1"/>
    <col min="5378" max="5378" width="9.59765625" style="714" customWidth="1"/>
    <col min="5379" max="5379" width="8.59765625" style="714" customWidth="1"/>
    <col min="5380" max="5380" width="9.19921875" style="714" customWidth="1"/>
    <col min="5381" max="5381" width="9" style="714" customWidth="1"/>
    <col min="5382" max="5383" width="9.3984375" style="714" customWidth="1"/>
    <col min="5384" max="5384" width="8.796875" style="714" customWidth="1"/>
    <col min="5385" max="5385" width="8.59765625" style="714" customWidth="1"/>
    <col min="5386" max="5386" width="1.19921875" style="714" customWidth="1"/>
    <col min="5387" max="5387" width="10.3984375" style="714" customWidth="1"/>
    <col min="5388" max="5388" width="1.3984375" style="714" customWidth="1"/>
    <col min="5389" max="5389" width="8.3984375" style="714" customWidth="1"/>
    <col min="5390" max="5632" width="9.796875" style="714"/>
    <col min="5633" max="5633" width="7.3984375" style="714" customWidth="1"/>
    <col min="5634" max="5634" width="9.59765625" style="714" customWidth="1"/>
    <col min="5635" max="5635" width="8.59765625" style="714" customWidth="1"/>
    <col min="5636" max="5636" width="9.19921875" style="714" customWidth="1"/>
    <col min="5637" max="5637" width="9" style="714" customWidth="1"/>
    <col min="5638" max="5639" width="9.3984375" style="714" customWidth="1"/>
    <col min="5640" max="5640" width="8.796875" style="714" customWidth="1"/>
    <col min="5641" max="5641" width="8.59765625" style="714" customWidth="1"/>
    <col min="5642" max="5642" width="1.19921875" style="714" customWidth="1"/>
    <col min="5643" max="5643" width="10.3984375" style="714" customWidth="1"/>
    <col min="5644" max="5644" width="1.3984375" style="714" customWidth="1"/>
    <col min="5645" max="5645" width="8.3984375" style="714" customWidth="1"/>
    <col min="5646" max="5888" width="9.796875" style="714"/>
    <col min="5889" max="5889" width="7.3984375" style="714" customWidth="1"/>
    <col min="5890" max="5890" width="9.59765625" style="714" customWidth="1"/>
    <col min="5891" max="5891" width="8.59765625" style="714" customWidth="1"/>
    <col min="5892" max="5892" width="9.19921875" style="714" customWidth="1"/>
    <col min="5893" max="5893" width="9" style="714" customWidth="1"/>
    <col min="5894" max="5895" width="9.3984375" style="714" customWidth="1"/>
    <col min="5896" max="5896" width="8.796875" style="714" customWidth="1"/>
    <col min="5897" max="5897" width="8.59765625" style="714" customWidth="1"/>
    <col min="5898" max="5898" width="1.19921875" style="714" customWidth="1"/>
    <col min="5899" max="5899" width="10.3984375" style="714" customWidth="1"/>
    <col min="5900" max="5900" width="1.3984375" style="714" customWidth="1"/>
    <col min="5901" max="5901" width="8.3984375" style="714" customWidth="1"/>
    <col min="5902" max="6144" width="9.796875" style="714"/>
    <col min="6145" max="6145" width="7.3984375" style="714" customWidth="1"/>
    <col min="6146" max="6146" width="9.59765625" style="714" customWidth="1"/>
    <col min="6147" max="6147" width="8.59765625" style="714" customWidth="1"/>
    <col min="6148" max="6148" width="9.19921875" style="714" customWidth="1"/>
    <col min="6149" max="6149" width="9" style="714" customWidth="1"/>
    <col min="6150" max="6151" width="9.3984375" style="714" customWidth="1"/>
    <col min="6152" max="6152" width="8.796875" style="714" customWidth="1"/>
    <col min="6153" max="6153" width="8.59765625" style="714" customWidth="1"/>
    <col min="6154" max="6154" width="1.19921875" style="714" customWidth="1"/>
    <col min="6155" max="6155" width="10.3984375" style="714" customWidth="1"/>
    <col min="6156" max="6156" width="1.3984375" style="714" customWidth="1"/>
    <col min="6157" max="6157" width="8.3984375" style="714" customWidth="1"/>
    <col min="6158" max="6400" width="9.796875" style="714"/>
    <col min="6401" max="6401" width="7.3984375" style="714" customWidth="1"/>
    <col min="6402" max="6402" width="9.59765625" style="714" customWidth="1"/>
    <col min="6403" max="6403" width="8.59765625" style="714" customWidth="1"/>
    <col min="6404" max="6404" width="9.19921875" style="714" customWidth="1"/>
    <col min="6405" max="6405" width="9" style="714" customWidth="1"/>
    <col min="6406" max="6407" width="9.3984375" style="714" customWidth="1"/>
    <col min="6408" max="6408" width="8.796875" style="714" customWidth="1"/>
    <col min="6409" max="6409" width="8.59765625" style="714" customWidth="1"/>
    <col min="6410" max="6410" width="1.19921875" style="714" customWidth="1"/>
    <col min="6411" max="6411" width="10.3984375" style="714" customWidth="1"/>
    <col min="6412" max="6412" width="1.3984375" style="714" customWidth="1"/>
    <col min="6413" max="6413" width="8.3984375" style="714" customWidth="1"/>
    <col min="6414" max="6656" width="9.796875" style="714"/>
    <col min="6657" max="6657" width="7.3984375" style="714" customWidth="1"/>
    <col min="6658" max="6658" width="9.59765625" style="714" customWidth="1"/>
    <col min="6659" max="6659" width="8.59765625" style="714" customWidth="1"/>
    <col min="6660" max="6660" width="9.19921875" style="714" customWidth="1"/>
    <col min="6661" max="6661" width="9" style="714" customWidth="1"/>
    <col min="6662" max="6663" width="9.3984375" style="714" customWidth="1"/>
    <col min="6664" max="6664" width="8.796875" style="714" customWidth="1"/>
    <col min="6665" max="6665" width="8.59765625" style="714" customWidth="1"/>
    <col min="6666" max="6666" width="1.19921875" style="714" customWidth="1"/>
    <col min="6667" max="6667" width="10.3984375" style="714" customWidth="1"/>
    <col min="6668" max="6668" width="1.3984375" style="714" customWidth="1"/>
    <col min="6669" max="6669" width="8.3984375" style="714" customWidth="1"/>
    <col min="6670" max="6912" width="9.796875" style="714"/>
    <col min="6913" max="6913" width="7.3984375" style="714" customWidth="1"/>
    <col min="6914" max="6914" width="9.59765625" style="714" customWidth="1"/>
    <col min="6915" max="6915" width="8.59765625" style="714" customWidth="1"/>
    <col min="6916" max="6916" width="9.19921875" style="714" customWidth="1"/>
    <col min="6917" max="6917" width="9" style="714" customWidth="1"/>
    <col min="6918" max="6919" width="9.3984375" style="714" customWidth="1"/>
    <col min="6920" max="6920" width="8.796875" style="714" customWidth="1"/>
    <col min="6921" max="6921" width="8.59765625" style="714" customWidth="1"/>
    <col min="6922" max="6922" width="1.19921875" style="714" customWidth="1"/>
    <col min="6923" max="6923" width="10.3984375" style="714" customWidth="1"/>
    <col min="6924" max="6924" width="1.3984375" style="714" customWidth="1"/>
    <col min="6925" max="6925" width="8.3984375" style="714" customWidth="1"/>
    <col min="6926" max="7168" width="9.796875" style="714"/>
    <col min="7169" max="7169" width="7.3984375" style="714" customWidth="1"/>
    <col min="7170" max="7170" width="9.59765625" style="714" customWidth="1"/>
    <col min="7171" max="7171" width="8.59765625" style="714" customWidth="1"/>
    <col min="7172" max="7172" width="9.19921875" style="714" customWidth="1"/>
    <col min="7173" max="7173" width="9" style="714" customWidth="1"/>
    <col min="7174" max="7175" width="9.3984375" style="714" customWidth="1"/>
    <col min="7176" max="7176" width="8.796875" style="714" customWidth="1"/>
    <col min="7177" max="7177" width="8.59765625" style="714" customWidth="1"/>
    <col min="7178" max="7178" width="1.19921875" style="714" customWidth="1"/>
    <col min="7179" max="7179" width="10.3984375" style="714" customWidth="1"/>
    <col min="7180" max="7180" width="1.3984375" style="714" customWidth="1"/>
    <col min="7181" max="7181" width="8.3984375" style="714" customWidth="1"/>
    <col min="7182" max="7424" width="9.796875" style="714"/>
    <col min="7425" max="7425" width="7.3984375" style="714" customWidth="1"/>
    <col min="7426" max="7426" width="9.59765625" style="714" customWidth="1"/>
    <col min="7427" max="7427" width="8.59765625" style="714" customWidth="1"/>
    <col min="7428" max="7428" width="9.19921875" style="714" customWidth="1"/>
    <col min="7429" max="7429" width="9" style="714" customWidth="1"/>
    <col min="7430" max="7431" width="9.3984375" style="714" customWidth="1"/>
    <col min="7432" max="7432" width="8.796875" style="714" customWidth="1"/>
    <col min="7433" max="7433" width="8.59765625" style="714" customWidth="1"/>
    <col min="7434" max="7434" width="1.19921875" style="714" customWidth="1"/>
    <col min="7435" max="7435" width="10.3984375" style="714" customWidth="1"/>
    <col min="7436" max="7436" width="1.3984375" style="714" customWidth="1"/>
    <col min="7437" max="7437" width="8.3984375" style="714" customWidth="1"/>
    <col min="7438" max="7680" width="9.796875" style="714"/>
    <col min="7681" max="7681" width="7.3984375" style="714" customWidth="1"/>
    <col min="7682" max="7682" width="9.59765625" style="714" customWidth="1"/>
    <col min="7683" max="7683" width="8.59765625" style="714" customWidth="1"/>
    <col min="7684" max="7684" width="9.19921875" style="714" customWidth="1"/>
    <col min="7685" max="7685" width="9" style="714" customWidth="1"/>
    <col min="7686" max="7687" width="9.3984375" style="714" customWidth="1"/>
    <col min="7688" max="7688" width="8.796875" style="714" customWidth="1"/>
    <col min="7689" max="7689" width="8.59765625" style="714" customWidth="1"/>
    <col min="7690" max="7690" width="1.19921875" style="714" customWidth="1"/>
    <col min="7691" max="7691" width="10.3984375" style="714" customWidth="1"/>
    <col min="7692" max="7692" width="1.3984375" style="714" customWidth="1"/>
    <col min="7693" max="7693" width="8.3984375" style="714" customWidth="1"/>
    <col min="7694" max="7936" width="9.796875" style="714"/>
    <col min="7937" max="7937" width="7.3984375" style="714" customWidth="1"/>
    <col min="7938" max="7938" width="9.59765625" style="714" customWidth="1"/>
    <col min="7939" max="7939" width="8.59765625" style="714" customWidth="1"/>
    <col min="7940" max="7940" width="9.19921875" style="714" customWidth="1"/>
    <col min="7941" max="7941" width="9" style="714" customWidth="1"/>
    <col min="7942" max="7943" width="9.3984375" style="714" customWidth="1"/>
    <col min="7944" max="7944" width="8.796875" style="714" customWidth="1"/>
    <col min="7945" max="7945" width="8.59765625" style="714" customWidth="1"/>
    <col min="7946" max="7946" width="1.19921875" style="714" customWidth="1"/>
    <col min="7947" max="7947" width="10.3984375" style="714" customWidth="1"/>
    <col min="7948" max="7948" width="1.3984375" style="714" customWidth="1"/>
    <col min="7949" max="7949" width="8.3984375" style="714" customWidth="1"/>
    <col min="7950" max="8192" width="9.796875" style="714"/>
    <col min="8193" max="8193" width="7.3984375" style="714" customWidth="1"/>
    <col min="8194" max="8194" width="9.59765625" style="714" customWidth="1"/>
    <col min="8195" max="8195" width="8.59765625" style="714" customWidth="1"/>
    <col min="8196" max="8196" width="9.19921875" style="714" customWidth="1"/>
    <col min="8197" max="8197" width="9" style="714" customWidth="1"/>
    <col min="8198" max="8199" width="9.3984375" style="714" customWidth="1"/>
    <col min="8200" max="8200" width="8.796875" style="714" customWidth="1"/>
    <col min="8201" max="8201" width="8.59765625" style="714" customWidth="1"/>
    <col min="8202" max="8202" width="1.19921875" style="714" customWidth="1"/>
    <col min="8203" max="8203" width="10.3984375" style="714" customWidth="1"/>
    <col min="8204" max="8204" width="1.3984375" style="714" customWidth="1"/>
    <col min="8205" max="8205" width="8.3984375" style="714" customWidth="1"/>
    <col min="8206" max="8448" width="9.796875" style="714"/>
    <col min="8449" max="8449" width="7.3984375" style="714" customWidth="1"/>
    <col min="8450" max="8450" width="9.59765625" style="714" customWidth="1"/>
    <col min="8451" max="8451" width="8.59765625" style="714" customWidth="1"/>
    <col min="8452" max="8452" width="9.19921875" style="714" customWidth="1"/>
    <col min="8453" max="8453" width="9" style="714" customWidth="1"/>
    <col min="8454" max="8455" width="9.3984375" style="714" customWidth="1"/>
    <col min="8456" max="8456" width="8.796875" style="714" customWidth="1"/>
    <col min="8457" max="8457" width="8.59765625" style="714" customWidth="1"/>
    <col min="8458" max="8458" width="1.19921875" style="714" customWidth="1"/>
    <col min="8459" max="8459" width="10.3984375" style="714" customWidth="1"/>
    <col min="8460" max="8460" width="1.3984375" style="714" customWidth="1"/>
    <col min="8461" max="8461" width="8.3984375" style="714" customWidth="1"/>
    <col min="8462" max="8704" width="9.796875" style="714"/>
    <col min="8705" max="8705" width="7.3984375" style="714" customWidth="1"/>
    <col min="8706" max="8706" width="9.59765625" style="714" customWidth="1"/>
    <col min="8707" max="8707" width="8.59765625" style="714" customWidth="1"/>
    <col min="8708" max="8708" width="9.19921875" style="714" customWidth="1"/>
    <col min="8709" max="8709" width="9" style="714" customWidth="1"/>
    <col min="8710" max="8711" width="9.3984375" style="714" customWidth="1"/>
    <col min="8712" max="8712" width="8.796875" style="714" customWidth="1"/>
    <col min="8713" max="8713" width="8.59765625" style="714" customWidth="1"/>
    <col min="8714" max="8714" width="1.19921875" style="714" customWidth="1"/>
    <col min="8715" max="8715" width="10.3984375" style="714" customWidth="1"/>
    <col min="8716" max="8716" width="1.3984375" style="714" customWidth="1"/>
    <col min="8717" max="8717" width="8.3984375" style="714" customWidth="1"/>
    <col min="8718" max="8960" width="9.796875" style="714"/>
    <col min="8961" max="8961" width="7.3984375" style="714" customWidth="1"/>
    <col min="8962" max="8962" width="9.59765625" style="714" customWidth="1"/>
    <col min="8963" max="8963" width="8.59765625" style="714" customWidth="1"/>
    <col min="8964" max="8964" width="9.19921875" style="714" customWidth="1"/>
    <col min="8965" max="8965" width="9" style="714" customWidth="1"/>
    <col min="8966" max="8967" width="9.3984375" style="714" customWidth="1"/>
    <col min="8968" max="8968" width="8.796875" style="714" customWidth="1"/>
    <col min="8969" max="8969" width="8.59765625" style="714" customWidth="1"/>
    <col min="8970" max="8970" width="1.19921875" style="714" customWidth="1"/>
    <col min="8971" max="8971" width="10.3984375" style="714" customWidth="1"/>
    <col min="8972" max="8972" width="1.3984375" style="714" customWidth="1"/>
    <col min="8973" max="8973" width="8.3984375" style="714" customWidth="1"/>
    <col min="8974" max="9216" width="9.796875" style="714"/>
    <col min="9217" max="9217" width="7.3984375" style="714" customWidth="1"/>
    <col min="9218" max="9218" width="9.59765625" style="714" customWidth="1"/>
    <col min="9219" max="9219" width="8.59765625" style="714" customWidth="1"/>
    <col min="9220" max="9220" width="9.19921875" style="714" customWidth="1"/>
    <col min="9221" max="9221" width="9" style="714" customWidth="1"/>
    <col min="9222" max="9223" width="9.3984375" style="714" customWidth="1"/>
    <col min="9224" max="9224" width="8.796875" style="714" customWidth="1"/>
    <col min="9225" max="9225" width="8.59765625" style="714" customWidth="1"/>
    <col min="9226" max="9226" width="1.19921875" style="714" customWidth="1"/>
    <col min="9227" max="9227" width="10.3984375" style="714" customWidth="1"/>
    <col min="9228" max="9228" width="1.3984375" style="714" customWidth="1"/>
    <col min="9229" max="9229" width="8.3984375" style="714" customWidth="1"/>
    <col min="9230" max="9472" width="9.796875" style="714"/>
    <col min="9473" max="9473" width="7.3984375" style="714" customWidth="1"/>
    <col min="9474" max="9474" width="9.59765625" style="714" customWidth="1"/>
    <col min="9475" max="9475" width="8.59765625" style="714" customWidth="1"/>
    <col min="9476" max="9476" width="9.19921875" style="714" customWidth="1"/>
    <col min="9477" max="9477" width="9" style="714" customWidth="1"/>
    <col min="9478" max="9479" width="9.3984375" style="714" customWidth="1"/>
    <col min="9480" max="9480" width="8.796875" style="714" customWidth="1"/>
    <col min="9481" max="9481" width="8.59765625" style="714" customWidth="1"/>
    <col min="9482" max="9482" width="1.19921875" style="714" customWidth="1"/>
    <col min="9483" max="9483" width="10.3984375" style="714" customWidth="1"/>
    <col min="9484" max="9484" width="1.3984375" style="714" customWidth="1"/>
    <col min="9485" max="9485" width="8.3984375" style="714" customWidth="1"/>
    <col min="9486" max="9728" width="9.796875" style="714"/>
    <col min="9729" max="9729" width="7.3984375" style="714" customWidth="1"/>
    <col min="9730" max="9730" width="9.59765625" style="714" customWidth="1"/>
    <col min="9731" max="9731" width="8.59765625" style="714" customWidth="1"/>
    <col min="9732" max="9732" width="9.19921875" style="714" customWidth="1"/>
    <col min="9733" max="9733" width="9" style="714" customWidth="1"/>
    <col min="9734" max="9735" width="9.3984375" style="714" customWidth="1"/>
    <col min="9736" max="9736" width="8.796875" style="714" customWidth="1"/>
    <col min="9737" max="9737" width="8.59765625" style="714" customWidth="1"/>
    <col min="9738" max="9738" width="1.19921875" style="714" customWidth="1"/>
    <col min="9739" max="9739" width="10.3984375" style="714" customWidth="1"/>
    <col min="9740" max="9740" width="1.3984375" style="714" customWidth="1"/>
    <col min="9741" max="9741" width="8.3984375" style="714" customWidth="1"/>
    <col min="9742" max="9984" width="9.796875" style="714"/>
    <col min="9985" max="9985" width="7.3984375" style="714" customWidth="1"/>
    <col min="9986" max="9986" width="9.59765625" style="714" customWidth="1"/>
    <col min="9987" max="9987" width="8.59765625" style="714" customWidth="1"/>
    <col min="9988" max="9988" width="9.19921875" style="714" customWidth="1"/>
    <col min="9989" max="9989" width="9" style="714" customWidth="1"/>
    <col min="9990" max="9991" width="9.3984375" style="714" customWidth="1"/>
    <col min="9992" max="9992" width="8.796875" style="714" customWidth="1"/>
    <col min="9993" max="9993" width="8.59765625" style="714" customWidth="1"/>
    <col min="9994" max="9994" width="1.19921875" style="714" customWidth="1"/>
    <col min="9995" max="9995" width="10.3984375" style="714" customWidth="1"/>
    <col min="9996" max="9996" width="1.3984375" style="714" customWidth="1"/>
    <col min="9997" max="9997" width="8.3984375" style="714" customWidth="1"/>
    <col min="9998" max="10240" width="9.796875" style="714"/>
    <col min="10241" max="10241" width="7.3984375" style="714" customWidth="1"/>
    <col min="10242" max="10242" width="9.59765625" style="714" customWidth="1"/>
    <col min="10243" max="10243" width="8.59765625" style="714" customWidth="1"/>
    <col min="10244" max="10244" width="9.19921875" style="714" customWidth="1"/>
    <col min="10245" max="10245" width="9" style="714" customWidth="1"/>
    <col min="10246" max="10247" width="9.3984375" style="714" customWidth="1"/>
    <col min="10248" max="10248" width="8.796875" style="714" customWidth="1"/>
    <col min="10249" max="10249" width="8.59765625" style="714" customWidth="1"/>
    <col min="10250" max="10250" width="1.19921875" style="714" customWidth="1"/>
    <col min="10251" max="10251" width="10.3984375" style="714" customWidth="1"/>
    <col min="10252" max="10252" width="1.3984375" style="714" customWidth="1"/>
    <col min="10253" max="10253" width="8.3984375" style="714" customWidth="1"/>
    <col min="10254" max="10496" width="9.796875" style="714"/>
    <col min="10497" max="10497" width="7.3984375" style="714" customWidth="1"/>
    <col min="10498" max="10498" width="9.59765625" style="714" customWidth="1"/>
    <col min="10499" max="10499" width="8.59765625" style="714" customWidth="1"/>
    <col min="10500" max="10500" width="9.19921875" style="714" customWidth="1"/>
    <col min="10501" max="10501" width="9" style="714" customWidth="1"/>
    <col min="10502" max="10503" width="9.3984375" style="714" customWidth="1"/>
    <col min="10504" max="10504" width="8.796875" style="714" customWidth="1"/>
    <col min="10505" max="10505" width="8.59765625" style="714" customWidth="1"/>
    <col min="10506" max="10506" width="1.19921875" style="714" customWidth="1"/>
    <col min="10507" max="10507" width="10.3984375" style="714" customWidth="1"/>
    <col min="10508" max="10508" width="1.3984375" style="714" customWidth="1"/>
    <col min="10509" max="10509" width="8.3984375" style="714" customWidth="1"/>
    <col min="10510" max="10752" width="9.796875" style="714"/>
    <col min="10753" max="10753" width="7.3984375" style="714" customWidth="1"/>
    <col min="10754" max="10754" width="9.59765625" style="714" customWidth="1"/>
    <col min="10755" max="10755" width="8.59765625" style="714" customWidth="1"/>
    <col min="10756" max="10756" width="9.19921875" style="714" customWidth="1"/>
    <col min="10757" max="10757" width="9" style="714" customWidth="1"/>
    <col min="10758" max="10759" width="9.3984375" style="714" customWidth="1"/>
    <col min="10760" max="10760" width="8.796875" style="714" customWidth="1"/>
    <col min="10761" max="10761" width="8.59765625" style="714" customWidth="1"/>
    <col min="10762" max="10762" width="1.19921875" style="714" customWidth="1"/>
    <col min="10763" max="10763" width="10.3984375" style="714" customWidth="1"/>
    <col min="10764" max="10764" width="1.3984375" style="714" customWidth="1"/>
    <col min="10765" max="10765" width="8.3984375" style="714" customWidth="1"/>
    <col min="10766" max="11008" width="9.796875" style="714"/>
    <col min="11009" max="11009" width="7.3984375" style="714" customWidth="1"/>
    <col min="11010" max="11010" width="9.59765625" style="714" customWidth="1"/>
    <col min="11011" max="11011" width="8.59765625" style="714" customWidth="1"/>
    <col min="11012" max="11012" width="9.19921875" style="714" customWidth="1"/>
    <col min="11013" max="11013" width="9" style="714" customWidth="1"/>
    <col min="11014" max="11015" width="9.3984375" style="714" customWidth="1"/>
    <col min="11016" max="11016" width="8.796875" style="714" customWidth="1"/>
    <col min="11017" max="11017" width="8.59765625" style="714" customWidth="1"/>
    <col min="11018" max="11018" width="1.19921875" style="714" customWidth="1"/>
    <col min="11019" max="11019" width="10.3984375" style="714" customWidth="1"/>
    <col min="11020" max="11020" width="1.3984375" style="714" customWidth="1"/>
    <col min="11021" max="11021" width="8.3984375" style="714" customWidth="1"/>
    <col min="11022" max="11264" width="9.796875" style="714"/>
    <col min="11265" max="11265" width="7.3984375" style="714" customWidth="1"/>
    <col min="11266" max="11266" width="9.59765625" style="714" customWidth="1"/>
    <col min="11267" max="11267" width="8.59765625" style="714" customWidth="1"/>
    <col min="11268" max="11268" width="9.19921875" style="714" customWidth="1"/>
    <col min="11269" max="11269" width="9" style="714" customWidth="1"/>
    <col min="11270" max="11271" width="9.3984375" style="714" customWidth="1"/>
    <col min="11272" max="11272" width="8.796875" style="714" customWidth="1"/>
    <col min="11273" max="11273" width="8.59765625" style="714" customWidth="1"/>
    <col min="11274" max="11274" width="1.19921875" style="714" customWidth="1"/>
    <col min="11275" max="11275" width="10.3984375" style="714" customWidth="1"/>
    <col min="11276" max="11276" width="1.3984375" style="714" customWidth="1"/>
    <col min="11277" max="11277" width="8.3984375" style="714" customWidth="1"/>
    <col min="11278" max="11520" width="9.796875" style="714"/>
    <col min="11521" max="11521" width="7.3984375" style="714" customWidth="1"/>
    <col min="11522" max="11522" width="9.59765625" style="714" customWidth="1"/>
    <col min="11523" max="11523" width="8.59765625" style="714" customWidth="1"/>
    <col min="11524" max="11524" width="9.19921875" style="714" customWidth="1"/>
    <col min="11525" max="11525" width="9" style="714" customWidth="1"/>
    <col min="11526" max="11527" width="9.3984375" style="714" customWidth="1"/>
    <col min="11528" max="11528" width="8.796875" style="714" customWidth="1"/>
    <col min="11529" max="11529" width="8.59765625" style="714" customWidth="1"/>
    <col min="11530" max="11530" width="1.19921875" style="714" customWidth="1"/>
    <col min="11531" max="11531" width="10.3984375" style="714" customWidth="1"/>
    <col min="11532" max="11532" width="1.3984375" style="714" customWidth="1"/>
    <col min="11533" max="11533" width="8.3984375" style="714" customWidth="1"/>
    <col min="11534" max="11776" width="9.796875" style="714"/>
    <col min="11777" max="11777" width="7.3984375" style="714" customWidth="1"/>
    <col min="11778" max="11778" width="9.59765625" style="714" customWidth="1"/>
    <col min="11779" max="11779" width="8.59765625" style="714" customWidth="1"/>
    <col min="11780" max="11780" width="9.19921875" style="714" customWidth="1"/>
    <col min="11781" max="11781" width="9" style="714" customWidth="1"/>
    <col min="11782" max="11783" width="9.3984375" style="714" customWidth="1"/>
    <col min="11784" max="11784" width="8.796875" style="714" customWidth="1"/>
    <col min="11785" max="11785" width="8.59765625" style="714" customWidth="1"/>
    <col min="11786" max="11786" width="1.19921875" style="714" customWidth="1"/>
    <col min="11787" max="11787" width="10.3984375" style="714" customWidth="1"/>
    <col min="11788" max="11788" width="1.3984375" style="714" customWidth="1"/>
    <col min="11789" max="11789" width="8.3984375" style="714" customWidth="1"/>
    <col min="11790" max="12032" width="9.796875" style="714"/>
    <col min="12033" max="12033" width="7.3984375" style="714" customWidth="1"/>
    <col min="12034" max="12034" width="9.59765625" style="714" customWidth="1"/>
    <col min="12035" max="12035" width="8.59765625" style="714" customWidth="1"/>
    <col min="12036" max="12036" width="9.19921875" style="714" customWidth="1"/>
    <col min="12037" max="12037" width="9" style="714" customWidth="1"/>
    <col min="12038" max="12039" width="9.3984375" style="714" customWidth="1"/>
    <col min="12040" max="12040" width="8.796875" style="714" customWidth="1"/>
    <col min="12041" max="12041" width="8.59765625" style="714" customWidth="1"/>
    <col min="12042" max="12042" width="1.19921875" style="714" customWidth="1"/>
    <col min="12043" max="12043" width="10.3984375" style="714" customWidth="1"/>
    <col min="12044" max="12044" width="1.3984375" style="714" customWidth="1"/>
    <col min="12045" max="12045" width="8.3984375" style="714" customWidth="1"/>
    <col min="12046" max="12288" width="9.796875" style="714"/>
    <col min="12289" max="12289" width="7.3984375" style="714" customWidth="1"/>
    <col min="12290" max="12290" width="9.59765625" style="714" customWidth="1"/>
    <col min="12291" max="12291" width="8.59765625" style="714" customWidth="1"/>
    <col min="12292" max="12292" width="9.19921875" style="714" customWidth="1"/>
    <col min="12293" max="12293" width="9" style="714" customWidth="1"/>
    <col min="12294" max="12295" width="9.3984375" style="714" customWidth="1"/>
    <col min="12296" max="12296" width="8.796875" style="714" customWidth="1"/>
    <col min="12297" max="12297" width="8.59765625" style="714" customWidth="1"/>
    <col min="12298" max="12298" width="1.19921875" style="714" customWidth="1"/>
    <col min="12299" max="12299" width="10.3984375" style="714" customWidth="1"/>
    <col min="12300" max="12300" width="1.3984375" style="714" customWidth="1"/>
    <col min="12301" max="12301" width="8.3984375" style="714" customWidth="1"/>
    <col min="12302" max="12544" width="9.796875" style="714"/>
    <col min="12545" max="12545" width="7.3984375" style="714" customWidth="1"/>
    <col min="12546" max="12546" width="9.59765625" style="714" customWidth="1"/>
    <col min="12547" max="12547" width="8.59765625" style="714" customWidth="1"/>
    <col min="12548" max="12548" width="9.19921875" style="714" customWidth="1"/>
    <col min="12549" max="12549" width="9" style="714" customWidth="1"/>
    <col min="12550" max="12551" width="9.3984375" style="714" customWidth="1"/>
    <col min="12552" max="12552" width="8.796875" style="714" customWidth="1"/>
    <col min="12553" max="12553" width="8.59765625" style="714" customWidth="1"/>
    <col min="12554" max="12554" width="1.19921875" style="714" customWidth="1"/>
    <col min="12555" max="12555" width="10.3984375" style="714" customWidth="1"/>
    <col min="12556" max="12556" width="1.3984375" style="714" customWidth="1"/>
    <col min="12557" max="12557" width="8.3984375" style="714" customWidth="1"/>
    <col min="12558" max="12800" width="9.796875" style="714"/>
    <col min="12801" max="12801" width="7.3984375" style="714" customWidth="1"/>
    <col min="12802" max="12802" width="9.59765625" style="714" customWidth="1"/>
    <col min="12803" max="12803" width="8.59765625" style="714" customWidth="1"/>
    <col min="12804" max="12804" width="9.19921875" style="714" customWidth="1"/>
    <col min="12805" max="12805" width="9" style="714" customWidth="1"/>
    <col min="12806" max="12807" width="9.3984375" style="714" customWidth="1"/>
    <col min="12808" max="12808" width="8.796875" style="714" customWidth="1"/>
    <col min="12809" max="12809" width="8.59765625" style="714" customWidth="1"/>
    <col min="12810" max="12810" width="1.19921875" style="714" customWidth="1"/>
    <col min="12811" max="12811" width="10.3984375" style="714" customWidth="1"/>
    <col min="12812" max="12812" width="1.3984375" style="714" customWidth="1"/>
    <col min="12813" max="12813" width="8.3984375" style="714" customWidth="1"/>
    <col min="12814" max="13056" width="9.796875" style="714"/>
    <col min="13057" max="13057" width="7.3984375" style="714" customWidth="1"/>
    <col min="13058" max="13058" width="9.59765625" style="714" customWidth="1"/>
    <col min="13059" max="13059" width="8.59765625" style="714" customWidth="1"/>
    <col min="13060" max="13060" width="9.19921875" style="714" customWidth="1"/>
    <col min="13061" max="13061" width="9" style="714" customWidth="1"/>
    <col min="13062" max="13063" width="9.3984375" style="714" customWidth="1"/>
    <col min="13064" max="13064" width="8.796875" style="714" customWidth="1"/>
    <col min="13065" max="13065" width="8.59765625" style="714" customWidth="1"/>
    <col min="13066" max="13066" width="1.19921875" style="714" customWidth="1"/>
    <col min="13067" max="13067" width="10.3984375" style="714" customWidth="1"/>
    <col min="13068" max="13068" width="1.3984375" style="714" customWidth="1"/>
    <col min="13069" max="13069" width="8.3984375" style="714" customWidth="1"/>
    <col min="13070" max="13312" width="9.796875" style="714"/>
    <col min="13313" max="13313" width="7.3984375" style="714" customWidth="1"/>
    <col min="13314" max="13314" width="9.59765625" style="714" customWidth="1"/>
    <col min="13315" max="13315" width="8.59765625" style="714" customWidth="1"/>
    <col min="13316" max="13316" width="9.19921875" style="714" customWidth="1"/>
    <col min="13317" max="13317" width="9" style="714" customWidth="1"/>
    <col min="13318" max="13319" width="9.3984375" style="714" customWidth="1"/>
    <col min="13320" max="13320" width="8.796875" style="714" customWidth="1"/>
    <col min="13321" max="13321" width="8.59765625" style="714" customWidth="1"/>
    <col min="13322" max="13322" width="1.19921875" style="714" customWidth="1"/>
    <col min="13323" max="13323" width="10.3984375" style="714" customWidth="1"/>
    <col min="13324" max="13324" width="1.3984375" style="714" customWidth="1"/>
    <col min="13325" max="13325" width="8.3984375" style="714" customWidth="1"/>
    <col min="13326" max="13568" width="9.796875" style="714"/>
    <col min="13569" max="13569" width="7.3984375" style="714" customWidth="1"/>
    <col min="13570" max="13570" width="9.59765625" style="714" customWidth="1"/>
    <col min="13571" max="13571" width="8.59765625" style="714" customWidth="1"/>
    <col min="13572" max="13572" width="9.19921875" style="714" customWidth="1"/>
    <col min="13573" max="13573" width="9" style="714" customWidth="1"/>
    <col min="13574" max="13575" width="9.3984375" style="714" customWidth="1"/>
    <col min="13576" max="13576" width="8.796875" style="714" customWidth="1"/>
    <col min="13577" max="13577" width="8.59765625" style="714" customWidth="1"/>
    <col min="13578" max="13578" width="1.19921875" style="714" customWidth="1"/>
    <col min="13579" max="13579" width="10.3984375" style="714" customWidth="1"/>
    <col min="13580" max="13580" width="1.3984375" style="714" customWidth="1"/>
    <col min="13581" max="13581" width="8.3984375" style="714" customWidth="1"/>
    <col min="13582" max="13824" width="9.796875" style="714"/>
    <col min="13825" max="13825" width="7.3984375" style="714" customWidth="1"/>
    <col min="13826" max="13826" width="9.59765625" style="714" customWidth="1"/>
    <col min="13827" max="13827" width="8.59765625" style="714" customWidth="1"/>
    <col min="13828" max="13828" width="9.19921875" style="714" customWidth="1"/>
    <col min="13829" max="13829" width="9" style="714" customWidth="1"/>
    <col min="13830" max="13831" width="9.3984375" style="714" customWidth="1"/>
    <col min="13832" max="13832" width="8.796875" style="714" customWidth="1"/>
    <col min="13833" max="13833" width="8.59765625" style="714" customWidth="1"/>
    <col min="13834" max="13834" width="1.19921875" style="714" customWidth="1"/>
    <col min="13835" max="13835" width="10.3984375" style="714" customWidth="1"/>
    <col min="13836" max="13836" width="1.3984375" style="714" customWidth="1"/>
    <col min="13837" max="13837" width="8.3984375" style="714" customWidth="1"/>
    <col min="13838" max="14080" width="9.796875" style="714"/>
    <col min="14081" max="14081" width="7.3984375" style="714" customWidth="1"/>
    <col min="14082" max="14082" width="9.59765625" style="714" customWidth="1"/>
    <col min="14083" max="14083" width="8.59765625" style="714" customWidth="1"/>
    <col min="14084" max="14084" width="9.19921875" style="714" customWidth="1"/>
    <col min="14085" max="14085" width="9" style="714" customWidth="1"/>
    <col min="14086" max="14087" width="9.3984375" style="714" customWidth="1"/>
    <col min="14088" max="14088" width="8.796875" style="714" customWidth="1"/>
    <col min="14089" max="14089" width="8.59765625" style="714" customWidth="1"/>
    <col min="14090" max="14090" width="1.19921875" style="714" customWidth="1"/>
    <col min="14091" max="14091" width="10.3984375" style="714" customWidth="1"/>
    <col min="14092" max="14092" width="1.3984375" style="714" customWidth="1"/>
    <col min="14093" max="14093" width="8.3984375" style="714" customWidth="1"/>
    <col min="14094" max="14336" width="9.796875" style="714"/>
    <col min="14337" max="14337" width="7.3984375" style="714" customWidth="1"/>
    <col min="14338" max="14338" width="9.59765625" style="714" customWidth="1"/>
    <col min="14339" max="14339" width="8.59765625" style="714" customWidth="1"/>
    <col min="14340" max="14340" width="9.19921875" style="714" customWidth="1"/>
    <col min="14341" max="14341" width="9" style="714" customWidth="1"/>
    <col min="14342" max="14343" width="9.3984375" style="714" customWidth="1"/>
    <col min="14344" max="14344" width="8.796875" style="714" customWidth="1"/>
    <col min="14345" max="14345" width="8.59765625" style="714" customWidth="1"/>
    <col min="14346" max="14346" width="1.19921875" style="714" customWidth="1"/>
    <col min="14347" max="14347" width="10.3984375" style="714" customWidth="1"/>
    <col min="14348" max="14348" width="1.3984375" style="714" customWidth="1"/>
    <col min="14349" max="14349" width="8.3984375" style="714" customWidth="1"/>
    <col min="14350" max="14592" width="9.796875" style="714"/>
    <col min="14593" max="14593" width="7.3984375" style="714" customWidth="1"/>
    <col min="14594" max="14594" width="9.59765625" style="714" customWidth="1"/>
    <col min="14595" max="14595" width="8.59765625" style="714" customWidth="1"/>
    <col min="14596" max="14596" width="9.19921875" style="714" customWidth="1"/>
    <col min="14597" max="14597" width="9" style="714" customWidth="1"/>
    <col min="14598" max="14599" width="9.3984375" style="714" customWidth="1"/>
    <col min="14600" max="14600" width="8.796875" style="714" customWidth="1"/>
    <col min="14601" max="14601" width="8.59765625" style="714" customWidth="1"/>
    <col min="14602" max="14602" width="1.19921875" style="714" customWidth="1"/>
    <col min="14603" max="14603" width="10.3984375" style="714" customWidth="1"/>
    <col min="14604" max="14604" width="1.3984375" style="714" customWidth="1"/>
    <col min="14605" max="14605" width="8.3984375" style="714" customWidth="1"/>
    <col min="14606" max="14848" width="9.796875" style="714"/>
    <col min="14849" max="14849" width="7.3984375" style="714" customWidth="1"/>
    <col min="14850" max="14850" width="9.59765625" style="714" customWidth="1"/>
    <col min="14851" max="14851" width="8.59765625" style="714" customWidth="1"/>
    <col min="14852" max="14852" width="9.19921875" style="714" customWidth="1"/>
    <col min="14853" max="14853" width="9" style="714" customWidth="1"/>
    <col min="14854" max="14855" width="9.3984375" style="714" customWidth="1"/>
    <col min="14856" max="14856" width="8.796875" style="714" customWidth="1"/>
    <col min="14857" max="14857" width="8.59765625" style="714" customWidth="1"/>
    <col min="14858" max="14858" width="1.19921875" style="714" customWidth="1"/>
    <col min="14859" max="14859" width="10.3984375" style="714" customWidth="1"/>
    <col min="14860" max="14860" width="1.3984375" style="714" customWidth="1"/>
    <col min="14861" max="14861" width="8.3984375" style="714" customWidth="1"/>
    <col min="14862" max="15104" width="9.796875" style="714"/>
    <col min="15105" max="15105" width="7.3984375" style="714" customWidth="1"/>
    <col min="15106" max="15106" width="9.59765625" style="714" customWidth="1"/>
    <col min="15107" max="15107" width="8.59765625" style="714" customWidth="1"/>
    <col min="15108" max="15108" width="9.19921875" style="714" customWidth="1"/>
    <col min="15109" max="15109" width="9" style="714" customWidth="1"/>
    <col min="15110" max="15111" width="9.3984375" style="714" customWidth="1"/>
    <col min="15112" max="15112" width="8.796875" style="714" customWidth="1"/>
    <col min="15113" max="15113" width="8.59765625" style="714" customWidth="1"/>
    <col min="15114" max="15114" width="1.19921875" style="714" customWidth="1"/>
    <col min="15115" max="15115" width="10.3984375" style="714" customWidth="1"/>
    <col min="15116" max="15116" width="1.3984375" style="714" customWidth="1"/>
    <col min="15117" max="15117" width="8.3984375" style="714" customWidth="1"/>
    <col min="15118" max="15360" width="9.796875" style="714"/>
    <col min="15361" max="15361" width="7.3984375" style="714" customWidth="1"/>
    <col min="15362" max="15362" width="9.59765625" style="714" customWidth="1"/>
    <col min="15363" max="15363" width="8.59765625" style="714" customWidth="1"/>
    <col min="15364" max="15364" width="9.19921875" style="714" customWidth="1"/>
    <col min="15365" max="15365" width="9" style="714" customWidth="1"/>
    <col min="15366" max="15367" width="9.3984375" style="714" customWidth="1"/>
    <col min="15368" max="15368" width="8.796875" style="714" customWidth="1"/>
    <col min="15369" max="15369" width="8.59765625" style="714" customWidth="1"/>
    <col min="15370" max="15370" width="1.19921875" style="714" customWidth="1"/>
    <col min="15371" max="15371" width="10.3984375" style="714" customWidth="1"/>
    <col min="15372" max="15372" width="1.3984375" style="714" customWidth="1"/>
    <col min="15373" max="15373" width="8.3984375" style="714" customWidth="1"/>
    <col min="15374" max="15616" width="9.796875" style="714"/>
    <col min="15617" max="15617" width="7.3984375" style="714" customWidth="1"/>
    <col min="15618" max="15618" width="9.59765625" style="714" customWidth="1"/>
    <col min="15619" max="15619" width="8.59765625" style="714" customWidth="1"/>
    <col min="15620" max="15620" width="9.19921875" style="714" customWidth="1"/>
    <col min="15621" max="15621" width="9" style="714" customWidth="1"/>
    <col min="15622" max="15623" width="9.3984375" style="714" customWidth="1"/>
    <col min="15624" max="15624" width="8.796875" style="714" customWidth="1"/>
    <col min="15625" max="15625" width="8.59765625" style="714" customWidth="1"/>
    <col min="15626" max="15626" width="1.19921875" style="714" customWidth="1"/>
    <col min="15627" max="15627" width="10.3984375" style="714" customWidth="1"/>
    <col min="15628" max="15628" width="1.3984375" style="714" customWidth="1"/>
    <col min="15629" max="15629" width="8.3984375" style="714" customWidth="1"/>
    <col min="15630" max="15872" width="9.796875" style="714"/>
    <col min="15873" max="15873" width="7.3984375" style="714" customWidth="1"/>
    <col min="15874" max="15874" width="9.59765625" style="714" customWidth="1"/>
    <col min="15875" max="15875" width="8.59765625" style="714" customWidth="1"/>
    <col min="15876" max="15876" width="9.19921875" style="714" customWidth="1"/>
    <col min="15877" max="15877" width="9" style="714" customWidth="1"/>
    <col min="15878" max="15879" width="9.3984375" style="714" customWidth="1"/>
    <col min="15880" max="15880" width="8.796875" style="714" customWidth="1"/>
    <col min="15881" max="15881" width="8.59765625" style="714" customWidth="1"/>
    <col min="15882" max="15882" width="1.19921875" style="714" customWidth="1"/>
    <col min="15883" max="15883" width="10.3984375" style="714" customWidth="1"/>
    <col min="15884" max="15884" width="1.3984375" style="714" customWidth="1"/>
    <col min="15885" max="15885" width="8.3984375" style="714" customWidth="1"/>
    <col min="15886" max="16128" width="9.796875" style="714"/>
    <col min="16129" max="16129" width="7.3984375" style="714" customWidth="1"/>
    <col min="16130" max="16130" width="9.59765625" style="714" customWidth="1"/>
    <col min="16131" max="16131" width="8.59765625" style="714" customWidth="1"/>
    <col min="16132" max="16132" width="9.19921875" style="714" customWidth="1"/>
    <col min="16133" max="16133" width="9" style="714" customWidth="1"/>
    <col min="16134" max="16135" width="9.3984375" style="714" customWidth="1"/>
    <col min="16136" max="16136" width="8.796875" style="714" customWidth="1"/>
    <col min="16137" max="16137" width="8.59765625" style="714" customWidth="1"/>
    <col min="16138" max="16138" width="1.19921875" style="714" customWidth="1"/>
    <col min="16139" max="16139" width="10.3984375" style="714" customWidth="1"/>
    <col min="16140" max="16140" width="1.3984375" style="714" customWidth="1"/>
    <col min="16141" max="16141" width="8.3984375" style="714" customWidth="1"/>
    <col min="16142" max="16384" width="9.796875" style="714"/>
  </cols>
  <sheetData>
    <row r="1" spans="1:24" ht="13" customHeight="1">
      <c r="G1" s="716"/>
    </row>
    <row r="2" spans="1:24" ht="13" customHeight="1">
      <c r="A2" s="745" t="s">
        <v>487</v>
      </c>
      <c r="B2" s="745"/>
      <c r="C2" s="745"/>
      <c r="D2" s="745"/>
      <c r="E2" s="745"/>
      <c r="F2" s="745"/>
      <c r="G2" s="745"/>
      <c r="H2" s="745"/>
      <c r="I2" s="745"/>
      <c r="J2" s="745"/>
      <c r="K2" s="717"/>
      <c r="L2" s="717"/>
    </row>
    <row r="3" spans="1:24" ht="13" customHeight="1">
      <c r="A3" s="748" t="s">
        <v>612</v>
      </c>
      <c r="B3" s="749"/>
      <c r="C3" s="749"/>
      <c r="D3" s="749"/>
      <c r="E3" s="749"/>
      <c r="F3" s="749"/>
      <c r="G3" s="749"/>
      <c r="H3" s="749"/>
      <c r="I3" s="749"/>
      <c r="J3" s="749"/>
      <c r="K3" s="718"/>
      <c r="L3" s="718"/>
    </row>
    <row r="4" spans="1:24" ht="4" customHeight="1" thickBot="1">
      <c r="A4" s="719"/>
      <c r="B4" s="719"/>
      <c r="C4" s="719"/>
      <c r="D4" s="719"/>
      <c r="E4" s="719"/>
      <c r="F4" s="719"/>
      <c r="G4" s="719"/>
      <c r="H4" s="719"/>
      <c r="I4" s="719"/>
      <c r="J4" s="719"/>
      <c r="K4" s="726"/>
      <c r="L4" s="726"/>
      <c r="M4" s="726"/>
    </row>
    <row r="5" spans="1:24" ht="14" customHeight="1">
      <c r="A5" s="1117" t="s">
        <v>123</v>
      </c>
      <c r="B5" s="757" t="s">
        <v>209</v>
      </c>
      <c r="C5" s="1121" t="s">
        <v>126</v>
      </c>
      <c r="D5" s="1121"/>
      <c r="E5" s="1121"/>
      <c r="F5" s="1121"/>
      <c r="G5" s="1121"/>
      <c r="H5" s="1121"/>
      <c r="I5" s="1122" t="s">
        <v>480</v>
      </c>
      <c r="J5" s="1119" t="s">
        <v>16</v>
      </c>
      <c r="K5" s="713"/>
      <c r="L5" s="726"/>
      <c r="M5" s="726"/>
    </row>
    <row r="6" spans="1:24" ht="14" customHeight="1">
      <c r="A6" s="1118"/>
      <c r="B6" s="759" t="s">
        <v>210</v>
      </c>
      <c r="C6" s="761" t="s">
        <v>481</v>
      </c>
      <c r="D6" s="761" t="s">
        <v>482</v>
      </c>
      <c r="E6" s="761" t="s">
        <v>483</v>
      </c>
      <c r="F6" s="761" t="s">
        <v>484</v>
      </c>
      <c r="G6" s="761" t="s">
        <v>485</v>
      </c>
      <c r="H6" s="761" t="s">
        <v>8</v>
      </c>
      <c r="I6" s="1123"/>
      <c r="J6" s="1120"/>
      <c r="K6" s="713"/>
      <c r="L6" s="726"/>
      <c r="M6" s="726"/>
    </row>
    <row r="7" spans="1:24" ht="4" customHeight="1">
      <c r="K7" s="726"/>
      <c r="L7" s="726"/>
      <c r="M7" s="726"/>
    </row>
    <row r="8" spans="1:24" ht="13" customHeight="1">
      <c r="A8" s="780">
        <v>2007</v>
      </c>
      <c r="B8" s="781">
        <v>1537722.9395258909</v>
      </c>
      <c r="C8" s="781">
        <v>778876.82987699343</v>
      </c>
      <c r="D8" s="781">
        <v>704846.93397344276</v>
      </c>
      <c r="E8" s="781">
        <v>33835.229216778665</v>
      </c>
      <c r="F8" s="781">
        <v>115344.47477266667</v>
      </c>
      <c r="G8" s="781">
        <v>166180.8470095587</v>
      </c>
      <c r="H8" s="781">
        <v>6685.5586498933135</v>
      </c>
      <c r="I8" s="781">
        <v>436800</v>
      </c>
      <c r="J8" s="782">
        <v>257621.11603780428</v>
      </c>
      <c r="K8" s="783"/>
      <c r="L8" s="726"/>
      <c r="M8" s="726"/>
      <c r="O8" s="720"/>
      <c r="P8" s="722"/>
      <c r="Q8" s="722"/>
      <c r="R8" s="722"/>
      <c r="S8" s="722"/>
      <c r="T8" s="722"/>
      <c r="U8" s="722"/>
      <c r="V8" s="722"/>
      <c r="W8" s="722"/>
      <c r="X8" s="722"/>
    </row>
    <row r="9" spans="1:24" ht="13" customHeight="1">
      <c r="A9" s="780">
        <v>2008</v>
      </c>
      <c r="B9" s="781">
        <v>1636777.7563169957</v>
      </c>
      <c r="C9" s="781">
        <v>886069.25421773817</v>
      </c>
      <c r="D9" s="781">
        <v>815890.195398418</v>
      </c>
      <c r="E9" s="781">
        <v>33378.416979599999</v>
      </c>
      <c r="F9" s="781">
        <v>116099.7433975</v>
      </c>
      <c r="G9" s="781">
        <v>165883.13781669093</v>
      </c>
      <c r="H9" s="781">
        <v>6447.2039054666666</v>
      </c>
      <c r="I9" s="781">
        <v>428900</v>
      </c>
      <c r="J9" s="782">
        <v>266541</v>
      </c>
      <c r="K9" s="783"/>
      <c r="L9" s="726"/>
      <c r="M9" s="726"/>
      <c r="O9" s="720"/>
      <c r="P9" s="722"/>
      <c r="Q9" s="722"/>
      <c r="R9" s="722"/>
      <c r="S9" s="722"/>
      <c r="T9" s="722"/>
      <c r="U9" s="722"/>
      <c r="V9" s="722"/>
      <c r="W9" s="722"/>
      <c r="X9" s="722"/>
    </row>
    <row r="10" spans="1:24" ht="13" customHeight="1">
      <c r="A10" s="780">
        <v>2009</v>
      </c>
      <c r="B10" s="781">
        <v>1772031.9579024247</v>
      </c>
      <c r="C10" s="781">
        <v>973593.17951174348</v>
      </c>
      <c r="D10" s="781">
        <v>884317.7393451531</v>
      </c>
      <c r="E10" s="781">
        <v>33463.436187225219</v>
      </c>
      <c r="F10" s="781">
        <v>115963.42436273259</v>
      </c>
      <c r="G10" s="781">
        <v>165147.81266757098</v>
      </c>
      <c r="H10" s="781">
        <v>6164.1051731523603</v>
      </c>
      <c r="I10" s="781">
        <v>477700</v>
      </c>
      <c r="J10" s="782">
        <v>268707</v>
      </c>
      <c r="K10" s="783"/>
      <c r="L10" s="726"/>
      <c r="M10" s="726"/>
      <c r="O10" s="720"/>
      <c r="P10" s="722"/>
      <c r="Q10" s="722"/>
      <c r="R10" s="722"/>
      <c r="S10" s="722"/>
      <c r="T10" s="722"/>
      <c r="U10" s="722"/>
      <c r="V10" s="722"/>
      <c r="W10" s="722"/>
      <c r="X10" s="722"/>
    </row>
    <row r="11" spans="1:24" ht="13" customHeight="1">
      <c r="A11" s="780">
        <v>2010</v>
      </c>
      <c r="B11" s="781">
        <v>1888908.1713084606</v>
      </c>
      <c r="C11" s="781">
        <v>1031493.3511949376</v>
      </c>
      <c r="D11" s="781">
        <v>951244.75706039846</v>
      </c>
      <c r="E11" s="781">
        <v>33671.036293703517</v>
      </c>
      <c r="F11" s="781">
        <v>118727.17767707733</v>
      </c>
      <c r="G11" s="781">
        <v>171955.4758916935</v>
      </c>
      <c r="H11" s="781">
        <v>6136.9722230487341</v>
      </c>
      <c r="I11" s="781">
        <v>526924.15802800003</v>
      </c>
      <c r="J11" s="782">
        <v>285102</v>
      </c>
      <c r="K11" s="783"/>
      <c r="L11" s="726"/>
      <c r="M11" s="726"/>
      <c r="O11" s="720"/>
      <c r="P11" s="722"/>
      <c r="Q11" s="722"/>
      <c r="R11" s="722"/>
      <c r="S11" s="722"/>
      <c r="T11" s="722"/>
      <c r="U11" s="722"/>
      <c r="V11" s="722"/>
      <c r="W11" s="722"/>
      <c r="X11" s="722"/>
    </row>
    <row r="12" spans="1:24" ht="13" customHeight="1">
      <c r="A12" s="780">
        <v>2011</v>
      </c>
      <c r="B12" s="781">
        <v>2027714.8242075949</v>
      </c>
      <c r="C12" s="784">
        <v>1123092.99819521</v>
      </c>
      <c r="D12" s="784">
        <v>1009650.950069338</v>
      </c>
      <c r="E12" s="784">
        <v>35258.869311209484</v>
      </c>
      <c r="F12" s="784">
        <v>120014.17539204628</v>
      </c>
      <c r="G12" s="784">
        <v>178692.45878343272</v>
      </c>
      <c r="H12" s="784">
        <v>6156.3225256962241</v>
      </c>
      <c r="I12" s="784">
        <v>564500</v>
      </c>
      <c r="J12" s="785">
        <v>317654.41124675993</v>
      </c>
      <c r="K12" s="786"/>
      <c r="L12" s="726"/>
      <c r="M12" s="726"/>
      <c r="O12" s="723"/>
      <c r="P12" s="722"/>
      <c r="Q12" s="722"/>
      <c r="R12" s="722"/>
      <c r="S12" s="722"/>
      <c r="T12" s="722"/>
      <c r="U12" s="722"/>
      <c r="V12" s="722"/>
      <c r="W12" s="722"/>
      <c r="X12" s="722"/>
    </row>
    <row r="13" spans="1:24" ht="13" customHeight="1">
      <c r="A13" s="780">
        <v>2012</v>
      </c>
      <c r="B13" s="781">
        <v>2157551.8674046039</v>
      </c>
      <c r="C13" s="784">
        <v>1226207.03066485</v>
      </c>
      <c r="D13" s="784">
        <v>1093406.4772027135</v>
      </c>
      <c r="E13" s="784">
        <v>35304.478977682033</v>
      </c>
      <c r="F13" s="784">
        <v>123848.45461685196</v>
      </c>
      <c r="G13" s="784">
        <v>183974.88015895666</v>
      </c>
      <c r="H13" s="784">
        <v>6317.0229862632832</v>
      </c>
      <c r="I13" s="784">
        <v>581900</v>
      </c>
      <c r="J13" s="785">
        <v>314023.90941851976</v>
      </c>
      <c r="K13" s="786"/>
      <c r="L13" s="726"/>
      <c r="M13" s="726"/>
      <c r="O13" s="723"/>
      <c r="P13" s="722"/>
      <c r="Q13" s="722"/>
      <c r="R13" s="722"/>
      <c r="S13" s="722"/>
      <c r="T13" s="722"/>
      <c r="U13" s="722"/>
      <c r="V13" s="722"/>
      <c r="W13" s="722"/>
      <c r="X13" s="722"/>
    </row>
    <row r="14" spans="1:24" ht="13" customHeight="1">
      <c r="A14" s="780">
        <v>2013</v>
      </c>
      <c r="B14" s="781">
        <v>2193624.5554579962</v>
      </c>
      <c r="C14" s="784">
        <v>1268686</v>
      </c>
      <c r="D14" s="784">
        <v>1175740</v>
      </c>
      <c r="E14" s="784">
        <v>34906.117336600008</v>
      </c>
      <c r="F14" s="784">
        <v>131047.32171390002</v>
      </c>
      <c r="G14" s="784">
        <v>190646.00258975639</v>
      </c>
      <c r="H14" s="784">
        <v>6439.1138177395642</v>
      </c>
      <c r="I14" s="784">
        <v>561900</v>
      </c>
      <c r="J14" s="785">
        <v>349790.78303424123</v>
      </c>
      <c r="K14" s="786"/>
      <c r="L14" s="726"/>
      <c r="M14" s="726"/>
      <c r="O14" s="723"/>
      <c r="P14" s="722"/>
      <c r="Q14" s="722"/>
      <c r="R14" s="722"/>
      <c r="S14" s="722"/>
      <c r="T14" s="722"/>
      <c r="U14" s="722"/>
      <c r="V14" s="722"/>
      <c r="W14" s="722"/>
      <c r="X14" s="722"/>
    </row>
    <row r="15" spans="1:24" ht="13" customHeight="1">
      <c r="A15" s="780">
        <v>2014</v>
      </c>
      <c r="B15" s="781">
        <v>2309410.0943866717</v>
      </c>
      <c r="C15" s="784">
        <v>1333428.5633828712</v>
      </c>
      <c r="D15" s="784">
        <v>1233132.3100014813</v>
      </c>
      <c r="E15" s="784">
        <v>34425.463337662499</v>
      </c>
      <c r="F15" s="784">
        <v>139617.8133747954</v>
      </c>
      <c r="G15" s="784">
        <v>196170.94946808886</v>
      </c>
      <c r="H15" s="784">
        <v>6167.3048232536103</v>
      </c>
      <c r="I15" s="784">
        <v>599600</v>
      </c>
      <c r="J15" s="785">
        <v>358629.93572390615</v>
      </c>
      <c r="K15" s="786"/>
      <c r="L15" s="726"/>
      <c r="M15" s="726"/>
      <c r="O15" s="723"/>
      <c r="P15" s="722"/>
      <c r="Q15" s="722"/>
      <c r="R15" s="722"/>
      <c r="S15" s="722"/>
      <c r="T15" s="722"/>
      <c r="U15" s="722"/>
      <c r="V15" s="722"/>
      <c r="W15" s="722"/>
      <c r="X15" s="722"/>
    </row>
    <row r="16" spans="1:24" ht="13" customHeight="1">
      <c r="A16" s="780">
        <v>2015</v>
      </c>
      <c r="B16" s="781">
        <v>2454418.2787173968</v>
      </c>
      <c r="C16" s="784">
        <v>1441252.493224316</v>
      </c>
      <c r="D16" s="784">
        <v>1329925.5141862824</v>
      </c>
      <c r="E16" s="784">
        <v>34654.5427616999</v>
      </c>
      <c r="F16" s="784">
        <v>146721.33244989417</v>
      </c>
      <c r="G16" s="784">
        <v>195675.22936906267</v>
      </c>
      <c r="H16" s="784">
        <v>5904.6809124236643</v>
      </c>
      <c r="I16" s="784">
        <v>630210</v>
      </c>
      <c r="J16" s="785">
        <v>386254.63577305677</v>
      </c>
      <c r="K16" s="786"/>
      <c r="L16" s="726"/>
      <c r="M16" s="726"/>
      <c r="O16" s="723"/>
      <c r="P16" s="722"/>
      <c r="Q16" s="722"/>
      <c r="R16" s="722"/>
      <c r="S16" s="722"/>
      <c r="T16" s="722"/>
      <c r="U16" s="722"/>
      <c r="V16" s="722"/>
      <c r="W16" s="722"/>
      <c r="X16" s="722"/>
    </row>
    <row r="17" spans="1:24" ht="13" customHeight="1">
      <c r="A17" s="780">
        <v>2016</v>
      </c>
      <c r="B17" s="781">
        <v>2621190.8509595809</v>
      </c>
      <c r="C17" s="784">
        <v>1540472.3207104208</v>
      </c>
      <c r="D17" s="784">
        <v>1405514.2107775211</v>
      </c>
      <c r="E17" s="784">
        <v>33971.575445943447</v>
      </c>
      <c r="F17" s="784">
        <v>158243.69002693496</v>
      </c>
      <c r="G17" s="784">
        <v>197306.23096274456</v>
      </c>
      <c r="H17" s="784">
        <v>5827.0338135371439</v>
      </c>
      <c r="I17" s="784">
        <v>685370</v>
      </c>
      <c r="J17" s="785">
        <v>400979.60333937348</v>
      </c>
      <c r="K17" s="786"/>
      <c r="L17" s="726"/>
      <c r="M17" s="726"/>
      <c r="O17" s="723"/>
      <c r="P17" s="722"/>
      <c r="Q17" s="722"/>
      <c r="R17" s="722"/>
      <c r="S17" s="722"/>
      <c r="T17" s="722"/>
      <c r="U17" s="722"/>
      <c r="V17" s="722"/>
      <c r="W17" s="722"/>
      <c r="X17" s="722"/>
    </row>
    <row r="18" spans="1:24" ht="13" customHeight="1">
      <c r="A18" s="774" t="s">
        <v>464</v>
      </c>
      <c r="B18" s="781">
        <v>2688517.3161270441</v>
      </c>
      <c r="C18" s="784">
        <v>1619815.7013348064</v>
      </c>
      <c r="D18" s="784">
        <v>1491400.1838947975</v>
      </c>
      <c r="E18" s="784">
        <v>33363.290197896473</v>
      </c>
      <c r="F18" s="784">
        <v>167287.00850277944</v>
      </c>
      <c r="G18" s="784">
        <v>192208.19418414449</v>
      </c>
      <c r="H18" s="784">
        <v>5393.1219074172659</v>
      </c>
      <c r="I18" s="784">
        <v>670450</v>
      </c>
      <c r="J18" s="785">
        <v>415335.31218184938</v>
      </c>
      <c r="K18" s="786"/>
      <c r="L18" s="726"/>
      <c r="M18" s="726"/>
      <c r="O18" s="723"/>
      <c r="P18" s="722"/>
      <c r="Q18" s="722"/>
      <c r="R18" s="722"/>
      <c r="S18" s="722"/>
      <c r="T18" s="722"/>
      <c r="U18" s="722"/>
      <c r="V18" s="722"/>
      <c r="W18" s="722"/>
      <c r="X18" s="722"/>
    </row>
    <row r="19" spans="1:24" ht="13" customHeight="1">
      <c r="A19" s="774" t="s">
        <v>465</v>
      </c>
      <c r="B19" s="781">
        <v>2797456.871897174</v>
      </c>
      <c r="C19" s="784">
        <v>1746762.1982206854</v>
      </c>
      <c r="D19" s="784">
        <v>1617345.1308473956</v>
      </c>
      <c r="E19" s="784">
        <v>33685.994879928345</v>
      </c>
      <c r="F19" s="784">
        <v>173241.68169374348</v>
      </c>
      <c r="G19" s="784">
        <v>194981.55462011011</v>
      </c>
      <c r="H19" s="784">
        <v>5015.4424827066432</v>
      </c>
      <c r="I19" s="784">
        <v>643770</v>
      </c>
      <c r="J19" s="785">
        <v>452234.36143020255</v>
      </c>
      <c r="K19" s="786"/>
      <c r="L19" s="726"/>
      <c r="M19" s="726"/>
      <c r="O19" s="723"/>
      <c r="P19" s="722"/>
      <c r="Q19" s="722"/>
      <c r="R19" s="722"/>
      <c r="S19" s="722"/>
      <c r="T19" s="722"/>
      <c r="U19" s="722"/>
      <c r="V19" s="722"/>
      <c r="W19" s="722"/>
      <c r="X19" s="722"/>
    </row>
    <row r="20" spans="1:24" ht="13" customHeight="1" thickBot="1">
      <c r="A20" s="777" t="s">
        <v>466</v>
      </c>
      <c r="B20" s="787">
        <v>2861832.4583953372</v>
      </c>
      <c r="C20" s="788">
        <v>1792476.3568425369</v>
      </c>
      <c r="D20" s="788">
        <v>1658504.3976979584</v>
      </c>
      <c r="E20" s="788">
        <v>33795.157008904876</v>
      </c>
      <c r="F20" s="788">
        <v>182104.93524709987</v>
      </c>
      <c r="G20" s="788">
        <v>198353.75747947913</v>
      </c>
      <c r="H20" s="788">
        <v>5102.2518173164126</v>
      </c>
      <c r="I20" s="788">
        <v>650000</v>
      </c>
      <c r="J20" s="789">
        <v>488484.43735854398</v>
      </c>
      <c r="K20" s="786"/>
      <c r="L20" s="726"/>
      <c r="M20" s="726"/>
      <c r="O20" s="723"/>
      <c r="P20" s="722"/>
      <c r="Q20" s="722"/>
      <c r="R20" s="722"/>
      <c r="S20" s="722"/>
      <c r="T20" s="722"/>
      <c r="U20" s="722"/>
      <c r="V20" s="722"/>
      <c r="W20" s="722"/>
      <c r="X20" s="722"/>
    </row>
    <row r="21" spans="1:24" ht="10" customHeight="1">
      <c r="A21" s="750" t="s">
        <v>476</v>
      </c>
      <c r="B21" s="762"/>
      <c r="C21" s="763"/>
      <c r="D21" s="752" t="s">
        <v>477</v>
      </c>
      <c r="E21" s="763"/>
      <c r="F21" s="752"/>
      <c r="G21" s="762"/>
      <c r="H21" s="724"/>
      <c r="I21" s="724"/>
      <c r="K21" s="726"/>
      <c r="L21" s="726"/>
      <c r="M21" s="726"/>
      <c r="O21" s="723"/>
    </row>
    <row r="22" spans="1:24" ht="10" customHeight="1">
      <c r="A22" s="725" t="s">
        <v>467</v>
      </c>
      <c r="B22" s="762"/>
      <c r="C22" s="750"/>
      <c r="D22" s="762"/>
      <c r="E22" s="763"/>
      <c r="F22" s="752"/>
      <c r="G22" s="762"/>
      <c r="H22" s="724"/>
      <c r="I22" s="724"/>
      <c r="K22" s="726"/>
      <c r="L22" s="726"/>
      <c r="M22" s="726"/>
      <c r="O22" s="723"/>
    </row>
    <row r="23" spans="1:24" ht="10" customHeight="1">
      <c r="A23" s="764" t="s">
        <v>213</v>
      </c>
      <c r="B23" s="762"/>
      <c r="C23" s="763"/>
      <c r="D23" s="763"/>
      <c r="E23" s="763"/>
      <c r="F23" s="763"/>
      <c r="G23" s="736"/>
      <c r="H23" s="722"/>
      <c r="I23" s="722"/>
      <c r="J23" s="722"/>
      <c r="K23" s="721"/>
      <c r="L23" s="726"/>
      <c r="M23" s="726"/>
    </row>
    <row r="24" spans="1:24" ht="10" customHeight="1">
      <c r="A24" s="765" t="s">
        <v>261</v>
      </c>
      <c r="B24" s="762"/>
      <c r="C24" s="762"/>
      <c r="D24" s="766"/>
      <c r="E24" s="763"/>
      <c r="F24" s="763"/>
      <c r="G24" s="736"/>
      <c r="H24" s="722"/>
      <c r="I24" s="722"/>
      <c r="J24" s="722"/>
      <c r="K24" s="722"/>
    </row>
    <row r="25" spans="1:24" ht="13" customHeight="1">
      <c r="B25" s="724"/>
      <c r="E25" s="722"/>
      <c r="F25" s="722"/>
      <c r="G25" s="722"/>
      <c r="H25" s="722"/>
      <c r="I25" s="722"/>
      <c r="J25" s="722"/>
      <c r="K25" s="722"/>
      <c r="L25" s="722"/>
    </row>
    <row r="26" spans="1:24" ht="13" customHeight="1">
      <c r="A26" s="745" t="s">
        <v>486</v>
      </c>
      <c r="B26" s="745"/>
      <c r="C26" s="745"/>
      <c r="D26" s="746"/>
      <c r="E26" s="746"/>
      <c r="F26" s="746"/>
      <c r="G26" s="746"/>
      <c r="H26" s="746"/>
      <c r="I26" s="746"/>
      <c r="J26" s="746"/>
      <c r="K26" s="746"/>
      <c r="L26" s="717"/>
      <c r="M26" s="717"/>
    </row>
    <row r="27" spans="1:24" ht="13" customHeight="1">
      <c r="A27" s="748" t="s">
        <v>501</v>
      </c>
      <c r="B27" s="749"/>
      <c r="C27" s="749"/>
      <c r="D27" s="747"/>
      <c r="E27" s="747"/>
      <c r="F27" s="747"/>
      <c r="G27" s="747"/>
      <c r="H27" s="747"/>
      <c r="I27" s="747"/>
      <c r="J27" s="747"/>
      <c r="K27" s="747"/>
      <c r="L27" s="718"/>
      <c r="M27" s="718"/>
    </row>
    <row r="28" spans="1:24" ht="4" customHeight="1" thickBot="1">
      <c r="A28" s="719"/>
      <c r="B28" s="719"/>
      <c r="C28" s="719"/>
      <c r="D28" s="719"/>
      <c r="E28" s="719"/>
      <c r="F28" s="719"/>
      <c r="G28" s="719"/>
      <c r="H28" s="719"/>
      <c r="I28" s="719"/>
      <c r="J28" s="719"/>
      <c r="K28" s="719"/>
      <c r="L28" s="726"/>
      <c r="M28" s="726"/>
      <c r="N28" s="726"/>
    </row>
    <row r="29" spans="1:24" ht="14" customHeight="1">
      <c r="A29" s="1119" t="s">
        <v>123</v>
      </c>
      <c r="B29" s="757" t="s">
        <v>137</v>
      </c>
      <c r="C29" s="757" t="s">
        <v>209</v>
      </c>
      <c r="D29" s="1118" t="s">
        <v>126</v>
      </c>
      <c r="E29" s="1118"/>
      <c r="F29" s="1118"/>
      <c r="G29" s="1118"/>
      <c r="H29" s="1118"/>
      <c r="I29" s="1118"/>
      <c r="J29" s="1122" t="s">
        <v>480</v>
      </c>
      <c r="K29" s="1119" t="s">
        <v>16</v>
      </c>
      <c r="L29" s="713"/>
      <c r="M29" s="726"/>
      <c r="N29" s="726"/>
    </row>
    <row r="30" spans="1:24" ht="14" customHeight="1">
      <c r="A30" s="1120"/>
      <c r="B30" s="758" t="s">
        <v>145</v>
      </c>
      <c r="C30" s="759" t="s">
        <v>210</v>
      </c>
      <c r="D30" s="761" t="s">
        <v>481</v>
      </c>
      <c r="E30" s="761" t="s">
        <v>482</v>
      </c>
      <c r="F30" s="761" t="s">
        <v>483</v>
      </c>
      <c r="G30" s="761" t="s">
        <v>484</v>
      </c>
      <c r="H30" s="761" t="s">
        <v>485</v>
      </c>
      <c r="I30" s="761" t="s">
        <v>8</v>
      </c>
      <c r="J30" s="1123"/>
      <c r="K30" s="1120"/>
      <c r="L30" s="713"/>
      <c r="M30" s="726"/>
      <c r="N30" s="726"/>
    </row>
    <row r="31" spans="1:24" ht="4" customHeight="1">
      <c r="L31" s="726"/>
      <c r="M31" s="726"/>
      <c r="N31" s="726"/>
    </row>
    <row r="32" spans="1:24" ht="13" customHeight="1">
      <c r="A32" s="774">
        <v>2007</v>
      </c>
      <c r="B32" s="829">
        <v>28481.901000000002</v>
      </c>
      <c r="C32" s="831">
        <v>53.9894770200167</v>
      </c>
      <c r="D32" s="831">
        <v>27.346377963921487</v>
      </c>
      <c r="E32" s="831">
        <v>24.747187133802715</v>
      </c>
      <c r="F32" s="831">
        <v>1.1879554393781042</v>
      </c>
      <c r="G32" s="831">
        <v>4.0497463555071924</v>
      </c>
      <c r="H32" s="831">
        <v>5.834612198446961</v>
      </c>
      <c r="I32" s="831">
        <v>0.2347300712088464</v>
      </c>
      <c r="J32" s="831">
        <v>15.336054991554109</v>
      </c>
      <c r="K32" s="831">
        <v>9.0450815076495168</v>
      </c>
      <c r="L32" s="715"/>
      <c r="M32" s="726"/>
      <c r="N32" s="726"/>
    </row>
    <row r="33" spans="1:14" ht="13" customHeight="1">
      <c r="A33" s="774">
        <v>2008</v>
      </c>
      <c r="B33" s="829">
        <v>28807.034</v>
      </c>
      <c r="C33" s="831">
        <v>56.818683808857088</v>
      </c>
      <c r="D33" s="831">
        <v>30.75878114413786</v>
      </c>
      <c r="E33" s="831">
        <v>28.322603271076709</v>
      </c>
      <c r="F33" s="831">
        <v>1.1586898178965594</v>
      </c>
      <c r="G33" s="831">
        <v>4.0302567559541185</v>
      </c>
      <c r="H33" s="831">
        <v>5.7584247589214126</v>
      </c>
      <c r="I33" s="831">
        <v>0.22380658506761461</v>
      </c>
      <c r="J33" s="831">
        <v>14.888724746879531</v>
      </c>
      <c r="K33" s="831">
        <v>9.2526360054978234</v>
      </c>
      <c r="L33" s="715"/>
      <c r="M33" s="726"/>
      <c r="N33" s="726"/>
    </row>
    <row r="34" spans="1:14" ht="13" customHeight="1">
      <c r="A34" s="774">
        <v>2009</v>
      </c>
      <c r="B34" s="829">
        <v>29132.012999999999</v>
      </c>
      <c r="C34" s="831">
        <v>60.827652311648521</v>
      </c>
      <c r="D34" s="831">
        <v>33.42004479785669</v>
      </c>
      <c r="E34" s="831">
        <v>30.355531536566083</v>
      </c>
      <c r="F34" s="831">
        <v>1.1486825914578995</v>
      </c>
      <c r="G34" s="831">
        <v>3.9806183102668737</v>
      </c>
      <c r="H34" s="831">
        <v>5.6689461407136879</v>
      </c>
      <c r="I34" s="831">
        <v>0.21159214686442576</v>
      </c>
      <c r="J34" s="831">
        <v>16.39776832448894</v>
      </c>
      <c r="K34" s="831">
        <v>9.2237704273988896</v>
      </c>
      <c r="L34" s="715"/>
      <c r="M34" s="726"/>
      <c r="N34" s="726"/>
    </row>
    <row r="35" spans="1:14" ht="13" customHeight="1">
      <c r="A35" s="774">
        <v>2010</v>
      </c>
      <c r="B35" s="829">
        <v>29461.933000000001</v>
      </c>
      <c r="C35" s="831">
        <v>64.113517986360932</v>
      </c>
      <c r="D35" s="831">
        <v>35.011054814188114</v>
      </c>
      <c r="E35" s="831">
        <v>32.287248669678206</v>
      </c>
      <c r="F35" s="831">
        <v>1.142865822609247</v>
      </c>
      <c r="G35" s="831">
        <v>4.0298502368149887</v>
      </c>
      <c r="H35" s="831">
        <v>5.8365306815304177</v>
      </c>
      <c r="I35" s="831">
        <v>0.20830175070484119</v>
      </c>
      <c r="J35" s="831">
        <v>17.884914680513326</v>
      </c>
      <c r="K35" s="831">
        <v>9.6769617933758791</v>
      </c>
      <c r="L35" s="715"/>
      <c r="M35" s="726"/>
      <c r="N35" s="726"/>
    </row>
    <row r="36" spans="1:14" ht="13" customHeight="1">
      <c r="A36" s="774">
        <v>2011</v>
      </c>
      <c r="B36" s="829">
        <v>29797.694</v>
      </c>
      <c r="C36" s="831">
        <v>68.049387452854404</v>
      </c>
      <c r="D36" s="831">
        <v>37.690601098031614</v>
      </c>
      <c r="E36" s="831">
        <v>33.883526358426863</v>
      </c>
      <c r="F36" s="831">
        <v>1.1832750987780962</v>
      </c>
      <c r="G36" s="831">
        <v>4.0276329903933599</v>
      </c>
      <c r="H36" s="831">
        <v>5.9968552862994278</v>
      </c>
      <c r="I36" s="831">
        <v>0.20660399176178615</v>
      </c>
      <c r="J36" s="831">
        <v>18.944418987590115</v>
      </c>
      <c r="K36" s="831">
        <v>10.660368928104301</v>
      </c>
      <c r="L36" s="715"/>
      <c r="M36" s="726"/>
      <c r="N36" s="726"/>
    </row>
    <row r="37" spans="1:14" ht="13" customHeight="1">
      <c r="A37" s="774">
        <v>2012</v>
      </c>
      <c r="B37" s="829">
        <v>30135.875</v>
      </c>
      <c r="C37" s="831">
        <v>71.594133815746318</v>
      </c>
      <c r="D37" s="831">
        <v>40.689279161957302</v>
      </c>
      <c r="E37" s="831">
        <v>36.282552844498909</v>
      </c>
      <c r="F37" s="831">
        <v>1.1715100018725866</v>
      </c>
      <c r="G37" s="831">
        <v>4.1096684472195335</v>
      </c>
      <c r="H37" s="831">
        <v>6.1048461396576892</v>
      </c>
      <c r="I37" s="831">
        <v>0.20961803784569996</v>
      </c>
      <c r="J37" s="831">
        <v>19.309212027193503</v>
      </c>
      <c r="K37" s="831">
        <v>10.420268514470536</v>
      </c>
      <c r="L37" s="715"/>
      <c r="M37" s="726"/>
      <c r="N37" s="726"/>
    </row>
    <row r="38" spans="1:14" ht="13" customHeight="1">
      <c r="A38" s="774">
        <v>2013</v>
      </c>
      <c r="B38" s="829">
        <v>30475.144</v>
      </c>
      <c r="C38" s="831">
        <v>71.980777365908295</v>
      </c>
      <c r="D38" s="831">
        <v>41.630188851609695</v>
      </c>
      <c r="E38" s="831">
        <v>38.580293500828084</v>
      </c>
      <c r="F38" s="831">
        <v>1.145396305152816</v>
      </c>
      <c r="G38" s="831">
        <v>4.3001378997224764</v>
      </c>
      <c r="H38" s="831">
        <v>6.2557867680545298</v>
      </c>
      <c r="I38" s="831">
        <v>0.21129067733821255</v>
      </c>
      <c r="J38" s="831">
        <v>18.437976864030567</v>
      </c>
      <c r="K38" s="831">
        <v>11.477904190846193</v>
      </c>
      <c r="L38" s="715"/>
      <c r="M38" s="726"/>
      <c r="N38" s="726"/>
    </row>
    <row r="39" spans="1:14" ht="13" customHeight="1">
      <c r="A39" s="774">
        <v>2014</v>
      </c>
      <c r="B39" s="829">
        <v>30814.174999999999</v>
      </c>
      <c r="C39" s="831">
        <v>74.946354863846651</v>
      </c>
      <c r="D39" s="831">
        <v>43.273219658902804</v>
      </c>
      <c r="E39" s="831">
        <v>40.018345777600125</v>
      </c>
      <c r="F39" s="831">
        <v>1.1171956847023325</v>
      </c>
      <c r="G39" s="831">
        <v>4.5309606171443955</v>
      </c>
      <c r="H39" s="831">
        <v>6.3662567460621249</v>
      </c>
      <c r="I39" s="831">
        <v>0.20014505737225191</v>
      </c>
      <c r="J39" s="831">
        <v>19.458577099662737</v>
      </c>
      <c r="K39" s="831">
        <v>11.63847273937745</v>
      </c>
      <c r="L39" s="715"/>
      <c r="M39" s="726"/>
      <c r="N39" s="726"/>
    </row>
    <row r="40" spans="1:14" ht="13" customHeight="1">
      <c r="A40" s="774">
        <v>2015</v>
      </c>
      <c r="B40" s="829">
        <v>31151.643</v>
      </c>
      <c r="C40" s="831">
        <v>78.789368468218413</v>
      </c>
      <c r="D40" s="831">
        <v>46.265697550023802</v>
      </c>
      <c r="E40" s="831">
        <v>42.691986236048045</v>
      </c>
      <c r="F40" s="831">
        <v>1.1124467098476924</v>
      </c>
      <c r="G40" s="831">
        <v>4.709906711819154</v>
      </c>
      <c r="H40" s="831">
        <v>6.2813774981005874</v>
      </c>
      <c r="I40" s="831">
        <v>0.18954637199789637</v>
      </c>
      <c r="J40" s="831">
        <v>20.230393626429269</v>
      </c>
      <c r="K40" s="831">
        <v>12.39917380194222</v>
      </c>
      <c r="L40" s="715"/>
      <c r="M40" s="726"/>
      <c r="N40" s="726"/>
    </row>
    <row r="41" spans="1:14" ht="13" customHeight="1">
      <c r="A41" s="774">
        <v>2016</v>
      </c>
      <c r="B41" s="829">
        <v>31488.625</v>
      </c>
      <c r="C41" s="831">
        <v>83.24246774699057</v>
      </c>
      <c r="D41" s="831">
        <v>48.921549312185618</v>
      </c>
      <c r="E41" s="831">
        <v>44.635617172154106</v>
      </c>
      <c r="F41" s="831">
        <v>1.0788522981217328</v>
      </c>
      <c r="G41" s="831">
        <v>5.0254239436283727</v>
      </c>
      <c r="H41" s="831">
        <v>6.2659525769303857</v>
      </c>
      <c r="I41" s="831">
        <v>0.18505202477202939</v>
      </c>
      <c r="J41" s="831">
        <v>21.765637591352434</v>
      </c>
      <c r="K41" s="831">
        <v>12.734109645606104</v>
      </c>
      <c r="L41" s="715"/>
      <c r="M41" s="726"/>
      <c r="N41" s="726"/>
    </row>
    <row r="42" spans="1:14" ht="13" customHeight="1">
      <c r="A42" s="774" t="s">
        <v>464</v>
      </c>
      <c r="B42" s="829">
        <v>31826.018</v>
      </c>
      <c r="C42" s="831">
        <v>84.475453892065417</v>
      </c>
      <c r="D42" s="831">
        <v>50.895958813785825</v>
      </c>
      <c r="E42" s="831">
        <v>46.861036272109111</v>
      </c>
      <c r="F42" s="831">
        <v>1.0483023731682823</v>
      </c>
      <c r="G42" s="831">
        <v>5.2562971749333967</v>
      </c>
      <c r="H42" s="831">
        <v>6.0393415910260746</v>
      </c>
      <c r="I42" s="831">
        <v>0.16945638337216004</v>
      </c>
      <c r="J42" s="831">
        <v>21.066097555779677</v>
      </c>
      <c r="K42" s="831">
        <v>13.050181527008794</v>
      </c>
      <c r="L42" s="715"/>
      <c r="M42" s="726"/>
      <c r="N42" s="726"/>
    </row>
    <row r="43" spans="1:14" ht="13" customHeight="1">
      <c r="A43" s="774" t="s">
        <v>465</v>
      </c>
      <c r="B43" s="829">
        <v>32162.184000000001</v>
      </c>
      <c r="C43" s="831">
        <v>86.979692420675576</v>
      </c>
      <c r="D43" s="831">
        <v>54.311056681371056</v>
      </c>
      <c r="E43" s="831">
        <v>50.287167402791908</v>
      </c>
      <c r="F43" s="831">
        <v>1.0473789615757545</v>
      </c>
      <c r="G43" s="831">
        <v>5.4651626314340502</v>
      </c>
      <c r="H43" s="831">
        <v>6.0624475819213677</v>
      </c>
      <c r="I43" s="831">
        <v>0.1559422234107809</v>
      </c>
      <c r="J43" s="831">
        <v>20.016364560317172</v>
      </c>
      <c r="K43" s="831">
        <v>14.061058833262148</v>
      </c>
      <c r="L43" s="715"/>
      <c r="M43" s="726"/>
      <c r="N43" s="726"/>
    </row>
    <row r="44" spans="1:14" ht="13" customHeight="1" thickBot="1">
      <c r="A44" s="777" t="s">
        <v>466</v>
      </c>
      <c r="B44" s="830">
        <v>32495.51</v>
      </c>
      <c r="C44" s="832">
        <f t="shared" ref="C44:K44" si="0">B20/$B$44</f>
        <v>88.068550344196396</v>
      </c>
      <c r="D44" s="832">
        <f t="shared" si="0"/>
        <v>55.160739340374626</v>
      </c>
      <c r="E44" s="832">
        <f t="shared" si="0"/>
        <v>51.037955634423291</v>
      </c>
      <c r="F44" s="832">
        <f t="shared" si="0"/>
        <v>1.0399946641522129</v>
      </c>
      <c r="G44" s="832">
        <f t="shared" si="0"/>
        <v>5.6040029914009626</v>
      </c>
      <c r="H44" s="832">
        <f t="shared" si="0"/>
        <v>6.1040358338576359</v>
      </c>
      <c r="I44" s="832">
        <f t="shared" si="0"/>
        <v>0.1570140557054317</v>
      </c>
      <c r="J44" s="832">
        <f t="shared" si="0"/>
        <v>20.002763458705527</v>
      </c>
      <c r="K44" s="832">
        <f t="shared" si="0"/>
        <v>15.032367159602789</v>
      </c>
      <c r="L44" s="715"/>
      <c r="M44" s="726"/>
      <c r="N44" s="726"/>
    </row>
    <row r="45" spans="1:14" ht="10" customHeight="1">
      <c r="A45" s="750" t="s">
        <v>478</v>
      </c>
      <c r="B45" s="750"/>
      <c r="C45" s="751"/>
      <c r="D45" s="752" t="s">
        <v>479</v>
      </c>
      <c r="E45" s="752"/>
      <c r="F45" s="752"/>
      <c r="G45" s="752"/>
      <c r="H45" s="752"/>
      <c r="I45" s="752"/>
      <c r="J45" s="752"/>
      <c r="K45" s="751"/>
      <c r="L45" s="726"/>
      <c r="M45" s="726"/>
      <c r="N45" s="726"/>
    </row>
    <row r="46" spans="1:14" ht="10" customHeight="1">
      <c r="A46" s="725" t="s">
        <v>467</v>
      </c>
      <c r="B46" s="751"/>
      <c r="C46" s="750"/>
      <c r="D46" s="750"/>
      <c r="E46" s="751"/>
      <c r="F46" s="752"/>
      <c r="G46" s="752"/>
      <c r="H46" s="752"/>
      <c r="I46" s="752"/>
      <c r="J46" s="752"/>
      <c r="K46" s="751"/>
      <c r="L46" s="726"/>
      <c r="M46" s="726"/>
      <c r="N46" s="726"/>
    </row>
    <row r="47" spans="1:14" ht="10" customHeight="1">
      <c r="A47" s="725" t="s">
        <v>213</v>
      </c>
      <c r="B47" s="754"/>
      <c r="C47" s="754"/>
      <c r="D47" s="755"/>
      <c r="E47" s="755"/>
      <c r="F47" s="754"/>
      <c r="G47" s="754"/>
      <c r="H47" s="754"/>
      <c r="I47" s="754"/>
      <c r="J47" s="754"/>
      <c r="K47" s="751"/>
      <c r="L47" s="726"/>
      <c r="M47" s="726"/>
      <c r="N47" s="726"/>
    </row>
    <row r="48" spans="1:14" ht="10" customHeight="1">
      <c r="A48" s="753" t="s">
        <v>261</v>
      </c>
      <c r="B48" s="754"/>
      <c r="C48" s="754"/>
      <c r="D48" s="754"/>
      <c r="E48" s="754"/>
      <c r="F48" s="754"/>
      <c r="G48" s="754"/>
      <c r="H48" s="754"/>
      <c r="I48" s="754"/>
      <c r="J48" s="754"/>
      <c r="K48" s="756"/>
      <c r="L48" s="744"/>
      <c r="M48" s="726"/>
      <c r="N48" s="726"/>
    </row>
    <row r="49" spans="1:14" ht="13" customHeight="1">
      <c r="A49" s="730"/>
      <c r="B49" s="727"/>
      <c r="C49" s="727"/>
      <c r="D49" s="727"/>
      <c r="E49" s="727"/>
      <c r="F49" s="727"/>
      <c r="G49" s="727"/>
      <c r="H49" s="727"/>
      <c r="I49" s="727"/>
      <c r="J49" s="727"/>
      <c r="K49" s="729"/>
      <c r="L49" s="744"/>
      <c r="M49" s="731"/>
      <c r="N49" s="726"/>
    </row>
    <row r="50" spans="1:14" ht="13" customHeight="1">
      <c r="A50" s="730"/>
      <c r="B50" s="732"/>
      <c r="C50" s="732"/>
      <c r="D50" s="732"/>
      <c r="E50" s="732"/>
      <c r="F50" s="732"/>
      <c r="G50" s="732"/>
      <c r="H50" s="732"/>
      <c r="I50" s="732"/>
      <c r="J50" s="732"/>
      <c r="K50" s="729"/>
      <c r="L50" s="744"/>
      <c r="M50" s="715"/>
      <c r="N50" s="726"/>
    </row>
    <row r="51" spans="1:14" ht="13" customHeight="1">
      <c r="A51" s="733"/>
      <c r="B51" s="732"/>
      <c r="C51" s="732"/>
      <c r="D51" s="732"/>
      <c r="E51" s="732"/>
      <c r="F51" s="732"/>
      <c r="G51" s="732"/>
      <c r="H51" s="732"/>
      <c r="I51" s="732"/>
      <c r="J51" s="732"/>
      <c r="K51" s="729"/>
      <c r="L51" s="744"/>
      <c r="M51" s="731"/>
      <c r="N51" s="726"/>
    </row>
    <row r="52" spans="1:14" ht="13" customHeight="1">
      <c r="A52" s="725"/>
      <c r="B52" s="732"/>
      <c r="C52" s="732"/>
      <c r="D52" s="732"/>
      <c r="E52" s="732"/>
      <c r="F52" s="732"/>
      <c r="G52" s="732"/>
      <c r="H52" s="732"/>
      <c r="I52" s="732"/>
      <c r="J52" s="732"/>
      <c r="K52" s="729"/>
      <c r="L52" s="729"/>
      <c r="M52" s="734"/>
    </row>
    <row r="53" spans="1:14" ht="13" customHeight="1">
      <c r="A53" s="725"/>
      <c r="B53" s="732"/>
      <c r="C53" s="732"/>
      <c r="D53" s="732"/>
      <c r="E53" s="732"/>
      <c r="F53" s="732"/>
      <c r="G53" s="732"/>
      <c r="H53" s="732"/>
      <c r="I53" s="732"/>
      <c r="J53" s="732"/>
      <c r="K53" s="729"/>
      <c r="L53" s="729"/>
      <c r="M53" s="734"/>
    </row>
    <row r="54" spans="1:14" ht="13" customHeight="1">
      <c r="A54" s="728"/>
      <c r="B54" s="732"/>
      <c r="C54" s="732"/>
      <c r="D54" s="732"/>
      <c r="E54" s="732"/>
      <c r="F54" s="732"/>
      <c r="G54" s="732"/>
      <c r="H54" s="732"/>
      <c r="I54" s="732"/>
      <c r="J54" s="732"/>
      <c r="K54" s="729"/>
      <c r="L54" s="729"/>
      <c r="M54" s="734"/>
    </row>
    <row r="55" spans="1:14" ht="13" customHeight="1">
      <c r="A55" s="735"/>
      <c r="B55" s="732"/>
      <c r="C55" s="732"/>
      <c r="D55" s="732"/>
      <c r="E55" s="732"/>
      <c r="F55" s="732"/>
      <c r="G55" s="732"/>
      <c r="H55" s="732"/>
      <c r="I55" s="732"/>
      <c r="J55" s="732"/>
    </row>
    <row r="56" spans="1:14" ht="13" customHeight="1">
      <c r="A56" s="733"/>
      <c r="B56" s="732"/>
      <c r="C56" s="732"/>
      <c r="D56" s="732"/>
      <c r="E56" s="732"/>
      <c r="F56" s="732"/>
      <c r="G56" s="732"/>
      <c r="H56" s="732"/>
      <c r="I56" s="732"/>
      <c r="J56" s="732"/>
    </row>
    <row r="57" spans="1:14" ht="13" customHeight="1">
      <c r="A57" s="733"/>
      <c r="B57" s="732"/>
      <c r="C57" s="732"/>
      <c r="D57" s="732"/>
      <c r="E57" s="732"/>
      <c r="F57" s="732"/>
      <c r="G57" s="732"/>
      <c r="H57" s="732"/>
      <c r="I57" s="732"/>
      <c r="J57" s="732"/>
    </row>
  </sheetData>
  <mergeCells count="8">
    <mergeCell ref="A5:A6"/>
    <mergeCell ref="K29:K30"/>
    <mergeCell ref="C5:H5"/>
    <mergeCell ref="I5:I6"/>
    <mergeCell ref="J5:J6"/>
    <mergeCell ref="D29:I29"/>
    <mergeCell ref="A29:A30"/>
    <mergeCell ref="J29:J30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  <rowBreaks count="1" manualBreakCount="1">
    <brk id="25" max="10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syncVertical="1" syncRef="A1" transitionEvaluation="1" codeName="Hoja95">
    <tabColor theme="9" tint="0.59999389629810485"/>
  </sheetPr>
  <dimension ref="A1:BX52"/>
  <sheetViews>
    <sheetView showGridLines="0" zoomScaleNormal="100" workbookViewId="0">
      <selection activeCell="D53" sqref="D53"/>
    </sheetView>
  </sheetViews>
  <sheetFormatPr baseColWidth="10" defaultColWidth="9.796875" defaultRowHeight="15" customHeight="1"/>
  <cols>
    <col min="1" max="1" width="7.59765625" style="790" customWidth="1"/>
    <col min="2" max="2" width="9.796875" style="790" customWidth="1"/>
    <col min="3" max="3" width="10.19921875" style="790" customWidth="1"/>
    <col min="4" max="9" width="9.59765625" style="790" customWidth="1"/>
    <col min="10" max="12" width="10" style="790" customWidth="1"/>
    <col min="13" max="256" width="9.796875" style="790"/>
    <col min="257" max="257" width="9" style="790" customWidth="1"/>
    <col min="258" max="258" width="11" style="790" customWidth="1"/>
    <col min="259" max="259" width="10.796875" style="790" customWidth="1"/>
    <col min="260" max="260" width="9" style="790" customWidth="1"/>
    <col min="261" max="261" width="9.796875" style="790"/>
    <col min="262" max="263" width="10" style="790" customWidth="1"/>
    <col min="264" max="264" width="1.796875" style="790" customWidth="1"/>
    <col min="265" max="265" width="9" style="790" customWidth="1"/>
    <col min="266" max="266" width="0" style="790" hidden="1" customWidth="1"/>
    <col min="267" max="267" width="1.3984375" style="790" customWidth="1"/>
    <col min="268" max="512" width="9.796875" style="790"/>
    <col min="513" max="513" width="9" style="790" customWidth="1"/>
    <col min="514" max="514" width="11" style="790" customWidth="1"/>
    <col min="515" max="515" width="10.796875" style="790" customWidth="1"/>
    <col min="516" max="516" width="9" style="790" customWidth="1"/>
    <col min="517" max="517" width="9.796875" style="790"/>
    <col min="518" max="519" width="10" style="790" customWidth="1"/>
    <col min="520" max="520" width="1.796875" style="790" customWidth="1"/>
    <col min="521" max="521" width="9" style="790" customWidth="1"/>
    <col min="522" max="522" width="0" style="790" hidden="1" customWidth="1"/>
    <col min="523" max="523" width="1.3984375" style="790" customWidth="1"/>
    <col min="524" max="768" width="9.796875" style="790"/>
    <col min="769" max="769" width="9" style="790" customWidth="1"/>
    <col min="770" max="770" width="11" style="790" customWidth="1"/>
    <col min="771" max="771" width="10.796875" style="790" customWidth="1"/>
    <col min="772" max="772" width="9" style="790" customWidth="1"/>
    <col min="773" max="773" width="9.796875" style="790"/>
    <col min="774" max="775" width="10" style="790" customWidth="1"/>
    <col min="776" max="776" width="1.796875" style="790" customWidth="1"/>
    <col min="777" max="777" width="9" style="790" customWidth="1"/>
    <col min="778" max="778" width="0" style="790" hidden="1" customWidth="1"/>
    <col min="779" max="779" width="1.3984375" style="790" customWidth="1"/>
    <col min="780" max="1024" width="9.796875" style="790"/>
    <col min="1025" max="1025" width="9" style="790" customWidth="1"/>
    <col min="1026" max="1026" width="11" style="790" customWidth="1"/>
    <col min="1027" max="1027" width="10.796875" style="790" customWidth="1"/>
    <col min="1028" max="1028" width="9" style="790" customWidth="1"/>
    <col min="1029" max="1029" width="9.796875" style="790"/>
    <col min="1030" max="1031" width="10" style="790" customWidth="1"/>
    <col min="1032" max="1032" width="1.796875" style="790" customWidth="1"/>
    <col min="1033" max="1033" width="9" style="790" customWidth="1"/>
    <col min="1034" max="1034" width="0" style="790" hidden="1" customWidth="1"/>
    <col min="1035" max="1035" width="1.3984375" style="790" customWidth="1"/>
    <col min="1036" max="1280" width="9.796875" style="790"/>
    <col min="1281" max="1281" width="9" style="790" customWidth="1"/>
    <col min="1282" max="1282" width="11" style="790" customWidth="1"/>
    <col min="1283" max="1283" width="10.796875" style="790" customWidth="1"/>
    <col min="1284" max="1284" width="9" style="790" customWidth="1"/>
    <col min="1285" max="1285" width="9.796875" style="790"/>
    <col min="1286" max="1287" width="10" style="790" customWidth="1"/>
    <col min="1288" max="1288" width="1.796875" style="790" customWidth="1"/>
    <col min="1289" max="1289" width="9" style="790" customWidth="1"/>
    <col min="1290" max="1290" width="0" style="790" hidden="1" customWidth="1"/>
    <col min="1291" max="1291" width="1.3984375" style="790" customWidth="1"/>
    <col min="1292" max="1536" width="9.796875" style="790"/>
    <col min="1537" max="1537" width="9" style="790" customWidth="1"/>
    <col min="1538" max="1538" width="11" style="790" customWidth="1"/>
    <col min="1539" max="1539" width="10.796875" style="790" customWidth="1"/>
    <col min="1540" max="1540" width="9" style="790" customWidth="1"/>
    <col min="1541" max="1541" width="9.796875" style="790"/>
    <col min="1542" max="1543" width="10" style="790" customWidth="1"/>
    <col min="1544" max="1544" width="1.796875" style="790" customWidth="1"/>
    <col min="1545" max="1545" width="9" style="790" customWidth="1"/>
    <col min="1546" max="1546" width="0" style="790" hidden="1" customWidth="1"/>
    <col min="1547" max="1547" width="1.3984375" style="790" customWidth="1"/>
    <col min="1548" max="1792" width="9.796875" style="790"/>
    <col min="1793" max="1793" width="9" style="790" customWidth="1"/>
    <col min="1794" max="1794" width="11" style="790" customWidth="1"/>
    <col min="1795" max="1795" width="10.796875" style="790" customWidth="1"/>
    <col min="1796" max="1796" width="9" style="790" customWidth="1"/>
    <col min="1797" max="1797" width="9.796875" style="790"/>
    <col min="1798" max="1799" width="10" style="790" customWidth="1"/>
    <col min="1800" max="1800" width="1.796875" style="790" customWidth="1"/>
    <col min="1801" max="1801" width="9" style="790" customWidth="1"/>
    <col min="1802" max="1802" width="0" style="790" hidden="1" customWidth="1"/>
    <col min="1803" max="1803" width="1.3984375" style="790" customWidth="1"/>
    <col min="1804" max="2048" width="9.796875" style="790"/>
    <col min="2049" max="2049" width="9" style="790" customWidth="1"/>
    <col min="2050" max="2050" width="11" style="790" customWidth="1"/>
    <col min="2051" max="2051" width="10.796875" style="790" customWidth="1"/>
    <col min="2052" max="2052" width="9" style="790" customWidth="1"/>
    <col min="2053" max="2053" width="9.796875" style="790"/>
    <col min="2054" max="2055" width="10" style="790" customWidth="1"/>
    <col min="2056" max="2056" width="1.796875" style="790" customWidth="1"/>
    <col min="2057" max="2057" width="9" style="790" customWidth="1"/>
    <col min="2058" max="2058" width="0" style="790" hidden="1" customWidth="1"/>
    <col min="2059" max="2059" width="1.3984375" style="790" customWidth="1"/>
    <col min="2060" max="2304" width="9.796875" style="790"/>
    <col min="2305" max="2305" width="9" style="790" customWidth="1"/>
    <col min="2306" max="2306" width="11" style="790" customWidth="1"/>
    <col min="2307" max="2307" width="10.796875" style="790" customWidth="1"/>
    <col min="2308" max="2308" width="9" style="790" customWidth="1"/>
    <col min="2309" max="2309" width="9.796875" style="790"/>
    <col min="2310" max="2311" width="10" style="790" customWidth="1"/>
    <col min="2312" max="2312" width="1.796875" style="790" customWidth="1"/>
    <col min="2313" max="2313" width="9" style="790" customWidth="1"/>
    <col min="2314" max="2314" width="0" style="790" hidden="1" customWidth="1"/>
    <col min="2315" max="2315" width="1.3984375" style="790" customWidth="1"/>
    <col min="2316" max="2560" width="9.796875" style="790"/>
    <col min="2561" max="2561" width="9" style="790" customWidth="1"/>
    <col min="2562" max="2562" width="11" style="790" customWidth="1"/>
    <col min="2563" max="2563" width="10.796875" style="790" customWidth="1"/>
    <col min="2564" max="2564" width="9" style="790" customWidth="1"/>
    <col min="2565" max="2565" width="9.796875" style="790"/>
    <col min="2566" max="2567" width="10" style="790" customWidth="1"/>
    <col min="2568" max="2568" width="1.796875" style="790" customWidth="1"/>
    <col min="2569" max="2569" width="9" style="790" customWidth="1"/>
    <col min="2570" max="2570" width="0" style="790" hidden="1" customWidth="1"/>
    <col min="2571" max="2571" width="1.3984375" style="790" customWidth="1"/>
    <col min="2572" max="2816" width="9.796875" style="790"/>
    <col min="2817" max="2817" width="9" style="790" customWidth="1"/>
    <col min="2818" max="2818" width="11" style="790" customWidth="1"/>
    <col min="2819" max="2819" width="10.796875" style="790" customWidth="1"/>
    <col min="2820" max="2820" width="9" style="790" customWidth="1"/>
    <col min="2821" max="2821" width="9.796875" style="790"/>
    <col min="2822" max="2823" width="10" style="790" customWidth="1"/>
    <col min="2824" max="2824" width="1.796875" style="790" customWidth="1"/>
    <col min="2825" max="2825" width="9" style="790" customWidth="1"/>
    <col min="2826" max="2826" width="0" style="790" hidden="1" customWidth="1"/>
    <col min="2827" max="2827" width="1.3984375" style="790" customWidth="1"/>
    <col min="2828" max="3072" width="9.796875" style="790"/>
    <col min="3073" max="3073" width="9" style="790" customWidth="1"/>
    <col min="3074" max="3074" width="11" style="790" customWidth="1"/>
    <col min="3075" max="3075" width="10.796875" style="790" customWidth="1"/>
    <col min="3076" max="3076" width="9" style="790" customWidth="1"/>
    <col min="3077" max="3077" width="9.796875" style="790"/>
    <col min="3078" max="3079" width="10" style="790" customWidth="1"/>
    <col min="3080" max="3080" width="1.796875" style="790" customWidth="1"/>
    <col min="3081" max="3081" width="9" style="790" customWidth="1"/>
    <col min="3082" max="3082" width="0" style="790" hidden="1" customWidth="1"/>
    <col min="3083" max="3083" width="1.3984375" style="790" customWidth="1"/>
    <col min="3084" max="3328" width="9.796875" style="790"/>
    <col min="3329" max="3329" width="9" style="790" customWidth="1"/>
    <col min="3330" max="3330" width="11" style="790" customWidth="1"/>
    <col min="3331" max="3331" width="10.796875" style="790" customWidth="1"/>
    <col min="3332" max="3332" width="9" style="790" customWidth="1"/>
    <col min="3333" max="3333" width="9.796875" style="790"/>
    <col min="3334" max="3335" width="10" style="790" customWidth="1"/>
    <col min="3336" max="3336" width="1.796875" style="790" customWidth="1"/>
    <col min="3337" max="3337" width="9" style="790" customWidth="1"/>
    <col min="3338" max="3338" width="0" style="790" hidden="1" customWidth="1"/>
    <col min="3339" max="3339" width="1.3984375" style="790" customWidth="1"/>
    <col min="3340" max="3584" width="9.796875" style="790"/>
    <col min="3585" max="3585" width="9" style="790" customWidth="1"/>
    <col min="3586" max="3586" width="11" style="790" customWidth="1"/>
    <col min="3587" max="3587" width="10.796875" style="790" customWidth="1"/>
    <col min="3588" max="3588" width="9" style="790" customWidth="1"/>
    <col min="3589" max="3589" width="9.796875" style="790"/>
    <col min="3590" max="3591" width="10" style="790" customWidth="1"/>
    <col min="3592" max="3592" width="1.796875" style="790" customWidth="1"/>
    <col min="3593" max="3593" width="9" style="790" customWidth="1"/>
    <col min="3594" max="3594" width="0" style="790" hidden="1" customWidth="1"/>
    <col min="3595" max="3595" width="1.3984375" style="790" customWidth="1"/>
    <col min="3596" max="3840" width="9.796875" style="790"/>
    <col min="3841" max="3841" width="9" style="790" customWidth="1"/>
    <col min="3842" max="3842" width="11" style="790" customWidth="1"/>
    <col min="3843" max="3843" width="10.796875" style="790" customWidth="1"/>
    <col min="3844" max="3844" width="9" style="790" customWidth="1"/>
    <col min="3845" max="3845" width="9.796875" style="790"/>
    <col min="3846" max="3847" width="10" style="790" customWidth="1"/>
    <col min="3848" max="3848" width="1.796875" style="790" customWidth="1"/>
    <col min="3849" max="3849" width="9" style="790" customWidth="1"/>
    <col min="3850" max="3850" width="0" style="790" hidden="1" customWidth="1"/>
    <col min="3851" max="3851" width="1.3984375" style="790" customWidth="1"/>
    <col min="3852" max="4096" width="9.796875" style="790"/>
    <col min="4097" max="4097" width="9" style="790" customWidth="1"/>
    <col min="4098" max="4098" width="11" style="790" customWidth="1"/>
    <col min="4099" max="4099" width="10.796875" style="790" customWidth="1"/>
    <col min="4100" max="4100" width="9" style="790" customWidth="1"/>
    <col min="4101" max="4101" width="9.796875" style="790"/>
    <col min="4102" max="4103" width="10" style="790" customWidth="1"/>
    <col min="4104" max="4104" width="1.796875" style="790" customWidth="1"/>
    <col min="4105" max="4105" width="9" style="790" customWidth="1"/>
    <col min="4106" max="4106" width="0" style="790" hidden="1" customWidth="1"/>
    <col min="4107" max="4107" width="1.3984375" style="790" customWidth="1"/>
    <col min="4108" max="4352" width="9.796875" style="790"/>
    <col min="4353" max="4353" width="9" style="790" customWidth="1"/>
    <col min="4354" max="4354" width="11" style="790" customWidth="1"/>
    <col min="4355" max="4355" width="10.796875" style="790" customWidth="1"/>
    <col min="4356" max="4356" width="9" style="790" customWidth="1"/>
    <col min="4357" max="4357" width="9.796875" style="790"/>
    <col min="4358" max="4359" width="10" style="790" customWidth="1"/>
    <col min="4360" max="4360" width="1.796875" style="790" customWidth="1"/>
    <col min="4361" max="4361" width="9" style="790" customWidth="1"/>
    <col min="4362" max="4362" width="0" style="790" hidden="1" customWidth="1"/>
    <col min="4363" max="4363" width="1.3984375" style="790" customWidth="1"/>
    <col min="4364" max="4608" width="9.796875" style="790"/>
    <col min="4609" max="4609" width="9" style="790" customWidth="1"/>
    <col min="4610" max="4610" width="11" style="790" customWidth="1"/>
    <col min="4611" max="4611" width="10.796875" style="790" customWidth="1"/>
    <col min="4612" max="4612" width="9" style="790" customWidth="1"/>
    <col min="4613" max="4613" width="9.796875" style="790"/>
    <col min="4614" max="4615" width="10" style="790" customWidth="1"/>
    <col min="4616" max="4616" width="1.796875" style="790" customWidth="1"/>
    <col min="4617" max="4617" width="9" style="790" customWidth="1"/>
    <col min="4618" max="4618" width="0" style="790" hidden="1" customWidth="1"/>
    <col min="4619" max="4619" width="1.3984375" style="790" customWidth="1"/>
    <col min="4620" max="4864" width="9.796875" style="790"/>
    <col min="4865" max="4865" width="9" style="790" customWidth="1"/>
    <col min="4866" max="4866" width="11" style="790" customWidth="1"/>
    <col min="4867" max="4867" width="10.796875" style="790" customWidth="1"/>
    <col min="4868" max="4868" width="9" style="790" customWidth="1"/>
    <col min="4869" max="4869" width="9.796875" style="790"/>
    <col min="4870" max="4871" width="10" style="790" customWidth="1"/>
    <col min="4872" max="4872" width="1.796875" style="790" customWidth="1"/>
    <col min="4873" max="4873" width="9" style="790" customWidth="1"/>
    <col min="4874" max="4874" width="0" style="790" hidden="1" customWidth="1"/>
    <col min="4875" max="4875" width="1.3984375" style="790" customWidth="1"/>
    <col min="4876" max="5120" width="9.796875" style="790"/>
    <col min="5121" max="5121" width="9" style="790" customWidth="1"/>
    <col min="5122" max="5122" width="11" style="790" customWidth="1"/>
    <col min="5123" max="5123" width="10.796875" style="790" customWidth="1"/>
    <col min="5124" max="5124" width="9" style="790" customWidth="1"/>
    <col min="5125" max="5125" width="9.796875" style="790"/>
    <col min="5126" max="5127" width="10" style="790" customWidth="1"/>
    <col min="5128" max="5128" width="1.796875" style="790" customWidth="1"/>
    <col min="5129" max="5129" width="9" style="790" customWidth="1"/>
    <col min="5130" max="5130" width="0" style="790" hidden="1" customWidth="1"/>
    <col min="5131" max="5131" width="1.3984375" style="790" customWidth="1"/>
    <col min="5132" max="5376" width="9.796875" style="790"/>
    <col min="5377" max="5377" width="9" style="790" customWidth="1"/>
    <col min="5378" max="5378" width="11" style="790" customWidth="1"/>
    <col min="5379" max="5379" width="10.796875" style="790" customWidth="1"/>
    <col min="5380" max="5380" width="9" style="790" customWidth="1"/>
    <col min="5381" max="5381" width="9.796875" style="790"/>
    <col min="5382" max="5383" width="10" style="790" customWidth="1"/>
    <col min="5384" max="5384" width="1.796875" style="790" customWidth="1"/>
    <col min="5385" max="5385" width="9" style="790" customWidth="1"/>
    <col min="5386" max="5386" width="0" style="790" hidden="1" customWidth="1"/>
    <col min="5387" max="5387" width="1.3984375" style="790" customWidth="1"/>
    <col min="5388" max="5632" width="9.796875" style="790"/>
    <col min="5633" max="5633" width="9" style="790" customWidth="1"/>
    <col min="5634" max="5634" width="11" style="790" customWidth="1"/>
    <col min="5635" max="5635" width="10.796875" style="790" customWidth="1"/>
    <col min="5636" max="5636" width="9" style="790" customWidth="1"/>
    <col min="5637" max="5637" width="9.796875" style="790"/>
    <col min="5638" max="5639" width="10" style="790" customWidth="1"/>
    <col min="5640" max="5640" width="1.796875" style="790" customWidth="1"/>
    <col min="5641" max="5641" width="9" style="790" customWidth="1"/>
    <col min="5642" max="5642" width="0" style="790" hidden="1" customWidth="1"/>
    <col min="5643" max="5643" width="1.3984375" style="790" customWidth="1"/>
    <col min="5644" max="5888" width="9.796875" style="790"/>
    <col min="5889" max="5889" width="9" style="790" customWidth="1"/>
    <col min="5890" max="5890" width="11" style="790" customWidth="1"/>
    <col min="5891" max="5891" width="10.796875" style="790" customWidth="1"/>
    <col min="5892" max="5892" width="9" style="790" customWidth="1"/>
    <col min="5893" max="5893" width="9.796875" style="790"/>
    <col min="5894" max="5895" width="10" style="790" customWidth="1"/>
    <col min="5896" max="5896" width="1.796875" style="790" customWidth="1"/>
    <col min="5897" max="5897" width="9" style="790" customWidth="1"/>
    <col min="5898" max="5898" width="0" style="790" hidden="1" customWidth="1"/>
    <col min="5899" max="5899" width="1.3984375" style="790" customWidth="1"/>
    <col min="5900" max="6144" width="9.796875" style="790"/>
    <col min="6145" max="6145" width="9" style="790" customWidth="1"/>
    <col min="6146" max="6146" width="11" style="790" customWidth="1"/>
    <col min="6147" max="6147" width="10.796875" style="790" customWidth="1"/>
    <col min="6148" max="6148" width="9" style="790" customWidth="1"/>
    <col min="6149" max="6149" width="9.796875" style="790"/>
    <col min="6150" max="6151" width="10" style="790" customWidth="1"/>
    <col min="6152" max="6152" width="1.796875" style="790" customWidth="1"/>
    <col min="6153" max="6153" width="9" style="790" customWidth="1"/>
    <col min="6154" max="6154" width="0" style="790" hidden="1" customWidth="1"/>
    <col min="6155" max="6155" width="1.3984375" style="790" customWidth="1"/>
    <col min="6156" max="6400" width="9.796875" style="790"/>
    <col min="6401" max="6401" width="9" style="790" customWidth="1"/>
    <col min="6402" max="6402" width="11" style="790" customWidth="1"/>
    <col min="6403" max="6403" width="10.796875" style="790" customWidth="1"/>
    <col min="6404" max="6404" width="9" style="790" customWidth="1"/>
    <col min="6405" max="6405" width="9.796875" style="790"/>
    <col min="6406" max="6407" width="10" style="790" customWidth="1"/>
    <col min="6408" max="6408" width="1.796875" style="790" customWidth="1"/>
    <col min="6409" max="6409" width="9" style="790" customWidth="1"/>
    <col min="6410" max="6410" width="0" style="790" hidden="1" customWidth="1"/>
    <col min="6411" max="6411" width="1.3984375" style="790" customWidth="1"/>
    <col min="6412" max="6656" width="9.796875" style="790"/>
    <col min="6657" max="6657" width="9" style="790" customWidth="1"/>
    <col min="6658" max="6658" width="11" style="790" customWidth="1"/>
    <col min="6659" max="6659" width="10.796875" style="790" customWidth="1"/>
    <col min="6660" max="6660" width="9" style="790" customWidth="1"/>
    <col min="6661" max="6661" width="9.796875" style="790"/>
    <col min="6662" max="6663" width="10" style="790" customWidth="1"/>
    <col min="6664" max="6664" width="1.796875" style="790" customWidth="1"/>
    <col min="6665" max="6665" width="9" style="790" customWidth="1"/>
    <col min="6666" max="6666" width="0" style="790" hidden="1" customWidth="1"/>
    <col min="6667" max="6667" width="1.3984375" style="790" customWidth="1"/>
    <col min="6668" max="6912" width="9.796875" style="790"/>
    <col min="6913" max="6913" width="9" style="790" customWidth="1"/>
    <col min="6914" max="6914" width="11" style="790" customWidth="1"/>
    <col min="6915" max="6915" width="10.796875" style="790" customWidth="1"/>
    <col min="6916" max="6916" width="9" style="790" customWidth="1"/>
    <col min="6917" max="6917" width="9.796875" style="790"/>
    <col min="6918" max="6919" width="10" style="790" customWidth="1"/>
    <col min="6920" max="6920" width="1.796875" style="790" customWidth="1"/>
    <col min="6921" max="6921" width="9" style="790" customWidth="1"/>
    <col min="6922" max="6922" width="0" style="790" hidden="1" customWidth="1"/>
    <col min="6923" max="6923" width="1.3984375" style="790" customWidth="1"/>
    <col min="6924" max="7168" width="9.796875" style="790"/>
    <col min="7169" max="7169" width="9" style="790" customWidth="1"/>
    <col min="7170" max="7170" width="11" style="790" customWidth="1"/>
    <col min="7171" max="7171" width="10.796875" style="790" customWidth="1"/>
    <col min="7172" max="7172" width="9" style="790" customWidth="1"/>
    <col min="7173" max="7173" width="9.796875" style="790"/>
    <col min="7174" max="7175" width="10" style="790" customWidth="1"/>
    <col min="7176" max="7176" width="1.796875" style="790" customWidth="1"/>
    <col min="7177" max="7177" width="9" style="790" customWidth="1"/>
    <col min="7178" max="7178" width="0" style="790" hidden="1" customWidth="1"/>
    <col min="7179" max="7179" width="1.3984375" style="790" customWidth="1"/>
    <col min="7180" max="7424" width="9.796875" style="790"/>
    <col min="7425" max="7425" width="9" style="790" customWidth="1"/>
    <col min="7426" max="7426" width="11" style="790" customWidth="1"/>
    <col min="7427" max="7427" width="10.796875" style="790" customWidth="1"/>
    <col min="7428" max="7428" width="9" style="790" customWidth="1"/>
    <col min="7429" max="7429" width="9.796875" style="790"/>
    <col min="7430" max="7431" width="10" style="790" customWidth="1"/>
    <col min="7432" max="7432" width="1.796875" style="790" customWidth="1"/>
    <col min="7433" max="7433" width="9" style="790" customWidth="1"/>
    <col min="7434" max="7434" width="0" style="790" hidden="1" customWidth="1"/>
    <col min="7435" max="7435" width="1.3984375" style="790" customWidth="1"/>
    <col min="7436" max="7680" width="9.796875" style="790"/>
    <col min="7681" max="7681" width="9" style="790" customWidth="1"/>
    <col min="7682" max="7682" width="11" style="790" customWidth="1"/>
    <col min="7683" max="7683" width="10.796875" style="790" customWidth="1"/>
    <col min="7684" max="7684" width="9" style="790" customWidth="1"/>
    <col min="7685" max="7685" width="9.796875" style="790"/>
    <col min="7686" max="7687" width="10" style="790" customWidth="1"/>
    <col min="7688" max="7688" width="1.796875" style="790" customWidth="1"/>
    <col min="7689" max="7689" width="9" style="790" customWidth="1"/>
    <col min="7690" max="7690" width="0" style="790" hidden="1" customWidth="1"/>
    <col min="7691" max="7691" width="1.3984375" style="790" customWidth="1"/>
    <col min="7692" max="7936" width="9.796875" style="790"/>
    <col min="7937" max="7937" width="9" style="790" customWidth="1"/>
    <col min="7938" max="7938" width="11" style="790" customWidth="1"/>
    <col min="7939" max="7939" width="10.796875" style="790" customWidth="1"/>
    <col min="7940" max="7940" width="9" style="790" customWidth="1"/>
    <col min="7941" max="7941" width="9.796875" style="790"/>
    <col min="7942" max="7943" width="10" style="790" customWidth="1"/>
    <col min="7944" max="7944" width="1.796875" style="790" customWidth="1"/>
    <col min="7945" max="7945" width="9" style="790" customWidth="1"/>
    <col min="7946" max="7946" width="0" style="790" hidden="1" customWidth="1"/>
    <col min="7947" max="7947" width="1.3984375" style="790" customWidth="1"/>
    <col min="7948" max="8192" width="9.796875" style="790"/>
    <col min="8193" max="8193" width="9" style="790" customWidth="1"/>
    <col min="8194" max="8194" width="11" style="790" customWidth="1"/>
    <col min="8195" max="8195" width="10.796875" style="790" customWidth="1"/>
    <col min="8196" max="8196" width="9" style="790" customWidth="1"/>
    <col min="8197" max="8197" width="9.796875" style="790"/>
    <col min="8198" max="8199" width="10" style="790" customWidth="1"/>
    <col min="8200" max="8200" width="1.796875" style="790" customWidth="1"/>
    <col min="8201" max="8201" width="9" style="790" customWidth="1"/>
    <col min="8202" max="8202" width="0" style="790" hidden="1" customWidth="1"/>
    <col min="8203" max="8203" width="1.3984375" style="790" customWidth="1"/>
    <col min="8204" max="8448" width="9.796875" style="790"/>
    <col min="8449" max="8449" width="9" style="790" customWidth="1"/>
    <col min="8450" max="8450" width="11" style="790" customWidth="1"/>
    <col min="8451" max="8451" width="10.796875" style="790" customWidth="1"/>
    <col min="8452" max="8452" width="9" style="790" customWidth="1"/>
    <col min="8453" max="8453" width="9.796875" style="790"/>
    <col min="8454" max="8455" width="10" style="790" customWidth="1"/>
    <col min="8456" max="8456" width="1.796875" style="790" customWidth="1"/>
    <col min="8457" max="8457" width="9" style="790" customWidth="1"/>
    <col min="8458" max="8458" width="0" style="790" hidden="1" customWidth="1"/>
    <col min="8459" max="8459" width="1.3984375" style="790" customWidth="1"/>
    <col min="8460" max="8704" width="9.796875" style="790"/>
    <col min="8705" max="8705" width="9" style="790" customWidth="1"/>
    <col min="8706" max="8706" width="11" style="790" customWidth="1"/>
    <col min="8707" max="8707" width="10.796875" style="790" customWidth="1"/>
    <col min="8708" max="8708" width="9" style="790" customWidth="1"/>
    <col min="8709" max="8709" width="9.796875" style="790"/>
    <col min="8710" max="8711" width="10" style="790" customWidth="1"/>
    <col min="8712" max="8712" width="1.796875" style="790" customWidth="1"/>
    <col min="8713" max="8713" width="9" style="790" customWidth="1"/>
    <col min="8714" max="8714" width="0" style="790" hidden="1" customWidth="1"/>
    <col min="8715" max="8715" width="1.3984375" style="790" customWidth="1"/>
    <col min="8716" max="8960" width="9.796875" style="790"/>
    <col min="8961" max="8961" width="9" style="790" customWidth="1"/>
    <col min="8962" max="8962" width="11" style="790" customWidth="1"/>
    <col min="8963" max="8963" width="10.796875" style="790" customWidth="1"/>
    <col min="8964" max="8964" width="9" style="790" customWidth="1"/>
    <col min="8965" max="8965" width="9.796875" style="790"/>
    <col min="8966" max="8967" width="10" style="790" customWidth="1"/>
    <col min="8968" max="8968" width="1.796875" style="790" customWidth="1"/>
    <col min="8969" max="8969" width="9" style="790" customWidth="1"/>
    <col min="8970" max="8970" width="0" style="790" hidden="1" customWidth="1"/>
    <col min="8971" max="8971" width="1.3984375" style="790" customWidth="1"/>
    <col min="8972" max="9216" width="9.796875" style="790"/>
    <col min="9217" max="9217" width="9" style="790" customWidth="1"/>
    <col min="9218" max="9218" width="11" style="790" customWidth="1"/>
    <col min="9219" max="9219" width="10.796875" style="790" customWidth="1"/>
    <col min="9220" max="9220" width="9" style="790" customWidth="1"/>
    <col min="9221" max="9221" width="9.796875" style="790"/>
    <col min="9222" max="9223" width="10" style="790" customWidth="1"/>
    <col min="9224" max="9224" width="1.796875" style="790" customWidth="1"/>
    <col min="9225" max="9225" width="9" style="790" customWidth="1"/>
    <col min="9226" max="9226" width="0" style="790" hidden="1" customWidth="1"/>
    <col min="9227" max="9227" width="1.3984375" style="790" customWidth="1"/>
    <col min="9228" max="9472" width="9.796875" style="790"/>
    <col min="9473" max="9473" width="9" style="790" customWidth="1"/>
    <col min="9474" max="9474" width="11" style="790" customWidth="1"/>
    <col min="9475" max="9475" width="10.796875" style="790" customWidth="1"/>
    <col min="9476" max="9476" width="9" style="790" customWidth="1"/>
    <col min="9477" max="9477" width="9.796875" style="790"/>
    <col min="9478" max="9479" width="10" style="790" customWidth="1"/>
    <col min="9480" max="9480" width="1.796875" style="790" customWidth="1"/>
    <col min="9481" max="9481" width="9" style="790" customWidth="1"/>
    <col min="9482" max="9482" width="0" style="790" hidden="1" customWidth="1"/>
    <col min="9483" max="9483" width="1.3984375" style="790" customWidth="1"/>
    <col min="9484" max="9728" width="9.796875" style="790"/>
    <col min="9729" max="9729" width="9" style="790" customWidth="1"/>
    <col min="9730" max="9730" width="11" style="790" customWidth="1"/>
    <col min="9731" max="9731" width="10.796875" style="790" customWidth="1"/>
    <col min="9732" max="9732" width="9" style="790" customWidth="1"/>
    <col min="9733" max="9733" width="9.796875" style="790"/>
    <col min="9734" max="9735" width="10" style="790" customWidth="1"/>
    <col min="9736" max="9736" width="1.796875" style="790" customWidth="1"/>
    <col min="9737" max="9737" width="9" style="790" customWidth="1"/>
    <col min="9738" max="9738" width="0" style="790" hidden="1" customWidth="1"/>
    <col min="9739" max="9739" width="1.3984375" style="790" customWidth="1"/>
    <col min="9740" max="9984" width="9.796875" style="790"/>
    <col min="9985" max="9985" width="9" style="790" customWidth="1"/>
    <col min="9986" max="9986" width="11" style="790" customWidth="1"/>
    <col min="9987" max="9987" width="10.796875" style="790" customWidth="1"/>
    <col min="9988" max="9988" width="9" style="790" customWidth="1"/>
    <col min="9989" max="9989" width="9.796875" style="790"/>
    <col min="9990" max="9991" width="10" style="790" customWidth="1"/>
    <col min="9992" max="9992" width="1.796875" style="790" customWidth="1"/>
    <col min="9993" max="9993" width="9" style="790" customWidth="1"/>
    <col min="9994" max="9994" width="0" style="790" hidden="1" customWidth="1"/>
    <col min="9995" max="9995" width="1.3984375" style="790" customWidth="1"/>
    <col min="9996" max="10240" width="9.796875" style="790"/>
    <col min="10241" max="10241" width="9" style="790" customWidth="1"/>
    <col min="10242" max="10242" width="11" style="790" customWidth="1"/>
    <col min="10243" max="10243" width="10.796875" style="790" customWidth="1"/>
    <col min="10244" max="10244" width="9" style="790" customWidth="1"/>
    <col min="10245" max="10245" width="9.796875" style="790"/>
    <col min="10246" max="10247" width="10" style="790" customWidth="1"/>
    <col min="10248" max="10248" width="1.796875" style="790" customWidth="1"/>
    <col min="10249" max="10249" width="9" style="790" customWidth="1"/>
    <col min="10250" max="10250" width="0" style="790" hidden="1" customWidth="1"/>
    <col min="10251" max="10251" width="1.3984375" style="790" customWidth="1"/>
    <col min="10252" max="10496" width="9.796875" style="790"/>
    <col min="10497" max="10497" width="9" style="790" customWidth="1"/>
    <col min="10498" max="10498" width="11" style="790" customWidth="1"/>
    <col min="10499" max="10499" width="10.796875" style="790" customWidth="1"/>
    <col min="10500" max="10500" width="9" style="790" customWidth="1"/>
    <col min="10501" max="10501" width="9.796875" style="790"/>
    <col min="10502" max="10503" width="10" style="790" customWidth="1"/>
    <col min="10504" max="10504" width="1.796875" style="790" customWidth="1"/>
    <col min="10505" max="10505" width="9" style="790" customWidth="1"/>
    <col min="10506" max="10506" width="0" style="790" hidden="1" customWidth="1"/>
    <col min="10507" max="10507" width="1.3984375" style="790" customWidth="1"/>
    <col min="10508" max="10752" width="9.796875" style="790"/>
    <col min="10753" max="10753" width="9" style="790" customWidth="1"/>
    <col min="10754" max="10754" width="11" style="790" customWidth="1"/>
    <col min="10755" max="10755" width="10.796875" style="790" customWidth="1"/>
    <col min="10756" max="10756" width="9" style="790" customWidth="1"/>
    <col min="10757" max="10757" width="9.796875" style="790"/>
    <col min="10758" max="10759" width="10" style="790" customWidth="1"/>
    <col min="10760" max="10760" width="1.796875" style="790" customWidth="1"/>
    <col min="10761" max="10761" width="9" style="790" customWidth="1"/>
    <col min="10762" max="10762" width="0" style="790" hidden="1" customWidth="1"/>
    <col min="10763" max="10763" width="1.3984375" style="790" customWidth="1"/>
    <col min="10764" max="11008" width="9.796875" style="790"/>
    <col min="11009" max="11009" width="9" style="790" customWidth="1"/>
    <col min="11010" max="11010" width="11" style="790" customWidth="1"/>
    <col min="11011" max="11011" width="10.796875" style="790" customWidth="1"/>
    <col min="11012" max="11012" width="9" style="790" customWidth="1"/>
    <col min="11013" max="11013" width="9.796875" style="790"/>
    <col min="11014" max="11015" width="10" style="790" customWidth="1"/>
    <col min="11016" max="11016" width="1.796875" style="790" customWidth="1"/>
    <col min="11017" max="11017" width="9" style="790" customWidth="1"/>
    <col min="11018" max="11018" width="0" style="790" hidden="1" customWidth="1"/>
    <col min="11019" max="11019" width="1.3984375" style="790" customWidth="1"/>
    <col min="11020" max="11264" width="9.796875" style="790"/>
    <col min="11265" max="11265" width="9" style="790" customWidth="1"/>
    <col min="11266" max="11266" width="11" style="790" customWidth="1"/>
    <col min="11267" max="11267" width="10.796875" style="790" customWidth="1"/>
    <col min="11268" max="11268" width="9" style="790" customWidth="1"/>
    <col min="11269" max="11269" width="9.796875" style="790"/>
    <col min="11270" max="11271" width="10" style="790" customWidth="1"/>
    <col min="11272" max="11272" width="1.796875" style="790" customWidth="1"/>
    <col min="11273" max="11273" width="9" style="790" customWidth="1"/>
    <col min="11274" max="11274" width="0" style="790" hidden="1" customWidth="1"/>
    <col min="11275" max="11275" width="1.3984375" style="790" customWidth="1"/>
    <col min="11276" max="11520" width="9.796875" style="790"/>
    <col min="11521" max="11521" width="9" style="790" customWidth="1"/>
    <col min="11522" max="11522" width="11" style="790" customWidth="1"/>
    <col min="11523" max="11523" width="10.796875" style="790" customWidth="1"/>
    <col min="11524" max="11524" width="9" style="790" customWidth="1"/>
    <col min="11525" max="11525" width="9.796875" style="790"/>
    <col min="11526" max="11527" width="10" style="790" customWidth="1"/>
    <col min="11528" max="11528" width="1.796875" style="790" customWidth="1"/>
    <col min="11529" max="11529" width="9" style="790" customWidth="1"/>
    <col min="11530" max="11530" width="0" style="790" hidden="1" customWidth="1"/>
    <col min="11531" max="11531" width="1.3984375" style="790" customWidth="1"/>
    <col min="11532" max="11776" width="9.796875" style="790"/>
    <col min="11777" max="11777" width="9" style="790" customWidth="1"/>
    <col min="11778" max="11778" width="11" style="790" customWidth="1"/>
    <col min="11779" max="11779" width="10.796875" style="790" customWidth="1"/>
    <col min="11780" max="11780" width="9" style="790" customWidth="1"/>
    <col min="11781" max="11781" width="9.796875" style="790"/>
    <col min="11782" max="11783" width="10" style="790" customWidth="1"/>
    <col min="11784" max="11784" width="1.796875" style="790" customWidth="1"/>
    <col min="11785" max="11785" width="9" style="790" customWidth="1"/>
    <col min="11786" max="11786" width="0" style="790" hidden="1" customWidth="1"/>
    <col min="11787" max="11787" width="1.3984375" style="790" customWidth="1"/>
    <col min="11788" max="12032" width="9.796875" style="790"/>
    <col min="12033" max="12033" width="9" style="790" customWidth="1"/>
    <col min="12034" max="12034" width="11" style="790" customWidth="1"/>
    <col min="12035" max="12035" width="10.796875" style="790" customWidth="1"/>
    <col min="12036" max="12036" width="9" style="790" customWidth="1"/>
    <col min="12037" max="12037" width="9.796875" style="790"/>
    <col min="12038" max="12039" width="10" style="790" customWidth="1"/>
    <col min="12040" max="12040" width="1.796875" style="790" customWidth="1"/>
    <col min="12041" max="12041" width="9" style="790" customWidth="1"/>
    <col min="12042" max="12042" width="0" style="790" hidden="1" customWidth="1"/>
    <col min="12043" max="12043" width="1.3984375" style="790" customWidth="1"/>
    <col min="12044" max="12288" width="9.796875" style="790"/>
    <col min="12289" max="12289" width="9" style="790" customWidth="1"/>
    <col min="12290" max="12290" width="11" style="790" customWidth="1"/>
    <col min="12291" max="12291" width="10.796875" style="790" customWidth="1"/>
    <col min="12292" max="12292" width="9" style="790" customWidth="1"/>
    <col min="12293" max="12293" width="9.796875" style="790"/>
    <col min="12294" max="12295" width="10" style="790" customWidth="1"/>
    <col min="12296" max="12296" width="1.796875" style="790" customWidth="1"/>
    <col min="12297" max="12297" width="9" style="790" customWidth="1"/>
    <col min="12298" max="12298" width="0" style="790" hidden="1" customWidth="1"/>
    <col min="12299" max="12299" width="1.3984375" style="790" customWidth="1"/>
    <col min="12300" max="12544" width="9.796875" style="790"/>
    <col min="12545" max="12545" width="9" style="790" customWidth="1"/>
    <col min="12546" max="12546" width="11" style="790" customWidth="1"/>
    <col min="12547" max="12547" width="10.796875" style="790" customWidth="1"/>
    <col min="12548" max="12548" width="9" style="790" customWidth="1"/>
    <col min="12549" max="12549" width="9.796875" style="790"/>
    <col min="12550" max="12551" width="10" style="790" customWidth="1"/>
    <col min="12552" max="12552" width="1.796875" style="790" customWidth="1"/>
    <col min="12553" max="12553" width="9" style="790" customWidth="1"/>
    <col min="12554" max="12554" width="0" style="790" hidden="1" customWidth="1"/>
    <col min="12555" max="12555" width="1.3984375" style="790" customWidth="1"/>
    <col min="12556" max="12800" width="9.796875" style="790"/>
    <col min="12801" max="12801" width="9" style="790" customWidth="1"/>
    <col min="12802" max="12802" width="11" style="790" customWidth="1"/>
    <col min="12803" max="12803" width="10.796875" style="790" customWidth="1"/>
    <col min="12804" max="12804" width="9" style="790" customWidth="1"/>
    <col min="12805" max="12805" width="9.796875" style="790"/>
    <col min="12806" max="12807" width="10" style="790" customWidth="1"/>
    <col min="12808" max="12808" width="1.796875" style="790" customWidth="1"/>
    <col min="12809" max="12809" width="9" style="790" customWidth="1"/>
    <col min="12810" max="12810" width="0" style="790" hidden="1" customWidth="1"/>
    <col min="12811" max="12811" width="1.3984375" style="790" customWidth="1"/>
    <col min="12812" max="13056" width="9.796875" style="790"/>
    <col min="13057" max="13057" width="9" style="790" customWidth="1"/>
    <col min="13058" max="13058" width="11" style="790" customWidth="1"/>
    <col min="13059" max="13059" width="10.796875" style="790" customWidth="1"/>
    <col min="13060" max="13060" width="9" style="790" customWidth="1"/>
    <col min="13061" max="13061" width="9.796875" style="790"/>
    <col min="13062" max="13063" width="10" style="790" customWidth="1"/>
    <col min="13064" max="13064" width="1.796875" style="790" customWidth="1"/>
    <col min="13065" max="13065" width="9" style="790" customWidth="1"/>
    <col min="13066" max="13066" width="0" style="790" hidden="1" customWidth="1"/>
    <col min="13067" max="13067" width="1.3984375" style="790" customWidth="1"/>
    <col min="13068" max="13312" width="9.796875" style="790"/>
    <col min="13313" max="13313" width="9" style="790" customWidth="1"/>
    <col min="13314" max="13314" width="11" style="790" customWidth="1"/>
    <col min="13315" max="13315" width="10.796875" style="790" customWidth="1"/>
    <col min="13316" max="13316" width="9" style="790" customWidth="1"/>
    <col min="13317" max="13317" width="9.796875" style="790"/>
    <col min="13318" max="13319" width="10" style="790" customWidth="1"/>
    <col min="13320" max="13320" width="1.796875" style="790" customWidth="1"/>
    <col min="13321" max="13321" width="9" style="790" customWidth="1"/>
    <col min="13322" max="13322" width="0" style="790" hidden="1" customWidth="1"/>
    <col min="13323" max="13323" width="1.3984375" style="790" customWidth="1"/>
    <col min="13324" max="13568" width="9.796875" style="790"/>
    <col min="13569" max="13569" width="9" style="790" customWidth="1"/>
    <col min="13570" max="13570" width="11" style="790" customWidth="1"/>
    <col min="13571" max="13571" width="10.796875" style="790" customWidth="1"/>
    <col min="13572" max="13572" width="9" style="790" customWidth="1"/>
    <col min="13573" max="13573" width="9.796875" style="790"/>
    <col min="13574" max="13575" width="10" style="790" customWidth="1"/>
    <col min="13576" max="13576" width="1.796875" style="790" customWidth="1"/>
    <col min="13577" max="13577" width="9" style="790" customWidth="1"/>
    <col min="13578" max="13578" width="0" style="790" hidden="1" customWidth="1"/>
    <col min="13579" max="13579" width="1.3984375" style="790" customWidth="1"/>
    <col min="13580" max="13824" width="9.796875" style="790"/>
    <col min="13825" max="13825" width="9" style="790" customWidth="1"/>
    <col min="13826" max="13826" width="11" style="790" customWidth="1"/>
    <col min="13827" max="13827" width="10.796875" style="790" customWidth="1"/>
    <col min="13828" max="13828" width="9" style="790" customWidth="1"/>
    <col min="13829" max="13829" width="9.796875" style="790"/>
    <col min="13830" max="13831" width="10" style="790" customWidth="1"/>
    <col min="13832" max="13832" width="1.796875" style="790" customWidth="1"/>
    <col min="13833" max="13833" width="9" style="790" customWidth="1"/>
    <col min="13834" max="13834" width="0" style="790" hidden="1" customWidth="1"/>
    <col min="13835" max="13835" width="1.3984375" style="790" customWidth="1"/>
    <col min="13836" max="14080" width="9.796875" style="790"/>
    <col min="14081" max="14081" width="9" style="790" customWidth="1"/>
    <col min="14082" max="14082" width="11" style="790" customWidth="1"/>
    <col min="14083" max="14083" width="10.796875" style="790" customWidth="1"/>
    <col min="14084" max="14084" width="9" style="790" customWidth="1"/>
    <col min="14085" max="14085" width="9.796875" style="790"/>
    <col min="14086" max="14087" width="10" style="790" customWidth="1"/>
    <col min="14088" max="14088" width="1.796875" style="790" customWidth="1"/>
    <col min="14089" max="14089" width="9" style="790" customWidth="1"/>
    <col min="14090" max="14090" width="0" style="790" hidden="1" customWidth="1"/>
    <col min="14091" max="14091" width="1.3984375" style="790" customWidth="1"/>
    <col min="14092" max="14336" width="9.796875" style="790"/>
    <col min="14337" max="14337" width="9" style="790" customWidth="1"/>
    <col min="14338" max="14338" width="11" style="790" customWidth="1"/>
    <col min="14339" max="14339" width="10.796875" style="790" customWidth="1"/>
    <col min="14340" max="14340" width="9" style="790" customWidth="1"/>
    <col min="14341" max="14341" width="9.796875" style="790"/>
    <col min="14342" max="14343" width="10" style="790" customWidth="1"/>
    <col min="14344" max="14344" width="1.796875" style="790" customWidth="1"/>
    <col min="14345" max="14345" width="9" style="790" customWidth="1"/>
    <col min="14346" max="14346" width="0" style="790" hidden="1" customWidth="1"/>
    <col min="14347" max="14347" width="1.3984375" style="790" customWidth="1"/>
    <col min="14348" max="14592" width="9.796875" style="790"/>
    <col min="14593" max="14593" width="9" style="790" customWidth="1"/>
    <col min="14594" max="14594" width="11" style="790" customWidth="1"/>
    <col min="14595" max="14595" width="10.796875" style="790" customWidth="1"/>
    <col min="14596" max="14596" width="9" style="790" customWidth="1"/>
    <col min="14597" max="14597" width="9.796875" style="790"/>
    <col min="14598" max="14599" width="10" style="790" customWidth="1"/>
    <col min="14600" max="14600" width="1.796875" style="790" customWidth="1"/>
    <col min="14601" max="14601" width="9" style="790" customWidth="1"/>
    <col min="14602" max="14602" width="0" style="790" hidden="1" customWidth="1"/>
    <col min="14603" max="14603" width="1.3984375" style="790" customWidth="1"/>
    <col min="14604" max="14848" width="9.796875" style="790"/>
    <col min="14849" max="14849" width="9" style="790" customWidth="1"/>
    <col min="14850" max="14850" width="11" style="790" customWidth="1"/>
    <col min="14851" max="14851" width="10.796875" style="790" customWidth="1"/>
    <col min="14852" max="14852" width="9" style="790" customWidth="1"/>
    <col min="14853" max="14853" width="9.796875" style="790"/>
    <col min="14854" max="14855" width="10" style="790" customWidth="1"/>
    <col min="14856" max="14856" width="1.796875" style="790" customWidth="1"/>
    <col min="14857" max="14857" width="9" style="790" customWidth="1"/>
    <col min="14858" max="14858" width="0" style="790" hidden="1" customWidth="1"/>
    <col min="14859" max="14859" width="1.3984375" style="790" customWidth="1"/>
    <col min="14860" max="15104" width="9.796875" style="790"/>
    <col min="15105" max="15105" width="9" style="790" customWidth="1"/>
    <col min="15106" max="15106" width="11" style="790" customWidth="1"/>
    <col min="15107" max="15107" width="10.796875" style="790" customWidth="1"/>
    <col min="15108" max="15108" width="9" style="790" customWidth="1"/>
    <col min="15109" max="15109" width="9.796875" style="790"/>
    <col min="15110" max="15111" width="10" style="790" customWidth="1"/>
    <col min="15112" max="15112" width="1.796875" style="790" customWidth="1"/>
    <col min="15113" max="15113" width="9" style="790" customWidth="1"/>
    <col min="15114" max="15114" width="0" style="790" hidden="1" customWidth="1"/>
    <col min="15115" max="15115" width="1.3984375" style="790" customWidth="1"/>
    <col min="15116" max="15360" width="9.796875" style="790"/>
    <col min="15361" max="15361" width="9" style="790" customWidth="1"/>
    <col min="15362" max="15362" width="11" style="790" customWidth="1"/>
    <col min="15363" max="15363" width="10.796875" style="790" customWidth="1"/>
    <col min="15364" max="15364" width="9" style="790" customWidth="1"/>
    <col min="15365" max="15365" width="9.796875" style="790"/>
    <col min="15366" max="15367" width="10" style="790" customWidth="1"/>
    <col min="15368" max="15368" width="1.796875" style="790" customWidth="1"/>
    <col min="15369" max="15369" width="9" style="790" customWidth="1"/>
    <col min="15370" max="15370" width="0" style="790" hidden="1" customWidth="1"/>
    <col min="15371" max="15371" width="1.3984375" style="790" customWidth="1"/>
    <col min="15372" max="15616" width="9.796875" style="790"/>
    <col min="15617" max="15617" width="9" style="790" customWidth="1"/>
    <col min="15618" max="15618" width="11" style="790" customWidth="1"/>
    <col min="15619" max="15619" width="10.796875" style="790" customWidth="1"/>
    <col min="15620" max="15620" width="9" style="790" customWidth="1"/>
    <col min="15621" max="15621" width="9.796875" style="790"/>
    <col min="15622" max="15623" width="10" style="790" customWidth="1"/>
    <col min="15624" max="15624" width="1.796875" style="790" customWidth="1"/>
    <col min="15625" max="15625" width="9" style="790" customWidth="1"/>
    <col min="15626" max="15626" width="0" style="790" hidden="1" customWidth="1"/>
    <col min="15627" max="15627" width="1.3984375" style="790" customWidth="1"/>
    <col min="15628" max="15872" width="9.796875" style="790"/>
    <col min="15873" max="15873" width="9" style="790" customWidth="1"/>
    <col min="15874" max="15874" width="11" style="790" customWidth="1"/>
    <col min="15875" max="15875" width="10.796875" style="790" customWidth="1"/>
    <col min="15876" max="15876" width="9" style="790" customWidth="1"/>
    <col min="15877" max="15877" width="9.796875" style="790"/>
    <col min="15878" max="15879" width="10" style="790" customWidth="1"/>
    <col min="15880" max="15880" width="1.796875" style="790" customWidth="1"/>
    <col min="15881" max="15881" width="9" style="790" customWidth="1"/>
    <col min="15882" max="15882" width="0" style="790" hidden="1" customWidth="1"/>
    <col min="15883" max="15883" width="1.3984375" style="790" customWidth="1"/>
    <col min="15884" max="16128" width="9.796875" style="790"/>
    <col min="16129" max="16129" width="9" style="790" customWidth="1"/>
    <col min="16130" max="16130" width="11" style="790" customWidth="1"/>
    <col min="16131" max="16131" width="10.796875" style="790" customWidth="1"/>
    <col min="16132" max="16132" width="9" style="790" customWidth="1"/>
    <col min="16133" max="16133" width="9.796875" style="790"/>
    <col min="16134" max="16135" width="10" style="790" customWidth="1"/>
    <col min="16136" max="16136" width="1.796875" style="790" customWidth="1"/>
    <col min="16137" max="16137" width="9" style="790" customWidth="1"/>
    <col min="16138" max="16138" width="0" style="790" hidden="1" customWidth="1"/>
    <col min="16139" max="16139" width="1.3984375" style="790" customWidth="1"/>
    <col min="16140" max="16384" width="9.796875" style="790"/>
  </cols>
  <sheetData>
    <row r="1" spans="1:76" ht="15" customHeight="1">
      <c r="E1" s="791"/>
    </row>
    <row r="3" spans="1:76" ht="13" customHeight="1">
      <c r="A3" s="844" t="s">
        <v>491</v>
      </c>
      <c r="B3" s="792"/>
      <c r="C3" s="792"/>
      <c r="D3" s="792"/>
      <c r="E3" s="792"/>
      <c r="F3" s="792"/>
      <c r="G3" s="792"/>
      <c r="H3" s="792"/>
      <c r="I3" s="792"/>
      <c r="J3" s="792"/>
      <c r="K3" s="792"/>
      <c r="BO3" s="1125" t="s">
        <v>125</v>
      </c>
      <c r="BP3" s="1125"/>
      <c r="BQ3" s="1125"/>
      <c r="BR3" s="1125"/>
      <c r="BS3" s="1125"/>
      <c r="BT3" s="1125"/>
      <c r="BU3" s="1125"/>
      <c r="BV3" s="1125"/>
      <c r="BW3" s="1125"/>
      <c r="BX3" s="1125"/>
    </row>
    <row r="4" spans="1:76" ht="13" customHeight="1">
      <c r="A4" s="748" t="s">
        <v>490</v>
      </c>
      <c r="B4" s="793"/>
      <c r="C4" s="793"/>
      <c r="D4" s="793"/>
      <c r="E4" s="793"/>
      <c r="F4" s="793"/>
      <c r="G4" s="793"/>
      <c r="H4" s="793"/>
      <c r="I4" s="793"/>
      <c r="J4" s="794"/>
      <c r="K4" s="794"/>
      <c r="BO4" s="795"/>
      <c r="BP4" s="795"/>
      <c r="BQ4" s="795"/>
      <c r="BR4" s="795"/>
      <c r="BS4" s="795"/>
      <c r="BT4" s="795"/>
      <c r="BU4" s="795"/>
      <c r="BV4" s="795"/>
      <c r="BW4" s="795"/>
      <c r="BX4" s="795"/>
    </row>
    <row r="5" spans="1:76" ht="4" customHeight="1" thickBot="1">
      <c r="A5" s="823"/>
      <c r="B5" s="823"/>
      <c r="C5" s="823"/>
      <c r="D5" s="823"/>
      <c r="E5" s="823"/>
      <c r="F5" s="823"/>
      <c r="G5" s="823"/>
      <c r="H5" s="823"/>
      <c r="I5" s="823"/>
      <c r="J5" s="849"/>
      <c r="K5" s="774"/>
      <c r="L5" s="798"/>
      <c r="BO5" s="1126" t="s">
        <v>468</v>
      </c>
      <c r="BP5" s="1126"/>
      <c r="BQ5" s="1126"/>
      <c r="BR5" s="1126"/>
      <c r="BS5" s="1126"/>
      <c r="BT5" s="1126"/>
      <c r="BU5" s="1126"/>
      <c r="BV5" s="1126"/>
      <c r="BW5" s="1126"/>
      <c r="BX5" s="1126"/>
    </row>
    <row r="6" spans="1:76" ht="13" customHeight="1">
      <c r="A6" s="1119" t="s">
        <v>122</v>
      </c>
      <c r="B6" s="833"/>
      <c r="C6" s="833"/>
      <c r="D6" s="833"/>
      <c r="E6" s="834" t="s">
        <v>126</v>
      </c>
      <c r="F6" s="833"/>
      <c r="G6" s="833"/>
      <c r="H6" s="1119" t="s">
        <v>488</v>
      </c>
      <c r="I6" s="1119" t="s">
        <v>16</v>
      </c>
      <c r="J6" s="835"/>
      <c r="K6" s="835"/>
      <c r="L6" s="1124"/>
      <c r="M6" s="828"/>
      <c r="BO6" s="780" t="s">
        <v>122</v>
      </c>
      <c r="BP6" s="796"/>
      <c r="BQ6" s="796"/>
      <c r="BR6" s="796"/>
      <c r="BS6" s="797" t="s">
        <v>126</v>
      </c>
      <c r="BT6" s="796"/>
      <c r="BU6" s="796"/>
      <c r="BV6" s="798"/>
      <c r="BW6" s="780" t="s">
        <v>127</v>
      </c>
      <c r="BX6" s="780"/>
    </row>
    <row r="7" spans="1:76" ht="13" customHeight="1">
      <c r="A7" s="1120"/>
      <c r="B7" s="761" t="s">
        <v>481</v>
      </c>
      <c r="C7" s="761" t="s">
        <v>482</v>
      </c>
      <c r="D7" s="761" t="s">
        <v>483</v>
      </c>
      <c r="E7" s="761" t="s">
        <v>484</v>
      </c>
      <c r="F7" s="761" t="s">
        <v>485</v>
      </c>
      <c r="G7" s="761" t="s">
        <v>8</v>
      </c>
      <c r="H7" s="1120"/>
      <c r="I7" s="1120"/>
      <c r="J7" s="837"/>
      <c r="K7" s="837"/>
      <c r="L7" s="1124"/>
      <c r="M7" s="828"/>
      <c r="BO7" s="796"/>
      <c r="BP7" s="743" t="s">
        <v>19</v>
      </c>
      <c r="BQ7" s="743" t="s">
        <v>129</v>
      </c>
      <c r="BR7" s="742" t="s">
        <v>14</v>
      </c>
      <c r="BS7" s="743" t="s">
        <v>6</v>
      </c>
      <c r="BT7" s="742" t="s">
        <v>15</v>
      </c>
      <c r="BU7" s="743" t="s">
        <v>8</v>
      </c>
      <c r="BV7" s="743"/>
      <c r="BW7" s="742" t="s">
        <v>128</v>
      </c>
      <c r="BX7" s="742" t="s">
        <v>16</v>
      </c>
    </row>
    <row r="8" spans="1:76" ht="15" customHeight="1">
      <c r="A8" s="840" t="s">
        <v>56</v>
      </c>
      <c r="B8" s="1073">
        <f t="shared" ref="B8:G8" si="0">SUM(B9:B20)</f>
        <v>1792476.3568425369</v>
      </c>
      <c r="C8" s="1073">
        <f t="shared" si="0"/>
        <v>1658504.3976979584</v>
      </c>
      <c r="D8" s="1073">
        <f t="shared" si="0"/>
        <v>33795.157008904876</v>
      </c>
      <c r="E8" s="1073">
        <f t="shared" si="0"/>
        <v>182104.93524709987</v>
      </c>
      <c r="F8" s="1073">
        <f t="shared" si="0"/>
        <v>198353.75747947913</v>
      </c>
      <c r="G8" s="1073">
        <f t="shared" si="0"/>
        <v>5102.2518173164126</v>
      </c>
      <c r="H8" s="1073">
        <f>SUM(H9:H20)</f>
        <v>650000</v>
      </c>
      <c r="I8" s="1073">
        <f>SUM(I9:I20)</f>
        <v>488484.43735854398</v>
      </c>
      <c r="J8" s="838"/>
      <c r="K8" s="838"/>
      <c r="L8" s="838"/>
      <c r="BO8" s="799" t="s">
        <v>56</v>
      </c>
      <c r="BP8" s="800">
        <f t="shared" ref="BP8:BU8" si="1">SUM(BP9:BP20)</f>
        <v>617417</v>
      </c>
      <c r="BQ8" s="800">
        <f t="shared" si="1"/>
        <v>0</v>
      </c>
      <c r="BR8" s="800">
        <f t="shared" si="1"/>
        <v>31999.5</v>
      </c>
      <c r="BS8" s="800">
        <f t="shared" si="1"/>
        <v>84973.919999999984</v>
      </c>
      <c r="BT8" s="800">
        <f t="shared" si="1"/>
        <v>145475</v>
      </c>
      <c r="BU8" s="800">
        <f t="shared" si="1"/>
        <v>6217.7999999999993</v>
      </c>
      <c r="BV8" s="800"/>
      <c r="BW8" s="800">
        <f>SUM(BW9:BW20)</f>
        <v>325300</v>
      </c>
      <c r="BX8" s="800">
        <f>SUM(BX9:BX20)</f>
        <v>181601</v>
      </c>
    </row>
    <row r="9" spans="1:76" ht="13" customHeight="1">
      <c r="A9" s="791" t="s">
        <v>57</v>
      </c>
      <c r="B9" s="1074">
        <v>142688.35523059909</v>
      </c>
      <c r="C9" s="1074">
        <v>132220.11678083424</v>
      </c>
      <c r="D9" s="1074">
        <v>2335.6494214810477</v>
      </c>
      <c r="E9" s="1074">
        <v>14736.004558037401</v>
      </c>
      <c r="F9" s="1074">
        <v>14721.295281604635</v>
      </c>
      <c r="G9" s="1074">
        <v>372.76647691357209</v>
      </c>
      <c r="H9" s="1074">
        <v>57652.577783991175</v>
      </c>
      <c r="I9" s="1074">
        <v>40058.460631824273</v>
      </c>
      <c r="J9" s="836"/>
      <c r="K9" s="836"/>
      <c r="L9" s="836"/>
      <c r="M9" s="771"/>
      <c r="BO9" s="791" t="s">
        <v>88</v>
      </c>
      <c r="BP9" s="771">
        <v>45967</v>
      </c>
      <c r="BQ9" s="771"/>
      <c r="BR9" s="771">
        <v>2297.5</v>
      </c>
      <c r="BS9" s="771">
        <v>6299.45</v>
      </c>
      <c r="BT9" s="771">
        <v>10942</v>
      </c>
      <c r="BU9" s="771">
        <v>490</v>
      </c>
      <c r="BV9" s="771"/>
      <c r="BW9" s="771">
        <v>36000</v>
      </c>
      <c r="BX9" s="771">
        <v>13971</v>
      </c>
    </row>
    <row r="10" spans="1:76" ht="13" customHeight="1">
      <c r="A10" s="791" t="s">
        <v>58</v>
      </c>
      <c r="B10" s="1074">
        <v>128124.78214461151</v>
      </c>
      <c r="C10" s="1074">
        <v>118221.64486835139</v>
      </c>
      <c r="D10" s="1074">
        <v>2549.7452184794001</v>
      </c>
      <c r="E10" s="1074">
        <v>14364.282434205597</v>
      </c>
      <c r="F10" s="1074">
        <v>15560.991017058543</v>
      </c>
      <c r="G10" s="1074">
        <v>404.15850927436793</v>
      </c>
      <c r="H10" s="1075">
        <v>53472.513475309512</v>
      </c>
      <c r="I10" s="1075">
        <v>40248.487523715638</v>
      </c>
      <c r="J10" s="836"/>
      <c r="K10" s="836"/>
      <c r="L10" s="836"/>
      <c r="M10" s="802"/>
      <c r="BO10" s="791" t="s">
        <v>89</v>
      </c>
      <c r="BP10" s="771">
        <v>48922</v>
      </c>
      <c r="BQ10" s="771"/>
      <c r="BR10" s="771">
        <v>2329</v>
      </c>
      <c r="BS10" s="771">
        <v>6890.01</v>
      </c>
      <c r="BT10" s="771">
        <v>11392</v>
      </c>
      <c r="BU10" s="771">
        <v>500</v>
      </c>
      <c r="BV10" s="771"/>
      <c r="BW10" s="771">
        <v>28200</v>
      </c>
      <c r="BX10" s="771">
        <v>13892</v>
      </c>
    </row>
    <row r="11" spans="1:76" ht="13" customHeight="1">
      <c r="A11" s="791" t="s">
        <v>59</v>
      </c>
      <c r="B11" s="1074">
        <v>144014.05575395736</v>
      </c>
      <c r="C11" s="1074">
        <v>133354.81987450854</v>
      </c>
      <c r="D11" s="1074">
        <v>2727.6608779999997</v>
      </c>
      <c r="E11" s="1074">
        <v>14341.563949961601</v>
      </c>
      <c r="F11" s="1074">
        <v>16204.265098599413</v>
      </c>
      <c r="G11" s="1074">
        <v>420.54353830764933</v>
      </c>
      <c r="H11" s="1075">
        <v>62842.319461919629</v>
      </c>
      <c r="I11" s="1075">
        <v>40239.522456299324</v>
      </c>
      <c r="J11" s="836"/>
      <c r="K11" s="836"/>
      <c r="L11" s="836"/>
      <c r="M11" s="802"/>
      <c r="BO11" s="791" t="s">
        <v>90</v>
      </c>
      <c r="BP11" s="771">
        <v>50546</v>
      </c>
      <c r="BQ11" s="771"/>
      <c r="BR11" s="771">
        <v>2550</v>
      </c>
      <c r="BS11" s="771">
        <v>6877.14</v>
      </c>
      <c r="BT11" s="771">
        <v>11670</v>
      </c>
      <c r="BU11" s="771">
        <v>539</v>
      </c>
      <c r="BV11" s="771"/>
      <c r="BW11" s="771">
        <v>29600</v>
      </c>
      <c r="BX11" s="771">
        <v>13866</v>
      </c>
    </row>
    <row r="12" spans="1:76" ht="13" customHeight="1">
      <c r="A12" s="791" t="s">
        <v>60</v>
      </c>
      <c r="B12" s="1074">
        <v>148096.76730430304</v>
      </c>
      <c r="C12" s="1074">
        <v>138304.20752439997</v>
      </c>
      <c r="D12" s="1074">
        <v>3082.6359457299773</v>
      </c>
      <c r="E12" s="1074">
        <v>15166.778419247581</v>
      </c>
      <c r="F12" s="1074">
        <v>17165.269970325142</v>
      </c>
      <c r="G12" s="1074">
        <v>432.32441908486663</v>
      </c>
      <c r="H12" s="1075">
        <v>58419.932584618728</v>
      </c>
      <c r="I12" s="1075">
        <v>40299.270675872009</v>
      </c>
      <c r="J12" s="836"/>
      <c r="K12" s="836"/>
      <c r="L12" s="836"/>
      <c r="M12" s="802"/>
      <c r="BO12" s="791" t="s">
        <v>91</v>
      </c>
      <c r="BP12" s="771">
        <v>49120</v>
      </c>
      <c r="BQ12" s="771"/>
      <c r="BR12" s="771">
        <v>3012</v>
      </c>
      <c r="BS12" s="771">
        <v>7264.02</v>
      </c>
      <c r="BT12" s="771">
        <v>12385</v>
      </c>
      <c r="BU12" s="771">
        <v>520</v>
      </c>
      <c r="BV12" s="771"/>
      <c r="BW12" s="771">
        <v>23800</v>
      </c>
      <c r="BX12" s="771">
        <v>15832</v>
      </c>
    </row>
    <row r="13" spans="1:76" ht="13" customHeight="1">
      <c r="A13" s="791" t="s">
        <v>61</v>
      </c>
      <c r="B13" s="1074">
        <v>151934.68200980974</v>
      </c>
      <c r="C13" s="1074">
        <v>141311.37252432093</v>
      </c>
      <c r="D13" s="1074">
        <v>3210.7729303796827</v>
      </c>
      <c r="E13" s="1074">
        <v>14913.883294593186</v>
      </c>
      <c r="F13" s="1074">
        <v>17746.762354663028</v>
      </c>
      <c r="G13" s="1074">
        <v>447.8732049399398</v>
      </c>
      <c r="H13" s="1075">
        <v>56521.739130434784</v>
      </c>
      <c r="I13" s="1075">
        <v>40687.84146642765</v>
      </c>
      <c r="J13" s="836"/>
      <c r="K13" s="836"/>
      <c r="L13" s="836"/>
      <c r="M13" s="802"/>
      <c r="BO13" s="791" t="s">
        <v>92</v>
      </c>
      <c r="BP13" s="771">
        <v>52577</v>
      </c>
      <c r="BQ13" s="771"/>
      <c r="BR13" s="771">
        <v>3181</v>
      </c>
      <c r="BS13" s="771">
        <v>7132</v>
      </c>
      <c r="BT13" s="771">
        <v>12536</v>
      </c>
      <c r="BU13" s="771">
        <v>515</v>
      </c>
      <c r="BV13" s="771"/>
      <c r="BW13" s="771">
        <v>27800</v>
      </c>
      <c r="BX13" s="771">
        <v>15061</v>
      </c>
    </row>
    <row r="14" spans="1:76" ht="13" customHeight="1">
      <c r="A14" s="791" t="s">
        <v>62</v>
      </c>
      <c r="B14" s="1074">
        <v>151067.0183893097</v>
      </c>
      <c r="C14" s="1074">
        <v>140932.54160340223</v>
      </c>
      <c r="D14" s="1074">
        <v>3210.1570789795651</v>
      </c>
      <c r="E14" s="1074">
        <v>15573.01574287965</v>
      </c>
      <c r="F14" s="1074">
        <v>17741.356068118865</v>
      </c>
      <c r="G14" s="1074">
        <v>472.05425062021629</v>
      </c>
      <c r="H14" s="1075">
        <v>48898.674992621585</v>
      </c>
      <c r="I14" s="1075">
        <v>40523.433096923807</v>
      </c>
      <c r="J14" s="836"/>
      <c r="K14" s="836"/>
      <c r="L14" s="836"/>
      <c r="M14" s="802"/>
      <c r="BO14" s="791" t="s">
        <v>93</v>
      </c>
      <c r="BP14" s="771">
        <v>52595</v>
      </c>
      <c r="BQ14" s="771"/>
      <c r="BR14" s="771">
        <v>3247</v>
      </c>
      <c r="BS14" s="771">
        <v>7283</v>
      </c>
      <c r="BT14" s="771">
        <v>12799</v>
      </c>
      <c r="BU14" s="771">
        <v>531</v>
      </c>
      <c r="BV14" s="771"/>
      <c r="BW14" s="771">
        <v>26100</v>
      </c>
      <c r="BX14" s="771">
        <v>15631</v>
      </c>
    </row>
    <row r="15" spans="1:76" ht="13" customHeight="1">
      <c r="A15" s="791" t="s">
        <v>63</v>
      </c>
      <c r="B15" s="1074">
        <v>156300.61924943389</v>
      </c>
      <c r="C15" s="1074">
        <v>144882.84620070324</v>
      </c>
      <c r="D15" s="1074">
        <v>3122.870007977258</v>
      </c>
      <c r="E15" s="1074">
        <v>16576.875227076529</v>
      </c>
      <c r="F15" s="1074">
        <v>17421.208594249845</v>
      </c>
      <c r="G15" s="1074">
        <v>464.88899714196475</v>
      </c>
      <c r="H15" s="1075">
        <v>49645.8362458642</v>
      </c>
      <c r="I15" s="1075">
        <v>40408.487816174624</v>
      </c>
      <c r="J15" s="836"/>
      <c r="K15" s="836"/>
      <c r="L15" s="836"/>
      <c r="M15" s="802"/>
      <c r="BO15" s="791" t="s">
        <v>94</v>
      </c>
      <c r="BP15" s="771">
        <v>50656</v>
      </c>
      <c r="BQ15" s="771"/>
      <c r="BR15" s="771">
        <v>3037</v>
      </c>
      <c r="BS15" s="771">
        <v>7173.07</v>
      </c>
      <c r="BT15" s="771">
        <v>12739</v>
      </c>
      <c r="BU15" s="771">
        <v>517</v>
      </c>
      <c r="BV15" s="771"/>
      <c r="BW15" s="771">
        <v>25600</v>
      </c>
      <c r="BX15" s="771">
        <v>15460</v>
      </c>
    </row>
    <row r="16" spans="1:76" ht="13" customHeight="1">
      <c r="A16" s="791" t="s">
        <v>64</v>
      </c>
      <c r="B16" s="1074">
        <v>159309.59281128302</v>
      </c>
      <c r="C16" s="1074">
        <v>147196.98232948926</v>
      </c>
      <c r="D16" s="1074">
        <v>2963.4583046784937</v>
      </c>
      <c r="E16" s="1074">
        <v>15222.314121788084</v>
      </c>
      <c r="F16" s="1074">
        <v>16947.308944038174</v>
      </c>
      <c r="G16" s="1074">
        <v>443.96860603619848</v>
      </c>
      <c r="H16" s="1075">
        <v>48858.287897851711</v>
      </c>
      <c r="I16" s="1075">
        <v>40433.314136112363</v>
      </c>
      <c r="J16" s="836"/>
      <c r="K16" s="836"/>
      <c r="L16" s="836"/>
      <c r="M16" s="802"/>
      <c r="BO16" s="791" t="s">
        <v>95</v>
      </c>
      <c r="BP16" s="771">
        <v>52402</v>
      </c>
      <c r="BQ16" s="771"/>
      <c r="BR16" s="771">
        <v>2799</v>
      </c>
      <c r="BS16" s="771">
        <v>7036</v>
      </c>
      <c r="BT16" s="771">
        <v>12539</v>
      </c>
      <c r="BU16" s="771">
        <v>531</v>
      </c>
      <c r="BV16" s="771"/>
      <c r="BW16" s="771">
        <v>26500</v>
      </c>
      <c r="BX16" s="771">
        <v>15509</v>
      </c>
    </row>
    <row r="17" spans="1:76" ht="13" customHeight="1">
      <c r="A17" s="791" t="s">
        <v>65</v>
      </c>
      <c r="B17" s="1074">
        <v>153468.48819952869</v>
      </c>
      <c r="C17" s="1074">
        <v>140612.94789904237</v>
      </c>
      <c r="D17" s="1074">
        <v>2806.1649124840469</v>
      </c>
      <c r="E17" s="1074">
        <v>14797.089519547886</v>
      </c>
      <c r="F17" s="1074">
        <v>16289.737679474872</v>
      </c>
      <c r="G17" s="1074">
        <v>405.4185353094349</v>
      </c>
      <c r="H17" s="1075">
        <v>49060.223371701075</v>
      </c>
      <c r="I17" s="1075">
        <v>40549.244601707251</v>
      </c>
      <c r="J17" s="836"/>
      <c r="K17" s="836"/>
      <c r="L17" s="836"/>
      <c r="M17" s="802"/>
      <c r="BO17" s="791" t="s">
        <v>96</v>
      </c>
      <c r="BP17" s="771">
        <v>53163</v>
      </c>
      <c r="BQ17" s="771"/>
      <c r="BR17" s="771">
        <v>2618</v>
      </c>
      <c r="BS17" s="771">
        <v>7105.38</v>
      </c>
      <c r="BT17" s="771">
        <v>12041.5</v>
      </c>
      <c r="BU17" s="771">
        <v>519</v>
      </c>
      <c r="BV17" s="771"/>
      <c r="BW17" s="771">
        <v>25800</v>
      </c>
      <c r="BX17" s="771">
        <v>15501</v>
      </c>
    </row>
    <row r="18" spans="1:76" ht="13" customHeight="1">
      <c r="A18" s="791" t="s">
        <v>66</v>
      </c>
      <c r="B18" s="1074">
        <v>154458.20098989847</v>
      </c>
      <c r="C18" s="1074">
        <v>142401.51082927288</v>
      </c>
      <c r="D18" s="1074">
        <v>2613.739131988134</v>
      </c>
      <c r="E18" s="1074">
        <v>14970.653153483318</v>
      </c>
      <c r="F18" s="1074">
        <v>15985.231819852035</v>
      </c>
      <c r="G18" s="1074">
        <v>385.58055172800243</v>
      </c>
      <c r="H18" s="1075">
        <v>52220.513537443505</v>
      </c>
      <c r="I18" s="1075">
        <v>41134.023047747723</v>
      </c>
      <c r="J18" s="836"/>
      <c r="K18" s="836"/>
      <c r="L18" s="836"/>
      <c r="M18" s="802"/>
      <c r="BO18" s="791" t="s">
        <v>97</v>
      </c>
      <c r="BP18" s="771">
        <v>51559</v>
      </c>
      <c r="BQ18" s="771"/>
      <c r="BR18" s="771">
        <v>2325</v>
      </c>
      <c r="BS18" s="771">
        <v>6985.01</v>
      </c>
      <c r="BT18" s="771">
        <v>12554.5</v>
      </c>
      <c r="BU18" s="771">
        <v>493</v>
      </c>
      <c r="BV18" s="771"/>
      <c r="BW18" s="771">
        <v>23800</v>
      </c>
      <c r="BX18" s="771">
        <v>15767</v>
      </c>
    </row>
    <row r="19" spans="1:76" ht="13" customHeight="1">
      <c r="A19" s="791" t="s">
        <v>67</v>
      </c>
      <c r="B19" s="1074">
        <v>147071.94197498352</v>
      </c>
      <c r="C19" s="1074">
        <v>135681.21746567416</v>
      </c>
      <c r="D19" s="1074">
        <v>2571.6622367268669</v>
      </c>
      <c r="E19" s="1074">
        <v>14678.109416932639</v>
      </c>
      <c r="F19" s="1074">
        <v>16044.293041610908</v>
      </c>
      <c r="G19" s="1074">
        <v>407.38621085130251</v>
      </c>
      <c r="H19" s="1075">
        <v>55582.739177035277</v>
      </c>
      <c r="I19" s="1075">
        <v>41845.143512812465</v>
      </c>
      <c r="J19" s="836"/>
      <c r="K19" s="836"/>
      <c r="L19" s="836"/>
      <c r="M19" s="802"/>
      <c r="BO19" s="791" t="s">
        <v>98</v>
      </c>
      <c r="BP19" s="771">
        <v>52680</v>
      </c>
      <c r="BQ19" s="771"/>
      <c r="BR19" s="771">
        <v>2301</v>
      </c>
      <c r="BS19" s="771">
        <v>7307.39</v>
      </c>
      <c r="BT19" s="771">
        <v>11820.5</v>
      </c>
      <c r="BU19" s="771">
        <v>529.4</v>
      </c>
      <c r="BV19" s="771"/>
      <c r="BW19" s="771">
        <v>23800</v>
      </c>
      <c r="BX19" s="771">
        <v>15834</v>
      </c>
    </row>
    <row r="20" spans="1:76" ht="13" customHeight="1" thickBot="1">
      <c r="A20" s="803" t="s">
        <v>68</v>
      </c>
      <c r="B20" s="1076">
        <v>155941.8527848188</v>
      </c>
      <c r="C20" s="1076">
        <v>143384.18979795903</v>
      </c>
      <c r="D20" s="1076">
        <v>2600.6409420004006</v>
      </c>
      <c r="E20" s="1076">
        <v>16764.365409346392</v>
      </c>
      <c r="F20" s="1076">
        <v>16526.037609883664</v>
      </c>
      <c r="G20" s="1076">
        <v>445.28851710889717</v>
      </c>
      <c r="H20" s="1076">
        <v>56824.642341208819</v>
      </c>
      <c r="I20" s="1076">
        <v>42057.20839292687</v>
      </c>
      <c r="J20" s="836"/>
      <c r="K20" s="836"/>
      <c r="L20" s="836"/>
      <c r="M20" s="802"/>
      <c r="BO20" s="803" t="s">
        <v>99</v>
      </c>
      <c r="BP20" s="804">
        <v>57230</v>
      </c>
      <c r="BQ20" s="804"/>
      <c r="BR20" s="804">
        <v>2303</v>
      </c>
      <c r="BS20" s="804">
        <v>7621.45</v>
      </c>
      <c r="BT20" s="804">
        <v>12056.5</v>
      </c>
      <c r="BU20" s="804">
        <v>533.4</v>
      </c>
      <c r="BV20" s="804"/>
      <c r="BW20" s="804">
        <v>28300</v>
      </c>
      <c r="BX20" s="804">
        <v>15277</v>
      </c>
    </row>
    <row r="21" spans="1:76" ht="10" customHeight="1">
      <c r="A21" s="841" t="s">
        <v>476</v>
      </c>
      <c r="B21" s="842"/>
      <c r="C21" s="842"/>
      <c r="D21" s="767" t="s">
        <v>489</v>
      </c>
      <c r="E21" s="842"/>
      <c r="F21" s="842"/>
      <c r="G21" s="767"/>
      <c r="H21" s="842"/>
      <c r="I21" s="842"/>
      <c r="M21" s="802"/>
      <c r="BO21" s="805" t="s">
        <v>130</v>
      </c>
      <c r="BR21" s="805" t="s">
        <v>469</v>
      </c>
      <c r="BU21" s="805" t="s">
        <v>131</v>
      </c>
      <c r="BW21" s="806"/>
    </row>
    <row r="22" spans="1:76" ht="10" customHeight="1">
      <c r="A22" s="725" t="s">
        <v>467</v>
      </c>
      <c r="B22" s="842"/>
      <c r="C22" s="842"/>
      <c r="D22" s="841"/>
      <c r="E22" s="842"/>
      <c r="F22" s="842"/>
      <c r="G22" s="767"/>
      <c r="H22" s="842"/>
      <c r="I22" s="842"/>
      <c r="M22" s="802"/>
      <c r="BO22" s="805"/>
      <c r="BR22" s="805"/>
      <c r="BU22" s="805"/>
      <c r="BW22" s="806"/>
    </row>
    <row r="23" spans="1:76" ht="10" customHeight="1">
      <c r="A23" s="764" t="s">
        <v>213</v>
      </c>
      <c r="B23" s="762"/>
      <c r="C23" s="763"/>
      <c r="D23" s="763"/>
      <c r="E23" s="768"/>
      <c r="F23" s="768"/>
      <c r="G23" s="768"/>
      <c r="H23" s="768"/>
      <c r="I23" s="843"/>
      <c r="M23" s="802"/>
      <c r="BO23" s="770"/>
      <c r="BW23" s="806"/>
    </row>
    <row r="24" spans="1:76" ht="10" customHeight="1">
      <c r="A24" s="765" t="s">
        <v>261</v>
      </c>
      <c r="B24" s="762"/>
      <c r="C24" s="762"/>
      <c r="D24" s="766"/>
      <c r="E24" s="768"/>
      <c r="F24" s="768"/>
      <c r="G24" s="768"/>
      <c r="H24" s="768"/>
      <c r="I24" s="843"/>
      <c r="M24" s="802"/>
      <c r="BO24" s="770"/>
      <c r="BW24" s="806"/>
    </row>
    <row r="25" spans="1:76" ht="10" customHeight="1">
      <c r="A25" s="769"/>
      <c r="B25" s="768"/>
      <c r="C25" s="768"/>
      <c r="D25" s="768"/>
      <c r="E25" s="768"/>
      <c r="F25" s="768"/>
      <c r="G25" s="768"/>
      <c r="H25" s="768"/>
      <c r="I25" s="843"/>
      <c r="M25" s="802"/>
      <c r="BO25" s="770"/>
      <c r="BW25" s="806"/>
    </row>
    <row r="26" spans="1:76" ht="13" customHeight="1">
      <c r="A26" s="844" t="s">
        <v>492</v>
      </c>
      <c r="B26" s="792"/>
      <c r="C26" s="792"/>
      <c r="D26" s="792"/>
      <c r="E26" s="792"/>
      <c r="F26" s="792"/>
      <c r="G26" s="792"/>
      <c r="H26" s="792"/>
      <c r="I26" s="792"/>
      <c r="J26" s="792"/>
      <c r="K26" s="792"/>
      <c r="M26" s="802"/>
      <c r="BO26" s="1125" t="s">
        <v>470</v>
      </c>
      <c r="BP26" s="1125"/>
      <c r="BQ26" s="1125"/>
      <c r="BR26" s="1125"/>
      <c r="BS26" s="1125"/>
      <c r="BT26" s="1125"/>
      <c r="BU26" s="1125"/>
      <c r="BV26" s="1125"/>
      <c r="BW26" s="1125"/>
      <c r="BX26" s="1125"/>
    </row>
    <row r="27" spans="1:76" ht="13" customHeight="1">
      <c r="A27" s="748" t="s">
        <v>490</v>
      </c>
      <c r="B27" s="793"/>
      <c r="C27" s="793"/>
      <c r="D27" s="793"/>
      <c r="E27" s="793"/>
      <c r="F27" s="793"/>
      <c r="G27" s="793"/>
      <c r="H27" s="793"/>
      <c r="I27" s="793"/>
      <c r="J27" s="794"/>
      <c r="K27" s="794"/>
      <c r="M27" s="802"/>
      <c r="BO27" s="795"/>
      <c r="BP27" s="795"/>
      <c r="BQ27" s="795"/>
      <c r="BR27" s="795"/>
      <c r="BS27" s="795"/>
      <c r="BT27" s="795"/>
      <c r="BU27" s="795"/>
      <c r="BV27" s="795"/>
      <c r="BW27" s="795"/>
      <c r="BX27" s="795"/>
    </row>
    <row r="28" spans="1:76" ht="4" customHeight="1" thickBot="1">
      <c r="A28" s="823"/>
      <c r="B28" s="823"/>
      <c r="C28" s="823"/>
      <c r="D28" s="823"/>
      <c r="E28" s="823"/>
      <c r="F28" s="823"/>
      <c r="G28" s="823"/>
      <c r="H28" s="823"/>
      <c r="I28" s="823"/>
      <c r="J28" s="849"/>
      <c r="K28" s="774"/>
      <c r="L28" s="798"/>
      <c r="M28" s="802"/>
      <c r="BO28" s="1126" t="s">
        <v>468</v>
      </c>
      <c r="BP28" s="1126"/>
      <c r="BQ28" s="1126"/>
      <c r="BR28" s="1126"/>
      <c r="BS28" s="1126"/>
      <c r="BT28" s="1126"/>
      <c r="BU28" s="1126"/>
      <c r="BV28" s="1126"/>
      <c r="BW28" s="1126"/>
      <c r="BX28" s="1126"/>
    </row>
    <row r="29" spans="1:76" ht="13" customHeight="1">
      <c r="A29" s="1119" t="s">
        <v>122</v>
      </c>
      <c r="B29" s="833"/>
      <c r="C29" s="833"/>
      <c r="D29" s="833"/>
      <c r="E29" s="834" t="s">
        <v>126</v>
      </c>
      <c r="F29" s="833"/>
      <c r="G29" s="833"/>
      <c r="H29" s="1119" t="s">
        <v>488</v>
      </c>
      <c r="I29" s="1119" t="s">
        <v>16</v>
      </c>
      <c r="J29" s="835"/>
      <c r="K29" s="835"/>
      <c r="L29" s="1124"/>
      <c r="M29" s="836"/>
      <c r="BO29" s="780" t="s">
        <v>122</v>
      </c>
      <c r="BP29" s="796"/>
      <c r="BQ29" s="796"/>
      <c r="BR29" s="796"/>
      <c r="BS29" s="797" t="s">
        <v>126</v>
      </c>
      <c r="BT29" s="796"/>
      <c r="BU29" s="796"/>
      <c r="BV29" s="798"/>
      <c r="BW29" s="780" t="s">
        <v>127</v>
      </c>
      <c r="BX29" s="780"/>
    </row>
    <row r="30" spans="1:76" ht="13" customHeight="1">
      <c r="A30" s="1120"/>
      <c r="B30" s="761" t="s">
        <v>481</v>
      </c>
      <c r="C30" s="761" t="s">
        <v>482</v>
      </c>
      <c r="D30" s="761" t="s">
        <v>483</v>
      </c>
      <c r="E30" s="761" t="s">
        <v>484</v>
      </c>
      <c r="F30" s="761" t="s">
        <v>485</v>
      </c>
      <c r="G30" s="761" t="s">
        <v>8</v>
      </c>
      <c r="H30" s="1120"/>
      <c r="I30" s="1120"/>
      <c r="J30" s="837"/>
      <c r="K30" s="837"/>
      <c r="L30" s="1124"/>
      <c r="M30" s="836"/>
      <c r="BO30" s="796"/>
      <c r="BP30" s="743" t="s">
        <v>19</v>
      </c>
      <c r="BQ30" s="743" t="s">
        <v>129</v>
      </c>
      <c r="BR30" s="742" t="s">
        <v>14</v>
      </c>
      <c r="BS30" s="743" t="s">
        <v>6</v>
      </c>
      <c r="BT30" s="742" t="s">
        <v>15</v>
      </c>
      <c r="BU30" s="743" t="s">
        <v>8</v>
      </c>
      <c r="BV30" s="743"/>
      <c r="BW30" s="742" t="s">
        <v>128</v>
      </c>
      <c r="BX30" s="742" t="s">
        <v>16</v>
      </c>
    </row>
    <row r="31" spans="1:76" ht="15" customHeight="1">
      <c r="A31" s="840" t="s">
        <v>56</v>
      </c>
      <c r="B31" s="1073">
        <f t="shared" ref="B31:G31" si="2">SUM(B32:B43)</f>
        <v>1746762.1982206854</v>
      </c>
      <c r="C31" s="1073">
        <f t="shared" si="2"/>
        <v>1617345.1308473956</v>
      </c>
      <c r="D31" s="1073">
        <f t="shared" si="2"/>
        <v>33685.994879928345</v>
      </c>
      <c r="E31" s="1073">
        <f t="shared" si="2"/>
        <v>173241.68169374348</v>
      </c>
      <c r="F31" s="1073">
        <f t="shared" si="2"/>
        <v>194981.55462011011</v>
      </c>
      <c r="G31" s="1073">
        <f t="shared" si="2"/>
        <v>5015.4424827066432</v>
      </c>
      <c r="H31" s="1073">
        <f>SUM(H32:H43)</f>
        <v>643770</v>
      </c>
      <c r="I31" s="1073">
        <f>SUM(I32:I43)</f>
        <v>452234.36143020255</v>
      </c>
      <c r="J31" s="839"/>
      <c r="K31" s="839"/>
      <c r="L31" s="839"/>
      <c r="M31" s="836"/>
      <c r="BO31" s="799" t="s">
        <v>56</v>
      </c>
      <c r="BP31" s="801">
        <f t="shared" ref="BP31:BU31" si="3">SUM(BP32:BP43)</f>
        <v>578248</v>
      </c>
      <c r="BQ31" s="801">
        <f t="shared" si="3"/>
        <v>380402</v>
      </c>
      <c r="BR31" s="801">
        <f t="shared" si="3"/>
        <v>32068</v>
      </c>
      <c r="BS31" s="801">
        <f t="shared" si="3"/>
        <v>94959.5</v>
      </c>
      <c r="BT31" s="801">
        <f t="shared" si="3"/>
        <v>139885</v>
      </c>
      <c r="BU31" s="801">
        <f t="shared" si="3"/>
        <v>6467</v>
      </c>
      <c r="BV31" s="801"/>
      <c r="BW31" s="801">
        <f>SUM(BW32:BW43)</f>
        <v>374700</v>
      </c>
      <c r="BX31" s="801">
        <f>SUM(BX32:BX43)</f>
        <v>152241.59999999998</v>
      </c>
    </row>
    <row r="32" spans="1:76" ht="13" customHeight="1">
      <c r="A32" s="791" t="s">
        <v>57</v>
      </c>
      <c r="B32" s="1074">
        <v>135540.59641768126</v>
      </c>
      <c r="C32" s="1074">
        <v>125925.46586121999</v>
      </c>
      <c r="D32" s="1074">
        <v>2402.5941251717645</v>
      </c>
      <c r="E32" s="1074">
        <v>13572.780650312583</v>
      </c>
      <c r="F32" s="1074">
        <v>14645.941087047759</v>
      </c>
      <c r="G32" s="1074">
        <v>372.8273023736192</v>
      </c>
      <c r="H32" s="1074">
        <v>57100</v>
      </c>
      <c r="I32" s="1074">
        <v>34870.815012079882</v>
      </c>
      <c r="J32" s="836"/>
      <c r="K32" s="836"/>
      <c r="L32" s="836"/>
      <c r="M32" s="836"/>
      <c r="BO32" s="791" t="s">
        <v>88</v>
      </c>
      <c r="BP32" s="771">
        <v>45102</v>
      </c>
      <c r="BQ32" s="771">
        <v>30844</v>
      </c>
      <c r="BR32" s="771">
        <v>2229</v>
      </c>
      <c r="BS32" s="771">
        <v>7225</v>
      </c>
      <c r="BT32" s="771">
        <v>10586</v>
      </c>
      <c r="BU32" s="771">
        <v>524</v>
      </c>
      <c r="BV32" s="771"/>
      <c r="BW32" s="771">
        <v>41900</v>
      </c>
      <c r="BX32" s="771">
        <v>11459</v>
      </c>
    </row>
    <row r="33" spans="1:76" ht="13" customHeight="1">
      <c r="A33" s="791" t="s">
        <v>58</v>
      </c>
      <c r="B33" s="1074">
        <v>122694.21620974186</v>
      </c>
      <c r="C33" s="1074">
        <v>113673.04184133712</v>
      </c>
      <c r="D33" s="1074">
        <v>2568.4302640562087</v>
      </c>
      <c r="E33" s="1074">
        <v>13001.039498006297</v>
      </c>
      <c r="F33" s="1074">
        <v>15013.529257331702</v>
      </c>
      <c r="G33" s="1074">
        <v>373.40333705784013</v>
      </c>
      <c r="H33" s="1075">
        <v>52960.000000000007</v>
      </c>
      <c r="I33" s="1075">
        <v>35099.368217706688</v>
      </c>
      <c r="J33" s="836"/>
      <c r="K33" s="836"/>
      <c r="L33" s="836"/>
      <c r="M33" s="836"/>
      <c r="BO33" s="791" t="s">
        <v>89</v>
      </c>
      <c r="BP33" s="771">
        <v>46879</v>
      </c>
      <c r="BQ33" s="771">
        <v>29083</v>
      </c>
      <c r="BR33" s="771">
        <v>2347</v>
      </c>
      <c r="BS33" s="771">
        <v>7309</v>
      </c>
      <c r="BT33" s="771">
        <v>11169</v>
      </c>
      <c r="BU33" s="771">
        <v>568</v>
      </c>
      <c r="BV33" s="771"/>
      <c r="BW33" s="771">
        <v>35300</v>
      </c>
      <c r="BX33" s="771">
        <v>15954</v>
      </c>
    </row>
    <row r="34" spans="1:76" ht="13" customHeight="1">
      <c r="A34" s="791" t="s">
        <v>59</v>
      </c>
      <c r="B34" s="1074">
        <v>138595.19582641983</v>
      </c>
      <c r="C34" s="1074">
        <v>129192.56132345714</v>
      </c>
      <c r="D34" s="1074">
        <v>2697.8427777141578</v>
      </c>
      <c r="E34" s="1074">
        <v>13612.569355315964</v>
      </c>
      <c r="F34" s="1074">
        <v>15708.057262007076</v>
      </c>
      <c r="G34" s="1074">
        <v>379.81560452463214</v>
      </c>
      <c r="H34" s="1075">
        <v>62240</v>
      </c>
      <c r="I34" s="1075">
        <v>35768.978845816491</v>
      </c>
      <c r="J34" s="836"/>
      <c r="K34" s="836"/>
      <c r="L34" s="836"/>
      <c r="M34" s="836"/>
      <c r="BO34" s="791" t="s">
        <v>90</v>
      </c>
      <c r="BP34" s="771">
        <v>48278</v>
      </c>
      <c r="BQ34" s="771">
        <v>28603</v>
      </c>
      <c r="BR34" s="771">
        <v>2513</v>
      </c>
      <c r="BS34" s="771">
        <v>7501</v>
      </c>
      <c r="BT34" s="771">
        <v>11410</v>
      </c>
      <c r="BU34" s="771">
        <v>572</v>
      </c>
      <c r="BV34" s="771"/>
      <c r="BW34" s="771">
        <v>32500</v>
      </c>
      <c r="BX34" s="771">
        <v>12217</v>
      </c>
    </row>
    <row r="35" spans="1:76" ht="13" customHeight="1">
      <c r="A35" s="791" t="s">
        <v>60</v>
      </c>
      <c r="B35" s="1074">
        <v>144071.02961051621</v>
      </c>
      <c r="C35" s="1074">
        <v>134944.03701083426</v>
      </c>
      <c r="D35" s="1074">
        <v>3077.4239524770396</v>
      </c>
      <c r="E35" s="1074">
        <v>13912.517633681704</v>
      </c>
      <c r="F35" s="1074">
        <v>16858.346984850072</v>
      </c>
      <c r="G35" s="1074">
        <v>413.6792891007168</v>
      </c>
      <c r="H35" s="1075">
        <v>57860</v>
      </c>
      <c r="I35" s="1075">
        <v>36372.409637428544</v>
      </c>
      <c r="J35" s="836"/>
      <c r="K35" s="836"/>
      <c r="L35" s="836"/>
      <c r="M35" s="836"/>
      <c r="BO35" s="791" t="s">
        <v>91</v>
      </c>
      <c r="BP35" s="771">
        <v>47609</v>
      </c>
      <c r="BQ35" s="771">
        <v>27196</v>
      </c>
      <c r="BR35" s="771">
        <v>2914</v>
      </c>
      <c r="BS35" s="771">
        <v>7592</v>
      </c>
      <c r="BT35" s="771">
        <v>11593</v>
      </c>
      <c r="BU35" s="771">
        <v>576</v>
      </c>
      <c r="BV35" s="771"/>
      <c r="BW35" s="771">
        <v>30600</v>
      </c>
      <c r="BX35" s="771">
        <v>12738</v>
      </c>
    </row>
    <row r="36" spans="1:76" ht="13" customHeight="1">
      <c r="A36" s="791" t="s">
        <v>61</v>
      </c>
      <c r="B36" s="1074">
        <v>150058.63602085359</v>
      </c>
      <c r="C36" s="1074">
        <v>139848.91481619855</v>
      </c>
      <c r="D36" s="1074">
        <v>3193.0764441708347</v>
      </c>
      <c r="E36" s="1074">
        <v>14342.331069533411</v>
      </c>
      <c r="F36" s="1074">
        <v>17718.739236446163</v>
      </c>
      <c r="G36" s="1074">
        <v>423.92861658068483</v>
      </c>
      <c r="H36" s="1075">
        <v>55980</v>
      </c>
      <c r="I36" s="1075">
        <v>37074.755845488857</v>
      </c>
      <c r="J36" s="836"/>
      <c r="K36" s="836"/>
      <c r="L36" s="836"/>
      <c r="M36" s="836"/>
      <c r="BO36" s="791" t="s">
        <v>92</v>
      </c>
      <c r="BP36" s="771">
        <v>46240</v>
      </c>
      <c r="BQ36" s="771">
        <v>31239</v>
      </c>
      <c r="BR36" s="771">
        <v>3018</v>
      </c>
      <c r="BS36" s="771">
        <v>7816</v>
      </c>
      <c r="BT36" s="771">
        <v>12063</v>
      </c>
      <c r="BU36" s="771">
        <v>565</v>
      </c>
      <c r="BV36" s="771"/>
      <c r="BW36" s="771">
        <v>29100</v>
      </c>
      <c r="BX36" s="771">
        <v>12579</v>
      </c>
    </row>
    <row r="37" spans="1:76" ht="13" customHeight="1">
      <c r="A37" s="791" t="s">
        <v>62</v>
      </c>
      <c r="B37" s="1074">
        <v>149436.69262450407</v>
      </c>
      <c r="C37" s="1074">
        <v>139015.30618914284</v>
      </c>
      <c r="D37" s="1074">
        <v>3150.1416921631353</v>
      </c>
      <c r="E37" s="1074">
        <v>14684.658939819103</v>
      </c>
      <c r="F37" s="1074">
        <v>17287.964417596009</v>
      </c>
      <c r="G37" s="1074">
        <v>445.14138583107757</v>
      </c>
      <c r="H37" s="1075">
        <v>48430</v>
      </c>
      <c r="I37" s="1075">
        <v>37575.942766541826</v>
      </c>
      <c r="J37" s="836"/>
      <c r="K37" s="836"/>
      <c r="L37" s="836"/>
      <c r="M37" s="836"/>
      <c r="BO37" s="791" t="s">
        <v>93</v>
      </c>
      <c r="BP37" s="771">
        <v>47405</v>
      </c>
      <c r="BQ37" s="771">
        <v>29856</v>
      </c>
      <c r="BR37" s="771">
        <v>3328</v>
      </c>
      <c r="BS37" s="771">
        <v>8014</v>
      </c>
      <c r="BT37" s="771">
        <v>12094</v>
      </c>
      <c r="BU37" s="771">
        <v>548</v>
      </c>
      <c r="BV37" s="771"/>
      <c r="BW37" s="771">
        <v>25900</v>
      </c>
      <c r="BX37" s="771">
        <v>12545</v>
      </c>
    </row>
    <row r="38" spans="1:76" ht="13" customHeight="1">
      <c r="A38" s="791" t="s">
        <v>63</v>
      </c>
      <c r="B38" s="1074">
        <v>154599.98695488379</v>
      </c>
      <c r="C38" s="1074">
        <v>142477.38102035428</v>
      </c>
      <c r="D38" s="1074">
        <v>3133.0207706185206</v>
      </c>
      <c r="E38" s="1074">
        <v>16259.058401336075</v>
      </c>
      <c r="F38" s="1074">
        <v>17311.211436689449</v>
      </c>
      <c r="G38" s="1074">
        <v>459.60343393210394</v>
      </c>
      <c r="H38" s="1075">
        <v>49169.999999999993</v>
      </c>
      <c r="I38" s="1075">
        <v>37789.630835498792</v>
      </c>
      <c r="J38" s="836"/>
      <c r="K38" s="836"/>
      <c r="L38" s="836"/>
      <c r="M38" s="836"/>
      <c r="BO38" s="791" t="s">
        <v>94</v>
      </c>
      <c r="BP38" s="771">
        <v>48535</v>
      </c>
      <c r="BQ38" s="771">
        <v>31568</v>
      </c>
      <c r="BR38" s="771">
        <v>3287</v>
      </c>
      <c r="BS38" s="771">
        <v>8529</v>
      </c>
      <c r="BT38" s="771">
        <v>12033</v>
      </c>
      <c r="BU38" s="771">
        <v>517.5</v>
      </c>
      <c r="BV38" s="771"/>
      <c r="BW38" s="771">
        <v>30900</v>
      </c>
      <c r="BX38" s="771">
        <v>12467</v>
      </c>
    </row>
    <row r="39" spans="1:76" ht="13" customHeight="1">
      <c r="A39" s="791" t="s">
        <v>64</v>
      </c>
      <c r="B39" s="1074">
        <v>155969.98841932404</v>
      </c>
      <c r="C39" s="1074">
        <v>144127.97071839994</v>
      </c>
      <c r="D39" s="1074">
        <v>2955.7403528960804</v>
      </c>
      <c r="E39" s="1074">
        <v>14591.075216452165</v>
      </c>
      <c r="F39" s="1074">
        <v>16569.485748325969</v>
      </c>
      <c r="G39" s="1074">
        <v>438.14198476278403</v>
      </c>
      <c r="H39" s="1075">
        <v>48390</v>
      </c>
      <c r="I39" s="1075">
        <v>38508.285278336029</v>
      </c>
      <c r="J39" s="836"/>
      <c r="K39" s="836"/>
      <c r="L39" s="836"/>
      <c r="M39" s="836"/>
      <c r="BO39" s="791" t="s">
        <v>95</v>
      </c>
      <c r="BP39" s="771">
        <v>49440</v>
      </c>
      <c r="BQ39" s="771">
        <v>32897</v>
      </c>
      <c r="BR39" s="771">
        <v>2908</v>
      </c>
      <c r="BS39" s="771">
        <v>8113</v>
      </c>
      <c r="BT39" s="771">
        <v>12051</v>
      </c>
      <c r="BU39" s="771">
        <v>513.5</v>
      </c>
      <c r="BV39" s="771"/>
      <c r="BW39" s="771">
        <v>25900</v>
      </c>
      <c r="BX39" s="771">
        <v>12871</v>
      </c>
    </row>
    <row r="40" spans="1:76" ht="13" customHeight="1">
      <c r="A40" s="791" t="s">
        <v>65</v>
      </c>
      <c r="B40" s="1074">
        <v>149386.95880516488</v>
      </c>
      <c r="C40" s="1074">
        <v>137002.68441331424</v>
      </c>
      <c r="D40" s="1074">
        <v>2717.902415224517</v>
      </c>
      <c r="E40" s="1074">
        <v>14082.886381257675</v>
      </c>
      <c r="F40" s="1074">
        <v>16266.962680797227</v>
      </c>
      <c r="G40" s="1074">
        <v>416.43155160471355</v>
      </c>
      <c r="H40" s="1075">
        <v>48590</v>
      </c>
      <c r="I40" s="1075">
        <v>38992.020822092796</v>
      </c>
      <c r="J40" s="836"/>
      <c r="K40" s="836"/>
      <c r="L40" s="836"/>
      <c r="M40" s="836"/>
      <c r="BO40" s="791" t="s">
        <v>96</v>
      </c>
      <c r="BP40" s="771">
        <v>47468</v>
      </c>
      <c r="BQ40" s="771">
        <v>34714</v>
      </c>
      <c r="BR40" s="771">
        <v>2681</v>
      </c>
      <c r="BS40" s="771">
        <v>7897</v>
      </c>
      <c r="BT40" s="771">
        <v>11479</v>
      </c>
      <c r="BU40" s="771">
        <v>500.5</v>
      </c>
      <c r="BV40" s="771"/>
      <c r="BW40" s="771">
        <v>25000</v>
      </c>
      <c r="BX40" s="771">
        <v>12209.4</v>
      </c>
    </row>
    <row r="41" spans="1:76" ht="13" customHeight="1">
      <c r="A41" s="791" t="s">
        <v>66</v>
      </c>
      <c r="B41" s="1074">
        <v>150781.14550943548</v>
      </c>
      <c r="C41" s="1074">
        <v>138999.25954381857</v>
      </c>
      <c r="D41" s="1074">
        <v>2580.4701863796613</v>
      </c>
      <c r="E41" s="1074">
        <v>14382.904537333698</v>
      </c>
      <c r="F41" s="1074">
        <v>15507.274655334691</v>
      </c>
      <c r="G41" s="1074">
        <v>410.7211215049457</v>
      </c>
      <c r="H41" s="1075">
        <v>51720.000000000007</v>
      </c>
      <c r="I41" s="1075">
        <v>39468.0224169543</v>
      </c>
      <c r="J41" s="836"/>
      <c r="K41" s="836"/>
      <c r="L41" s="836"/>
      <c r="M41" s="836"/>
      <c r="BO41" s="791" t="s">
        <v>97</v>
      </c>
      <c r="BP41" s="771">
        <v>48550</v>
      </c>
      <c r="BQ41" s="771">
        <v>34277</v>
      </c>
      <c r="BR41" s="771">
        <v>2349</v>
      </c>
      <c r="BS41" s="771">
        <v>7983</v>
      </c>
      <c r="BT41" s="771">
        <v>11607</v>
      </c>
      <c r="BU41" s="771">
        <v>498.5</v>
      </c>
      <c r="BV41" s="771"/>
      <c r="BW41" s="771">
        <v>27200</v>
      </c>
      <c r="BX41" s="771">
        <v>12396.4</v>
      </c>
    </row>
    <row r="42" spans="1:76" ht="13" customHeight="1">
      <c r="A42" s="791" t="s">
        <v>67</v>
      </c>
      <c r="B42" s="1074">
        <v>143835.65855686544</v>
      </c>
      <c r="C42" s="1074">
        <v>132664.89288661428</v>
      </c>
      <c r="D42" s="1074">
        <v>2562.6812659978259</v>
      </c>
      <c r="E42" s="1074">
        <v>14402.387966259077</v>
      </c>
      <c r="F42" s="1074">
        <v>15667.178727328022</v>
      </c>
      <c r="G42" s="1074">
        <v>416.77437429723204</v>
      </c>
      <c r="H42" s="1075">
        <v>55050</v>
      </c>
      <c r="I42" s="1075">
        <v>40066.433386593213</v>
      </c>
      <c r="J42" s="836"/>
      <c r="K42" s="836"/>
      <c r="L42" s="836"/>
      <c r="M42" s="836"/>
      <c r="BO42" s="791" t="s">
        <v>98</v>
      </c>
      <c r="BP42" s="771">
        <v>47516.5</v>
      </c>
      <c r="BQ42" s="771">
        <v>32600</v>
      </c>
      <c r="BR42" s="771">
        <v>2222.5</v>
      </c>
      <c r="BS42" s="771">
        <v>8324.5</v>
      </c>
      <c r="BT42" s="771">
        <v>11978</v>
      </c>
      <c r="BU42" s="771">
        <v>529.5</v>
      </c>
      <c r="BV42" s="771"/>
      <c r="BW42" s="771">
        <v>31100</v>
      </c>
      <c r="BX42" s="771">
        <v>12726.4</v>
      </c>
    </row>
    <row r="43" spans="1:76" ht="13" customHeight="1" thickBot="1">
      <c r="A43" s="803" t="s">
        <v>68</v>
      </c>
      <c r="B43" s="1076">
        <v>151792.09326529465</v>
      </c>
      <c r="C43" s="1076">
        <v>139473.61522270436</v>
      </c>
      <c r="D43" s="1076">
        <v>2646.6706330585948</v>
      </c>
      <c r="E43" s="1076">
        <v>16397.472044435697</v>
      </c>
      <c r="F43" s="1076">
        <v>16426.863126355955</v>
      </c>
      <c r="G43" s="1076">
        <v>464.97448113629218</v>
      </c>
      <c r="H43" s="1076">
        <v>56280</v>
      </c>
      <c r="I43" s="1076">
        <v>40647.698365665114</v>
      </c>
      <c r="J43" s="836"/>
      <c r="K43" s="836"/>
      <c r="L43" s="836"/>
      <c r="M43" s="836"/>
      <c r="BO43" s="803" t="s">
        <v>99</v>
      </c>
      <c r="BP43" s="804">
        <v>55225.5</v>
      </c>
      <c r="BQ43" s="804">
        <v>37525</v>
      </c>
      <c r="BR43" s="804">
        <v>2271.5</v>
      </c>
      <c r="BS43" s="804">
        <v>8656</v>
      </c>
      <c r="BT43" s="804">
        <v>11822</v>
      </c>
      <c r="BU43" s="804">
        <v>554.5</v>
      </c>
      <c r="BV43" s="804"/>
      <c r="BW43" s="804">
        <v>39300</v>
      </c>
      <c r="BX43" s="804">
        <v>12079.4</v>
      </c>
    </row>
    <row r="44" spans="1:76" ht="10" customHeight="1">
      <c r="A44" s="841" t="s">
        <v>476</v>
      </c>
      <c r="B44" s="842"/>
      <c r="C44" s="842"/>
      <c r="D44" s="767" t="s">
        <v>489</v>
      </c>
      <c r="E44" s="842"/>
      <c r="F44" s="842"/>
      <c r="G44" s="767"/>
      <c r="H44" s="842"/>
      <c r="I44" s="842"/>
      <c r="J44" s="836"/>
      <c r="K44" s="836"/>
      <c r="L44" s="836"/>
      <c r="M44" s="836"/>
      <c r="BO44" s="780"/>
      <c r="BP44" s="802"/>
      <c r="BQ44" s="802"/>
      <c r="BR44" s="802"/>
      <c r="BS44" s="802"/>
      <c r="BT44" s="802"/>
      <c r="BU44" s="802"/>
      <c r="BV44" s="802"/>
      <c r="BW44" s="802"/>
      <c r="BX44" s="802"/>
    </row>
    <row r="45" spans="1:76" ht="10" customHeight="1">
      <c r="A45" s="764" t="s">
        <v>213</v>
      </c>
      <c r="B45" s="762"/>
      <c r="C45" s="763"/>
      <c r="D45" s="763"/>
      <c r="E45" s="768"/>
      <c r="F45" s="768"/>
      <c r="G45" s="768"/>
      <c r="H45" s="768"/>
      <c r="I45" s="843"/>
      <c r="M45" s="802"/>
      <c r="BO45" s="770"/>
      <c r="BW45" s="806"/>
    </row>
    <row r="46" spans="1:76" ht="10" customHeight="1">
      <c r="A46" s="765" t="s">
        <v>261</v>
      </c>
      <c r="B46" s="762"/>
      <c r="C46" s="762"/>
      <c r="D46" s="766"/>
      <c r="E46" s="768"/>
      <c r="F46" s="768"/>
      <c r="G46" s="768"/>
      <c r="H46" s="768"/>
      <c r="I46" s="843"/>
      <c r="M46" s="802"/>
      <c r="BW46" s="806"/>
    </row>
    <row r="47" spans="1:76" ht="10" customHeight="1">
      <c r="A47" s="730"/>
      <c r="B47" s="768"/>
      <c r="C47" s="768"/>
      <c r="D47" s="768"/>
      <c r="E47" s="768"/>
      <c r="F47" s="768"/>
      <c r="G47" s="768"/>
      <c r="H47" s="768"/>
      <c r="I47" s="843"/>
      <c r="M47" s="802"/>
      <c r="BW47" s="806"/>
    </row>
    <row r="48" spans="1:76" ht="15" customHeight="1">
      <c r="A48" s="730"/>
      <c r="M48" s="802"/>
    </row>
    <row r="49" spans="13:13" ht="15" customHeight="1">
      <c r="M49" s="802"/>
    </row>
    <row r="50" spans="13:13" ht="15" customHeight="1">
      <c r="M50" s="802"/>
    </row>
    <row r="51" spans="13:13" ht="15" customHeight="1">
      <c r="M51" s="802"/>
    </row>
    <row r="52" spans="13:13" ht="15" customHeight="1">
      <c r="M52" s="802"/>
    </row>
  </sheetData>
  <mergeCells count="12">
    <mergeCell ref="BO26:BX26"/>
    <mergeCell ref="BO28:BX28"/>
    <mergeCell ref="BO3:BX3"/>
    <mergeCell ref="BO5:BX5"/>
    <mergeCell ref="A6:A7"/>
    <mergeCell ref="L6:L7"/>
    <mergeCell ref="I6:I7"/>
    <mergeCell ref="A29:A30"/>
    <mergeCell ref="I29:I30"/>
    <mergeCell ref="L29:L30"/>
    <mergeCell ref="H29:H30"/>
    <mergeCell ref="H6:H7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  <rowBreaks count="1" manualBreakCount="1">
    <brk id="25" max="8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syncVertical="1" syncRef="A1" transitionEvaluation="1" codeName="Hoja96">
    <tabColor theme="9" tint="0.59999389629810485"/>
  </sheetPr>
  <dimension ref="A1:N62"/>
  <sheetViews>
    <sheetView showGridLines="0" zoomScaleNormal="100" workbookViewId="0">
      <selection activeCell="N86" sqref="N86"/>
    </sheetView>
  </sheetViews>
  <sheetFormatPr baseColWidth="10" defaultColWidth="9.796875" defaultRowHeight="15" customHeight="1"/>
  <cols>
    <col min="1" max="1" width="7.3984375" style="790" customWidth="1"/>
    <col min="2" max="2" width="8.796875" style="790" customWidth="1"/>
    <col min="3" max="10" width="8.19921875" style="790" customWidth="1"/>
    <col min="11" max="11" width="7.3984375" style="790" customWidth="1"/>
    <col min="12" max="12" width="3.59765625" style="790" customWidth="1"/>
    <col min="13" max="14" width="9" style="790" customWidth="1"/>
    <col min="15" max="256" width="9.796875" style="790"/>
    <col min="257" max="257" width="7.3984375" style="790" customWidth="1"/>
    <col min="258" max="258" width="10.796875" style="790" customWidth="1"/>
    <col min="259" max="259" width="11.3984375" style="790" customWidth="1"/>
    <col min="260" max="261" width="10.796875" style="790" customWidth="1"/>
    <col min="262" max="263" width="10.19921875" style="790" customWidth="1"/>
    <col min="264" max="264" width="11.19921875" style="790" customWidth="1"/>
    <col min="265" max="265" width="9.3984375" style="790" customWidth="1"/>
    <col min="266" max="266" width="2" style="790" customWidth="1"/>
    <col min="267" max="267" width="12" style="790" customWidth="1"/>
    <col min="268" max="268" width="12.796875" style="790" customWidth="1"/>
    <col min="269" max="512" width="9.796875" style="790"/>
    <col min="513" max="513" width="7.3984375" style="790" customWidth="1"/>
    <col min="514" max="514" width="10.796875" style="790" customWidth="1"/>
    <col min="515" max="515" width="11.3984375" style="790" customWidth="1"/>
    <col min="516" max="517" width="10.796875" style="790" customWidth="1"/>
    <col min="518" max="519" width="10.19921875" style="790" customWidth="1"/>
    <col min="520" max="520" width="11.19921875" style="790" customWidth="1"/>
    <col min="521" max="521" width="9.3984375" style="790" customWidth="1"/>
    <col min="522" max="522" width="2" style="790" customWidth="1"/>
    <col min="523" max="523" width="12" style="790" customWidth="1"/>
    <col min="524" max="524" width="12.796875" style="790" customWidth="1"/>
    <col min="525" max="768" width="9.796875" style="790"/>
    <col min="769" max="769" width="7.3984375" style="790" customWidth="1"/>
    <col min="770" max="770" width="10.796875" style="790" customWidth="1"/>
    <col min="771" max="771" width="11.3984375" style="790" customWidth="1"/>
    <col min="772" max="773" width="10.796875" style="790" customWidth="1"/>
    <col min="774" max="775" width="10.19921875" style="790" customWidth="1"/>
    <col min="776" max="776" width="11.19921875" style="790" customWidth="1"/>
    <col min="777" max="777" width="9.3984375" style="790" customWidth="1"/>
    <col min="778" max="778" width="2" style="790" customWidth="1"/>
    <col min="779" max="779" width="12" style="790" customWidth="1"/>
    <col min="780" max="780" width="12.796875" style="790" customWidth="1"/>
    <col min="781" max="1024" width="9.796875" style="790"/>
    <col min="1025" max="1025" width="7.3984375" style="790" customWidth="1"/>
    <col min="1026" max="1026" width="10.796875" style="790" customWidth="1"/>
    <col min="1027" max="1027" width="11.3984375" style="790" customWidth="1"/>
    <col min="1028" max="1029" width="10.796875" style="790" customWidth="1"/>
    <col min="1030" max="1031" width="10.19921875" style="790" customWidth="1"/>
    <col min="1032" max="1032" width="11.19921875" style="790" customWidth="1"/>
    <col min="1033" max="1033" width="9.3984375" style="790" customWidth="1"/>
    <col min="1034" max="1034" width="2" style="790" customWidth="1"/>
    <col min="1035" max="1035" width="12" style="790" customWidth="1"/>
    <col min="1036" max="1036" width="12.796875" style="790" customWidth="1"/>
    <col min="1037" max="1280" width="9.796875" style="790"/>
    <col min="1281" max="1281" width="7.3984375" style="790" customWidth="1"/>
    <col min="1282" max="1282" width="10.796875" style="790" customWidth="1"/>
    <col min="1283" max="1283" width="11.3984375" style="790" customWidth="1"/>
    <col min="1284" max="1285" width="10.796875" style="790" customWidth="1"/>
    <col min="1286" max="1287" width="10.19921875" style="790" customWidth="1"/>
    <col min="1288" max="1288" width="11.19921875" style="790" customWidth="1"/>
    <col min="1289" max="1289" width="9.3984375" style="790" customWidth="1"/>
    <col min="1290" max="1290" width="2" style="790" customWidth="1"/>
    <col min="1291" max="1291" width="12" style="790" customWidth="1"/>
    <col min="1292" max="1292" width="12.796875" style="790" customWidth="1"/>
    <col min="1293" max="1536" width="9.796875" style="790"/>
    <col min="1537" max="1537" width="7.3984375" style="790" customWidth="1"/>
    <col min="1538" max="1538" width="10.796875" style="790" customWidth="1"/>
    <col min="1539" max="1539" width="11.3984375" style="790" customWidth="1"/>
    <col min="1540" max="1541" width="10.796875" style="790" customWidth="1"/>
    <col min="1542" max="1543" width="10.19921875" style="790" customWidth="1"/>
    <col min="1544" max="1544" width="11.19921875" style="790" customWidth="1"/>
    <col min="1545" max="1545" width="9.3984375" style="790" customWidth="1"/>
    <col min="1546" max="1546" width="2" style="790" customWidth="1"/>
    <col min="1547" max="1547" width="12" style="790" customWidth="1"/>
    <col min="1548" max="1548" width="12.796875" style="790" customWidth="1"/>
    <col min="1549" max="1792" width="9.796875" style="790"/>
    <col min="1793" max="1793" width="7.3984375" style="790" customWidth="1"/>
    <col min="1794" max="1794" width="10.796875" style="790" customWidth="1"/>
    <col min="1795" max="1795" width="11.3984375" style="790" customWidth="1"/>
    <col min="1796" max="1797" width="10.796875" style="790" customWidth="1"/>
    <col min="1798" max="1799" width="10.19921875" style="790" customWidth="1"/>
    <col min="1800" max="1800" width="11.19921875" style="790" customWidth="1"/>
    <col min="1801" max="1801" width="9.3984375" style="790" customWidth="1"/>
    <col min="1802" max="1802" width="2" style="790" customWidth="1"/>
    <col min="1803" max="1803" width="12" style="790" customWidth="1"/>
    <col min="1804" max="1804" width="12.796875" style="790" customWidth="1"/>
    <col min="1805" max="2048" width="9.796875" style="790"/>
    <col min="2049" max="2049" width="7.3984375" style="790" customWidth="1"/>
    <col min="2050" max="2050" width="10.796875" style="790" customWidth="1"/>
    <col min="2051" max="2051" width="11.3984375" style="790" customWidth="1"/>
    <col min="2052" max="2053" width="10.796875" style="790" customWidth="1"/>
    <col min="2054" max="2055" width="10.19921875" style="790" customWidth="1"/>
    <col min="2056" max="2056" width="11.19921875" style="790" customWidth="1"/>
    <col min="2057" max="2057" width="9.3984375" style="790" customWidth="1"/>
    <col min="2058" max="2058" width="2" style="790" customWidth="1"/>
    <col min="2059" max="2059" width="12" style="790" customWidth="1"/>
    <col min="2060" max="2060" width="12.796875" style="790" customWidth="1"/>
    <col min="2061" max="2304" width="9.796875" style="790"/>
    <col min="2305" max="2305" width="7.3984375" style="790" customWidth="1"/>
    <col min="2306" max="2306" width="10.796875" style="790" customWidth="1"/>
    <col min="2307" max="2307" width="11.3984375" style="790" customWidth="1"/>
    <col min="2308" max="2309" width="10.796875" style="790" customWidth="1"/>
    <col min="2310" max="2311" width="10.19921875" style="790" customWidth="1"/>
    <col min="2312" max="2312" width="11.19921875" style="790" customWidth="1"/>
    <col min="2313" max="2313" width="9.3984375" style="790" customWidth="1"/>
    <col min="2314" max="2314" width="2" style="790" customWidth="1"/>
    <col min="2315" max="2315" width="12" style="790" customWidth="1"/>
    <col min="2316" max="2316" width="12.796875" style="790" customWidth="1"/>
    <col min="2317" max="2560" width="9.796875" style="790"/>
    <col min="2561" max="2561" width="7.3984375" style="790" customWidth="1"/>
    <col min="2562" max="2562" width="10.796875" style="790" customWidth="1"/>
    <col min="2563" max="2563" width="11.3984375" style="790" customWidth="1"/>
    <col min="2564" max="2565" width="10.796875" style="790" customWidth="1"/>
    <col min="2566" max="2567" width="10.19921875" style="790" customWidth="1"/>
    <col min="2568" max="2568" width="11.19921875" style="790" customWidth="1"/>
    <col min="2569" max="2569" width="9.3984375" style="790" customWidth="1"/>
    <col min="2570" max="2570" width="2" style="790" customWidth="1"/>
    <col min="2571" max="2571" width="12" style="790" customWidth="1"/>
    <col min="2572" max="2572" width="12.796875" style="790" customWidth="1"/>
    <col min="2573" max="2816" width="9.796875" style="790"/>
    <col min="2817" max="2817" width="7.3984375" style="790" customWidth="1"/>
    <col min="2818" max="2818" width="10.796875" style="790" customWidth="1"/>
    <col min="2819" max="2819" width="11.3984375" style="790" customWidth="1"/>
    <col min="2820" max="2821" width="10.796875" style="790" customWidth="1"/>
    <col min="2822" max="2823" width="10.19921875" style="790" customWidth="1"/>
    <col min="2824" max="2824" width="11.19921875" style="790" customWidth="1"/>
    <col min="2825" max="2825" width="9.3984375" style="790" customWidth="1"/>
    <col min="2826" max="2826" width="2" style="790" customWidth="1"/>
    <col min="2827" max="2827" width="12" style="790" customWidth="1"/>
    <col min="2828" max="2828" width="12.796875" style="790" customWidth="1"/>
    <col min="2829" max="3072" width="9.796875" style="790"/>
    <col min="3073" max="3073" width="7.3984375" style="790" customWidth="1"/>
    <col min="3074" max="3074" width="10.796875" style="790" customWidth="1"/>
    <col min="3075" max="3075" width="11.3984375" style="790" customWidth="1"/>
    <col min="3076" max="3077" width="10.796875" style="790" customWidth="1"/>
    <col min="3078" max="3079" width="10.19921875" style="790" customWidth="1"/>
    <col min="3080" max="3080" width="11.19921875" style="790" customWidth="1"/>
    <col min="3081" max="3081" width="9.3984375" style="790" customWidth="1"/>
    <col min="3082" max="3082" width="2" style="790" customWidth="1"/>
    <col min="3083" max="3083" width="12" style="790" customWidth="1"/>
    <col min="3084" max="3084" width="12.796875" style="790" customWidth="1"/>
    <col min="3085" max="3328" width="9.796875" style="790"/>
    <col min="3329" max="3329" width="7.3984375" style="790" customWidth="1"/>
    <col min="3330" max="3330" width="10.796875" style="790" customWidth="1"/>
    <col min="3331" max="3331" width="11.3984375" style="790" customWidth="1"/>
    <col min="3332" max="3333" width="10.796875" style="790" customWidth="1"/>
    <col min="3334" max="3335" width="10.19921875" style="790" customWidth="1"/>
    <col min="3336" max="3336" width="11.19921875" style="790" customWidth="1"/>
    <col min="3337" max="3337" width="9.3984375" style="790" customWidth="1"/>
    <col min="3338" max="3338" width="2" style="790" customWidth="1"/>
    <col min="3339" max="3339" width="12" style="790" customWidth="1"/>
    <col min="3340" max="3340" width="12.796875" style="790" customWidth="1"/>
    <col min="3341" max="3584" width="9.796875" style="790"/>
    <col min="3585" max="3585" width="7.3984375" style="790" customWidth="1"/>
    <col min="3586" max="3586" width="10.796875" style="790" customWidth="1"/>
    <col min="3587" max="3587" width="11.3984375" style="790" customWidth="1"/>
    <col min="3588" max="3589" width="10.796875" style="790" customWidth="1"/>
    <col min="3590" max="3591" width="10.19921875" style="790" customWidth="1"/>
    <col min="3592" max="3592" width="11.19921875" style="790" customWidth="1"/>
    <col min="3593" max="3593" width="9.3984375" style="790" customWidth="1"/>
    <col min="3594" max="3594" width="2" style="790" customWidth="1"/>
    <col min="3595" max="3595" width="12" style="790" customWidth="1"/>
    <col min="3596" max="3596" width="12.796875" style="790" customWidth="1"/>
    <col min="3597" max="3840" width="9.796875" style="790"/>
    <col min="3841" max="3841" width="7.3984375" style="790" customWidth="1"/>
    <col min="3842" max="3842" width="10.796875" style="790" customWidth="1"/>
    <col min="3843" max="3843" width="11.3984375" style="790" customWidth="1"/>
    <col min="3844" max="3845" width="10.796875" style="790" customWidth="1"/>
    <col min="3846" max="3847" width="10.19921875" style="790" customWidth="1"/>
    <col min="3848" max="3848" width="11.19921875" style="790" customWidth="1"/>
    <col min="3849" max="3849" width="9.3984375" style="790" customWidth="1"/>
    <col min="3850" max="3850" width="2" style="790" customWidth="1"/>
    <col min="3851" max="3851" width="12" style="790" customWidth="1"/>
    <col min="3852" max="3852" width="12.796875" style="790" customWidth="1"/>
    <col min="3853" max="4096" width="9.796875" style="790"/>
    <col min="4097" max="4097" width="7.3984375" style="790" customWidth="1"/>
    <col min="4098" max="4098" width="10.796875" style="790" customWidth="1"/>
    <col min="4099" max="4099" width="11.3984375" style="790" customWidth="1"/>
    <col min="4100" max="4101" width="10.796875" style="790" customWidth="1"/>
    <col min="4102" max="4103" width="10.19921875" style="790" customWidth="1"/>
    <col min="4104" max="4104" width="11.19921875" style="790" customWidth="1"/>
    <col min="4105" max="4105" width="9.3984375" style="790" customWidth="1"/>
    <col min="4106" max="4106" width="2" style="790" customWidth="1"/>
    <col min="4107" max="4107" width="12" style="790" customWidth="1"/>
    <col min="4108" max="4108" width="12.796875" style="790" customWidth="1"/>
    <col min="4109" max="4352" width="9.796875" style="790"/>
    <col min="4353" max="4353" width="7.3984375" style="790" customWidth="1"/>
    <col min="4354" max="4354" width="10.796875" style="790" customWidth="1"/>
    <col min="4355" max="4355" width="11.3984375" style="790" customWidth="1"/>
    <col min="4356" max="4357" width="10.796875" style="790" customWidth="1"/>
    <col min="4358" max="4359" width="10.19921875" style="790" customWidth="1"/>
    <col min="4360" max="4360" width="11.19921875" style="790" customWidth="1"/>
    <col min="4361" max="4361" width="9.3984375" style="790" customWidth="1"/>
    <col min="4362" max="4362" width="2" style="790" customWidth="1"/>
    <col min="4363" max="4363" width="12" style="790" customWidth="1"/>
    <col min="4364" max="4364" width="12.796875" style="790" customWidth="1"/>
    <col min="4365" max="4608" width="9.796875" style="790"/>
    <col min="4609" max="4609" width="7.3984375" style="790" customWidth="1"/>
    <col min="4610" max="4610" width="10.796875" style="790" customWidth="1"/>
    <col min="4611" max="4611" width="11.3984375" style="790" customWidth="1"/>
    <col min="4612" max="4613" width="10.796875" style="790" customWidth="1"/>
    <col min="4614" max="4615" width="10.19921875" style="790" customWidth="1"/>
    <col min="4616" max="4616" width="11.19921875" style="790" customWidth="1"/>
    <col min="4617" max="4617" width="9.3984375" style="790" customWidth="1"/>
    <col min="4618" max="4618" width="2" style="790" customWidth="1"/>
    <col min="4619" max="4619" width="12" style="790" customWidth="1"/>
    <col min="4620" max="4620" width="12.796875" style="790" customWidth="1"/>
    <col min="4621" max="4864" width="9.796875" style="790"/>
    <col min="4865" max="4865" width="7.3984375" style="790" customWidth="1"/>
    <col min="4866" max="4866" width="10.796875" style="790" customWidth="1"/>
    <col min="4867" max="4867" width="11.3984375" style="790" customWidth="1"/>
    <col min="4868" max="4869" width="10.796875" style="790" customWidth="1"/>
    <col min="4870" max="4871" width="10.19921875" style="790" customWidth="1"/>
    <col min="4872" max="4872" width="11.19921875" style="790" customWidth="1"/>
    <col min="4873" max="4873" width="9.3984375" style="790" customWidth="1"/>
    <col min="4874" max="4874" width="2" style="790" customWidth="1"/>
    <col min="4875" max="4875" width="12" style="790" customWidth="1"/>
    <col min="4876" max="4876" width="12.796875" style="790" customWidth="1"/>
    <col min="4877" max="5120" width="9.796875" style="790"/>
    <col min="5121" max="5121" width="7.3984375" style="790" customWidth="1"/>
    <col min="5122" max="5122" width="10.796875" style="790" customWidth="1"/>
    <col min="5123" max="5123" width="11.3984375" style="790" customWidth="1"/>
    <col min="5124" max="5125" width="10.796875" style="790" customWidth="1"/>
    <col min="5126" max="5127" width="10.19921875" style="790" customWidth="1"/>
    <col min="5128" max="5128" width="11.19921875" style="790" customWidth="1"/>
    <col min="5129" max="5129" width="9.3984375" style="790" customWidth="1"/>
    <col min="5130" max="5130" width="2" style="790" customWidth="1"/>
    <col min="5131" max="5131" width="12" style="790" customWidth="1"/>
    <col min="5132" max="5132" width="12.796875" style="790" customWidth="1"/>
    <col min="5133" max="5376" width="9.796875" style="790"/>
    <col min="5377" max="5377" width="7.3984375" style="790" customWidth="1"/>
    <col min="5378" max="5378" width="10.796875" style="790" customWidth="1"/>
    <col min="5379" max="5379" width="11.3984375" style="790" customWidth="1"/>
    <col min="5380" max="5381" width="10.796875" style="790" customWidth="1"/>
    <col min="5382" max="5383" width="10.19921875" style="790" customWidth="1"/>
    <col min="5384" max="5384" width="11.19921875" style="790" customWidth="1"/>
    <col min="5385" max="5385" width="9.3984375" style="790" customWidth="1"/>
    <col min="5386" max="5386" width="2" style="790" customWidth="1"/>
    <col min="5387" max="5387" width="12" style="790" customWidth="1"/>
    <col min="5388" max="5388" width="12.796875" style="790" customWidth="1"/>
    <col min="5389" max="5632" width="9.796875" style="790"/>
    <col min="5633" max="5633" width="7.3984375" style="790" customWidth="1"/>
    <col min="5634" max="5634" width="10.796875" style="790" customWidth="1"/>
    <col min="5635" max="5635" width="11.3984375" style="790" customWidth="1"/>
    <col min="5636" max="5637" width="10.796875" style="790" customWidth="1"/>
    <col min="5638" max="5639" width="10.19921875" style="790" customWidth="1"/>
    <col min="5640" max="5640" width="11.19921875" style="790" customWidth="1"/>
    <col min="5641" max="5641" width="9.3984375" style="790" customWidth="1"/>
    <col min="5642" max="5642" width="2" style="790" customWidth="1"/>
    <col min="5643" max="5643" width="12" style="790" customWidth="1"/>
    <col min="5644" max="5644" width="12.796875" style="790" customWidth="1"/>
    <col min="5645" max="5888" width="9.796875" style="790"/>
    <col min="5889" max="5889" width="7.3984375" style="790" customWidth="1"/>
    <col min="5890" max="5890" width="10.796875" style="790" customWidth="1"/>
    <col min="5891" max="5891" width="11.3984375" style="790" customWidth="1"/>
    <col min="5892" max="5893" width="10.796875" style="790" customWidth="1"/>
    <col min="5894" max="5895" width="10.19921875" style="790" customWidth="1"/>
    <col min="5896" max="5896" width="11.19921875" style="790" customWidth="1"/>
    <col min="5897" max="5897" width="9.3984375" style="790" customWidth="1"/>
    <col min="5898" max="5898" width="2" style="790" customWidth="1"/>
    <col min="5899" max="5899" width="12" style="790" customWidth="1"/>
    <col min="5900" max="5900" width="12.796875" style="790" customWidth="1"/>
    <col min="5901" max="6144" width="9.796875" style="790"/>
    <col min="6145" max="6145" width="7.3984375" style="790" customWidth="1"/>
    <col min="6146" max="6146" width="10.796875" style="790" customWidth="1"/>
    <col min="6147" max="6147" width="11.3984375" style="790" customWidth="1"/>
    <col min="6148" max="6149" width="10.796875" style="790" customWidth="1"/>
    <col min="6150" max="6151" width="10.19921875" style="790" customWidth="1"/>
    <col min="6152" max="6152" width="11.19921875" style="790" customWidth="1"/>
    <col min="6153" max="6153" width="9.3984375" style="790" customWidth="1"/>
    <col min="6154" max="6154" width="2" style="790" customWidth="1"/>
    <col min="6155" max="6155" width="12" style="790" customWidth="1"/>
    <col min="6156" max="6156" width="12.796875" style="790" customWidth="1"/>
    <col min="6157" max="6400" width="9.796875" style="790"/>
    <col min="6401" max="6401" width="7.3984375" style="790" customWidth="1"/>
    <col min="6402" max="6402" width="10.796875" style="790" customWidth="1"/>
    <col min="6403" max="6403" width="11.3984375" style="790" customWidth="1"/>
    <col min="6404" max="6405" width="10.796875" style="790" customWidth="1"/>
    <col min="6406" max="6407" width="10.19921875" style="790" customWidth="1"/>
    <col min="6408" max="6408" width="11.19921875" style="790" customWidth="1"/>
    <col min="6409" max="6409" width="9.3984375" style="790" customWidth="1"/>
    <col min="6410" max="6410" width="2" style="790" customWidth="1"/>
    <col min="6411" max="6411" width="12" style="790" customWidth="1"/>
    <col min="6412" max="6412" width="12.796875" style="790" customWidth="1"/>
    <col min="6413" max="6656" width="9.796875" style="790"/>
    <col min="6657" max="6657" width="7.3984375" style="790" customWidth="1"/>
    <col min="6658" max="6658" width="10.796875" style="790" customWidth="1"/>
    <col min="6659" max="6659" width="11.3984375" style="790" customWidth="1"/>
    <col min="6660" max="6661" width="10.796875" style="790" customWidth="1"/>
    <col min="6662" max="6663" width="10.19921875" style="790" customWidth="1"/>
    <col min="6664" max="6664" width="11.19921875" style="790" customWidth="1"/>
    <col min="6665" max="6665" width="9.3984375" style="790" customWidth="1"/>
    <col min="6666" max="6666" width="2" style="790" customWidth="1"/>
    <col min="6667" max="6667" width="12" style="790" customWidth="1"/>
    <col min="6668" max="6668" width="12.796875" style="790" customWidth="1"/>
    <col min="6669" max="6912" width="9.796875" style="790"/>
    <col min="6913" max="6913" width="7.3984375" style="790" customWidth="1"/>
    <col min="6914" max="6914" width="10.796875" style="790" customWidth="1"/>
    <col min="6915" max="6915" width="11.3984375" style="790" customWidth="1"/>
    <col min="6916" max="6917" width="10.796875" style="790" customWidth="1"/>
    <col min="6918" max="6919" width="10.19921875" style="790" customWidth="1"/>
    <col min="6920" max="6920" width="11.19921875" style="790" customWidth="1"/>
    <col min="6921" max="6921" width="9.3984375" style="790" customWidth="1"/>
    <col min="6922" max="6922" width="2" style="790" customWidth="1"/>
    <col min="6923" max="6923" width="12" style="790" customWidth="1"/>
    <col min="6924" max="6924" width="12.796875" style="790" customWidth="1"/>
    <col min="6925" max="7168" width="9.796875" style="790"/>
    <col min="7169" max="7169" width="7.3984375" style="790" customWidth="1"/>
    <col min="7170" max="7170" width="10.796875" style="790" customWidth="1"/>
    <col min="7171" max="7171" width="11.3984375" style="790" customWidth="1"/>
    <col min="7172" max="7173" width="10.796875" style="790" customWidth="1"/>
    <col min="7174" max="7175" width="10.19921875" style="790" customWidth="1"/>
    <col min="7176" max="7176" width="11.19921875" style="790" customWidth="1"/>
    <col min="7177" max="7177" width="9.3984375" style="790" customWidth="1"/>
    <col min="7178" max="7178" width="2" style="790" customWidth="1"/>
    <col min="7179" max="7179" width="12" style="790" customWidth="1"/>
    <col min="7180" max="7180" width="12.796875" style="790" customWidth="1"/>
    <col min="7181" max="7424" width="9.796875" style="790"/>
    <col min="7425" max="7425" width="7.3984375" style="790" customWidth="1"/>
    <col min="7426" max="7426" width="10.796875" style="790" customWidth="1"/>
    <col min="7427" max="7427" width="11.3984375" style="790" customWidth="1"/>
    <col min="7428" max="7429" width="10.796875" style="790" customWidth="1"/>
    <col min="7430" max="7431" width="10.19921875" style="790" customWidth="1"/>
    <col min="7432" max="7432" width="11.19921875" style="790" customWidth="1"/>
    <col min="7433" max="7433" width="9.3984375" style="790" customWidth="1"/>
    <col min="7434" max="7434" width="2" style="790" customWidth="1"/>
    <col min="7435" max="7435" width="12" style="790" customWidth="1"/>
    <col min="7436" max="7436" width="12.796875" style="790" customWidth="1"/>
    <col min="7437" max="7680" width="9.796875" style="790"/>
    <col min="7681" max="7681" width="7.3984375" style="790" customWidth="1"/>
    <col min="7682" max="7682" width="10.796875" style="790" customWidth="1"/>
    <col min="7683" max="7683" width="11.3984375" style="790" customWidth="1"/>
    <col min="7684" max="7685" width="10.796875" style="790" customWidth="1"/>
    <col min="7686" max="7687" width="10.19921875" style="790" customWidth="1"/>
    <col min="7688" max="7688" width="11.19921875" style="790" customWidth="1"/>
    <col min="7689" max="7689" width="9.3984375" style="790" customWidth="1"/>
    <col min="7690" max="7690" width="2" style="790" customWidth="1"/>
    <col min="7691" max="7691" width="12" style="790" customWidth="1"/>
    <col min="7692" max="7692" width="12.796875" style="790" customWidth="1"/>
    <col min="7693" max="7936" width="9.796875" style="790"/>
    <col min="7937" max="7937" width="7.3984375" style="790" customWidth="1"/>
    <col min="7938" max="7938" width="10.796875" style="790" customWidth="1"/>
    <col min="7939" max="7939" width="11.3984375" style="790" customWidth="1"/>
    <col min="7940" max="7941" width="10.796875" style="790" customWidth="1"/>
    <col min="7942" max="7943" width="10.19921875" style="790" customWidth="1"/>
    <col min="7944" max="7944" width="11.19921875" style="790" customWidth="1"/>
    <col min="7945" max="7945" width="9.3984375" style="790" customWidth="1"/>
    <col min="7946" max="7946" width="2" style="790" customWidth="1"/>
    <col min="7947" max="7947" width="12" style="790" customWidth="1"/>
    <col min="7948" max="7948" width="12.796875" style="790" customWidth="1"/>
    <col min="7949" max="8192" width="9.796875" style="790"/>
    <col min="8193" max="8193" width="7.3984375" style="790" customWidth="1"/>
    <col min="8194" max="8194" width="10.796875" style="790" customWidth="1"/>
    <col min="8195" max="8195" width="11.3984375" style="790" customWidth="1"/>
    <col min="8196" max="8197" width="10.796875" style="790" customWidth="1"/>
    <col min="8198" max="8199" width="10.19921875" style="790" customWidth="1"/>
    <col min="8200" max="8200" width="11.19921875" style="790" customWidth="1"/>
    <col min="8201" max="8201" width="9.3984375" style="790" customWidth="1"/>
    <col min="8202" max="8202" width="2" style="790" customWidth="1"/>
    <col min="8203" max="8203" width="12" style="790" customWidth="1"/>
    <col min="8204" max="8204" width="12.796875" style="790" customWidth="1"/>
    <col min="8205" max="8448" width="9.796875" style="790"/>
    <col min="8449" max="8449" width="7.3984375" style="790" customWidth="1"/>
    <col min="8450" max="8450" width="10.796875" style="790" customWidth="1"/>
    <col min="8451" max="8451" width="11.3984375" style="790" customWidth="1"/>
    <col min="8452" max="8453" width="10.796875" style="790" customWidth="1"/>
    <col min="8454" max="8455" width="10.19921875" style="790" customWidth="1"/>
    <col min="8456" max="8456" width="11.19921875" style="790" customWidth="1"/>
    <col min="8457" max="8457" width="9.3984375" style="790" customWidth="1"/>
    <col min="8458" max="8458" width="2" style="790" customWidth="1"/>
    <col min="8459" max="8459" width="12" style="790" customWidth="1"/>
    <col min="8460" max="8460" width="12.796875" style="790" customWidth="1"/>
    <col min="8461" max="8704" width="9.796875" style="790"/>
    <col min="8705" max="8705" width="7.3984375" style="790" customWidth="1"/>
    <col min="8706" max="8706" width="10.796875" style="790" customWidth="1"/>
    <col min="8707" max="8707" width="11.3984375" style="790" customWidth="1"/>
    <col min="8708" max="8709" width="10.796875" style="790" customWidth="1"/>
    <col min="8710" max="8711" width="10.19921875" style="790" customWidth="1"/>
    <col min="8712" max="8712" width="11.19921875" style="790" customWidth="1"/>
    <col min="8713" max="8713" width="9.3984375" style="790" customWidth="1"/>
    <col min="8714" max="8714" width="2" style="790" customWidth="1"/>
    <col min="8715" max="8715" width="12" style="790" customWidth="1"/>
    <col min="8716" max="8716" width="12.796875" style="790" customWidth="1"/>
    <col min="8717" max="8960" width="9.796875" style="790"/>
    <col min="8961" max="8961" width="7.3984375" style="790" customWidth="1"/>
    <col min="8962" max="8962" width="10.796875" style="790" customWidth="1"/>
    <col min="8963" max="8963" width="11.3984375" style="790" customWidth="1"/>
    <col min="8964" max="8965" width="10.796875" style="790" customWidth="1"/>
    <col min="8966" max="8967" width="10.19921875" style="790" customWidth="1"/>
    <col min="8968" max="8968" width="11.19921875" style="790" customWidth="1"/>
    <col min="8969" max="8969" width="9.3984375" style="790" customWidth="1"/>
    <col min="8970" max="8970" width="2" style="790" customWidth="1"/>
    <col min="8971" max="8971" width="12" style="790" customWidth="1"/>
    <col min="8972" max="8972" width="12.796875" style="790" customWidth="1"/>
    <col min="8973" max="9216" width="9.796875" style="790"/>
    <col min="9217" max="9217" width="7.3984375" style="790" customWidth="1"/>
    <col min="9218" max="9218" width="10.796875" style="790" customWidth="1"/>
    <col min="9219" max="9219" width="11.3984375" style="790" customWidth="1"/>
    <col min="9220" max="9221" width="10.796875" style="790" customWidth="1"/>
    <col min="9222" max="9223" width="10.19921875" style="790" customWidth="1"/>
    <col min="9224" max="9224" width="11.19921875" style="790" customWidth="1"/>
    <col min="9225" max="9225" width="9.3984375" style="790" customWidth="1"/>
    <col min="9226" max="9226" width="2" style="790" customWidth="1"/>
    <col min="9227" max="9227" width="12" style="790" customWidth="1"/>
    <col min="9228" max="9228" width="12.796875" style="790" customWidth="1"/>
    <col min="9229" max="9472" width="9.796875" style="790"/>
    <col min="9473" max="9473" width="7.3984375" style="790" customWidth="1"/>
    <col min="9474" max="9474" width="10.796875" style="790" customWidth="1"/>
    <col min="9475" max="9475" width="11.3984375" style="790" customWidth="1"/>
    <col min="9476" max="9477" width="10.796875" style="790" customWidth="1"/>
    <col min="9478" max="9479" width="10.19921875" style="790" customWidth="1"/>
    <col min="9480" max="9480" width="11.19921875" style="790" customWidth="1"/>
    <col min="9481" max="9481" width="9.3984375" style="790" customWidth="1"/>
    <col min="9482" max="9482" width="2" style="790" customWidth="1"/>
    <col min="9483" max="9483" width="12" style="790" customWidth="1"/>
    <col min="9484" max="9484" width="12.796875" style="790" customWidth="1"/>
    <col min="9485" max="9728" width="9.796875" style="790"/>
    <col min="9729" max="9729" width="7.3984375" style="790" customWidth="1"/>
    <col min="9730" max="9730" width="10.796875" style="790" customWidth="1"/>
    <col min="9731" max="9731" width="11.3984375" style="790" customWidth="1"/>
    <col min="9732" max="9733" width="10.796875" style="790" customWidth="1"/>
    <col min="9734" max="9735" width="10.19921875" style="790" customWidth="1"/>
    <col min="9736" max="9736" width="11.19921875" style="790" customWidth="1"/>
    <col min="9737" max="9737" width="9.3984375" style="790" customWidth="1"/>
    <col min="9738" max="9738" width="2" style="790" customWidth="1"/>
    <col min="9739" max="9739" width="12" style="790" customWidth="1"/>
    <col min="9740" max="9740" width="12.796875" style="790" customWidth="1"/>
    <col min="9741" max="9984" width="9.796875" style="790"/>
    <col min="9985" max="9985" width="7.3984375" style="790" customWidth="1"/>
    <col min="9986" max="9986" width="10.796875" style="790" customWidth="1"/>
    <col min="9987" max="9987" width="11.3984375" style="790" customWidth="1"/>
    <col min="9988" max="9989" width="10.796875" style="790" customWidth="1"/>
    <col min="9990" max="9991" width="10.19921875" style="790" customWidth="1"/>
    <col min="9992" max="9992" width="11.19921875" style="790" customWidth="1"/>
    <col min="9993" max="9993" width="9.3984375" style="790" customWidth="1"/>
    <col min="9994" max="9994" width="2" style="790" customWidth="1"/>
    <col min="9995" max="9995" width="12" style="790" customWidth="1"/>
    <col min="9996" max="9996" width="12.796875" style="790" customWidth="1"/>
    <col min="9997" max="10240" width="9.796875" style="790"/>
    <col min="10241" max="10241" width="7.3984375" style="790" customWidth="1"/>
    <col min="10242" max="10242" width="10.796875" style="790" customWidth="1"/>
    <col min="10243" max="10243" width="11.3984375" style="790" customWidth="1"/>
    <col min="10244" max="10245" width="10.796875" style="790" customWidth="1"/>
    <col min="10246" max="10247" width="10.19921875" style="790" customWidth="1"/>
    <col min="10248" max="10248" width="11.19921875" style="790" customWidth="1"/>
    <col min="10249" max="10249" width="9.3984375" style="790" customWidth="1"/>
    <col min="10250" max="10250" width="2" style="790" customWidth="1"/>
    <col min="10251" max="10251" width="12" style="790" customWidth="1"/>
    <col min="10252" max="10252" width="12.796875" style="790" customWidth="1"/>
    <col min="10253" max="10496" width="9.796875" style="790"/>
    <col min="10497" max="10497" width="7.3984375" style="790" customWidth="1"/>
    <col min="10498" max="10498" width="10.796875" style="790" customWidth="1"/>
    <col min="10499" max="10499" width="11.3984375" style="790" customWidth="1"/>
    <col min="10500" max="10501" width="10.796875" style="790" customWidth="1"/>
    <col min="10502" max="10503" width="10.19921875" style="790" customWidth="1"/>
    <col min="10504" max="10504" width="11.19921875" style="790" customWidth="1"/>
    <col min="10505" max="10505" width="9.3984375" style="790" customWidth="1"/>
    <col min="10506" max="10506" width="2" style="790" customWidth="1"/>
    <col min="10507" max="10507" width="12" style="790" customWidth="1"/>
    <col min="10508" max="10508" width="12.796875" style="790" customWidth="1"/>
    <col min="10509" max="10752" width="9.796875" style="790"/>
    <col min="10753" max="10753" width="7.3984375" style="790" customWidth="1"/>
    <col min="10754" max="10754" width="10.796875" style="790" customWidth="1"/>
    <col min="10755" max="10755" width="11.3984375" style="790" customWidth="1"/>
    <col min="10756" max="10757" width="10.796875" style="790" customWidth="1"/>
    <col min="10758" max="10759" width="10.19921875" style="790" customWidth="1"/>
    <col min="10760" max="10760" width="11.19921875" style="790" customWidth="1"/>
    <col min="10761" max="10761" width="9.3984375" style="790" customWidth="1"/>
    <col min="10762" max="10762" width="2" style="790" customWidth="1"/>
    <col min="10763" max="10763" width="12" style="790" customWidth="1"/>
    <col min="10764" max="10764" width="12.796875" style="790" customWidth="1"/>
    <col min="10765" max="11008" width="9.796875" style="790"/>
    <col min="11009" max="11009" width="7.3984375" style="790" customWidth="1"/>
    <col min="11010" max="11010" width="10.796875" style="790" customWidth="1"/>
    <col min="11011" max="11011" width="11.3984375" style="790" customWidth="1"/>
    <col min="11012" max="11013" width="10.796875" style="790" customWidth="1"/>
    <col min="11014" max="11015" width="10.19921875" style="790" customWidth="1"/>
    <col min="11016" max="11016" width="11.19921875" style="790" customWidth="1"/>
    <col min="11017" max="11017" width="9.3984375" style="790" customWidth="1"/>
    <col min="11018" max="11018" width="2" style="790" customWidth="1"/>
    <col min="11019" max="11019" width="12" style="790" customWidth="1"/>
    <col min="11020" max="11020" width="12.796875" style="790" customWidth="1"/>
    <col min="11021" max="11264" width="9.796875" style="790"/>
    <col min="11265" max="11265" width="7.3984375" style="790" customWidth="1"/>
    <col min="11266" max="11266" width="10.796875" style="790" customWidth="1"/>
    <col min="11267" max="11267" width="11.3984375" style="790" customWidth="1"/>
    <col min="11268" max="11269" width="10.796875" style="790" customWidth="1"/>
    <col min="11270" max="11271" width="10.19921875" style="790" customWidth="1"/>
    <col min="11272" max="11272" width="11.19921875" style="790" customWidth="1"/>
    <col min="11273" max="11273" width="9.3984375" style="790" customWidth="1"/>
    <col min="11274" max="11274" width="2" style="790" customWidth="1"/>
    <col min="11275" max="11275" width="12" style="790" customWidth="1"/>
    <col min="11276" max="11276" width="12.796875" style="790" customWidth="1"/>
    <col min="11277" max="11520" width="9.796875" style="790"/>
    <col min="11521" max="11521" width="7.3984375" style="790" customWidth="1"/>
    <col min="11522" max="11522" width="10.796875" style="790" customWidth="1"/>
    <col min="11523" max="11523" width="11.3984375" style="790" customWidth="1"/>
    <col min="11524" max="11525" width="10.796875" style="790" customWidth="1"/>
    <col min="11526" max="11527" width="10.19921875" style="790" customWidth="1"/>
    <col min="11528" max="11528" width="11.19921875" style="790" customWidth="1"/>
    <col min="11529" max="11529" width="9.3984375" style="790" customWidth="1"/>
    <col min="11530" max="11530" width="2" style="790" customWidth="1"/>
    <col min="11531" max="11531" width="12" style="790" customWidth="1"/>
    <col min="11532" max="11532" width="12.796875" style="790" customWidth="1"/>
    <col min="11533" max="11776" width="9.796875" style="790"/>
    <col min="11777" max="11777" width="7.3984375" style="790" customWidth="1"/>
    <col min="11778" max="11778" width="10.796875" style="790" customWidth="1"/>
    <col min="11779" max="11779" width="11.3984375" style="790" customWidth="1"/>
    <col min="11780" max="11781" width="10.796875" style="790" customWidth="1"/>
    <col min="11782" max="11783" width="10.19921875" style="790" customWidth="1"/>
    <col min="11784" max="11784" width="11.19921875" style="790" customWidth="1"/>
    <col min="11785" max="11785" width="9.3984375" style="790" customWidth="1"/>
    <col min="11786" max="11786" width="2" style="790" customWidth="1"/>
    <col min="11787" max="11787" width="12" style="790" customWidth="1"/>
    <col min="11788" max="11788" width="12.796875" style="790" customWidth="1"/>
    <col min="11789" max="12032" width="9.796875" style="790"/>
    <col min="12033" max="12033" width="7.3984375" style="790" customWidth="1"/>
    <col min="12034" max="12034" width="10.796875" style="790" customWidth="1"/>
    <col min="12035" max="12035" width="11.3984375" style="790" customWidth="1"/>
    <col min="12036" max="12037" width="10.796875" style="790" customWidth="1"/>
    <col min="12038" max="12039" width="10.19921875" style="790" customWidth="1"/>
    <col min="12040" max="12040" width="11.19921875" style="790" customWidth="1"/>
    <col min="12041" max="12041" width="9.3984375" style="790" customWidth="1"/>
    <col min="12042" max="12042" width="2" style="790" customWidth="1"/>
    <col min="12043" max="12043" width="12" style="790" customWidth="1"/>
    <col min="12044" max="12044" width="12.796875" style="790" customWidth="1"/>
    <col min="12045" max="12288" width="9.796875" style="790"/>
    <col min="12289" max="12289" width="7.3984375" style="790" customWidth="1"/>
    <col min="12290" max="12290" width="10.796875" style="790" customWidth="1"/>
    <col min="12291" max="12291" width="11.3984375" style="790" customWidth="1"/>
    <col min="12292" max="12293" width="10.796875" style="790" customWidth="1"/>
    <col min="12294" max="12295" width="10.19921875" style="790" customWidth="1"/>
    <col min="12296" max="12296" width="11.19921875" style="790" customWidth="1"/>
    <col min="12297" max="12297" width="9.3984375" style="790" customWidth="1"/>
    <col min="12298" max="12298" width="2" style="790" customWidth="1"/>
    <col min="12299" max="12299" width="12" style="790" customWidth="1"/>
    <col min="12300" max="12300" width="12.796875" style="790" customWidth="1"/>
    <col min="12301" max="12544" width="9.796875" style="790"/>
    <col min="12545" max="12545" width="7.3984375" style="790" customWidth="1"/>
    <col min="12546" max="12546" width="10.796875" style="790" customWidth="1"/>
    <col min="12547" max="12547" width="11.3984375" style="790" customWidth="1"/>
    <col min="12548" max="12549" width="10.796875" style="790" customWidth="1"/>
    <col min="12550" max="12551" width="10.19921875" style="790" customWidth="1"/>
    <col min="12552" max="12552" width="11.19921875" style="790" customWidth="1"/>
    <col min="12553" max="12553" width="9.3984375" style="790" customWidth="1"/>
    <col min="12554" max="12554" width="2" style="790" customWidth="1"/>
    <col min="12555" max="12555" width="12" style="790" customWidth="1"/>
    <col min="12556" max="12556" width="12.796875" style="790" customWidth="1"/>
    <col min="12557" max="12800" width="9.796875" style="790"/>
    <col min="12801" max="12801" width="7.3984375" style="790" customWidth="1"/>
    <col min="12802" max="12802" width="10.796875" style="790" customWidth="1"/>
    <col min="12803" max="12803" width="11.3984375" style="790" customWidth="1"/>
    <col min="12804" max="12805" width="10.796875" style="790" customWidth="1"/>
    <col min="12806" max="12807" width="10.19921875" style="790" customWidth="1"/>
    <col min="12808" max="12808" width="11.19921875" style="790" customWidth="1"/>
    <col min="12809" max="12809" width="9.3984375" style="790" customWidth="1"/>
    <col min="12810" max="12810" width="2" style="790" customWidth="1"/>
    <col min="12811" max="12811" width="12" style="790" customWidth="1"/>
    <col min="12812" max="12812" width="12.796875" style="790" customWidth="1"/>
    <col min="12813" max="13056" width="9.796875" style="790"/>
    <col min="13057" max="13057" width="7.3984375" style="790" customWidth="1"/>
    <col min="13058" max="13058" width="10.796875" style="790" customWidth="1"/>
    <col min="13059" max="13059" width="11.3984375" style="790" customWidth="1"/>
    <col min="13060" max="13061" width="10.796875" style="790" customWidth="1"/>
    <col min="13062" max="13063" width="10.19921875" style="790" customWidth="1"/>
    <col min="13064" max="13064" width="11.19921875" style="790" customWidth="1"/>
    <col min="13065" max="13065" width="9.3984375" style="790" customWidth="1"/>
    <col min="13066" max="13066" width="2" style="790" customWidth="1"/>
    <col min="13067" max="13067" width="12" style="790" customWidth="1"/>
    <col min="13068" max="13068" width="12.796875" style="790" customWidth="1"/>
    <col min="13069" max="13312" width="9.796875" style="790"/>
    <col min="13313" max="13313" width="7.3984375" style="790" customWidth="1"/>
    <col min="13314" max="13314" width="10.796875" style="790" customWidth="1"/>
    <col min="13315" max="13315" width="11.3984375" style="790" customWidth="1"/>
    <col min="13316" max="13317" width="10.796875" style="790" customWidth="1"/>
    <col min="13318" max="13319" width="10.19921875" style="790" customWidth="1"/>
    <col min="13320" max="13320" width="11.19921875" style="790" customWidth="1"/>
    <col min="13321" max="13321" width="9.3984375" style="790" customWidth="1"/>
    <col min="13322" max="13322" width="2" style="790" customWidth="1"/>
    <col min="13323" max="13323" width="12" style="790" customWidth="1"/>
    <col min="13324" max="13324" width="12.796875" style="790" customWidth="1"/>
    <col min="13325" max="13568" width="9.796875" style="790"/>
    <col min="13569" max="13569" width="7.3984375" style="790" customWidth="1"/>
    <col min="13570" max="13570" width="10.796875" style="790" customWidth="1"/>
    <col min="13571" max="13571" width="11.3984375" style="790" customWidth="1"/>
    <col min="13572" max="13573" width="10.796875" style="790" customWidth="1"/>
    <col min="13574" max="13575" width="10.19921875" style="790" customWidth="1"/>
    <col min="13576" max="13576" width="11.19921875" style="790" customWidth="1"/>
    <col min="13577" max="13577" width="9.3984375" style="790" customWidth="1"/>
    <col min="13578" max="13578" width="2" style="790" customWidth="1"/>
    <col min="13579" max="13579" width="12" style="790" customWidth="1"/>
    <col min="13580" max="13580" width="12.796875" style="790" customWidth="1"/>
    <col min="13581" max="13824" width="9.796875" style="790"/>
    <col min="13825" max="13825" width="7.3984375" style="790" customWidth="1"/>
    <col min="13826" max="13826" width="10.796875" style="790" customWidth="1"/>
    <col min="13827" max="13827" width="11.3984375" style="790" customWidth="1"/>
    <col min="13828" max="13829" width="10.796875" style="790" customWidth="1"/>
    <col min="13830" max="13831" width="10.19921875" style="790" customWidth="1"/>
    <col min="13832" max="13832" width="11.19921875" style="790" customWidth="1"/>
    <col min="13833" max="13833" width="9.3984375" style="790" customWidth="1"/>
    <col min="13834" max="13834" width="2" style="790" customWidth="1"/>
    <col min="13835" max="13835" width="12" style="790" customWidth="1"/>
    <col min="13836" max="13836" width="12.796875" style="790" customWidth="1"/>
    <col min="13837" max="14080" width="9.796875" style="790"/>
    <col min="14081" max="14081" width="7.3984375" style="790" customWidth="1"/>
    <col min="14082" max="14082" width="10.796875" style="790" customWidth="1"/>
    <col min="14083" max="14083" width="11.3984375" style="790" customWidth="1"/>
    <col min="14084" max="14085" width="10.796875" style="790" customWidth="1"/>
    <col min="14086" max="14087" width="10.19921875" style="790" customWidth="1"/>
    <col min="14088" max="14088" width="11.19921875" style="790" customWidth="1"/>
    <col min="14089" max="14089" width="9.3984375" style="790" customWidth="1"/>
    <col min="14090" max="14090" width="2" style="790" customWidth="1"/>
    <col min="14091" max="14091" width="12" style="790" customWidth="1"/>
    <col min="14092" max="14092" width="12.796875" style="790" customWidth="1"/>
    <col min="14093" max="14336" width="9.796875" style="790"/>
    <col min="14337" max="14337" width="7.3984375" style="790" customWidth="1"/>
    <col min="14338" max="14338" width="10.796875" style="790" customWidth="1"/>
    <col min="14339" max="14339" width="11.3984375" style="790" customWidth="1"/>
    <col min="14340" max="14341" width="10.796875" style="790" customWidth="1"/>
    <col min="14342" max="14343" width="10.19921875" style="790" customWidth="1"/>
    <col min="14344" max="14344" width="11.19921875" style="790" customWidth="1"/>
    <col min="14345" max="14345" width="9.3984375" style="790" customWidth="1"/>
    <col min="14346" max="14346" width="2" style="790" customWidth="1"/>
    <col min="14347" max="14347" width="12" style="790" customWidth="1"/>
    <col min="14348" max="14348" width="12.796875" style="790" customWidth="1"/>
    <col min="14349" max="14592" width="9.796875" style="790"/>
    <col min="14593" max="14593" width="7.3984375" style="790" customWidth="1"/>
    <col min="14594" max="14594" width="10.796875" style="790" customWidth="1"/>
    <col min="14595" max="14595" width="11.3984375" style="790" customWidth="1"/>
    <col min="14596" max="14597" width="10.796875" style="790" customWidth="1"/>
    <col min="14598" max="14599" width="10.19921875" style="790" customWidth="1"/>
    <col min="14600" max="14600" width="11.19921875" style="790" customWidth="1"/>
    <col min="14601" max="14601" width="9.3984375" style="790" customWidth="1"/>
    <col min="14602" max="14602" width="2" style="790" customWidth="1"/>
    <col min="14603" max="14603" width="12" style="790" customWidth="1"/>
    <col min="14604" max="14604" width="12.796875" style="790" customWidth="1"/>
    <col min="14605" max="14848" width="9.796875" style="790"/>
    <col min="14849" max="14849" width="7.3984375" style="790" customWidth="1"/>
    <col min="14850" max="14850" width="10.796875" style="790" customWidth="1"/>
    <col min="14851" max="14851" width="11.3984375" style="790" customWidth="1"/>
    <col min="14852" max="14853" width="10.796875" style="790" customWidth="1"/>
    <col min="14854" max="14855" width="10.19921875" style="790" customWidth="1"/>
    <col min="14856" max="14856" width="11.19921875" style="790" customWidth="1"/>
    <col min="14857" max="14857" width="9.3984375" style="790" customWidth="1"/>
    <col min="14858" max="14858" width="2" style="790" customWidth="1"/>
    <col min="14859" max="14859" width="12" style="790" customWidth="1"/>
    <col min="14860" max="14860" width="12.796875" style="790" customWidth="1"/>
    <col min="14861" max="15104" width="9.796875" style="790"/>
    <col min="15105" max="15105" width="7.3984375" style="790" customWidth="1"/>
    <col min="15106" max="15106" width="10.796875" style="790" customWidth="1"/>
    <col min="15107" max="15107" width="11.3984375" style="790" customWidth="1"/>
    <col min="15108" max="15109" width="10.796875" style="790" customWidth="1"/>
    <col min="15110" max="15111" width="10.19921875" style="790" customWidth="1"/>
    <col min="15112" max="15112" width="11.19921875" style="790" customWidth="1"/>
    <col min="15113" max="15113" width="9.3984375" style="790" customWidth="1"/>
    <col min="15114" max="15114" width="2" style="790" customWidth="1"/>
    <col min="15115" max="15115" width="12" style="790" customWidth="1"/>
    <col min="15116" max="15116" width="12.796875" style="790" customWidth="1"/>
    <col min="15117" max="15360" width="9.796875" style="790"/>
    <col min="15361" max="15361" width="7.3984375" style="790" customWidth="1"/>
    <col min="15362" max="15362" width="10.796875" style="790" customWidth="1"/>
    <col min="15363" max="15363" width="11.3984375" style="790" customWidth="1"/>
    <col min="15364" max="15365" width="10.796875" style="790" customWidth="1"/>
    <col min="15366" max="15367" width="10.19921875" style="790" customWidth="1"/>
    <col min="15368" max="15368" width="11.19921875" style="790" customWidth="1"/>
    <col min="15369" max="15369" width="9.3984375" style="790" customWidth="1"/>
    <col min="15370" max="15370" width="2" style="790" customWidth="1"/>
    <col min="15371" max="15371" width="12" style="790" customWidth="1"/>
    <col min="15372" max="15372" width="12.796875" style="790" customWidth="1"/>
    <col min="15373" max="15616" width="9.796875" style="790"/>
    <col min="15617" max="15617" width="7.3984375" style="790" customWidth="1"/>
    <col min="15618" max="15618" width="10.796875" style="790" customWidth="1"/>
    <col min="15619" max="15619" width="11.3984375" style="790" customWidth="1"/>
    <col min="15620" max="15621" width="10.796875" style="790" customWidth="1"/>
    <col min="15622" max="15623" width="10.19921875" style="790" customWidth="1"/>
    <col min="15624" max="15624" width="11.19921875" style="790" customWidth="1"/>
    <col min="15625" max="15625" width="9.3984375" style="790" customWidth="1"/>
    <col min="15626" max="15626" width="2" style="790" customWidth="1"/>
    <col min="15627" max="15627" width="12" style="790" customWidth="1"/>
    <col min="15628" max="15628" width="12.796875" style="790" customWidth="1"/>
    <col min="15629" max="15872" width="9.796875" style="790"/>
    <col min="15873" max="15873" width="7.3984375" style="790" customWidth="1"/>
    <col min="15874" max="15874" width="10.796875" style="790" customWidth="1"/>
    <col min="15875" max="15875" width="11.3984375" style="790" customWidth="1"/>
    <col min="15876" max="15877" width="10.796875" style="790" customWidth="1"/>
    <col min="15878" max="15879" width="10.19921875" style="790" customWidth="1"/>
    <col min="15880" max="15880" width="11.19921875" style="790" customWidth="1"/>
    <col min="15881" max="15881" width="9.3984375" style="790" customWidth="1"/>
    <col min="15882" max="15882" width="2" style="790" customWidth="1"/>
    <col min="15883" max="15883" width="12" style="790" customWidth="1"/>
    <col min="15884" max="15884" width="12.796875" style="790" customWidth="1"/>
    <col min="15885" max="16128" width="9.796875" style="790"/>
    <col min="16129" max="16129" width="7.3984375" style="790" customWidth="1"/>
    <col min="16130" max="16130" width="10.796875" style="790" customWidth="1"/>
    <col min="16131" max="16131" width="11.3984375" style="790" customWidth="1"/>
    <col min="16132" max="16133" width="10.796875" style="790" customWidth="1"/>
    <col min="16134" max="16135" width="10.19921875" style="790" customWidth="1"/>
    <col min="16136" max="16136" width="11.19921875" style="790" customWidth="1"/>
    <col min="16137" max="16137" width="9.3984375" style="790" customWidth="1"/>
    <col min="16138" max="16138" width="2" style="790" customWidth="1"/>
    <col min="16139" max="16139" width="12" style="790" customWidth="1"/>
    <col min="16140" max="16140" width="12.796875" style="790" customWidth="1"/>
    <col min="16141" max="16384" width="9.796875" style="790"/>
  </cols>
  <sheetData>
    <row r="1" spans="1:13" ht="15" customHeight="1">
      <c r="G1" s="791"/>
    </row>
    <row r="2" spans="1:13" ht="12" customHeight="1">
      <c r="A2" s="844" t="s">
        <v>600</v>
      </c>
      <c r="B2" s="844"/>
      <c r="C2" s="792"/>
      <c r="D2" s="792"/>
      <c r="E2" s="792"/>
      <c r="F2" s="792"/>
      <c r="G2" s="792"/>
      <c r="H2" s="792"/>
      <c r="I2" s="792"/>
      <c r="J2" s="792"/>
      <c r="K2" s="792"/>
    </row>
    <row r="3" spans="1:13" ht="12" customHeight="1">
      <c r="A3" s="844" t="s">
        <v>599</v>
      </c>
      <c r="B3" s="844"/>
      <c r="C3" s="792"/>
      <c r="D3" s="792"/>
      <c r="E3" s="792"/>
      <c r="F3" s="792"/>
      <c r="G3" s="792"/>
      <c r="H3" s="792"/>
      <c r="I3" s="792"/>
      <c r="J3" s="792"/>
      <c r="K3" s="792"/>
    </row>
    <row r="4" spans="1:13" ht="12" customHeight="1">
      <c r="A4" s="844" t="s">
        <v>494</v>
      </c>
      <c r="B4" s="844"/>
      <c r="C4" s="792"/>
      <c r="D4" s="792"/>
      <c r="E4" s="792"/>
      <c r="F4" s="792"/>
      <c r="G4" s="792"/>
      <c r="H4" s="792"/>
      <c r="I4" s="792"/>
      <c r="J4" s="792"/>
      <c r="K4" s="792"/>
    </row>
    <row r="5" spans="1:13" ht="4" customHeight="1" thickBot="1">
      <c r="A5" s="823"/>
      <c r="B5" s="823"/>
      <c r="C5" s="823"/>
      <c r="D5" s="823"/>
      <c r="E5" s="823"/>
      <c r="F5" s="823"/>
      <c r="G5" s="823"/>
      <c r="H5" s="823"/>
      <c r="I5" s="823"/>
      <c r="J5" s="823"/>
      <c r="K5" s="849"/>
      <c r="L5" s="798"/>
    </row>
    <row r="6" spans="1:13" ht="13" customHeight="1">
      <c r="A6" s="1117" t="s">
        <v>123</v>
      </c>
      <c r="B6" s="859" t="s">
        <v>121</v>
      </c>
      <c r="C6" s="1121" t="s">
        <v>126</v>
      </c>
      <c r="D6" s="1121"/>
      <c r="E6" s="1121"/>
      <c r="F6" s="1121"/>
      <c r="G6" s="1121"/>
      <c r="H6" s="1121"/>
      <c r="I6" s="1117" t="s">
        <v>211</v>
      </c>
      <c r="J6" s="1117" t="s">
        <v>16</v>
      </c>
      <c r="K6" s="798"/>
      <c r="L6" s="798"/>
    </row>
    <row r="7" spans="1:13" ht="13" customHeight="1">
      <c r="A7" s="1118"/>
      <c r="B7" s="759" t="s">
        <v>210</v>
      </c>
      <c r="C7" s="761" t="s">
        <v>481</v>
      </c>
      <c r="D7" s="761" t="s">
        <v>482</v>
      </c>
      <c r="E7" s="761" t="s">
        <v>483</v>
      </c>
      <c r="F7" s="761" t="s">
        <v>484</v>
      </c>
      <c r="G7" s="761" t="s">
        <v>485</v>
      </c>
      <c r="H7" s="761" t="s">
        <v>8</v>
      </c>
      <c r="I7" s="1118"/>
      <c r="J7" s="1118"/>
      <c r="K7" s="798"/>
      <c r="L7" s="798"/>
    </row>
    <row r="8" spans="1:13" ht="13" customHeight="1">
      <c r="A8" s="774">
        <v>2007</v>
      </c>
      <c r="B8" s="1080">
        <f>(C8+E8+F8+G8+H8)</f>
        <v>609677.3854212244</v>
      </c>
      <c r="C8" s="1080">
        <v>508998.28342122451</v>
      </c>
      <c r="D8" s="1080">
        <v>478501</v>
      </c>
      <c r="E8" s="1077">
        <v>1153.5830000000003</v>
      </c>
      <c r="F8" s="1080">
        <v>33487.184000000001</v>
      </c>
      <c r="G8" s="1080">
        <v>65672.335999999996</v>
      </c>
      <c r="H8" s="1077">
        <v>365.99900000000002</v>
      </c>
      <c r="I8" s="1080">
        <v>133445.57999999999</v>
      </c>
      <c r="J8" s="1081">
        <v>122669</v>
      </c>
      <c r="K8" s="798"/>
      <c r="L8" s="798"/>
      <c r="M8" s="771"/>
    </row>
    <row r="9" spans="1:13" ht="13" customHeight="1">
      <c r="A9" s="774">
        <v>2008</v>
      </c>
      <c r="B9" s="1080">
        <f t="shared" ref="B9:B20" si="0">(C9+E9+F9+G9+H9)</f>
        <v>689767.95457312732</v>
      </c>
      <c r="C9" s="1080">
        <v>587333.59263212734</v>
      </c>
      <c r="D9" s="1080">
        <v>548764.09509212745</v>
      </c>
      <c r="E9" s="1077">
        <v>1256.2534860000001</v>
      </c>
      <c r="F9" s="1080">
        <v>38146.355527</v>
      </c>
      <c r="G9" s="1080">
        <v>62715.297928000007</v>
      </c>
      <c r="H9" s="1077">
        <v>316.45499999999998</v>
      </c>
      <c r="I9" s="1080">
        <v>127859.50599999999</v>
      </c>
      <c r="J9" s="1081">
        <v>127939.45092951939</v>
      </c>
      <c r="K9" s="798"/>
      <c r="L9" s="798"/>
      <c r="M9" s="771"/>
    </row>
    <row r="10" spans="1:13" ht="13" customHeight="1">
      <c r="A10" s="774">
        <v>2009</v>
      </c>
      <c r="B10" s="1080">
        <f t="shared" si="0"/>
        <v>705048.72762225277</v>
      </c>
      <c r="C10" s="1080">
        <v>602724.30234725284</v>
      </c>
      <c r="D10" s="1080">
        <v>557643.72009625286</v>
      </c>
      <c r="E10" s="1077">
        <v>1229.8827300000003</v>
      </c>
      <c r="F10" s="1080">
        <v>40646.414873999995</v>
      </c>
      <c r="G10" s="1080">
        <v>60125.267670999994</v>
      </c>
      <c r="H10" s="1077">
        <v>322.86</v>
      </c>
      <c r="I10" s="1080">
        <v>133508.98200000002</v>
      </c>
      <c r="J10" s="1081">
        <v>128979.36</v>
      </c>
      <c r="K10" s="798"/>
      <c r="L10" s="798"/>
      <c r="M10" s="771"/>
    </row>
    <row r="11" spans="1:13" ht="13" customHeight="1">
      <c r="A11" s="774">
        <v>2010</v>
      </c>
      <c r="B11" s="1080">
        <f t="shared" si="0"/>
        <v>771381.18005864392</v>
      </c>
      <c r="C11" s="1080">
        <v>663307.42969464406</v>
      </c>
      <c r="D11" s="1080">
        <v>610167.58282064402</v>
      </c>
      <c r="E11" s="1077">
        <v>1269.3516950000001</v>
      </c>
      <c r="F11" s="1080">
        <v>44333.557131000001</v>
      </c>
      <c r="G11" s="1080">
        <v>62068.896537999994</v>
      </c>
      <c r="H11" s="1077">
        <v>401.94499999999999</v>
      </c>
      <c r="I11" s="1080">
        <v>168506.12801400002</v>
      </c>
      <c r="J11" s="1081">
        <v>136848.78877937753</v>
      </c>
      <c r="K11" s="798"/>
      <c r="L11" s="798"/>
      <c r="M11" s="771"/>
    </row>
    <row r="12" spans="1:13" ht="13" customHeight="1">
      <c r="A12" s="774">
        <v>2011</v>
      </c>
      <c r="B12" s="1080">
        <f t="shared" si="0"/>
        <v>777939.32347959897</v>
      </c>
      <c r="C12" s="1080">
        <v>667740.60120559891</v>
      </c>
      <c r="D12" s="1080">
        <v>612925.65368459909</v>
      </c>
      <c r="E12" s="1077">
        <v>1267.6287800000002</v>
      </c>
      <c r="F12" s="1080">
        <v>46587.502505000004</v>
      </c>
      <c r="G12" s="1080">
        <v>62003.590989000004</v>
      </c>
      <c r="H12" s="1078">
        <v>340</v>
      </c>
      <c r="I12" s="1080">
        <v>176538.76034010001</v>
      </c>
      <c r="J12" s="1081">
        <v>139128.4346034661</v>
      </c>
      <c r="K12" s="798"/>
      <c r="L12" s="798"/>
      <c r="M12" s="771"/>
    </row>
    <row r="13" spans="1:13" ht="13" customHeight="1">
      <c r="A13" s="774">
        <v>2012</v>
      </c>
      <c r="B13" s="1080">
        <f t="shared" si="0"/>
        <v>822534.37585674552</v>
      </c>
      <c r="C13" s="1080">
        <v>700273.86930374545</v>
      </c>
      <c r="D13" s="1080">
        <v>637376.27787174552</v>
      </c>
      <c r="E13" s="1077">
        <v>1186</v>
      </c>
      <c r="F13" s="1080">
        <v>52689.491824000004</v>
      </c>
      <c r="G13" s="1080">
        <v>68035.334729000009</v>
      </c>
      <c r="H13" s="1078">
        <v>349.68</v>
      </c>
      <c r="I13" s="1080">
        <v>184190.09567439999</v>
      </c>
      <c r="J13" s="1081">
        <v>138170.5201441487</v>
      </c>
      <c r="K13" s="798"/>
      <c r="L13" s="798"/>
      <c r="M13" s="771"/>
    </row>
    <row r="14" spans="1:13" ht="13" customHeight="1">
      <c r="A14" s="774">
        <v>2013</v>
      </c>
      <c r="B14" s="1080">
        <f t="shared" si="0"/>
        <v>850232.79009600007</v>
      </c>
      <c r="C14" s="1080">
        <v>714462.27032600017</v>
      </c>
      <c r="D14" s="1080">
        <v>652363.61741465598</v>
      </c>
      <c r="E14" s="1077">
        <v>1326.43048</v>
      </c>
      <c r="F14" s="1080">
        <v>60667.142109</v>
      </c>
      <c r="G14" s="1080">
        <v>73428.531180999998</v>
      </c>
      <c r="H14" s="1078">
        <v>348.41600000000005</v>
      </c>
      <c r="I14" s="1080">
        <v>186401.2976744</v>
      </c>
      <c r="J14" s="1081">
        <v>145163.17495921013</v>
      </c>
      <c r="K14" s="798"/>
      <c r="L14" s="798"/>
      <c r="M14" s="771"/>
    </row>
    <row r="15" spans="1:13" ht="13" customHeight="1">
      <c r="A15" s="774">
        <v>2014</v>
      </c>
      <c r="B15" s="1080">
        <f t="shared" si="0"/>
        <v>874761.0226861079</v>
      </c>
      <c r="C15" s="1080">
        <v>728420.74170810787</v>
      </c>
      <c r="D15" s="1080">
        <v>682187.13521710795</v>
      </c>
      <c r="E15" s="1077">
        <v>1317.1521400000001</v>
      </c>
      <c r="F15" s="1080">
        <v>63965.303750000006</v>
      </c>
      <c r="G15" s="1080">
        <v>80739.825087999998</v>
      </c>
      <c r="H15" s="1078">
        <v>318</v>
      </c>
      <c r="I15" s="1080">
        <v>184146</v>
      </c>
      <c r="J15" s="1081">
        <v>154210.87236127959</v>
      </c>
      <c r="K15" s="798"/>
      <c r="L15" s="798"/>
      <c r="M15" s="802"/>
    </row>
    <row r="16" spans="1:13" ht="13" customHeight="1">
      <c r="A16" s="774">
        <v>2015</v>
      </c>
      <c r="B16" s="1080">
        <f t="shared" si="0"/>
        <v>894186.68629749597</v>
      </c>
      <c r="C16" s="1080">
        <v>745684.865209496</v>
      </c>
      <c r="D16" s="1080">
        <v>700033.91081849602</v>
      </c>
      <c r="E16" s="1077">
        <v>1204.51</v>
      </c>
      <c r="F16" s="1080">
        <v>64345.025999999998</v>
      </c>
      <c r="G16" s="1080">
        <v>82705.223087999999</v>
      </c>
      <c r="H16" s="1077">
        <v>247.06199999999998</v>
      </c>
      <c r="I16" s="1080">
        <v>185000</v>
      </c>
      <c r="J16" s="1082">
        <v>162226.94702468385</v>
      </c>
      <c r="K16" s="798"/>
      <c r="L16" s="798"/>
      <c r="M16" s="771"/>
    </row>
    <row r="17" spans="1:14" ht="13" customHeight="1">
      <c r="A17" s="774">
        <v>2016</v>
      </c>
      <c r="B17" s="1080">
        <f t="shared" si="0"/>
        <v>932355.31632595544</v>
      </c>
      <c r="C17" s="1080">
        <v>782264.26810795546</v>
      </c>
      <c r="D17" s="1080">
        <v>736536.18015695538</v>
      </c>
      <c r="E17" s="1077">
        <v>1179.98813</v>
      </c>
      <c r="F17" s="1080">
        <v>68999.958799999993</v>
      </c>
      <c r="G17" s="1080">
        <v>79667.430288000003</v>
      </c>
      <c r="H17" s="1077">
        <v>243.67100000000002</v>
      </c>
      <c r="I17" s="1080">
        <v>189500</v>
      </c>
      <c r="J17" s="1081">
        <v>168411.6</v>
      </c>
      <c r="K17" s="798"/>
      <c r="L17" s="798"/>
      <c r="M17" s="771"/>
      <c r="N17" s="771"/>
    </row>
    <row r="18" spans="1:14" ht="13" customHeight="1">
      <c r="A18" s="774" t="s">
        <v>219</v>
      </c>
      <c r="B18" s="1080">
        <f t="shared" si="0"/>
        <v>1049136.1765952781</v>
      </c>
      <c r="C18" s="1080">
        <v>887856.05684527813</v>
      </c>
      <c r="D18" s="1080">
        <v>818800.06022352783</v>
      </c>
      <c r="E18" s="1077">
        <v>1067.4939999999999</v>
      </c>
      <c r="F18" s="1080">
        <v>75933.183800000013</v>
      </c>
      <c r="G18" s="1080">
        <v>84069.441950000008</v>
      </c>
      <c r="H18" s="1077">
        <v>210</v>
      </c>
      <c r="I18" s="1080">
        <v>195000</v>
      </c>
      <c r="J18" s="1081">
        <v>174441.3263094789</v>
      </c>
      <c r="K18" s="798"/>
      <c r="L18" s="798"/>
      <c r="M18" s="802"/>
      <c r="N18" s="771"/>
    </row>
    <row r="19" spans="1:14" ht="13" customHeight="1">
      <c r="A19" s="774" t="s">
        <v>465</v>
      </c>
      <c r="B19" s="1080">
        <f>(C19+E19+F19+G19+H19)</f>
        <v>1104508.5272974325</v>
      </c>
      <c r="C19" s="1080">
        <v>935023.57429243252</v>
      </c>
      <c r="D19" s="1080">
        <v>860219.20171352779</v>
      </c>
      <c r="E19" s="1077">
        <v>1050.5304999999998</v>
      </c>
      <c r="F19" s="1080">
        <v>81996.421300000002</v>
      </c>
      <c r="G19" s="1080">
        <v>86240.373905</v>
      </c>
      <c r="H19" s="1077">
        <v>197.62729999999999</v>
      </c>
      <c r="I19" s="1080">
        <v>198092.34099999999</v>
      </c>
      <c r="J19" s="1081">
        <v>185416.08818638304</v>
      </c>
      <c r="K19" s="798"/>
      <c r="L19" s="798"/>
      <c r="M19" s="802"/>
      <c r="N19" s="771"/>
    </row>
    <row r="20" spans="1:14" ht="13" customHeight="1" thickBot="1">
      <c r="A20" s="777" t="s">
        <v>466</v>
      </c>
      <c r="B20" s="1083">
        <f t="shared" si="0"/>
        <v>1163303.587282947</v>
      </c>
      <c r="C20" s="1083">
        <v>989946.57891794725</v>
      </c>
      <c r="D20" s="1083">
        <v>935967.19569893018</v>
      </c>
      <c r="E20" s="1079">
        <v>1003.53837</v>
      </c>
      <c r="F20" s="1083">
        <v>86720.009389999992</v>
      </c>
      <c r="G20" s="1083">
        <v>85440.737854999999</v>
      </c>
      <c r="H20" s="1079">
        <v>192.72275000000002</v>
      </c>
      <c r="I20" s="1083">
        <v>199500</v>
      </c>
      <c r="J20" s="1084">
        <v>195393.77494341761</v>
      </c>
      <c r="K20" s="798"/>
      <c r="L20" s="798"/>
      <c r="M20" s="771"/>
      <c r="N20" s="771"/>
    </row>
    <row r="21" spans="1:14" ht="10" customHeight="1">
      <c r="A21" s="841" t="s">
        <v>476</v>
      </c>
      <c r="B21" s="768"/>
      <c r="C21" s="768"/>
      <c r="D21" s="769" t="s">
        <v>479</v>
      </c>
      <c r="E21" s="768"/>
      <c r="F21" s="768"/>
      <c r="G21" s="768"/>
      <c r="H21" s="769"/>
      <c r="I21" s="769"/>
      <c r="J21" s="768"/>
      <c r="K21" s="855"/>
      <c r="L21" s="798"/>
    </row>
    <row r="22" spans="1:14" ht="10" customHeight="1">
      <c r="A22" s="725" t="s">
        <v>467</v>
      </c>
      <c r="B22" s="768"/>
      <c r="C22" s="768"/>
      <c r="D22" s="768"/>
      <c r="E22" s="768"/>
      <c r="F22" s="768"/>
      <c r="G22" s="768"/>
      <c r="H22" s="768"/>
      <c r="I22" s="768"/>
      <c r="J22" s="768"/>
      <c r="K22" s="855"/>
      <c r="L22" s="798"/>
    </row>
    <row r="23" spans="1:14" ht="10" customHeight="1">
      <c r="A23" s="764" t="s">
        <v>213</v>
      </c>
      <c r="B23" s="762"/>
      <c r="C23" s="768"/>
      <c r="D23" s="768"/>
      <c r="E23" s="768"/>
      <c r="F23" s="768"/>
      <c r="G23" s="768"/>
      <c r="H23" s="768"/>
      <c r="I23" s="768"/>
      <c r="J23" s="768"/>
      <c r="K23" s="855"/>
      <c r="L23" s="798"/>
    </row>
    <row r="24" spans="1:14" ht="10" customHeight="1">
      <c r="A24" s="765" t="s">
        <v>261</v>
      </c>
      <c r="B24" s="762"/>
      <c r="C24" s="768"/>
      <c r="D24" s="768"/>
      <c r="E24" s="768"/>
      <c r="F24" s="768"/>
      <c r="G24" s="768"/>
      <c r="H24" s="768"/>
      <c r="I24" s="768"/>
      <c r="J24" s="768"/>
      <c r="K24" s="855"/>
      <c r="L24" s="798"/>
    </row>
    <row r="25" spans="1:14" ht="10" customHeight="1">
      <c r="B25" s="768"/>
      <c r="C25" s="768"/>
      <c r="D25" s="768"/>
      <c r="E25" s="768"/>
      <c r="F25" s="768"/>
      <c r="G25" s="768"/>
      <c r="H25" s="768"/>
      <c r="I25" s="768"/>
      <c r="J25" s="768"/>
      <c r="K25" s="855"/>
      <c r="L25" s="855"/>
    </row>
    <row r="26" spans="1:14" ht="12" customHeight="1">
      <c r="A26" s="844" t="s">
        <v>601</v>
      </c>
      <c r="B26" s="844"/>
      <c r="C26" s="792"/>
      <c r="D26" s="792"/>
      <c r="E26" s="792"/>
      <c r="F26" s="792"/>
      <c r="G26" s="792"/>
      <c r="H26" s="792"/>
      <c r="I26" s="792"/>
      <c r="J26" s="792"/>
      <c r="K26" s="792"/>
      <c r="L26" s="792"/>
    </row>
    <row r="27" spans="1:14" ht="12" customHeight="1">
      <c r="A27" s="844" t="s">
        <v>602</v>
      </c>
      <c r="B27" s="844"/>
      <c r="C27" s="792"/>
      <c r="D27" s="792"/>
      <c r="E27" s="792"/>
      <c r="F27" s="792"/>
      <c r="G27" s="792"/>
      <c r="H27" s="792"/>
      <c r="I27" s="792"/>
      <c r="J27" s="792"/>
      <c r="K27" s="792"/>
      <c r="L27" s="792"/>
    </row>
    <row r="28" spans="1:14" ht="12" customHeight="1">
      <c r="A28" s="845" t="s">
        <v>501</v>
      </c>
      <c r="B28" s="844"/>
      <c r="C28" s="792"/>
      <c r="D28" s="792"/>
      <c r="E28" s="792"/>
      <c r="F28" s="792"/>
      <c r="G28" s="792"/>
      <c r="H28" s="792"/>
      <c r="I28" s="792"/>
      <c r="J28" s="792"/>
      <c r="K28" s="792"/>
      <c r="L28" s="792"/>
    </row>
    <row r="29" spans="1:14" ht="4" customHeight="1" thickBot="1">
      <c r="A29" s="824"/>
      <c r="B29" s="824"/>
      <c r="C29" s="824"/>
      <c r="D29" s="824"/>
      <c r="E29" s="824"/>
      <c r="F29" s="824"/>
      <c r="G29" s="824"/>
      <c r="H29" s="824"/>
      <c r="I29" s="824"/>
      <c r="J29" s="824"/>
      <c r="K29" s="824"/>
      <c r="L29" s="825"/>
      <c r="M29" s="798"/>
    </row>
    <row r="30" spans="1:14" ht="13" customHeight="1">
      <c r="A30" s="1119" t="s">
        <v>123</v>
      </c>
      <c r="B30" s="860" t="s">
        <v>137</v>
      </c>
      <c r="C30" s="858" t="s">
        <v>121</v>
      </c>
      <c r="D30" s="1121" t="s">
        <v>126</v>
      </c>
      <c r="E30" s="1121"/>
      <c r="F30" s="1121"/>
      <c r="G30" s="1121"/>
      <c r="H30" s="1121"/>
      <c r="I30" s="1121"/>
      <c r="J30" s="1117" t="s">
        <v>493</v>
      </c>
      <c r="K30" s="1117" t="s">
        <v>16</v>
      </c>
      <c r="L30" s="856"/>
      <c r="M30" s="798"/>
    </row>
    <row r="31" spans="1:14" ht="13" customHeight="1">
      <c r="A31" s="1120"/>
      <c r="B31" s="758" t="s">
        <v>145</v>
      </c>
      <c r="C31" s="761" t="s">
        <v>210</v>
      </c>
      <c r="D31" s="761" t="s">
        <v>481</v>
      </c>
      <c r="E31" s="761" t="s">
        <v>482</v>
      </c>
      <c r="F31" s="761" t="s">
        <v>483</v>
      </c>
      <c r="G31" s="761" t="s">
        <v>484</v>
      </c>
      <c r="H31" s="761" t="s">
        <v>485</v>
      </c>
      <c r="I31" s="761" t="s">
        <v>8</v>
      </c>
      <c r="J31" s="1118"/>
      <c r="K31" s="1118"/>
      <c r="L31" s="774"/>
      <c r="M31" s="798"/>
    </row>
    <row r="32" spans="1:14" ht="13" customHeight="1">
      <c r="A32" s="780">
        <v>2007</v>
      </c>
      <c r="B32" s="775">
        <v>8922.5349999999999</v>
      </c>
      <c r="C32" s="776">
        <v>75.453148142029931</v>
      </c>
      <c r="D32" s="776">
        <v>51.681248824346575</v>
      </c>
      <c r="E32" s="776">
        <v>48.584700674193812</v>
      </c>
      <c r="F32" s="776">
        <v>0.11712929493948505</v>
      </c>
      <c r="G32" s="776">
        <v>3.4001283405084886</v>
      </c>
      <c r="H32" s="776">
        <v>6.6680545853301929</v>
      </c>
      <c r="I32" s="776">
        <v>3.7161786207456748E-2</v>
      </c>
      <c r="J32" s="772">
        <v>13.54942531069775</v>
      </c>
      <c r="K32" s="772">
        <v>12.455222971326457</v>
      </c>
      <c r="L32" s="826"/>
      <c r="M32" s="798"/>
    </row>
    <row r="33" spans="1:13" ht="13" customHeight="1">
      <c r="A33" s="780">
        <v>2008</v>
      </c>
      <c r="B33" s="775">
        <v>9022.5349999999999</v>
      </c>
      <c r="C33" s="776">
        <v>81.085680624101485</v>
      </c>
      <c r="D33" s="776">
        <v>58.246996839602055</v>
      </c>
      <c r="E33" s="776">
        <v>54.421985926724595</v>
      </c>
      <c r="F33" s="776">
        <v>0.12458506332126743</v>
      </c>
      <c r="G33" s="776">
        <v>3.7830471093370357</v>
      </c>
      <c r="H33" s="776">
        <v>6.2195961648237228</v>
      </c>
      <c r="I33" s="776">
        <v>3.1383448207467642E-2</v>
      </c>
      <c r="J33" s="772">
        <v>12.680071998809936</v>
      </c>
      <c r="K33" s="772">
        <v>12.688000290526046</v>
      </c>
      <c r="L33" s="826"/>
      <c r="M33" s="798"/>
    </row>
    <row r="34" spans="1:13" ht="13" customHeight="1">
      <c r="A34" s="780">
        <v>2009</v>
      </c>
      <c r="B34" s="775">
        <v>9122.5349999999999</v>
      </c>
      <c r="C34" s="776">
        <v>82.830331458765755</v>
      </c>
      <c r="D34" s="776">
        <v>59.535382203051512</v>
      </c>
      <c r="E34" s="776">
        <v>55.08245126298948</v>
      </c>
      <c r="F34" s="776">
        <v>0.12148429739821019</v>
      </c>
      <c r="G34" s="776">
        <v>4.0149365726308304</v>
      </c>
      <c r="H34" s="776">
        <v>5.9390019232896734</v>
      </c>
      <c r="I34" s="776">
        <v>3.189118710365673E-2</v>
      </c>
      <c r="J34" s="772">
        <v>13.187635275291889</v>
      </c>
      <c r="K34" s="772">
        <v>12.740212173294614</v>
      </c>
      <c r="L34" s="826"/>
      <c r="M34" s="798"/>
    </row>
    <row r="35" spans="1:13" ht="13" customHeight="1">
      <c r="A35" s="780">
        <v>2010</v>
      </c>
      <c r="B35" s="775">
        <v>9160.384</v>
      </c>
      <c r="C35" s="776">
        <v>91.071704124167326</v>
      </c>
      <c r="D35" s="776">
        <v>64.272107370390799</v>
      </c>
      <c r="E35" s="776">
        <v>59.123047083965005</v>
      </c>
      <c r="F35" s="776">
        <v>0.12299561979787411</v>
      </c>
      <c r="G35" s="776">
        <v>4.2957624420801723</v>
      </c>
      <c r="H35" s="776">
        <v>6.0142531261688124</v>
      </c>
      <c r="I35" s="776">
        <v>3.8947026733718984E-2</v>
      </c>
      <c r="J35" s="772">
        <v>16.327638538995963</v>
      </c>
      <c r="K35" s="772">
        <v>13.260156078735845</v>
      </c>
      <c r="L35" s="826"/>
      <c r="M35" s="798"/>
    </row>
    <row r="36" spans="1:13" ht="13" customHeight="1">
      <c r="A36" s="780">
        <v>2011</v>
      </c>
      <c r="B36" s="775">
        <v>9303.7880000000005</v>
      </c>
      <c r="C36" s="776">
        <f t="shared" ref="C36:I36" si="1">(B12/$B$36)</f>
        <v>83.615332107696233</v>
      </c>
      <c r="D36" s="776">
        <f t="shared" si="1"/>
        <v>71.770831537175923</v>
      </c>
      <c r="E36" s="776">
        <f t="shared" si="1"/>
        <v>65.879150909779867</v>
      </c>
      <c r="F36" s="776">
        <f t="shared" si="1"/>
        <v>0.13624867419592968</v>
      </c>
      <c r="G36" s="776">
        <f t="shared" si="1"/>
        <v>5.0073693107581558</v>
      </c>
      <c r="H36" s="776">
        <f t="shared" si="1"/>
        <v>6.6643383306885324</v>
      </c>
      <c r="I36" s="776">
        <f t="shared" si="1"/>
        <v>3.6544254877690675E-2</v>
      </c>
      <c r="J36" s="772">
        <f t="shared" ref="J36:K36" si="2">(J12/$B$36)</f>
        <v>14.953955808479954</v>
      </c>
      <c r="K36" s="772">
        <f t="shared" si="2"/>
        <v>0</v>
      </c>
      <c r="L36" s="826"/>
      <c r="M36" s="798"/>
    </row>
    <row r="37" spans="1:13" ht="13" customHeight="1">
      <c r="A37" s="780">
        <v>2012</v>
      </c>
      <c r="B37" s="775">
        <v>9450.5849999999991</v>
      </c>
      <c r="C37" s="776">
        <f t="shared" ref="C37:I37" si="3">(B13/$B$37)</f>
        <v>87.035286795129153</v>
      </c>
      <c r="D37" s="776">
        <f t="shared" si="3"/>
        <v>74.098467904764149</v>
      </c>
      <c r="E37" s="776">
        <f t="shared" si="3"/>
        <v>67.44305012565313</v>
      </c>
      <c r="F37" s="776">
        <f t="shared" si="3"/>
        <v>0.12549487677217866</v>
      </c>
      <c r="G37" s="776">
        <f t="shared" si="3"/>
        <v>5.5752624651278211</v>
      </c>
      <c r="H37" s="776">
        <f t="shared" si="3"/>
        <v>7.1990606643927348</v>
      </c>
      <c r="I37" s="776">
        <f t="shared" si="3"/>
        <v>3.7000884072255852E-2</v>
      </c>
      <c r="J37" s="772">
        <f t="shared" ref="J37:K37" si="4">(J13/$B$37)</f>
        <v>14.620313995815996</v>
      </c>
      <c r="K37" s="772">
        <f t="shared" si="4"/>
        <v>0</v>
      </c>
      <c r="L37" s="826"/>
      <c r="M37" s="798"/>
    </row>
    <row r="38" spans="1:13" ht="13" customHeight="1">
      <c r="A38" s="780">
        <v>2013</v>
      </c>
      <c r="B38" s="775">
        <v>9600.1139999999996</v>
      </c>
      <c r="C38" s="776">
        <f t="shared" ref="C38:I38" si="5">(B14/$B$38)</f>
        <v>88.564863927240879</v>
      </c>
      <c r="D38" s="776">
        <f t="shared" si="5"/>
        <v>74.4222693945093</v>
      </c>
      <c r="E38" s="776">
        <f t="shared" si="5"/>
        <v>67.953736530072035</v>
      </c>
      <c r="F38" s="776">
        <f t="shared" si="5"/>
        <v>0.13816820091928075</v>
      </c>
      <c r="G38" s="776">
        <f t="shared" si="5"/>
        <v>6.3194189265877467</v>
      </c>
      <c r="H38" s="776">
        <f t="shared" si="5"/>
        <v>7.6487145028694457</v>
      </c>
      <c r="I38" s="776">
        <f t="shared" si="5"/>
        <v>3.6292902355117874E-2</v>
      </c>
      <c r="J38" s="772">
        <f t="shared" ref="J38:K38" si="6">(J14/$B$38)</f>
        <v>15.120984496560158</v>
      </c>
      <c r="K38" s="772">
        <f t="shared" si="6"/>
        <v>0</v>
      </c>
      <c r="L38" s="826"/>
      <c r="M38" s="798"/>
    </row>
    <row r="39" spans="1:13" ht="13" customHeight="1">
      <c r="A39" s="780">
        <v>2014</v>
      </c>
      <c r="B39" s="775">
        <v>9751.7170000000006</v>
      </c>
      <c r="C39" s="776">
        <f t="shared" ref="C39:I39" si="7">(B15/$B$39)</f>
        <v>89.703282271840735</v>
      </c>
      <c r="D39" s="776">
        <f t="shared" si="7"/>
        <v>74.696665388065284</v>
      </c>
      <c r="E39" s="776">
        <f t="shared" si="7"/>
        <v>69.955591945203892</v>
      </c>
      <c r="F39" s="776">
        <f t="shared" si="7"/>
        <v>0.13506874122782686</v>
      </c>
      <c r="G39" s="776">
        <f t="shared" si="7"/>
        <v>6.5593888491636916</v>
      </c>
      <c r="H39" s="776">
        <f t="shared" si="7"/>
        <v>8.2795496514101057</v>
      </c>
      <c r="I39" s="776">
        <f t="shared" si="7"/>
        <v>3.2609641973818555E-2</v>
      </c>
      <c r="J39" s="772">
        <f t="shared" ref="J39:K39" si="8">(J15/$B$39)</f>
        <v>15.813714893621254</v>
      </c>
      <c r="K39" s="772">
        <f t="shared" si="8"/>
        <v>0</v>
      </c>
      <c r="L39" s="826"/>
      <c r="M39" s="798"/>
    </row>
    <row r="40" spans="1:13" ht="13" customHeight="1">
      <c r="A40" s="780">
        <v>2015</v>
      </c>
      <c r="B40" s="775">
        <v>9904.7270000000008</v>
      </c>
      <c r="C40" s="776">
        <f t="shared" ref="C40:I40" si="9">(B16/$B$40)</f>
        <v>90.278781666319105</v>
      </c>
      <c r="D40" s="776">
        <f t="shared" si="9"/>
        <v>75.285756508937197</v>
      </c>
      <c r="E40" s="776">
        <f t="shared" si="9"/>
        <v>70.676749679066972</v>
      </c>
      <c r="F40" s="776">
        <f t="shared" si="9"/>
        <v>0.12160961124925501</v>
      </c>
      <c r="G40" s="776">
        <f t="shared" si="9"/>
        <v>6.4963957108560377</v>
      </c>
      <c r="H40" s="776">
        <f t="shared" si="9"/>
        <v>8.3500759877581672</v>
      </c>
      <c r="I40" s="776">
        <f t="shared" si="9"/>
        <v>2.4943847518462646E-2</v>
      </c>
      <c r="J40" s="772">
        <f t="shared" ref="J40:K40" si="10">(J16/$B$40)</f>
        <v>16.378739870839837</v>
      </c>
      <c r="K40" s="772">
        <f t="shared" si="10"/>
        <v>0</v>
      </c>
      <c r="L40" s="826"/>
      <c r="M40" s="798"/>
    </row>
    <row r="41" spans="1:13" ht="13" customHeight="1">
      <c r="A41" s="780">
        <v>2016</v>
      </c>
      <c r="B41" s="775">
        <v>10059.157058112307</v>
      </c>
      <c r="C41" s="776">
        <f t="shared" ref="C41:I41" si="11">(B17/$B$41)</f>
        <v>92.687221298930638</v>
      </c>
      <c r="D41" s="776">
        <f t="shared" si="11"/>
        <v>77.7663837624536</v>
      </c>
      <c r="E41" s="776">
        <f t="shared" si="11"/>
        <v>73.220467271953808</v>
      </c>
      <c r="F41" s="776">
        <f t="shared" si="11"/>
        <v>0.11730487188768833</v>
      </c>
      <c r="G41" s="776">
        <f t="shared" si="11"/>
        <v>6.8594175835393969</v>
      </c>
      <c r="H41" s="776">
        <f t="shared" si="11"/>
        <v>7.9198912819192353</v>
      </c>
      <c r="I41" s="776">
        <f t="shared" si="11"/>
        <v>2.4223799130712362E-2</v>
      </c>
      <c r="J41" s="772">
        <f t="shared" ref="J41:K41" si="12">(J17/$B$41)</f>
        <v>16.742118551989684</v>
      </c>
      <c r="K41" s="772">
        <f t="shared" si="12"/>
        <v>0</v>
      </c>
      <c r="L41" s="826"/>
      <c r="M41" s="798"/>
    </row>
    <row r="42" spans="1:13" ht="13" customHeight="1">
      <c r="A42" s="774" t="s">
        <v>220</v>
      </c>
      <c r="B42" s="775">
        <v>10217.9871</v>
      </c>
      <c r="C42" s="776">
        <f t="shared" ref="C42:I42" si="13">(B18/$B$42)</f>
        <v>102.67542582778148</v>
      </c>
      <c r="D42" s="776">
        <f t="shared" si="13"/>
        <v>86.891483435644389</v>
      </c>
      <c r="E42" s="776">
        <f t="shared" si="13"/>
        <v>80.133205513983057</v>
      </c>
      <c r="F42" s="776">
        <f t="shared" si="13"/>
        <v>0.10447204420526229</v>
      </c>
      <c r="G42" s="776">
        <f t="shared" si="13"/>
        <v>7.4313250796724937</v>
      </c>
      <c r="H42" s="776">
        <f t="shared" si="13"/>
        <v>8.2275932751960514</v>
      </c>
      <c r="I42" s="776">
        <f t="shared" si="13"/>
        <v>2.05519930632913E-2</v>
      </c>
      <c r="J42" s="772">
        <f t="shared" ref="J42:K42" si="14">(J18/$B$42)</f>
        <v>17.071985372684498</v>
      </c>
      <c r="K42" s="772">
        <f t="shared" si="14"/>
        <v>0</v>
      </c>
      <c r="L42" s="826"/>
      <c r="M42" s="798"/>
    </row>
    <row r="43" spans="1:13" ht="13" customHeight="1">
      <c r="A43" s="774" t="s">
        <v>465</v>
      </c>
      <c r="B43" s="775">
        <v>10378.313199999999</v>
      </c>
      <c r="C43" s="776">
        <f t="shared" ref="C43:I43" si="15">(B19/$B$43)</f>
        <v>106.42466709305253</v>
      </c>
      <c r="D43" s="776">
        <f t="shared" si="15"/>
        <v>90.093983123619026</v>
      </c>
      <c r="E43" s="776">
        <f t="shared" si="15"/>
        <v>82.886224874532388</v>
      </c>
      <c r="F43" s="776">
        <f t="shared" si="15"/>
        <v>0.10122362659087991</v>
      </c>
      <c r="G43" s="776">
        <f t="shared" si="15"/>
        <v>7.9007464623441903</v>
      </c>
      <c r="H43" s="776">
        <f t="shared" si="15"/>
        <v>8.3096715471065199</v>
      </c>
      <c r="I43" s="776">
        <f t="shared" si="15"/>
        <v>1.9042333391904188E-2</v>
      </c>
      <c r="J43" s="772">
        <f>(J19/$B$43)</f>
        <v>17.865724864266291</v>
      </c>
      <c r="K43" s="772">
        <f>(K19/$B$43)</f>
        <v>0</v>
      </c>
      <c r="L43" s="826"/>
      <c r="M43" s="798"/>
    </row>
    <row r="44" spans="1:13" ht="13" customHeight="1" thickBot="1">
      <c r="A44" s="777" t="s">
        <v>466</v>
      </c>
      <c r="B44" s="778">
        <v>10541.1548</v>
      </c>
      <c r="C44" s="779">
        <f t="shared" ref="C44:I44" si="16">(B20/$B$44)</f>
        <v>110.35826807921909</v>
      </c>
      <c r="D44" s="779">
        <f t="shared" si="16"/>
        <v>93.912535931826682</v>
      </c>
      <c r="E44" s="779">
        <f t="shared" si="16"/>
        <v>88.791713380295889</v>
      </c>
      <c r="F44" s="779">
        <f t="shared" si="16"/>
        <v>9.5201938406217115E-2</v>
      </c>
      <c r="G44" s="779">
        <f t="shared" si="16"/>
        <v>8.2268035177701773</v>
      </c>
      <c r="H44" s="779">
        <f t="shared" si="16"/>
        <v>8.1054438034625953</v>
      </c>
      <c r="I44" s="779">
        <f t="shared" si="16"/>
        <v>1.8282887753436654E-2</v>
      </c>
      <c r="J44" s="773">
        <f>(J20/$B$44)</f>
        <v>18.536277917426808</v>
      </c>
      <c r="K44" s="773">
        <f>(K20/$B$44)</f>
        <v>0</v>
      </c>
      <c r="L44" s="826"/>
      <c r="M44" s="798"/>
    </row>
    <row r="45" spans="1:13" ht="10" customHeight="1">
      <c r="A45" s="841" t="s">
        <v>476</v>
      </c>
      <c r="B45" s="768"/>
      <c r="C45" s="768"/>
      <c r="D45" s="769"/>
      <c r="E45" s="769" t="s">
        <v>479</v>
      </c>
      <c r="F45" s="768"/>
      <c r="G45" s="768"/>
      <c r="H45" s="769"/>
      <c r="I45" s="769"/>
      <c r="J45" s="769"/>
      <c r="K45" s="768"/>
      <c r="L45" s="798"/>
      <c r="M45" s="798"/>
    </row>
    <row r="46" spans="1:13" ht="10" customHeight="1">
      <c r="A46" s="725" t="s">
        <v>467</v>
      </c>
      <c r="B46" s="768"/>
      <c r="C46" s="768"/>
      <c r="D46" s="769"/>
      <c r="E46" s="854"/>
      <c r="F46" s="854"/>
      <c r="G46" s="854"/>
      <c r="H46" s="854"/>
      <c r="I46" s="854"/>
      <c r="J46" s="854"/>
      <c r="K46" s="854"/>
      <c r="L46" s="857"/>
      <c r="M46" s="798"/>
    </row>
    <row r="47" spans="1:13" ht="10" customHeight="1">
      <c r="A47" s="764" t="s">
        <v>213</v>
      </c>
      <c r="B47" s="762"/>
      <c r="C47" s="768"/>
      <c r="D47" s="768"/>
      <c r="E47" s="768"/>
      <c r="F47" s="768"/>
      <c r="G47" s="768"/>
      <c r="H47" s="768"/>
      <c r="I47" s="768"/>
      <c r="J47" s="768"/>
      <c r="K47" s="768"/>
      <c r="L47" s="798"/>
      <c r="M47" s="798"/>
    </row>
    <row r="48" spans="1:13" ht="10" customHeight="1">
      <c r="A48" s="765" t="s">
        <v>261</v>
      </c>
      <c r="B48" s="762"/>
      <c r="C48" s="768"/>
      <c r="D48" s="768"/>
      <c r="E48" s="768"/>
      <c r="F48" s="768"/>
      <c r="G48" s="768"/>
      <c r="H48" s="768"/>
      <c r="I48" s="768"/>
      <c r="J48" s="768"/>
      <c r="K48" s="768"/>
      <c r="L48" s="798"/>
      <c r="M48" s="798"/>
    </row>
    <row r="49" spans="1:11" ht="10" customHeight="1">
      <c r="A49" s="730"/>
      <c r="B49" s="768"/>
      <c r="C49" s="768"/>
      <c r="D49" s="768"/>
      <c r="E49" s="768"/>
      <c r="F49" s="768"/>
      <c r="G49" s="768"/>
      <c r="H49" s="768"/>
      <c r="I49" s="768"/>
      <c r="J49" s="768"/>
      <c r="K49" s="768"/>
    </row>
    <row r="50" spans="1:11" ht="15" customHeight="1">
      <c r="A50" s="730"/>
    </row>
    <row r="51" spans="1:11" ht="15" customHeight="1">
      <c r="B51" s="827"/>
    </row>
    <row r="52" spans="1:11" ht="15" customHeight="1">
      <c r="B52" s="827"/>
    </row>
    <row r="53" spans="1:11" ht="15" customHeight="1">
      <c r="B53" s="827"/>
    </row>
    <row r="54" spans="1:11" ht="15" customHeight="1">
      <c r="B54" s="827"/>
    </row>
    <row r="55" spans="1:11" ht="15" customHeight="1">
      <c r="B55" s="827"/>
    </row>
    <row r="56" spans="1:11" ht="15" customHeight="1">
      <c r="B56" s="827"/>
    </row>
    <row r="57" spans="1:11" ht="15" customHeight="1">
      <c r="B57" s="827"/>
    </row>
    <row r="58" spans="1:11" ht="15" customHeight="1">
      <c r="B58" s="827"/>
    </row>
    <row r="59" spans="1:11" ht="15" customHeight="1">
      <c r="B59" s="827"/>
    </row>
    <row r="60" spans="1:11" ht="15" customHeight="1">
      <c r="B60" s="827"/>
    </row>
    <row r="61" spans="1:11" ht="15" customHeight="1">
      <c r="B61" s="827"/>
    </row>
    <row r="62" spans="1:11" ht="15" customHeight="1">
      <c r="B62" s="827"/>
    </row>
  </sheetData>
  <mergeCells count="8">
    <mergeCell ref="K30:K31"/>
    <mergeCell ref="A30:A31"/>
    <mergeCell ref="D30:I30"/>
    <mergeCell ref="A6:A7"/>
    <mergeCell ref="I6:I7"/>
    <mergeCell ref="J6:J7"/>
    <mergeCell ref="C6:H6"/>
    <mergeCell ref="J30:J31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  <rowBreaks count="1" manualBreakCount="1">
    <brk id="25" max="10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syncVertical="1" syncRef="A1" transitionEvaluation="1" codeName="Hoja97">
    <tabColor theme="9" tint="0.59999389629810485"/>
  </sheetPr>
  <dimension ref="A1:BZ48"/>
  <sheetViews>
    <sheetView showGridLines="0" zoomScaleNormal="100" workbookViewId="0">
      <selection activeCell="H34" sqref="H34"/>
    </sheetView>
  </sheetViews>
  <sheetFormatPr baseColWidth="10" defaultColWidth="9.796875" defaultRowHeight="15" customHeight="1"/>
  <cols>
    <col min="1" max="1" width="9.3984375" style="790" customWidth="1"/>
    <col min="2" max="8" width="10" style="790" customWidth="1"/>
    <col min="9" max="9" width="10.3984375" style="790" hidden="1" customWidth="1"/>
    <col min="10" max="255" width="9.796875" style="790"/>
    <col min="256" max="256" width="9" style="790" customWidth="1"/>
    <col min="257" max="257" width="11" style="790" customWidth="1"/>
    <col min="258" max="258" width="10.796875" style="790" customWidth="1"/>
    <col min="259" max="259" width="10" style="790" customWidth="1"/>
    <col min="260" max="260" width="11.3984375" style="790" customWidth="1"/>
    <col min="261" max="261" width="11.19921875" style="790" customWidth="1"/>
    <col min="262" max="262" width="12.19921875" style="790" customWidth="1"/>
    <col min="263" max="263" width="1.796875" style="790" customWidth="1"/>
    <col min="264" max="264" width="10.3984375" style="790" customWidth="1"/>
    <col min="265" max="265" width="0" style="790" hidden="1" customWidth="1"/>
    <col min="266" max="511" width="9.796875" style="790"/>
    <col min="512" max="512" width="9" style="790" customWidth="1"/>
    <col min="513" max="513" width="11" style="790" customWidth="1"/>
    <col min="514" max="514" width="10.796875" style="790" customWidth="1"/>
    <col min="515" max="515" width="10" style="790" customWidth="1"/>
    <col min="516" max="516" width="11.3984375" style="790" customWidth="1"/>
    <col min="517" max="517" width="11.19921875" style="790" customWidth="1"/>
    <col min="518" max="518" width="12.19921875" style="790" customWidth="1"/>
    <col min="519" max="519" width="1.796875" style="790" customWidth="1"/>
    <col min="520" max="520" width="10.3984375" style="790" customWidth="1"/>
    <col min="521" max="521" width="0" style="790" hidden="1" customWidth="1"/>
    <col min="522" max="767" width="9.796875" style="790"/>
    <col min="768" max="768" width="9" style="790" customWidth="1"/>
    <col min="769" max="769" width="11" style="790" customWidth="1"/>
    <col min="770" max="770" width="10.796875" style="790" customWidth="1"/>
    <col min="771" max="771" width="10" style="790" customWidth="1"/>
    <col min="772" max="772" width="11.3984375" style="790" customWidth="1"/>
    <col min="773" max="773" width="11.19921875" style="790" customWidth="1"/>
    <col min="774" max="774" width="12.19921875" style="790" customWidth="1"/>
    <col min="775" max="775" width="1.796875" style="790" customWidth="1"/>
    <col min="776" max="776" width="10.3984375" style="790" customWidth="1"/>
    <col min="777" max="777" width="0" style="790" hidden="1" customWidth="1"/>
    <col min="778" max="1023" width="9.796875" style="790"/>
    <col min="1024" max="1024" width="9" style="790" customWidth="1"/>
    <col min="1025" max="1025" width="11" style="790" customWidth="1"/>
    <col min="1026" max="1026" width="10.796875" style="790" customWidth="1"/>
    <col min="1027" max="1027" width="10" style="790" customWidth="1"/>
    <col min="1028" max="1028" width="11.3984375" style="790" customWidth="1"/>
    <col min="1029" max="1029" width="11.19921875" style="790" customWidth="1"/>
    <col min="1030" max="1030" width="12.19921875" style="790" customWidth="1"/>
    <col min="1031" max="1031" width="1.796875" style="790" customWidth="1"/>
    <col min="1032" max="1032" width="10.3984375" style="790" customWidth="1"/>
    <col min="1033" max="1033" width="0" style="790" hidden="1" customWidth="1"/>
    <col min="1034" max="1279" width="9.796875" style="790"/>
    <col min="1280" max="1280" width="9" style="790" customWidth="1"/>
    <col min="1281" max="1281" width="11" style="790" customWidth="1"/>
    <col min="1282" max="1282" width="10.796875" style="790" customWidth="1"/>
    <col min="1283" max="1283" width="10" style="790" customWidth="1"/>
    <col min="1284" max="1284" width="11.3984375" style="790" customWidth="1"/>
    <col min="1285" max="1285" width="11.19921875" style="790" customWidth="1"/>
    <col min="1286" max="1286" width="12.19921875" style="790" customWidth="1"/>
    <col min="1287" max="1287" width="1.796875" style="790" customWidth="1"/>
    <col min="1288" max="1288" width="10.3984375" style="790" customWidth="1"/>
    <col min="1289" max="1289" width="0" style="790" hidden="1" customWidth="1"/>
    <col min="1290" max="1535" width="9.796875" style="790"/>
    <col min="1536" max="1536" width="9" style="790" customWidth="1"/>
    <col min="1537" max="1537" width="11" style="790" customWidth="1"/>
    <col min="1538" max="1538" width="10.796875" style="790" customWidth="1"/>
    <col min="1539" max="1539" width="10" style="790" customWidth="1"/>
    <col min="1540" max="1540" width="11.3984375" style="790" customWidth="1"/>
    <col min="1541" max="1541" width="11.19921875" style="790" customWidth="1"/>
    <col min="1542" max="1542" width="12.19921875" style="790" customWidth="1"/>
    <col min="1543" max="1543" width="1.796875" style="790" customWidth="1"/>
    <col min="1544" max="1544" width="10.3984375" style="790" customWidth="1"/>
    <col min="1545" max="1545" width="0" style="790" hidden="1" customWidth="1"/>
    <col min="1546" max="1791" width="9.796875" style="790"/>
    <col min="1792" max="1792" width="9" style="790" customWidth="1"/>
    <col min="1793" max="1793" width="11" style="790" customWidth="1"/>
    <col min="1794" max="1794" width="10.796875" style="790" customWidth="1"/>
    <col min="1795" max="1795" width="10" style="790" customWidth="1"/>
    <col min="1796" max="1796" width="11.3984375" style="790" customWidth="1"/>
    <col min="1797" max="1797" width="11.19921875" style="790" customWidth="1"/>
    <col min="1798" max="1798" width="12.19921875" style="790" customWidth="1"/>
    <col min="1799" max="1799" width="1.796875" style="790" customWidth="1"/>
    <col min="1800" max="1800" width="10.3984375" style="790" customWidth="1"/>
    <col min="1801" max="1801" width="0" style="790" hidden="1" customWidth="1"/>
    <col min="1802" max="2047" width="9.796875" style="790"/>
    <col min="2048" max="2048" width="9" style="790" customWidth="1"/>
    <col min="2049" max="2049" width="11" style="790" customWidth="1"/>
    <col min="2050" max="2050" width="10.796875" style="790" customWidth="1"/>
    <col min="2051" max="2051" width="10" style="790" customWidth="1"/>
    <col min="2052" max="2052" width="11.3984375" style="790" customWidth="1"/>
    <col min="2053" max="2053" width="11.19921875" style="790" customWidth="1"/>
    <col min="2054" max="2054" width="12.19921875" style="790" customWidth="1"/>
    <col min="2055" max="2055" width="1.796875" style="790" customWidth="1"/>
    <col min="2056" max="2056" width="10.3984375" style="790" customWidth="1"/>
    <col min="2057" max="2057" width="0" style="790" hidden="1" customWidth="1"/>
    <col min="2058" max="2303" width="9.796875" style="790"/>
    <col min="2304" max="2304" width="9" style="790" customWidth="1"/>
    <col min="2305" max="2305" width="11" style="790" customWidth="1"/>
    <col min="2306" max="2306" width="10.796875" style="790" customWidth="1"/>
    <col min="2307" max="2307" width="10" style="790" customWidth="1"/>
    <col min="2308" max="2308" width="11.3984375" style="790" customWidth="1"/>
    <col min="2309" max="2309" width="11.19921875" style="790" customWidth="1"/>
    <col min="2310" max="2310" width="12.19921875" style="790" customWidth="1"/>
    <col min="2311" max="2311" width="1.796875" style="790" customWidth="1"/>
    <col min="2312" max="2312" width="10.3984375" style="790" customWidth="1"/>
    <col min="2313" max="2313" width="0" style="790" hidden="1" customWidth="1"/>
    <col min="2314" max="2559" width="9.796875" style="790"/>
    <col min="2560" max="2560" width="9" style="790" customWidth="1"/>
    <col min="2561" max="2561" width="11" style="790" customWidth="1"/>
    <col min="2562" max="2562" width="10.796875" style="790" customWidth="1"/>
    <col min="2563" max="2563" width="10" style="790" customWidth="1"/>
    <col min="2564" max="2564" width="11.3984375" style="790" customWidth="1"/>
    <col min="2565" max="2565" width="11.19921875" style="790" customWidth="1"/>
    <col min="2566" max="2566" width="12.19921875" style="790" customWidth="1"/>
    <col min="2567" max="2567" width="1.796875" style="790" customWidth="1"/>
    <col min="2568" max="2568" width="10.3984375" style="790" customWidth="1"/>
    <col min="2569" max="2569" width="0" style="790" hidden="1" customWidth="1"/>
    <col min="2570" max="2815" width="9.796875" style="790"/>
    <col min="2816" max="2816" width="9" style="790" customWidth="1"/>
    <col min="2817" max="2817" width="11" style="790" customWidth="1"/>
    <col min="2818" max="2818" width="10.796875" style="790" customWidth="1"/>
    <col min="2819" max="2819" width="10" style="790" customWidth="1"/>
    <col min="2820" max="2820" width="11.3984375" style="790" customWidth="1"/>
    <col min="2821" max="2821" width="11.19921875" style="790" customWidth="1"/>
    <col min="2822" max="2822" width="12.19921875" style="790" customWidth="1"/>
    <col min="2823" max="2823" width="1.796875" style="790" customWidth="1"/>
    <col min="2824" max="2824" width="10.3984375" style="790" customWidth="1"/>
    <col min="2825" max="2825" width="0" style="790" hidden="1" customWidth="1"/>
    <col min="2826" max="3071" width="9.796875" style="790"/>
    <col min="3072" max="3072" width="9" style="790" customWidth="1"/>
    <col min="3073" max="3073" width="11" style="790" customWidth="1"/>
    <col min="3074" max="3074" width="10.796875" style="790" customWidth="1"/>
    <col min="3075" max="3075" width="10" style="790" customWidth="1"/>
    <col min="3076" max="3076" width="11.3984375" style="790" customWidth="1"/>
    <col min="3077" max="3077" width="11.19921875" style="790" customWidth="1"/>
    <col min="3078" max="3078" width="12.19921875" style="790" customWidth="1"/>
    <col min="3079" max="3079" width="1.796875" style="790" customWidth="1"/>
    <col min="3080" max="3080" width="10.3984375" style="790" customWidth="1"/>
    <col min="3081" max="3081" width="0" style="790" hidden="1" customWidth="1"/>
    <col min="3082" max="3327" width="9.796875" style="790"/>
    <col min="3328" max="3328" width="9" style="790" customWidth="1"/>
    <col min="3329" max="3329" width="11" style="790" customWidth="1"/>
    <col min="3330" max="3330" width="10.796875" style="790" customWidth="1"/>
    <col min="3331" max="3331" width="10" style="790" customWidth="1"/>
    <col min="3332" max="3332" width="11.3984375" style="790" customWidth="1"/>
    <col min="3333" max="3333" width="11.19921875" style="790" customWidth="1"/>
    <col min="3334" max="3334" width="12.19921875" style="790" customWidth="1"/>
    <col min="3335" max="3335" width="1.796875" style="790" customWidth="1"/>
    <col min="3336" max="3336" width="10.3984375" style="790" customWidth="1"/>
    <col min="3337" max="3337" width="0" style="790" hidden="1" customWidth="1"/>
    <col min="3338" max="3583" width="9.796875" style="790"/>
    <col min="3584" max="3584" width="9" style="790" customWidth="1"/>
    <col min="3585" max="3585" width="11" style="790" customWidth="1"/>
    <col min="3586" max="3586" width="10.796875" style="790" customWidth="1"/>
    <col min="3587" max="3587" width="10" style="790" customWidth="1"/>
    <col min="3588" max="3588" width="11.3984375" style="790" customWidth="1"/>
    <col min="3589" max="3589" width="11.19921875" style="790" customWidth="1"/>
    <col min="3590" max="3590" width="12.19921875" style="790" customWidth="1"/>
    <col min="3591" max="3591" width="1.796875" style="790" customWidth="1"/>
    <col min="3592" max="3592" width="10.3984375" style="790" customWidth="1"/>
    <col min="3593" max="3593" width="0" style="790" hidden="1" customWidth="1"/>
    <col min="3594" max="3839" width="9.796875" style="790"/>
    <col min="3840" max="3840" width="9" style="790" customWidth="1"/>
    <col min="3841" max="3841" width="11" style="790" customWidth="1"/>
    <col min="3842" max="3842" width="10.796875" style="790" customWidth="1"/>
    <col min="3843" max="3843" width="10" style="790" customWidth="1"/>
    <col min="3844" max="3844" width="11.3984375" style="790" customWidth="1"/>
    <col min="3845" max="3845" width="11.19921875" style="790" customWidth="1"/>
    <col min="3846" max="3846" width="12.19921875" style="790" customWidth="1"/>
    <col min="3847" max="3847" width="1.796875" style="790" customWidth="1"/>
    <col min="3848" max="3848" width="10.3984375" style="790" customWidth="1"/>
    <col min="3849" max="3849" width="0" style="790" hidden="1" customWidth="1"/>
    <col min="3850" max="4095" width="9.796875" style="790"/>
    <col min="4096" max="4096" width="9" style="790" customWidth="1"/>
    <col min="4097" max="4097" width="11" style="790" customWidth="1"/>
    <col min="4098" max="4098" width="10.796875" style="790" customWidth="1"/>
    <col min="4099" max="4099" width="10" style="790" customWidth="1"/>
    <col min="4100" max="4100" width="11.3984375" style="790" customWidth="1"/>
    <col min="4101" max="4101" width="11.19921875" style="790" customWidth="1"/>
    <col min="4102" max="4102" width="12.19921875" style="790" customWidth="1"/>
    <col min="4103" max="4103" width="1.796875" style="790" customWidth="1"/>
    <col min="4104" max="4104" width="10.3984375" style="790" customWidth="1"/>
    <col min="4105" max="4105" width="0" style="790" hidden="1" customWidth="1"/>
    <col min="4106" max="4351" width="9.796875" style="790"/>
    <col min="4352" max="4352" width="9" style="790" customWidth="1"/>
    <col min="4353" max="4353" width="11" style="790" customWidth="1"/>
    <col min="4354" max="4354" width="10.796875" style="790" customWidth="1"/>
    <col min="4355" max="4355" width="10" style="790" customWidth="1"/>
    <col min="4356" max="4356" width="11.3984375" style="790" customWidth="1"/>
    <col min="4357" max="4357" width="11.19921875" style="790" customWidth="1"/>
    <col min="4358" max="4358" width="12.19921875" style="790" customWidth="1"/>
    <col min="4359" max="4359" width="1.796875" style="790" customWidth="1"/>
    <col min="4360" max="4360" width="10.3984375" style="790" customWidth="1"/>
    <col min="4361" max="4361" width="0" style="790" hidden="1" customWidth="1"/>
    <col min="4362" max="4607" width="9.796875" style="790"/>
    <col min="4608" max="4608" width="9" style="790" customWidth="1"/>
    <col min="4609" max="4609" width="11" style="790" customWidth="1"/>
    <col min="4610" max="4610" width="10.796875" style="790" customWidth="1"/>
    <col min="4611" max="4611" width="10" style="790" customWidth="1"/>
    <col min="4612" max="4612" width="11.3984375" style="790" customWidth="1"/>
    <col min="4613" max="4613" width="11.19921875" style="790" customWidth="1"/>
    <col min="4614" max="4614" width="12.19921875" style="790" customWidth="1"/>
    <col min="4615" max="4615" width="1.796875" style="790" customWidth="1"/>
    <col min="4616" max="4616" width="10.3984375" style="790" customWidth="1"/>
    <col min="4617" max="4617" width="0" style="790" hidden="1" customWidth="1"/>
    <col min="4618" max="4863" width="9.796875" style="790"/>
    <col min="4864" max="4864" width="9" style="790" customWidth="1"/>
    <col min="4865" max="4865" width="11" style="790" customWidth="1"/>
    <col min="4866" max="4866" width="10.796875" style="790" customWidth="1"/>
    <col min="4867" max="4867" width="10" style="790" customWidth="1"/>
    <col min="4868" max="4868" width="11.3984375" style="790" customWidth="1"/>
    <col min="4869" max="4869" width="11.19921875" style="790" customWidth="1"/>
    <col min="4870" max="4870" width="12.19921875" style="790" customWidth="1"/>
    <col min="4871" max="4871" width="1.796875" style="790" customWidth="1"/>
    <col min="4872" max="4872" width="10.3984375" style="790" customWidth="1"/>
    <col min="4873" max="4873" width="0" style="790" hidden="1" customWidth="1"/>
    <col min="4874" max="5119" width="9.796875" style="790"/>
    <col min="5120" max="5120" width="9" style="790" customWidth="1"/>
    <col min="5121" max="5121" width="11" style="790" customWidth="1"/>
    <col min="5122" max="5122" width="10.796875" style="790" customWidth="1"/>
    <col min="5123" max="5123" width="10" style="790" customWidth="1"/>
    <col min="5124" max="5124" width="11.3984375" style="790" customWidth="1"/>
    <col min="5125" max="5125" width="11.19921875" style="790" customWidth="1"/>
    <col min="5126" max="5126" width="12.19921875" style="790" customWidth="1"/>
    <col min="5127" max="5127" width="1.796875" style="790" customWidth="1"/>
    <col min="5128" max="5128" width="10.3984375" style="790" customWidth="1"/>
    <col min="5129" max="5129" width="0" style="790" hidden="1" customWidth="1"/>
    <col min="5130" max="5375" width="9.796875" style="790"/>
    <col min="5376" max="5376" width="9" style="790" customWidth="1"/>
    <col min="5377" max="5377" width="11" style="790" customWidth="1"/>
    <col min="5378" max="5378" width="10.796875" style="790" customWidth="1"/>
    <col min="5379" max="5379" width="10" style="790" customWidth="1"/>
    <col min="5380" max="5380" width="11.3984375" style="790" customWidth="1"/>
    <col min="5381" max="5381" width="11.19921875" style="790" customWidth="1"/>
    <col min="5382" max="5382" width="12.19921875" style="790" customWidth="1"/>
    <col min="5383" max="5383" width="1.796875" style="790" customWidth="1"/>
    <col min="5384" max="5384" width="10.3984375" style="790" customWidth="1"/>
    <col min="5385" max="5385" width="0" style="790" hidden="1" customWidth="1"/>
    <col min="5386" max="5631" width="9.796875" style="790"/>
    <col min="5632" max="5632" width="9" style="790" customWidth="1"/>
    <col min="5633" max="5633" width="11" style="790" customWidth="1"/>
    <col min="5634" max="5634" width="10.796875" style="790" customWidth="1"/>
    <col min="5635" max="5635" width="10" style="790" customWidth="1"/>
    <col min="5636" max="5636" width="11.3984375" style="790" customWidth="1"/>
    <col min="5637" max="5637" width="11.19921875" style="790" customWidth="1"/>
    <col min="5638" max="5638" width="12.19921875" style="790" customWidth="1"/>
    <col min="5639" max="5639" width="1.796875" style="790" customWidth="1"/>
    <col min="5640" max="5640" width="10.3984375" style="790" customWidth="1"/>
    <col min="5641" max="5641" width="0" style="790" hidden="1" customWidth="1"/>
    <col min="5642" max="5887" width="9.796875" style="790"/>
    <col min="5888" max="5888" width="9" style="790" customWidth="1"/>
    <col min="5889" max="5889" width="11" style="790" customWidth="1"/>
    <col min="5890" max="5890" width="10.796875" style="790" customWidth="1"/>
    <col min="5891" max="5891" width="10" style="790" customWidth="1"/>
    <col min="5892" max="5892" width="11.3984375" style="790" customWidth="1"/>
    <col min="5893" max="5893" width="11.19921875" style="790" customWidth="1"/>
    <col min="5894" max="5894" width="12.19921875" style="790" customWidth="1"/>
    <col min="5895" max="5895" width="1.796875" style="790" customWidth="1"/>
    <col min="5896" max="5896" width="10.3984375" style="790" customWidth="1"/>
    <col min="5897" max="5897" width="0" style="790" hidden="1" customWidth="1"/>
    <col min="5898" max="6143" width="9.796875" style="790"/>
    <col min="6144" max="6144" width="9" style="790" customWidth="1"/>
    <col min="6145" max="6145" width="11" style="790" customWidth="1"/>
    <col min="6146" max="6146" width="10.796875" style="790" customWidth="1"/>
    <col min="6147" max="6147" width="10" style="790" customWidth="1"/>
    <col min="6148" max="6148" width="11.3984375" style="790" customWidth="1"/>
    <col min="6149" max="6149" width="11.19921875" style="790" customWidth="1"/>
    <col min="6150" max="6150" width="12.19921875" style="790" customWidth="1"/>
    <col min="6151" max="6151" width="1.796875" style="790" customWidth="1"/>
    <col min="6152" max="6152" width="10.3984375" style="790" customWidth="1"/>
    <col min="6153" max="6153" width="0" style="790" hidden="1" customWidth="1"/>
    <col min="6154" max="6399" width="9.796875" style="790"/>
    <col min="6400" max="6400" width="9" style="790" customWidth="1"/>
    <col min="6401" max="6401" width="11" style="790" customWidth="1"/>
    <col min="6402" max="6402" width="10.796875" style="790" customWidth="1"/>
    <col min="6403" max="6403" width="10" style="790" customWidth="1"/>
    <col min="6404" max="6404" width="11.3984375" style="790" customWidth="1"/>
    <col min="6405" max="6405" width="11.19921875" style="790" customWidth="1"/>
    <col min="6406" max="6406" width="12.19921875" style="790" customWidth="1"/>
    <col min="6407" max="6407" width="1.796875" style="790" customWidth="1"/>
    <col min="6408" max="6408" width="10.3984375" style="790" customWidth="1"/>
    <col min="6409" max="6409" width="0" style="790" hidden="1" customWidth="1"/>
    <col min="6410" max="6655" width="9.796875" style="790"/>
    <col min="6656" max="6656" width="9" style="790" customWidth="1"/>
    <col min="6657" max="6657" width="11" style="790" customWidth="1"/>
    <col min="6658" max="6658" width="10.796875" style="790" customWidth="1"/>
    <col min="6659" max="6659" width="10" style="790" customWidth="1"/>
    <col min="6660" max="6660" width="11.3984375" style="790" customWidth="1"/>
    <col min="6661" max="6661" width="11.19921875" style="790" customWidth="1"/>
    <col min="6662" max="6662" width="12.19921875" style="790" customWidth="1"/>
    <col min="6663" max="6663" width="1.796875" style="790" customWidth="1"/>
    <col min="6664" max="6664" width="10.3984375" style="790" customWidth="1"/>
    <col min="6665" max="6665" width="0" style="790" hidden="1" customWidth="1"/>
    <col min="6666" max="6911" width="9.796875" style="790"/>
    <col min="6912" max="6912" width="9" style="790" customWidth="1"/>
    <col min="6913" max="6913" width="11" style="790" customWidth="1"/>
    <col min="6914" max="6914" width="10.796875" style="790" customWidth="1"/>
    <col min="6915" max="6915" width="10" style="790" customWidth="1"/>
    <col min="6916" max="6916" width="11.3984375" style="790" customWidth="1"/>
    <col min="6917" max="6917" width="11.19921875" style="790" customWidth="1"/>
    <col min="6918" max="6918" width="12.19921875" style="790" customWidth="1"/>
    <col min="6919" max="6919" width="1.796875" style="790" customWidth="1"/>
    <col min="6920" max="6920" width="10.3984375" style="790" customWidth="1"/>
    <col min="6921" max="6921" width="0" style="790" hidden="1" customWidth="1"/>
    <col min="6922" max="7167" width="9.796875" style="790"/>
    <col min="7168" max="7168" width="9" style="790" customWidth="1"/>
    <col min="7169" max="7169" width="11" style="790" customWidth="1"/>
    <col min="7170" max="7170" width="10.796875" style="790" customWidth="1"/>
    <col min="7171" max="7171" width="10" style="790" customWidth="1"/>
    <col min="7172" max="7172" width="11.3984375" style="790" customWidth="1"/>
    <col min="7173" max="7173" width="11.19921875" style="790" customWidth="1"/>
    <col min="7174" max="7174" width="12.19921875" style="790" customWidth="1"/>
    <col min="7175" max="7175" width="1.796875" style="790" customWidth="1"/>
    <col min="7176" max="7176" width="10.3984375" style="790" customWidth="1"/>
    <col min="7177" max="7177" width="0" style="790" hidden="1" customWidth="1"/>
    <col min="7178" max="7423" width="9.796875" style="790"/>
    <col min="7424" max="7424" width="9" style="790" customWidth="1"/>
    <col min="7425" max="7425" width="11" style="790" customWidth="1"/>
    <col min="7426" max="7426" width="10.796875" style="790" customWidth="1"/>
    <col min="7427" max="7427" width="10" style="790" customWidth="1"/>
    <col min="7428" max="7428" width="11.3984375" style="790" customWidth="1"/>
    <col min="7429" max="7429" width="11.19921875" style="790" customWidth="1"/>
    <col min="7430" max="7430" width="12.19921875" style="790" customWidth="1"/>
    <col min="7431" max="7431" width="1.796875" style="790" customWidth="1"/>
    <col min="7432" max="7432" width="10.3984375" style="790" customWidth="1"/>
    <col min="7433" max="7433" width="0" style="790" hidden="1" customWidth="1"/>
    <col min="7434" max="7679" width="9.796875" style="790"/>
    <col min="7680" max="7680" width="9" style="790" customWidth="1"/>
    <col min="7681" max="7681" width="11" style="790" customWidth="1"/>
    <col min="7682" max="7682" width="10.796875" style="790" customWidth="1"/>
    <col min="7683" max="7683" width="10" style="790" customWidth="1"/>
    <col min="7684" max="7684" width="11.3984375" style="790" customWidth="1"/>
    <col min="7685" max="7685" width="11.19921875" style="790" customWidth="1"/>
    <col min="7686" max="7686" width="12.19921875" style="790" customWidth="1"/>
    <col min="7687" max="7687" width="1.796875" style="790" customWidth="1"/>
    <col min="7688" max="7688" width="10.3984375" style="790" customWidth="1"/>
    <col min="7689" max="7689" width="0" style="790" hidden="1" customWidth="1"/>
    <col min="7690" max="7935" width="9.796875" style="790"/>
    <col min="7936" max="7936" width="9" style="790" customWidth="1"/>
    <col min="7937" max="7937" width="11" style="790" customWidth="1"/>
    <col min="7938" max="7938" width="10.796875" style="790" customWidth="1"/>
    <col min="7939" max="7939" width="10" style="790" customWidth="1"/>
    <col min="7940" max="7940" width="11.3984375" style="790" customWidth="1"/>
    <col min="7941" max="7941" width="11.19921875" style="790" customWidth="1"/>
    <col min="7942" max="7942" width="12.19921875" style="790" customWidth="1"/>
    <col min="7943" max="7943" width="1.796875" style="790" customWidth="1"/>
    <col min="7944" max="7944" width="10.3984375" style="790" customWidth="1"/>
    <col min="7945" max="7945" width="0" style="790" hidden="1" customWidth="1"/>
    <col min="7946" max="8191" width="9.796875" style="790"/>
    <col min="8192" max="8192" width="9" style="790" customWidth="1"/>
    <col min="8193" max="8193" width="11" style="790" customWidth="1"/>
    <col min="8194" max="8194" width="10.796875" style="790" customWidth="1"/>
    <col min="8195" max="8195" width="10" style="790" customWidth="1"/>
    <col min="8196" max="8196" width="11.3984375" style="790" customWidth="1"/>
    <col min="8197" max="8197" width="11.19921875" style="790" customWidth="1"/>
    <col min="8198" max="8198" width="12.19921875" style="790" customWidth="1"/>
    <col min="8199" max="8199" width="1.796875" style="790" customWidth="1"/>
    <col min="8200" max="8200" width="10.3984375" style="790" customWidth="1"/>
    <col min="8201" max="8201" width="0" style="790" hidden="1" customWidth="1"/>
    <col min="8202" max="8447" width="9.796875" style="790"/>
    <col min="8448" max="8448" width="9" style="790" customWidth="1"/>
    <col min="8449" max="8449" width="11" style="790" customWidth="1"/>
    <col min="8450" max="8450" width="10.796875" style="790" customWidth="1"/>
    <col min="8451" max="8451" width="10" style="790" customWidth="1"/>
    <col min="8452" max="8452" width="11.3984375" style="790" customWidth="1"/>
    <col min="8453" max="8453" width="11.19921875" style="790" customWidth="1"/>
    <col min="8454" max="8454" width="12.19921875" style="790" customWidth="1"/>
    <col min="8455" max="8455" width="1.796875" style="790" customWidth="1"/>
    <col min="8456" max="8456" width="10.3984375" style="790" customWidth="1"/>
    <col min="8457" max="8457" width="0" style="790" hidden="1" customWidth="1"/>
    <col min="8458" max="8703" width="9.796875" style="790"/>
    <col min="8704" max="8704" width="9" style="790" customWidth="1"/>
    <col min="8705" max="8705" width="11" style="790" customWidth="1"/>
    <col min="8706" max="8706" width="10.796875" style="790" customWidth="1"/>
    <col min="8707" max="8707" width="10" style="790" customWidth="1"/>
    <col min="8708" max="8708" width="11.3984375" style="790" customWidth="1"/>
    <col min="8709" max="8709" width="11.19921875" style="790" customWidth="1"/>
    <col min="8710" max="8710" width="12.19921875" style="790" customWidth="1"/>
    <col min="8711" max="8711" width="1.796875" style="790" customWidth="1"/>
    <col min="8712" max="8712" width="10.3984375" style="790" customWidth="1"/>
    <col min="8713" max="8713" width="0" style="790" hidden="1" customWidth="1"/>
    <col min="8714" max="8959" width="9.796875" style="790"/>
    <col min="8960" max="8960" width="9" style="790" customWidth="1"/>
    <col min="8961" max="8961" width="11" style="790" customWidth="1"/>
    <col min="8962" max="8962" width="10.796875" style="790" customWidth="1"/>
    <col min="8963" max="8963" width="10" style="790" customWidth="1"/>
    <col min="8964" max="8964" width="11.3984375" style="790" customWidth="1"/>
    <col min="8965" max="8965" width="11.19921875" style="790" customWidth="1"/>
    <col min="8966" max="8966" width="12.19921875" style="790" customWidth="1"/>
    <col min="8967" max="8967" width="1.796875" style="790" customWidth="1"/>
    <col min="8968" max="8968" width="10.3984375" style="790" customWidth="1"/>
    <col min="8969" max="8969" width="0" style="790" hidden="1" customWidth="1"/>
    <col min="8970" max="9215" width="9.796875" style="790"/>
    <col min="9216" max="9216" width="9" style="790" customWidth="1"/>
    <col min="9217" max="9217" width="11" style="790" customWidth="1"/>
    <col min="9218" max="9218" width="10.796875" style="790" customWidth="1"/>
    <col min="9219" max="9219" width="10" style="790" customWidth="1"/>
    <col min="9220" max="9220" width="11.3984375" style="790" customWidth="1"/>
    <col min="9221" max="9221" width="11.19921875" style="790" customWidth="1"/>
    <col min="9222" max="9222" width="12.19921875" style="790" customWidth="1"/>
    <col min="9223" max="9223" width="1.796875" style="790" customWidth="1"/>
    <col min="9224" max="9224" width="10.3984375" style="790" customWidth="1"/>
    <col min="9225" max="9225" width="0" style="790" hidden="1" customWidth="1"/>
    <col min="9226" max="9471" width="9.796875" style="790"/>
    <col min="9472" max="9472" width="9" style="790" customWidth="1"/>
    <col min="9473" max="9473" width="11" style="790" customWidth="1"/>
    <col min="9474" max="9474" width="10.796875" style="790" customWidth="1"/>
    <col min="9475" max="9475" width="10" style="790" customWidth="1"/>
    <col min="9476" max="9476" width="11.3984375" style="790" customWidth="1"/>
    <col min="9477" max="9477" width="11.19921875" style="790" customWidth="1"/>
    <col min="9478" max="9478" width="12.19921875" style="790" customWidth="1"/>
    <col min="9479" max="9479" width="1.796875" style="790" customWidth="1"/>
    <col min="9480" max="9480" width="10.3984375" style="790" customWidth="1"/>
    <col min="9481" max="9481" width="0" style="790" hidden="1" customWidth="1"/>
    <col min="9482" max="9727" width="9.796875" style="790"/>
    <col min="9728" max="9728" width="9" style="790" customWidth="1"/>
    <col min="9729" max="9729" width="11" style="790" customWidth="1"/>
    <col min="9730" max="9730" width="10.796875" style="790" customWidth="1"/>
    <col min="9731" max="9731" width="10" style="790" customWidth="1"/>
    <col min="9732" max="9732" width="11.3984375" style="790" customWidth="1"/>
    <col min="9733" max="9733" width="11.19921875" style="790" customWidth="1"/>
    <col min="9734" max="9734" width="12.19921875" style="790" customWidth="1"/>
    <col min="9735" max="9735" width="1.796875" style="790" customWidth="1"/>
    <col min="9736" max="9736" width="10.3984375" style="790" customWidth="1"/>
    <col min="9737" max="9737" width="0" style="790" hidden="1" customWidth="1"/>
    <col min="9738" max="9983" width="9.796875" style="790"/>
    <col min="9984" max="9984" width="9" style="790" customWidth="1"/>
    <col min="9985" max="9985" width="11" style="790" customWidth="1"/>
    <col min="9986" max="9986" width="10.796875" style="790" customWidth="1"/>
    <col min="9987" max="9987" width="10" style="790" customWidth="1"/>
    <col min="9988" max="9988" width="11.3984375" style="790" customWidth="1"/>
    <col min="9989" max="9989" width="11.19921875" style="790" customWidth="1"/>
    <col min="9990" max="9990" width="12.19921875" style="790" customWidth="1"/>
    <col min="9991" max="9991" width="1.796875" style="790" customWidth="1"/>
    <col min="9992" max="9992" width="10.3984375" style="790" customWidth="1"/>
    <col min="9993" max="9993" width="0" style="790" hidden="1" customWidth="1"/>
    <col min="9994" max="10239" width="9.796875" style="790"/>
    <col min="10240" max="10240" width="9" style="790" customWidth="1"/>
    <col min="10241" max="10241" width="11" style="790" customWidth="1"/>
    <col min="10242" max="10242" width="10.796875" style="790" customWidth="1"/>
    <col min="10243" max="10243" width="10" style="790" customWidth="1"/>
    <col min="10244" max="10244" width="11.3984375" style="790" customWidth="1"/>
    <col min="10245" max="10245" width="11.19921875" style="790" customWidth="1"/>
    <col min="10246" max="10246" width="12.19921875" style="790" customWidth="1"/>
    <col min="10247" max="10247" width="1.796875" style="790" customWidth="1"/>
    <col min="10248" max="10248" width="10.3984375" style="790" customWidth="1"/>
    <col min="10249" max="10249" width="0" style="790" hidden="1" customWidth="1"/>
    <col min="10250" max="10495" width="9.796875" style="790"/>
    <col min="10496" max="10496" width="9" style="790" customWidth="1"/>
    <col min="10497" max="10497" width="11" style="790" customWidth="1"/>
    <col min="10498" max="10498" width="10.796875" style="790" customWidth="1"/>
    <col min="10499" max="10499" width="10" style="790" customWidth="1"/>
    <col min="10500" max="10500" width="11.3984375" style="790" customWidth="1"/>
    <col min="10501" max="10501" width="11.19921875" style="790" customWidth="1"/>
    <col min="10502" max="10502" width="12.19921875" style="790" customWidth="1"/>
    <col min="10503" max="10503" width="1.796875" style="790" customWidth="1"/>
    <col min="10504" max="10504" width="10.3984375" style="790" customWidth="1"/>
    <col min="10505" max="10505" width="0" style="790" hidden="1" customWidth="1"/>
    <col min="10506" max="10751" width="9.796875" style="790"/>
    <col min="10752" max="10752" width="9" style="790" customWidth="1"/>
    <col min="10753" max="10753" width="11" style="790" customWidth="1"/>
    <col min="10754" max="10754" width="10.796875" style="790" customWidth="1"/>
    <col min="10755" max="10755" width="10" style="790" customWidth="1"/>
    <col min="10756" max="10756" width="11.3984375" style="790" customWidth="1"/>
    <col min="10757" max="10757" width="11.19921875" style="790" customWidth="1"/>
    <col min="10758" max="10758" width="12.19921875" style="790" customWidth="1"/>
    <col min="10759" max="10759" width="1.796875" style="790" customWidth="1"/>
    <col min="10760" max="10760" width="10.3984375" style="790" customWidth="1"/>
    <col min="10761" max="10761" width="0" style="790" hidden="1" customWidth="1"/>
    <col min="10762" max="11007" width="9.796875" style="790"/>
    <col min="11008" max="11008" width="9" style="790" customWidth="1"/>
    <col min="11009" max="11009" width="11" style="790" customWidth="1"/>
    <col min="11010" max="11010" width="10.796875" style="790" customWidth="1"/>
    <col min="11011" max="11011" width="10" style="790" customWidth="1"/>
    <col min="11012" max="11012" width="11.3984375" style="790" customWidth="1"/>
    <col min="11013" max="11013" width="11.19921875" style="790" customWidth="1"/>
    <col min="11014" max="11014" width="12.19921875" style="790" customWidth="1"/>
    <col min="11015" max="11015" width="1.796875" style="790" customWidth="1"/>
    <col min="11016" max="11016" width="10.3984375" style="790" customWidth="1"/>
    <col min="11017" max="11017" width="0" style="790" hidden="1" customWidth="1"/>
    <col min="11018" max="11263" width="9.796875" style="790"/>
    <col min="11264" max="11264" width="9" style="790" customWidth="1"/>
    <col min="11265" max="11265" width="11" style="790" customWidth="1"/>
    <col min="11266" max="11266" width="10.796875" style="790" customWidth="1"/>
    <col min="11267" max="11267" width="10" style="790" customWidth="1"/>
    <col min="11268" max="11268" width="11.3984375" style="790" customWidth="1"/>
    <col min="11269" max="11269" width="11.19921875" style="790" customWidth="1"/>
    <col min="11270" max="11270" width="12.19921875" style="790" customWidth="1"/>
    <col min="11271" max="11271" width="1.796875" style="790" customWidth="1"/>
    <col min="11272" max="11272" width="10.3984375" style="790" customWidth="1"/>
    <col min="11273" max="11273" width="0" style="790" hidden="1" customWidth="1"/>
    <col min="11274" max="11519" width="9.796875" style="790"/>
    <col min="11520" max="11520" width="9" style="790" customWidth="1"/>
    <col min="11521" max="11521" width="11" style="790" customWidth="1"/>
    <col min="11522" max="11522" width="10.796875" style="790" customWidth="1"/>
    <col min="11523" max="11523" width="10" style="790" customWidth="1"/>
    <col min="11524" max="11524" width="11.3984375" style="790" customWidth="1"/>
    <col min="11525" max="11525" width="11.19921875" style="790" customWidth="1"/>
    <col min="11526" max="11526" width="12.19921875" style="790" customWidth="1"/>
    <col min="11527" max="11527" width="1.796875" style="790" customWidth="1"/>
    <col min="11528" max="11528" width="10.3984375" style="790" customWidth="1"/>
    <col min="11529" max="11529" width="0" style="790" hidden="1" customWidth="1"/>
    <col min="11530" max="11775" width="9.796875" style="790"/>
    <col min="11776" max="11776" width="9" style="790" customWidth="1"/>
    <col min="11777" max="11777" width="11" style="790" customWidth="1"/>
    <col min="11778" max="11778" width="10.796875" style="790" customWidth="1"/>
    <col min="11779" max="11779" width="10" style="790" customWidth="1"/>
    <col min="11780" max="11780" width="11.3984375" style="790" customWidth="1"/>
    <col min="11781" max="11781" width="11.19921875" style="790" customWidth="1"/>
    <col min="11782" max="11782" width="12.19921875" style="790" customWidth="1"/>
    <col min="11783" max="11783" width="1.796875" style="790" customWidth="1"/>
    <col min="11784" max="11784" width="10.3984375" style="790" customWidth="1"/>
    <col min="11785" max="11785" width="0" style="790" hidden="1" customWidth="1"/>
    <col min="11786" max="12031" width="9.796875" style="790"/>
    <col min="12032" max="12032" width="9" style="790" customWidth="1"/>
    <col min="12033" max="12033" width="11" style="790" customWidth="1"/>
    <col min="12034" max="12034" width="10.796875" style="790" customWidth="1"/>
    <col min="12035" max="12035" width="10" style="790" customWidth="1"/>
    <col min="12036" max="12036" width="11.3984375" style="790" customWidth="1"/>
    <col min="12037" max="12037" width="11.19921875" style="790" customWidth="1"/>
    <col min="12038" max="12038" width="12.19921875" style="790" customWidth="1"/>
    <col min="12039" max="12039" width="1.796875" style="790" customWidth="1"/>
    <col min="12040" max="12040" width="10.3984375" style="790" customWidth="1"/>
    <col min="12041" max="12041" width="0" style="790" hidden="1" customWidth="1"/>
    <col min="12042" max="12287" width="9.796875" style="790"/>
    <col min="12288" max="12288" width="9" style="790" customWidth="1"/>
    <col min="12289" max="12289" width="11" style="790" customWidth="1"/>
    <col min="12290" max="12290" width="10.796875" style="790" customWidth="1"/>
    <col min="12291" max="12291" width="10" style="790" customWidth="1"/>
    <col min="12292" max="12292" width="11.3984375" style="790" customWidth="1"/>
    <col min="12293" max="12293" width="11.19921875" style="790" customWidth="1"/>
    <col min="12294" max="12294" width="12.19921875" style="790" customWidth="1"/>
    <col min="12295" max="12295" width="1.796875" style="790" customWidth="1"/>
    <col min="12296" max="12296" width="10.3984375" style="790" customWidth="1"/>
    <col min="12297" max="12297" width="0" style="790" hidden="1" customWidth="1"/>
    <col min="12298" max="12543" width="9.796875" style="790"/>
    <col min="12544" max="12544" width="9" style="790" customWidth="1"/>
    <col min="12545" max="12545" width="11" style="790" customWidth="1"/>
    <col min="12546" max="12546" width="10.796875" style="790" customWidth="1"/>
    <col min="12547" max="12547" width="10" style="790" customWidth="1"/>
    <col min="12548" max="12548" width="11.3984375" style="790" customWidth="1"/>
    <col min="12549" max="12549" width="11.19921875" style="790" customWidth="1"/>
    <col min="12550" max="12550" width="12.19921875" style="790" customWidth="1"/>
    <col min="12551" max="12551" width="1.796875" style="790" customWidth="1"/>
    <col min="12552" max="12552" width="10.3984375" style="790" customWidth="1"/>
    <col min="12553" max="12553" width="0" style="790" hidden="1" customWidth="1"/>
    <col min="12554" max="12799" width="9.796875" style="790"/>
    <col min="12800" max="12800" width="9" style="790" customWidth="1"/>
    <col min="12801" max="12801" width="11" style="790" customWidth="1"/>
    <col min="12802" max="12802" width="10.796875" style="790" customWidth="1"/>
    <col min="12803" max="12803" width="10" style="790" customWidth="1"/>
    <col min="12804" max="12804" width="11.3984375" style="790" customWidth="1"/>
    <col min="12805" max="12805" width="11.19921875" style="790" customWidth="1"/>
    <col min="12806" max="12806" width="12.19921875" style="790" customWidth="1"/>
    <col min="12807" max="12807" width="1.796875" style="790" customWidth="1"/>
    <col min="12808" max="12808" width="10.3984375" style="790" customWidth="1"/>
    <col min="12809" max="12809" width="0" style="790" hidden="1" customWidth="1"/>
    <col min="12810" max="13055" width="9.796875" style="790"/>
    <col min="13056" max="13056" width="9" style="790" customWidth="1"/>
    <col min="13057" max="13057" width="11" style="790" customWidth="1"/>
    <col min="13058" max="13058" width="10.796875" style="790" customWidth="1"/>
    <col min="13059" max="13059" width="10" style="790" customWidth="1"/>
    <col min="13060" max="13060" width="11.3984375" style="790" customWidth="1"/>
    <col min="13061" max="13061" width="11.19921875" style="790" customWidth="1"/>
    <col min="13062" max="13062" width="12.19921875" style="790" customWidth="1"/>
    <col min="13063" max="13063" width="1.796875" style="790" customWidth="1"/>
    <col min="13064" max="13064" width="10.3984375" style="790" customWidth="1"/>
    <col min="13065" max="13065" width="0" style="790" hidden="1" customWidth="1"/>
    <col min="13066" max="13311" width="9.796875" style="790"/>
    <col min="13312" max="13312" width="9" style="790" customWidth="1"/>
    <col min="13313" max="13313" width="11" style="790" customWidth="1"/>
    <col min="13314" max="13314" width="10.796875" style="790" customWidth="1"/>
    <col min="13315" max="13315" width="10" style="790" customWidth="1"/>
    <col min="13316" max="13316" width="11.3984375" style="790" customWidth="1"/>
    <col min="13317" max="13317" width="11.19921875" style="790" customWidth="1"/>
    <col min="13318" max="13318" width="12.19921875" style="790" customWidth="1"/>
    <col min="13319" max="13319" width="1.796875" style="790" customWidth="1"/>
    <col min="13320" max="13320" width="10.3984375" style="790" customWidth="1"/>
    <col min="13321" max="13321" width="0" style="790" hidden="1" customWidth="1"/>
    <col min="13322" max="13567" width="9.796875" style="790"/>
    <col min="13568" max="13568" width="9" style="790" customWidth="1"/>
    <col min="13569" max="13569" width="11" style="790" customWidth="1"/>
    <col min="13570" max="13570" width="10.796875" style="790" customWidth="1"/>
    <col min="13571" max="13571" width="10" style="790" customWidth="1"/>
    <col min="13572" max="13572" width="11.3984375" style="790" customWidth="1"/>
    <col min="13573" max="13573" width="11.19921875" style="790" customWidth="1"/>
    <col min="13574" max="13574" width="12.19921875" style="790" customWidth="1"/>
    <col min="13575" max="13575" width="1.796875" style="790" customWidth="1"/>
    <col min="13576" max="13576" width="10.3984375" style="790" customWidth="1"/>
    <col min="13577" max="13577" width="0" style="790" hidden="1" customWidth="1"/>
    <col min="13578" max="13823" width="9.796875" style="790"/>
    <col min="13824" max="13824" width="9" style="790" customWidth="1"/>
    <col min="13825" max="13825" width="11" style="790" customWidth="1"/>
    <col min="13826" max="13826" width="10.796875" style="790" customWidth="1"/>
    <col min="13827" max="13827" width="10" style="790" customWidth="1"/>
    <col min="13828" max="13828" width="11.3984375" style="790" customWidth="1"/>
    <col min="13829" max="13829" width="11.19921875" style="790" customWidth="1"/>
    <col min="13830" max="13830" width="12.19921875" style="790" customWidth="1"/>
    <col min="13831" max="13831" width="1.796875" style="790" customWidth="1"/>
    <col min="13832" max="13832" width="10.3984375" style="790" customWidth="1"/>
    <col min="13833" max="13833" width="0" style="790" hidden="1" customWidth="1"/>
    <col min="13834" max="14079" width="9.796875" style="790"/>
    <col min="14080" max="14080" width="9" style="790" customWidth="1"/>
    <col min="14081" max="14081" width="11" style="790" customWidth="1"/>
    <col min="14082" max="14082" width="10.796875" style="790" customWidth="1"/>
    <col min="14083" max="14083" width="10" style="790" customWidth="1"/>
    <col min="14084" max="14084" width="11.3984375" style="790" customWidth="1"/>
    <col min="14085" max="14085" width="11.19921875" style="790" customWidth="1"/>
    <col min="14086" max="14086" width="12.19921875" style="790" customWidth="1"/>
    <col min="14087" max="14087" width="1.796875" style="790" customWidth="1"/>
    <col min="14088" max="14088" width="10.3984375" style="790" customWidth="1"/>
    <col min="14089" max="14089" width="0" style="790" hidden="1" customWidth="1"/>
    <col min="14090" max="14335" width="9.796875" style="790"/>
    <col min="14336" max="14336" width="9" style="790" customWidth="1"/>
    <col min="14337" max="14337" width="11" style="790" customWidth="1"/>
    <col min="14338" max="14338" width="10.796875" style="790" customWidth="1"/>
    <col min="14339" max="14339" width="10" style="790" customWidth="1"/>
    <col min="14340" max="14340" width="11.3984375" style="790" customWidth="1"/>
    <col min="14341" max="14341" width="11.19921875" style="790" customWidth="1"/>
    <col min="14342" max="14342" width="12.19921875" style="790" customWidth="1"/>
    <col min="14343" max="14343" width="1.796875" style="790" customWidth="1"/>
    <col min="14344" max="14344" width="10.3984375" style="790" customWidth="1"/>
    <col min="14345" max="14345" width="0" style="790" hidden="1" customWidth="1"/>
    <col min="14346" max="14591" width="9.796875" style="790"/>
    <col min="14592" max="14592" width="9" style="790" customWidth="1"/>
    <col min="14593" max="14593" width="11" style="790" customWidth="1"/>
    <col min="14594" max="14594" width="10.796875" style="790" customWidth="1"/>
    <col min="14595" max="14595" width="10" style="790" customWidth="1"/>
    <col min="14596" max="14596" width="11.3984375" style="790" customWidth="1"/>
    <col min="14597" max="14597" width="11.19921875" style="790" customWidth="1"/>
    <col min="14598" max="14598" width="12.19921875" style="790" customWidth="1"/>
    <col min="14599" max="14599" width="1.796875" style="790" customWidth="1"/>
    <col min="14600" max="14600" width="10.3984375" style="790" customWidth="1"/>
    <col min="14601" max="14601" width="0" style="790" hidden="1" customWidth="1"/>
    <col min="14602" max="14847" width="9.796875" style="790"/>
    <col min="14848" max="14848" width="9" style="790" customWidth="1"/>
    <col min="14849" max="14849" width="11" style="790" customWidth="1"/>
    <col min="14850" max="14850" width="10.796875" style="790" customWidth="1"/>
    <col min="14851" max="14851" width="10" style="790" customWidth="1"/>
    <col min="14852" max="14852" width="11.3984375" style="790" customWidth="1"/>
    <col min="14853" max="14853" width="11.19921875" style="790" customWidth="1"/>
    <col min="14854" max="14854" width="12.19921875" style="790" customWidth="1"/>
    <col min="14855" max="14855" width="1.796875" style="790" customWidth="1"/>
    <col min="14856" max="14856" width="10.3984375" style="790" customWidth="1"/>
    <col min="14857" max="14857" width="0" style="790" hidden="1" customWidth="1"/>
    <col min="14858" max="15103" width="9.796875" style="790"/>
    <col min="15104" max="15104" width="9" style="790" customWidth="1"/>
    <col min="15105" max="15105" width="11" style="790" customWidth="1"/>
    <col min="15106" max="15106" width="10.796875" style="790" customWidth="1"/>
    <col min="15107" max="15107" width="10" style="790" customWidth="1"/>
    <col min="15108" max="15108" width="11.3984375" style="790" customWidth="1"/>
    <col min="15109" max="15109" width="11.19921875" style="790" customWidth="1"/>
    <col min="15110" max="15110" width="12.19921875" style="790" customWidth="1"/>
    <col min="15111" max="15111" width="1.796875" style="790" customWidth="1"/>
    <col min="15112" max="15112" width="10.3984375" style="790" customWidth="1"/>
    <col min="15113" max="15113" width="0" style="790" hidden="1" customWidth="1"/>
    <col min="15114" max="15359" width="9.796875" style="790"/>
    <col min="15360" max="15360" width="9" style="790" customWidth="1"/>
    <col min="15361" max="15361" width="11" style="790" customWidth="1"/>
    <col min="15362" max="15362" width="10.796875" style="790" customWidth="1"/>
    <col min="15363" max="15363" width="10" style="790" customWidth="1"/>
    <col min="15364" max="15364" width="11.3984375" style="790" customWidth="1"/>
    <col min="15365" max="15365" width="11.19921875" style="790" customWidth="1"/>
    <col min="15366" max="15366" width="12.19921875" style="790" customWidth="1"/>
    <col min="15367" max="15367" width="1.796875" style="790" customWidth="1"/>
    <col min="15368" max="15368" width="10.3984375" style="790" customWidth="1"/>
    <col min="15369" max="15369" width="0" style="790" hidden="1" customWidth="1"/>
    <col min="15370" max="15615" width="9.796875" style="790"/>
    <col min="15616" max="15616" width="9" style="790" customWidth="1"/>
    <col min="15617" max="15617" width="11" style="790" customWidth="1"/>
    <col min="15618" max="15618" width="10.796875" style="790" customWidth="1"/>
    <col min="15619" max="15619" width="10" style="790" customWidth="1"/>
    <col min="15620" max="15620" width="11.3984375" style="790" customWidth="1"/>
    <col min="15621" max="15621" width="11.19921875" style="790" customWidth="1"/>
    <col min="15622" max="15622" width="12.19921875" style="790" customWidth="1"/>
    <col min="15623" max="15623" width="1.796875" style="790" customWidth="1"/>
    <col min="15624" max="15624" width="10.3984375" style="790" customWidth="1"/>
    <col min="15625" max="15625" width="0" style="790" hidden="1" customWidth="1"/>
    <col min="15626" max="15871" width="9.796875" style="790"/>
    <col min="15872" max="15872" width="9" style="790" customWidth="1"/>
    <col min="15873" max="15873" width="11" style="790" customWidth="1"/>
    <col min="15874" max="15874" width="10.796875" style="790" customWidth="1"/>
    <col min="15875" max="15875" width="10" style="790" customWidth="1"/>
    <col min="15876" max="15876" width="11.3984375" style="790" customWidth="1"/>
    <col min="15877" max="15877" width="11.19921875" style="790" customWidth="1"/>
    <col min="15878" max="15878" width="12.19921875" style="790" customWidth="1"/>
    <col min="15879" max="15879" width="1.796875" style="790" customWidth="1"/>
    <col min="15880" max="15880" width="10.3984375" style="790" customWidth="1"/>
    <col min="15881" max="15881" width="0" style="790" hidden="1" customWidth="1"/>
    <col min="15882" max="16127" width="9.796875" style="790"/>
    <col min="16128" max="16128" width="9" style="790" customWidth="1"/>
    <col min="16129" max="16129" width="11" style="790" customWidth="1"/>
    <col min="16130" max="16130" width="10.796875" style="790" customWidth="1"/>
    <col min="16131" max="16131" width="10" style="790" customWidth="1"/>
    <col min="16132" max="16132" width="11.3984375" style="790" customWidth="1"/>
    <col min="16133" max="16133" width="11.19921875" style="790" customWidth="1"/>
    <col min="16134" max="16134" width="12.19921875" style="790" customWidth="1"/>
    <col min="16135" max="16135" width="1.796875" style="790" customWidth="1"/>
    <col min="16136" max="16136" width="10.3984375" style="790" customWidth="1"/>
    <col min="16137" max="16137" width="0" style="790" hidden="1" customWidth="1"/>
    <col min="16138" max="16384" width="9.796875" style="790"/>
  </cols>
  <sheetData>
    <row r="1" spans="1:78" ht="15" customHeight="1">
      <c r="E1" s="791"/>
    </row>
    <row r="3" spans="1:78" ht="15" customHeight="1">
      <c r="A3" s="745" t="s">
        <v>495</v>
      </c>
      <c r="B3" s="792"/>
      <c r="C3" s="792"/>
      <c r="D3" s="792"/>
      <c r="E3" s="792"/>
      <c r="F3" s="792"/>
      <c r="G3" s="792"/>
      <c r="H3" s="792"/>
      <c r="I3" s="792"/>
      <c r="BQ3" s="1125" t="s">
        <v>125</v>
      </c>
      <c r="BR3" s="1125"/>
      <c r="BS3" s="1125"/>
      <c r="BT3" s="1125"/>
      <c r="BU3" s="1125"/>
      <c r="BV3" s="1125"/>
      <c r="BW3" s="1125"/>
      <c r="BX3" s="1125"/>
      <c r="BY3" s="1125"/>
      <c r="BZ3" s="1125"/>
    </row>
    <row r="4" spans="1:78" ht="15" customHeight="1">
      <c r="A4" s="748" t="s">
        <v>490</v>
      </c>
      <c r="B4" s="793"/>
      <c r="C4" s="793"/>
      <c r="D4" s="793"/>
      <c r="E4" s="793"/>
      <c r="F4" s="793"/>
      <c r="G4" s="793"/>
      <c r="H4" s="793"/>
      <c r="I4" s="794"/>
      <c r="BQ4" s="795"/>
      <c r="BR4" s="795"/>
      <c r="BS4" s="795"/>
      <c r="BT4" s="795"/>
      <c r="BU4" s="795"/>
      <c r="BV4" s="795"/>
      <c r="BW4" s="795"/>
      <c r="BX4" s="795"/>
      <c r="BY4" s="795"/>
      <c r="BZ4" s="795"/>
    </row>
    <row r="5" spans="1:78" ht="4" customHeight="1" thickBot="1">
      <c r="A5" s="1127"/>
      <c r="B5" s="1127"/>
      <c r="C5" s="1127"/>
      <c r="D5" s="1127"/>
      <c r="E5" s="1127"/>
      <c r="F5" s="1127"/>
      <c r="G5" s="1127"/>
      <c r="H5" s="1127"/>
      <c r="I5" s="1127"/>
      <c r="BQ5" s="1126" t="s">
        <v>468</v>
      </c>
      <c r="BR5" s="1126"/>
      <c r="BS5" s="1126"/>
      <c r="BT5" s="1126"/>
      <c r="BU5" s="1126"/>
      <c r="BV5" s="1126"/>
      <c r="BW5" s="1126"/>
      <c r="BX5" s="1126"/>
      <c r="BY5" s="1126"/>
      <c r="BZ5" s="1126"/>
    </row>
    <row r="6" spans="1:78" ht="13" customHeight="1">
      <c r="A6" s="1119" t="s">
        <v>122</v>
      </c>
      <c r="B6" s="833"/>
      <c r="C6" s="833"/>
      <c r="D6" s="833"/>
      <c r="E6" s="834" t="s">
        <v>126</v>
      </c>
      <c r="F6" s="833"/>
      <c r="G6" s="833"/>
      <c r="H6" s="1119" t="s">
        <v>480</v>
      </c>
      <c r="I6" s="780"/>
      <c r="BQ6" s="780" t="s">
        <v>122</v>
      </c>
      <c r="BR6" s="796"/>
      <c r="BS6" s="796"/>
      <c r="BT6" s="796"/>
      <c r="BU6" s="797" t="s">
        <v>126</v>
      </c>
      <c r="BV6" s="796"/>
      <c r="BW6" s="796"/>
      <c r="BX6" s="798"/>
      <c r="BY6" s="780" t="s">
        <v>127</v>
      </c>
      <c r="BZ6" s="780"/>
    </row>
    <row r="7" spans="1:78" ht="13" customHeight="1">
      <c r="A7" s="1120"/>
      <c r="B7" s="761" t="s">
        <v>481</v>
      </c>
      <c r="C7" s="761" t="s">
        <v>482</v>
      </c>
      <c r="D7" s="761" t="s">
        <v>483</v>
      </c>
      <c r="E7" s="761" t="s">
        <v>484</v>
      </c>
      <c r="F7" s="761" t="s">
        <v>485</v>
      </c>
      <c r="G7" s="761" t="s">
        <v>8</v>
      </c>
      <c r="H7" s="1120"/>
      <c r="I7" s="742" t="s">
        <v>16</v>
      </c>
      <c r="BQ7" s="796"/>
      <c r="BR7" s="743" t="s">
        <v>19</v>
      </c>
      <c r="BS7" s="743" t="s">
        <v>129</v>
      </c>
      <c r="BT7" s="742" t="s">
        <v>14</v>
      </c>
      <c r="BU7" s="743" t="s">
        <v>6</v>
      </c>
      <c r="BV7" s="742" t="s">
        <v>15</v>
      </c>
      <c r="BW7" s="743" t="s">
        <v>8</v>
      </c>
      <c r="BX7" s="743"/>
      <c r="BY7" s="742" t="s">
        <v>128</v>
      </c>
      <c r="BZ7" s="742" t="s">
        <v>16</v>
      </c>
    </row>
    <row r="8" spans="1:78" ht="15" customHeight="1">
      <c r="A8" s="840" t="s">
        <v>56</v>
      </c>
      <c r="B8" s="851">
        <f t="shared" ref="B8:G8" si="0">SUM(B9:B20)</f>
        <v>989946.57891794725</v>
      </c>
      <c r="C8" s="851">
        <f t="shared" si="0"/>
        <v>935967.19569893018</v>
      </c>
      <c r="D8" s="851">
        <f t="shared" si="0"/>
        <v>1003.53837</v>
      </c>
      <c r="E8" s="851">
        <f t="shared" si="0"/>
        <v>86720.009389999992</v>
      </c>
      <c r="F8" s="851">
        <f t="shared" si="0"/>
        <v>85440.737854999999</v>
      </c>
      <c r="G8" s="863">
        <f t="shared" si="0"/>
        <v>192.72275000000002</v>
      </c>
      <c r="H8" s="846">
        <f>SUM(H9:H20)</f>
        <v>199500</v>
      </c>
      <c r="I8" s="800">
        <f>SUM(I9:I20)</f>
        <v>181601</v>
      </c>
      <c r="BQ8" s="799" t="s">
        <v>56</v>
      </c>
      <c r="BR8" s="800">
        <f t="shared" ref="BR8:BW8" si="1">SUM(BR9:BR20)</f>
        <v>617417</v>
      </c>
      <c r="BS8" s="800">
        <f t="shared" si="1"/>
        <v>0</v>
      </c>
      <c r="BT8" s="800">
        <f t="shared" si="1"/>
        <v>31999.5</v>
      </c>
      <c r="BU8" s="800">
        <f t="shared" si="1"/>
        <v>84973.919999999984</v>
      </c>
      <c r="BV8" s="800">
        <f t="shared" si="1"/>
        <v>145475</v>
      </c>
      <c r="BW8" s="800">
        <f t="shared" si="1"/>
        <v>6217.7999999999993</v>
      </c>
      <c r="BX8" s="800"/>
      <c r="BY8" s="800">
        <f>SUM(BY9:BY20)</f>
        <v>325300</v>
      </c>
      <c r="BZ8" s="800">
        <f>SUM(BZ9:BZ20)</f>
        <v>181601</v>
      </c>
    </row>
    <row r="9" spans="1:78" ht="13" customHeight="1">
      <c r="A9" s="791" t="s">
        <v>57</v>
      </c>
      <c r="B9" s="852">
        <v>79070.893925553042</v>
      </c>
      <c r="C9" s="852">
        <v>72306.766102480004</v>
      </c>
      <c r="D9" s="852">
        <v>88.303700000000006</v>
      </c>
      <c r="E9" s="852">
        <v>6424.1004999999996</v>
      </c>
      <c r="F9" s="852">
        <v>6735.778319</v>
      </c>
      <c r="G9" s="864">
        <v>12.020800000000001</v>
      </c>
      <c r="H9" s="847">
        <v>21228.295206029594</v>
      </c>
      <c r="I9" s="771">
        <v>13971</v>
      </c>
      <c r="BQ9" s="791" t="s">
        <v>88</v>
      </c>
      <c r="BR9" s="771">
        <v>45967</v>
      </c>
      <c r="BS9" s="771"/>
      <c r="BT9" s="771">
        <v>2297.5</v>
      </c>
      <c r="BU9" s="771">
        <v>6299.45</v>
      </c>
      <c r="BV9" s="771">
        <v>10942</v>
      </c>
      <c r="BW9" s="771">
        <v>490</v>
      </c>
      <c r="BX9" s="771"/>
      <c r="BY9" s="771">
        <v>36000</v>
      </c>
      <c r="BZ9" s="771">
        <v>13971</v>
      </c>
    </row>
    <row r="10" spans="1:78" ht="13" customHeight="1">
      <c r="A10" s="791" t="s">
        <v>58</v>
      </c>
      <c r="B10" s="852">
        <v>70577.496618577279</v>
      </c>
      <c r="C10" s="852">
        <v>67148.985350000003</v>
      </c>
      <c r="D10" s="852">
        <v>71.637050000000002</v>
      </c>
      <c r="E10" s="852">
        <v>6033.0348400000003</v>
      </c>
      <c r="F10" s="852">
        <v>6394.3043040000002</v>
      </c>
      <c r="G10" s="864">
        <v>12.28045</v>
      </c>
      <c r="H10" s="850">
        <v>18096.531501247588</v>
      </c>
      <c r="I10" s="771">
        <v>13892</v>
      </c>
      <c r="BQ10" s="791" t="s">
        <v>89</v>
      </c>
      <c r="BR10" s="771">
        <v>48922</v>
      </c>
      <c r="BS10" s="771"/>
      <c r="BT10" s="771">
        <v>2329</v>
      </c>
      <c r="BU10" s="771">
        <v>6890.01</v>
      </c>
      <c r="BV10" s="771">
        <v>11392</v>
      </c>
      <c r="BW10" s="771">
        <v>500</v>
      </c>
      <c r="BX10" s="771"/>
      <c r="BY10" s="771">
        <v>28200</v>
      </c>
      <c r="BZ10" s="771">
        <v>13892</v>
      </c>
    </row>
    <row r="11" spans="1:78" ht="13" customHeight="1">
      <c r="A11" s="791" t="s">
        <v>59</v>
      </c>
      <c r="B11" s="852">
        <v>78442.402320689478</v>
      </c>
      <c r="C11" s="852">
        <v>74518.260901868605</v>
      </c>
      <c r="D11" s="852">
        <v>78.719000000000008</v>
      </c>
      <c r="E11" s="852">
        <v>6115.9690000000001</v>
      </c>
      <c r="F11" s="852">
        <v>7250.9119240000009</v>
      </c>
      <c r="G11" s="864">
        <v>6.2119999999999997</v>
      </c>
      <c r="H11" s="850">
        <v>18956.303769956616</v>
      </c>
      <c r="I11" s="771">
        <v>13866</v>
      </c>
      <c r="BQ11" s="791" t="s">
        <v>90</v>
      </c>
      <c r="BR11" s="771">
        <v>50546</v>
      </c>
      <c r="BS11" s="771"/>
      <c r="BT11" s="771">
        <v>2550</v>
      </c>
      <c r="BU11" s="771">
        <v>6877.14</v>
      </c>
      <c r="BV11" s="771">
        <v>11670</v>
      </c>
      <c r="BW11" s="771">
        <v>539</v>
      </c>
      <c r="BX11" s="771"/>
      <c r="BY11" s="771">
        <v>29600</v>
      </c>
      <c r="BZ11" s="771">
        <v>13866</v>
      </c>
    </row>
    <row r="12" spans="1:78" ht="13" customHeight="1">
      <c r="A12" s="791" t="s">
        <v>60</v>
      </c>
      <c r="B12" s="852">
        <v>80159.670383576842</v>
      </c>
      <c r="C12" s="852">
        <v>76755.260308228506</v>
      </c>
      <c r="D12" s="852">
        <v>29.132999999999999</v>
      </c>
      <c r="E12" s="852">
        <v>7456.9069999999992</v>
      </c>
      <c r="F12" s="852">
        <v>6899.5001780000002</v>
      </c>
      <c r="G12" s="864">
        <v>0.89800000000000002</v>
      </c>
      <c r="H12" s="850">
        <v>15493.315218104355</v>
      </c>
      <c r="I12" s="771">
        <v>15832</v>
      </c>
      <c r="BQ12" s="791" t="s">
        <v>91</v>
      </c>
      <c r="BR12" s="771">
        <v>49120</v>
      </c>
      <c r="BS12" s="771"/>
      <c r="BT12" s="771">
        <v>3012</v>
      </c>
      <c r="BU12" s="771">
        <v>7264.02</v>
      </c>
      <c r="BV12" s="771">
        <v>12385</v>
      </c>
      <c r="BW12" s="771">
        <v>520</v>
      </c>
      <c r="BX12" s="771"/>
      <c r="BY12" s="771">
        <v>23800</v>
      </c>
      <c r="BZ12" s="771">
        <v>15832</v>
      </c>
    </row>
    <row r="13" spans="1:78" ht="13" customHeight="1">
      <c r="A13" s="791" t="s">
        <v>61</v>
      </c>
      <c r="B13" s="852">
        <v>84624.521259078771</v>
      </c>
      <c r="C13" s="852">
        <v>80400.008558892892</v>
      </c>
      <c r="D13" s="852">
        <v>84.507999999999996</v>
      </c>
      <c r="E13" s="852">
        <v>7947.4380000000001</v>
      </c>
      <c r="F13" s="852">
        <v>7464.5087560000002</v>
      </c>
      <c r="G13" s="864">
        <v>16.844999999999999</v>
      </c>
      <c r="H13" s="850">
        <v>15495.280684367066</v>
      </c>
      <c r="I13" s="771">
        <v>15061</v>
      </c>
      <c r="BQ13" s="791" t="s">
        <v>92</v>
      </c>
      <c r="BR13" s="771">
        <v>52577</v>
      </c>
      <c r="BS13" s="771"/>
      <c r="BT13" s="771">
        <v>3181</v>
      </c>
      <c r="BU13" s="771">
        <v>7132</v>
      </c>
      <c r="BV13" s="771">
        <v>12536</v>
      </c>
      <c r="BW13" s="771">
        <v>515</v>
      </c>
      <c r="BX13" s="771"/>
      <c r="BY13" s="771">
        <v>27800</v>
      </c>
      <c r="BZ13" s="771">
        <v>15061</v>
      </c>
    </row>
    <row r="14" spans="1:78" ht="13" customHeight="1">
      <c r="A14" s="791" t="s">
        <v>62</v>
      </c>
      <c r="B14" s="852">
        <v>83827.488721807225</v>
      </c>
      <c r="C14" s="852">
        <v>80250.326273510276</v>
      </c>
      <c r="D14" s="852">
        <v>86.543800000000005</v>
      </c>
      <c r="E14" s="852">
        <v>7453.5110000000004</v>
      </c>
      <c r="F14" s="852">
        <v>7292.6451539999998</v>
      </c>
      <c r="G14" s="864">
        <v>11.5954</v>
      </c>
      <c r="H14" s="850">
        <v>13971.993139739752</v>
      </c>
      <c r="I14" s="771">
        <v>15631</v>
      </c>
      <c r="BQ14" s="791" t="s">
        <v>93</v>
      </c>
      <c r="BR14" s="771">
        <v>52595</v>
      </c>
      <c r="BS14" s="771"/>
      <c r="BT14" s="771">
        <v>3247</v>
      </c>
      <c r="BU14" s="771">
        <v>7283</v>
      </c>
      <c r="BV14" s="771">
        <v>12799</v>
      </c>
      <c r="BW14" s="771">
        <v>531</v>
      </c>
      <c r="BX14" s="771"/>
      <c r="BY14" s="771">
        <v>26100</v>
      </c>
      <c r="BZ14" s="771">
        <v>15631</v>
      </c>
    </row>
    <row r="15" spans="1:78" ht="13" customHeight="1">
      <c r="A15" s="791" t="s">
        <v>63</v>
      </c>
      <c r="B15" s="852">
        <v>86108.481191793937</v>
      </c>
      <c r="C15" s="852">
        <v>81962.416752461198</v>
      </c>
      <c r="D15" s="852">
        <v>89.769000000000005</v>
      </c>
      <c r="E15" s="852">
        <v>7705.99</v>
      </c>
      <c r="F15" s="852">
        <v>7640.9007889999993</v>
      </c>
      <c r="G15" s="864">
        <v>11.714799999999999</v>
      </c>
      <c r="H15" s="850">
        <v>18043.335934570718</v>
      </c>
      <c r="I15" s="771">
        <v>15460</v>
      </c>
      <c r="BQ15" s="791" t="s">
        <v>94</v>
      </c>
      <c r="BR15" s="771">
        <v>50656</v>
      </c>
      <c r="BS15" s="771"/>
      <c r="BT15" s="771">
        <v>3037</v>
      </c>
      <c r="BU15" s="771">
        <v>7173.07</v>
      </c>
      <c r="BV15" s="771">
        <v>12739</v>
      </c>
      <c r="BW15" s="771">
        <v>517</v>
      </c>
      <c r="BX15" s="771"/>
      <c r="BY15" s="771">
        <v>25600</v>
      </c>
      <c r="BZ15" s="771">
        <v>15460</v>
      </c>
    </row>
    <row r="16" spans="1:78" ht="13" customHeight="1">
      <c r="A16" s="791" t="s">
        <v>64</v>
      </c>
      <c r="B16" s="852">
        <v>88000.493219429947</v>
      </c>
      <c r="C16" s="852">
        <v>83080.860775502908</v>
      </c>
      <c r="D16" s="852">
        <v>98.125399999999999</v>
      </c>
      <c r="E16" s="852">
        <v>7353.4736000000003</v>
      </c>
      <c r="F16" s="852">
        <v>7812.1125900000006</v>
      </c>
      <c r="G16" s="864">
        <v>18.4437</v>
      </c>
      <c r="H16" s="850">
        <v>14625.612380588949</v>
      </c>
      <c r="I16" s="771">
        <v>15509</v>
      </c>
      <c r="BQ16" s="791" t="s">
        <v>95</v>
      </c>
      <c r="BR16" s="771">
        <v>52402</v>
      </c>
      <c r="BS16" s="771"/>
      <c r="BT16" s="771">
        <v>2799</v>
      </c>
      <c r="BU16" s="771">
        <v>7036</v>
      </c>
      <c r="BV16" s="771">
        <v>12539</v>
      </c>
      <c r="BW16" s="771">
        <v>531</v>
      </c>
      <c r="BX16" s="771"/>
      <c r="BY16" s="771">
        <v>26500</v>
      </c>
      <c r="BZ16" s="771">
        <v>15509</v>
      </c>
    </row>
    <row r="17" spans="1:78" ht="13" customHeight="1">
      <c r="A17" s="791" t="s">
        <v>65</v>
      </c>
      <c r="B17" s="852">
        <v>87497.838626269877</v>
      </c>
      <c r="C17" s="852">
        <v>82130.255705999196</v>
      </c>
      <c r="D17" s="852">
        <v>73.761920000000003</v>
      </c>
      <c r="E17" s="852">
        <v>6814.6737000000003</v>
      </c>
      <c r="F17" s="852">
        <v>7117.3141669999995</v>
      </c>
      <c r="G17" s="864">
        <v>17.011599999999998</v>
      </c>
      <c r="H17" s="850">
        <v>12513.499972290938</v>
      </c>
      <c r="I17" s="771">
        <v>15501</v>
      </c>
      <c r="BQ17" s="791" t="s">
        <v>96</v>
      </c>
      <c r="BR17" s="771">
        <v>53163</v>
      </c>
      <c r="BS17" s="771"/>
      <c r="BT17" s="771">
        <v>2618</v>
      </c>
      <c r="BU17" s="771">
        <v>7105.38</v>
      </c>
      <c r="BV17" s="771">
        <v>12041.5</v>
      </c>
      <c r="BW17" s="771">
        <v>519</v>
      </c>
      <c r="BX17" s="771"/>
      <c r="BY17" s="771">
        <v>25800</v>
      </c>
      <c r="BZ17" s="771">
        <v>15501</v>
      </c>
    </row>
    <row r="18" spans="1:78" ht="13" customHeight="1">
      <c r="A18" s="791" t="s">
        <v>66</v>
      </c>
      <c r="B18" s="852">
        <v>85085.701072099226</v>
      </c>
      <c r="C18" s="852">
        <v>80146.596467959695</v>
      </c>
      <c r="D18" s="852">
        <v>92.274999999999991</v>
      </c>
      <c r="E18" s="852">
        <v>7882.0232999999998</v>
      </c>
      <c r="F18" s="852">
        <v>7406.8683530000008</v>
      </c>
      <c r="G18" s="864">
        <v>23.771999999999998</v>
      </c>
      <c r="H18" s="850">
        <v>15790.735123162111</v>
      </c>
      <c r="I18" s="771">
        <v>15767</v>
      </c>
      <c r="BQ18" s="791" t="s">
        <v>97</v>
      </c>
      <c r="BR18" s="771">
        <v>51559</v>
      </c>
      <c r="BS18" s="771"/>
      <c r="BT18" s="771">
        <v>2325</v>
      </c>
      <c r="BU18" s="771">
        <v>6985.01</v>
      </c>
      <c r="BV18" s="771">
        <v>12554.5</v>
      </c>
      <c r="BW18" s="771">
        <v>493</v>
      </c>
      <c r="BX18" s="771"/>
      <c r="BY18" s="771">
        <v>23800</v>
      </c>
      <c r="BZ18" s="771">
        <v>15767</v>
      </c>
    </row>
    <row r="19" spans="1:78" ht="13" customHeight="1">
      <c r="A19" s="791" t="s">
        <v>67</v>
      </c>
      <c r="B19" s="852">
        <v>80858.259317709439</v>
      </c>
      <c r="C19" s="852">
        <v>76604.002634208897</v>
      </c>
      <c r="D19" s="852">
        <v>98.947500000000005</v>
      </c>
      <c r="E19" s="852">
        <v>6692.3674499999997</v>
      </c>
      <c r="F19" s="852">
        <v>6773.0043210000003</v>
      </c>
      <c r="G19" s="864">
        <v>31.978999999999999</v>
      </c>
      <c r="H19" s="850">
        <v>17241.761135371613</v>
      </c>
      <c r="I19" s="771">
        <v>15834</v>
      </c>
      <c r="BQ19" s="791" t="s">
        <v>98</v>
      </c>
      <c r="BR19" s="771">
        <v>52680</v>
      </c>
      <c r="BS19" s="771"/>
      <c r="BT19" s="771">
        <v>2301</v>
      </c>
      <c r="BU19" s="771">
        <v>7307.39</v>
      </c>
      <c r="BV19" s="771">
        <v>11820.5</v>
      </c>
      <c r="BW19" s="771">
        <v>529.4</v>
      </c>
      <c r="BX19" s="771"/>
      <c r="BY19" s="771">
        <v>23800</v>
      </c>
      <c r="BZ19" s="771">
        <v>15834</v>
      </c>
    </row>
    <row r="20" spans="1:78" ht="13" customHeight="1" thickBot="1">
      <c r="A20" s="803" t="s">
        <v>68</v>
      </c>
      <c r="B20" s="853">
        <v>85693.332261362142</v>
      </c>
      <c r="C20" s="853">
        <v>80663.455867818106</v>
      </c>
      <c r="D20" s="853">
        <v>111.815</v>
      </c>
      <c r="E20" s="853">
        <v>8840.5210000000006</v>
      </c>
      <c r="F20" s="853">
        <v>6652.8890000000001</v>
      </c>
      <c r="G20" s="865">
        <v>29.95</v>
      </c>
      <c r="H20" s="848">
        <v>18043.335934570718</v>
      </c>
      <c r="I20" s="804">
        <v>15277</v>
      </c>
      <c r="BQ20" s="803" t="s">
        <v>99</v>
      </c>
      <c r="BR20" s="804">
        <v>57230</v>
      </c>
      <c r="BS20" s="804"/>
      <c r="BT20" s="804">
        <v>2303</v>
      </c>
      <c r="BU20" s="804">
        <v>7621.45</v>
      </c>
      <c r="BV20" s="804">
        <v>12056.5</v>
      </c>
      <c r="BW20" s="804">
        <v>533.4</v>
      </c>
      <c r="BX20" s="804"/>
      <c r="BY20" s="804">
        <v>28300</v>
      </c>
      <c r="BZ20" s="804">
        <v>15277</v>
      </c>
    </row>
    <row r="21" spans="1:78" ht="10" customHeight="1">
      <c r="A21" s="841" t="s">
        <v>476</v>
      </c>
      <c r="B21" s="842"/>
      <c r="C21" s="842"/>
      <c r="D21" s="842"/>
      <c r="E21" s="767" t="s">
        <v>489</v>
      </c>
      <c r="F21" s="842"/>
      <c r="G21" s="767"/>
      <c r="H21" s="842"/>
      <c r="I21" s="768"/>
      <c r="J21" s="768"/>
      <c r="K21" s="798"/>
      <c r="BQ21" s="805" t="s">
        <v>130</v>
      </c>
      <c r="BT21" s="805" t="s">
        <v>469</v>
      </c>
      <c r="BW21" s="805" t="s">
        <v>131</v>
      </c>
      <c r="BY21" s="806"/>
    </row>
    <row r="22" spans="1:78" ht="10" customHeight="1">
      <c r="A22" s="725" t="s">
        <v>467</v>
      </c>
      <c r="B22" s="768"/>
      <c r="C22" s="768"/>
      <c r="D22" s="767"/>
      <c r="E22" s="768"/>
      <c r="F22" s="768"/>
      <c r="G22" s="768"/>
      <c r="H22" s="843"/>
      <c r="I22" s="768"/>
      <c r="J22" s="768"/>
      <c r="BQ22" s="770"/>
      <c r="BY22" s="806"/>
    </row>
    <row r="23" spans="1:78" ht="10" customHeight="1">
      <c r="A23" s="764" t="s">
        <v>213</v>
      </c>
      <c r="B23" s="762"/>
      <c r="C23" s="768"/>
      <c r="D23" s="768"/>
      <c r="E23" s="768"/>
      <c r="F23" s="768"/>
      <c r="G23" s="768"/>
      <c r="H23" s="843"/>
      <c r="I23" s="768"/>
      <c r="J23" s="768"/>
      <c r="BQ23" s="770"/>
      <c r="BY23" s="806"/>
    </row>
    <row r="24" spans="1:78" ht="10" customHeight="1">
      <c r="A24" s="765" t="s">
        <v>261</v>
      </c>
      <c r="B24" s="762"/>
      <c r="C24" s="768"/>
      <c r="D24" s="768"/>
      <c r="E24" s="768"/>
      <c r="F24" s="768"/>
      <c r="G24" s="768"/>
      <c r="H24" s="843"/>
      <c r="I24" s="768"/>
      <c r="J24" s="768"/>
      <c r="BQ24" s="770"/>
      <c r="BY24" s="806"/>
    </row>
    <row r="25" spans="1:78" ht="15" customHeight="1">
      <c r="A25" s="770"/>
      <c r="H25" s="806"/>
      <c r="BQ25" s="770"/>
      <c r="BY25" s="806"/>
    </row>
    <row r="26" spans="1:78" ht="15" customHeight="1">
      <c r="A26" s="745" t="s">
        <v>496</v>
      </c>
      <c r="B26" s="844"/>
      <c r="C26" s="792"/>
      <c r="D26" s="792"/>
      <c r="E26" s="792"/>
      <c r="F26" s="792"/>
      <c r="G26" s="792"/>
      <c r="H26" s="792"/>
      <c r="I26" s="792"/>
      <c r="BQ26" s="1125" t="s">
        <v>470</v>
      </c>
      <c r="BR26" s="1125"/>
      <c r="BS26" s="1125"/>
      <c r="BT26" s="1125"/>
      <c r="BU26" s="1125"/>
      <c r="BV26" s="1125"/>
      <c r="BW26" s="1125"/>
      <c r="BX26" s="1125"/>
      <c r="BY26" s="1125"/>
      <c r="BZ26" s="1125"/>
    </row>
    <row r="27" spans="1:78" ht="15" customHeight="1">
      <c r="A27" s="748" t="s">
        <v>494</v>
      </c>
      <c r="B27" s="845"/>
      <c r="C27" s="793"/>
      <c r="D27" s="793"/>
      <c r="E27" s="793"/>
      <c r="F27" s="793"/>
      <c r="G27" s="793"/>
      <c r="H27" s="793"/>
      <c r="I27" s="794"/>
      <c r="BQ27" s="795"/>
      <c r="BR27" s="795"/>
      <c r="BS27" s="795"/>
      <c r="BT27" s="795"/>
      <c r="BU27" s="795"/>
      <c r="BV27" s="795"/>
      <c r="BW27" s="795"/>
      <c r="BX27" s="795"/>
      <c r="BY27" s="795"/>
      <c r="BZ27" s="795"/>
    </row>
    <row r="28" spans="1:78" ht="4" customHeight="1" thickBot="1">
      <c r="A28" s="1127"/>
      <c r="B28" s="1127"/>
      <c r="C28" s="1127"/>
      <c r="D28" s="1127"/>
      <c r="E28" s="1127"/>
      <c r="F28" s="1127"/>
      <c r="G28" s="1127"/>
      <c r="H28" s="1127"/>
      <c r="I28" s="1127"/>
      <c r="BQ28" s="1126" t="s">
        <v>468</v>
      </c>
      <c r="BR28" s="1126"/>
      <c r="BS28" s="1126"/>
      <c r="BT28" s="1126"/>
      <c r="BU28" s="1126"/>
      <c r="BV28" s="1126"/>
      <c r="BW28" s="1126"/>
      <c r="BX28" s="1126"/>
      <c r="BY28" s="1126"/>
      <c r="BZ28" s="1126"/>
    </row>
    <row r="29" spans="1:78" ht="13" customHeight="1">
      <c r="A29" s="1119" t="s">
        <v>122</v>
      </c>
      <c r="B29" s="861"/>
      <c r="C29" s="861"/>
      <c r="D29" s="861"/>
      <c r="E29" s="862" t="s">
        <v>126</v>
      </c>
      <c r="F29" s="861"/>
      <c r="G29" s="861"/>
      <c r="H29" s="1119" t="s">
        <v>480</v>
      </c>
      <c r="I29" s="780"/>
      <c r="BQ29" s="780" t="s">
        <v>122</v>
      </c>
      <c r="BR29" s="796"/>
      <c r="BS29" s="796"/>
      <c r="BT29" s="796"/>
      <c r="BU29" s="797" t="s">
        <v>126</v>
      </c>
      <c r="BV29" s="796"/>
      <c r="BW29" s="796"/>
      <c r="BX29" s="798"/>
      <c r="BY29" s="780" t="s">
        <v>127</v>
      </c>
      <c r="BZ29" s="780"/>
    </row>
    <row r="30" spans="1:78" ht="13" customHeight="1">
      <c r="A30" s="1120"/>
      <c r="B30" s="760" t="s">
        <v>481</v>
      </c>
      <c r="C30" s="760" t="s">
        <v>482</v>
      </c>
      <c r="D30" s="760" t="s">
        <v>483</v>
      </c>
      <c r="E30" s="760" t="s">
        <v>484</v>
      </c>
      <c r="F30" s="760" t="s">
        <v>485</v>
      </c>
      <c r="G30" s="760" t="s">
        <v>8</v>
      </c>
      <c r="H30" s="1120"/>
      <c r="I30" s="742" t="s">
        <v>16</v>
      </c>
      <c r="BQ30" s="796"/>
      <c r="BR30" s="743" t="s">
        <v>19</v>
      </c>
      <c r="BS30" s="743" t="s">
        <v>129</v>
      </c>
      <c r="BT30" s="742" t="s">
        <v>14</v>
      </c>
      <c r="BU30" s="743" t="s">
        <v>6</v>
      </c>
      <c r="BV30" s="742" t="s">
        <v>15</v>
      </c>
      <c r="BW30" s="743" t="s">
        <v>8</v>
      </c>
      <c r="BX30" s="743"/>
      <c r="BY30" s="742" t="s">
        <v>128</v>
      </c>
      <c r="BZ30" s="742" t="s">
        <v>16</v>
      </c>
    </row>
    <row r="31" spans="1:78" ht="15" customHeight="1">
      <c r="A31" s="840" t="s">
        <v>56</v>
      </c>
      <c r="B31" s="851">
        <f t="shared" ref="B31:G31" si="2">SUM(B32:B43)</f>
        <v>935023.57429243252</v>
      </c>
      <c r="C31" s="851">
        <f t="shared" si="2"/>
        <v>860219.20171352779</v>
      </c>
      <c r="D31" s="851">
        <f t="shared" si="2"/>
        <v>1050.5304999999998</v>
      </c>
      <c r="E31" s="851">
        <f t="shared" si="2"/>
        <v>81996.421300000002</v>
      </c>
      <c r="F31" s="851">
        <f t="shared" si="2"/>
        <v>86240.373905</v>
      </c>
      <c r="G31" s="863">
        <f t="shared" si="2"/>
        <v>167.62729999999999</v>
      </c>
      <c r="H31" s="846">
        <f>SUM(H32:H43)</f>
        <v>198092.34099999999</v>
      </c>
      <c r="I31" s="801">
        <f>SUM(I32:I43)</f>
        <v>152241.59999999998</v>
      </c>
      <c r="BQ31" s="799" t="s">
        <v>56</v>
      </c>
      <c r="BR31" s="801">
        <f t="shared" ref="BR31:BW31" si="3">SUM(BR32:BR43)</f>
        <v>578248</v>
      </c>
      <c r="BS31" s="801">
        <f t="shared" si="3"/>
        <v>380402</v>
      </c>
      <c r="BT31" s="801">
        <f t="shared" si="3"/>
        <v>32068</v>
      </c>
      <c r="BU31" s="801">
        <f t="shared" si="3"/>
        <v>94959.5</v>
      </c>
      <c r="BV31" s="801">
        <f t="shared" si="3"/>
        <v>139885</v>
      </c>
      <c r="BW31" s="801">
        <f t="shared" si="3"/>
        <v>6467</v>
      </c>
      <c r="BX31" s="801"/>
      <c r="BY31" s="801">
        <f>SUM(BY32:BY43)</f>
        <v>374700</v>
      </c>
      <c r="BZ31" s="801">
        <f>SUM(BZ32:BZ43)</f>
        <v>152241.59999999998</v>
      </c>
    </row>
    <row r="32" spans="1:78" ht="13" customHeight="1">
      <c r="A32" s="791" t="s">
        <v>57</v>
      </c>
      <c r="B32" s="852">
        <v>74582.82905632745</v>
      </c>
      <c r="C32" s="852">
        <v>69267.713329199993</v>
      </c>
      <c r="D32" s="852">
        <v>82.570000000000007</v>
      </c>
      <c r="E32" s="852">
        <v>5386.0540000000001</v>
      </c>
      <c r="F32" s="852">
        <v>7094.1663189999999</v>
      </c>
      <c r="G32" s="864">
        <v>12.727</v>
      </c>
      <c r="H32" s="847">
        <v>21078.509738353281</v>
      </c>
      <c r="I32" s="771">
        <v>11459</v>
      </c>
      <c r="N32" s="771"/>
      <c r="BQ32" s="791" t="s">
        <v>88</v>
      </c>
      <c r="BR32" s="771">
        <v>45102</v>
      </c>
      <c r="BS32" s="771">
        <v>30844</v>
      </c>
      <c r="BT32" s="771">
        <v>2229</v>
      </c>
      <c r="BU32" s="771">
        <v>7225</v>
      </c>
      <c r="BV32" s="771">
        <v>10586</v>
      </c>
      <c r="BW32" s="771">
        <v>524</v>
      </c>
      <c r="BX32" s="771"/>
      <c r="BY32" s="771">
        <v>41900</v>
      </c>
      <c r="BZ32" s="771">
        <v>11459</v>
      </c>
    </row>
    <row r="33" spans="1:78" ht="13" customHeight="1">
      <c r="A33" s="791" t="s">
        <v>58</v>
      </c>
      <c r="B33" s="852">
        <v>67586.496582028703</v>
      </c>
      <c r="C33" s="852">
        <v>62409.936703200001</v>
      </c>
      <c r="D33" s="852">
        <v>71.53</v>
      </c>
      <c r="E33" s="852">
        <v>5554.7359999999999</v>
      </c>
      <c r="F33" s="852">
        <v>6447.2695039999999</v>
      </c>
      <c r="G33" s="864">
        <v>7.3929999999999998</v>
      </c>
      <c r="H33" s="850">
        <v>17968.843554197385</v>
      </c>
      <c r="I33" s="771">
        <v>15954</v>
      </c>
      <c r="N33" s="771"/>
      <c r="BQ33" s="791" t="s">
        <v>89</v>
      </c>
      <c r="BR33" s="771">
        <v>46879</v>
      </c>
      <c r="BS33" s="771">
        <v>29083</v>
      </c>
      <c r="BT33" s="771">
        <v>2347</v>
      </c>
      <c r="BU33" s="771">
        <v>7309</v>
      </c>
      <c r="BV33" s="771">
        <v>11169</v>
      </c>
      <c r="BW33" s="771">
        <v>568</v>
      </c>
      <c r="BX33" s="771"/>
      <c r="BY33" s="771">
        <v>35300</v>
      </c>
      <c r="BZ33" s="771">
        <v>15954</v>
      </c>
    </row>
    <row r="34" spans="1:78" ht="13" customHeight="1">
      <c r="A34" s="791" t="s">
        <v>59</v>
      </c>
      <c r="B34" s="852">
        <v>70874.532518914682</v>
      </c>
      <c r="C34" s="852">
        <v>65698.758455599891</v>
      </c>
      <c r="D34" s="852">
        <v>71.119</v>
      </c>
      <c r="E34" s="852">
        <v>6184.2383</v>
      </c>
      <c r="F34" s="852">
        <v>6994.496924</v>
      </c>
      <c r="G34" s="864">
        <v>7.7450000000000001</v>
      </c>
      <c r="H34" s="850">
        <v>18822.549325803662</v>
      </c>
      <c r="I34" s="771">
        <v>12217</v>
      </c>
      <c r="N34" s="771"/>
      <c r="BQ34" s="791" t="s">
        <v>90</v>
      </c>
      <c r="BR34" s="771">
        <v>48278</v>
      </c>
      <c r="BS34" s="771">
        <v>28603</v>
      </c>
      <c r="BT34" s="771">
        <v>2513</v>
      </c>
      <c r="BU34" s="771">
        <v>7501</v>
      </c>
      <c r="BV34" s="771">
        <v>11410</v>
      </c>
      <c r="BW34" s="771">
        <v>572</v>
      </c>
      <c r="BX34" s="771"/>
      <c r="BY34" s="771">
        <v>32500</v>
      </c>
      <c r="BZ34" s="771">
        <v>12217</v>
      </c>
    </row>
    <row r="35" spans="1:78" ht="13" customHeight="1">
      <c r="A35" s="791" t="s">
        <v>60</v>
      </c>
      <c r="B35" s="852">
        <v>73328.232474250166</v>
      </c>
      <c r="C35" s="852">
        <v>68195.316103799996</v>
      </c>
      <c r="D35" s="852">
        <v>92.39200000000001</v>
      </c>
      <c r="E35" s="852">
        <v>6390.6570000000002</v>
      </c>
      <c r="F35" s="852">
        <v>7200.786478</v>
      </c>
      <c r="G35" s="864">
        <v>12.936</v>
      </c>
      <c r="H35" s="850">
        <v>15383.995395514872</v>
      </c>
      <c r="I35" s="771">
        <v>12738</v>
      </c>
      <c r="N35" s="771"/>
      <c r="BQ35" s="791" t="s">
        <v>91</v>
      </c>
      <c r="BR35" s="771">
        <v>47609</v>
      </c>
      <c r="BS35" s="771">
        <v>27196</v>
      </c>
      <c r="BT35" s="771">
        <v>2914</v>
      </c>
      <c r="BU35" s="771">
        <v>7592</v>
      </c>
      <c r="BV35" s="771">
        <v>11593</v>
      </c>
      <c r="BW35" s="771">
        <v>576</v>
      </c>
      <c r="BX35" s="771"/>
      <c r="BY35" s="771">
        <v>30600</v>
      </c>
      <c r="BZ35" s="771">
        <v>12738</v>
      </c>
    </row>
    <row r="36" spans="1:78" ht="13" customHeight="1">
      <c r="A36" s="791" t="s">
        <v>61</v>
      </c>
      <c r="B36" s="852">
        <v>76122.433576213123</v>
      </c>
      <c r="C36" s="852">
        <v>69805.139420799984</v>
      </c>
      <c r="D36" s="852">
        <v>104.08799999999999</v>
      </c>
      <c r="E36" s="852">
        <v>7204.2969999999996</v>
      </c>
      <c r="F36" s="852">
        <v>7331.7017560000004</v>
      </c>
      <c r="G36" s="864">
        <v>15.818</v>
      </c>
      <c r="H36" s="850">
        <v>15385.94699357571</v>
      </c>
      <c r="I36" s="771">
        <v>12579</v>
      </c>
      <c r="N36" s="771"/>
      <c r="BQ36" s="791" t="s">
        <v>92</v>
      </c>
      <c r="BR36" s="771">
        <v>46240</v>
      </c>
      <c r="BS36" s="771">
        <v>31239</v>
      </c>
      <c r="BT36" s="771">
        <v>3018</v>
      </c>
      <c r="BU36" s="771">
        <v>7816</v>
      </c>
      <c r="BV36" s="771">
        <v>12063</v>
      </c>
      <c r="BW36" s="771">
        <v>565</v>
      </c>
      <c r="BX36" s="771"/>
      <c r="BY36" s="771">
        <v>29100</v>
      </c>
      <c r="BZ36" s="771">
        <v>12579</v>
      </c>
    </row>
    <row r="37" spans="1:78" ht="13" customHeight="1">
      <c r="A37" s="791" t="s">
        <v>62</v>
      </c>
      <c r="B37" s="852">
        <v>77334.169596304127</v>
      </c>
      <c r="C37" s="852">
        <v>70944.026596422802</v>
      </c>
      <c r="D37" s="852">
        <v>95.048000000000002</v>
      </c>
      <c r="E37" s="852">
        <v>6568.4210000000003</v>
      </c>
      <c r="F37" s="852">
        <v>7288.0061539999997</v>
      </c>
      <c r="G37" s="864">
        <v>11.048999999999999</v>
      </c>
      <c r="H37" s="850">
        <v>13873.407666601441</v>
      </c>
      <c r="I37" s="771">
        <v>12545</v>
      </c>
      <c r="N37" s="771"/>
      <c r="BQ37" s="791" t="s">
        <v>93</v>
      </c>
      <c r="BR37" s="771">
        <v>47405</v>
      </c>
      <c r="BS37" s="771">
        <v>29856</v>
      </c>
      <c r="BT37" s="771">
        <v>3328</v>
      </c>
      <c r="BU37" s="771">
        <v>8014</v>
      </c>
      <c r="BV37" s="771">
        <v>12094</v>
      </c>
      <c r="BW37" s="771">
        <v>548</v>
      </c>
      <c r="BX37" s="771"/>
      <c r="BY37" s="771">
        <v>25900</v>
      </c>
      <c r="BZ37" s="771">
        <v>12545</v>
      </c>
    </row>
    <row r="38" spans="1:78" ht="13" customHeight="1">
      <c r="A38" s="791" t="s">
        <v>63</v>
      </c>
      <c r="B38" s="852">
        <v>86247.29384448308</v>
      </c>
      <c r="C38" s="852">
        <v>78735.168503952809</v>
      </c>
      <c r="D38" s="852">
        <v>90.66</v>
      </c>
      <c r="E38" s="852">
        <v>7711.9390000000003</v>
      </c>
      <c r="F38" s="852">
        <v>7371.7877889999991</v>
      </c>
      <c r="G38" s="864">
        <v>12.541</v>
      </c>
      <c r="H38" s="850">
        <v>17916.023331972614</v>
      </c>
      <c r="I38" s="771">
        <v>12467</v>
      </c>
      <c r="N38" s="771"/>
      <c r="BQ38" s="791" t="s">
        <v>94</v>
      </c>
      <c r="BR38" s="771">
        <v>48535</v>
      </c>
      <c r="BS38" s="771">
        <v>31568</v>
      </c>
      <c r="BT38" s="771">
        <v>3287</v>
      </c>
      <c r="BU38" s="771">
        <v>8529</v>
      </c>
      <c r="BV38" s="771">
        <v>12033</v>
      </c>
      <c r="BW38" s="771">
        <v>517.5</v>
      </c>
      <c r="BX38" s="771"/>
      <c r="BY38" s="771">
        <v>30900</v>
      </c>
      <c r="BZ38" s="771">
        <v>12467</v>
      </c>
    </row>
    <row r="39" spans="1:78" ht="13" customHeight="1">
      <c r="A39" s="791" t="s">
        <v>64</v>
      </c>
      <c r="B39" s="852">
        <v>83890.559149530949</v>
      </c>
      <c r="C39" s="852">
        <v>76277.162171050004</v>
      </c>
      <c r="D39" s="852">
        <v>88.959000000000003</v>
      </c>
      <c r="E39" s="852">
        <v>6923.3810000000003</v>
      </c>
      <c r="F39" s="852">
        <v>7720.7426000000005</v>
      </c>
      <c r="G39" s="864">
        <v>19.231000000000002</v>
      </c>
      <c r="H39" s="850">
        <v>14522.415012678935</v>
      </c>
      <c r="I39" s="771">
        <v>12871</v>
      </c>
      <c r="N39" s="771"/>
      <c r="BQ39" s="791" t="s">
        <v>95</v>
      </c>
      <c r="BR39" s="771">
        <v>49440</v>
      </c>
      <c r="BS39" s="771">
        <v>32897</v>
      </c>
      <c r="BT39" s="771">
        <v>2908</v>
      </c>
      <c r="BU39" s="771">
        <v>8113</v>
      </c>
      <c r="BV39" s="771">
        <v>12051</v>
      </c>
      <c r="BW39" s="771">
        <v>513.5</v>
      </c>
      <c r="BX39" s="771"/>
      <c r="BY39" s="771">
        <v>25900</v>
      </c>
      <c r="BZ39" s="771">
        <v>12871</v>
      </c>
    </row>
    <row r="40" spans="1:78" ht="13" customHeight="1">
      <c r="A40" s="791" t="s">
        <v>65</v>
      </c>
      <c r="B40" s="852">
        <v>81627.03583563742</v>
      </c>
      <c r="C40" s="852">
        <v>74061.78464729141</v>
      </c>
      <c r="D40" s="852">
        <v>90.45</v>
      </c>
      <c r="E40" s="852">
        <v>6720.1939999999995</v>
      </c>
      <c r="F40" s="852">
        <v>7447.9586669999999</v>
      </c>
      <c r="G40" s="864">
        <v>16.405000000000001</v>
      </c>
      <c r="H40" s="850">
        <v>12425.205531902489</v>
      </c>
      <c r="I40" s="771">
        <v>12209.4</v>
      </c>
      <c r="N40" s="771"/>
      <c r="BQ40" s="791" t="s">
        <v>96</v>
      </c>
      <c r="BR40" s="771">
        <v>47468</v>
      </c>
      <c r="BS40" s="771">
        <v>34714</v>
      </c>
      <c r="BT40" s="771">
        <v>2681</v>
      </c>
      <c r="BU40" s="771">
        <v>7897</v>
      </c>
      <c r="BV40" s="771">
        <v>11479</v>
      </c>
      <c r="BW40" s="771">
        <v>500.5</v>
      </c>
      <c r="BX40" s="771"/>
      <c r="BY40" s="771">
        <v>25000</v>
      </c>
      <c r="BZ40" s="771">
        <v>12209.4</v>
      </c>
    </row>
    <row r="41" spans="1:78" ht="13" customHeight="1">
      <c r="A41" s="791" t="s">
        <v>66</v>
      </c>
      <c r="B41" s="852">
        <v>80600.547607982429</v>
      </c>
      <c r="C41" s="852">
        <v>74499.128270547895</v>
      </c>
      <c r="D41" s="852">
        <v>79.448999999999998</v>
      </c>
      <c r="E41" s="852">
        <v>7178.6790000000001</v>
      </c>
      <c r="F41" s="852">
        <v>7352.8568930000001</v>
      </c>
      <c r="G41" s="864">
        <v>13.257999999999999</v>
      </c>
      <c r="H41" s="850">
        <v>15679.316725103286</v>
      </c>
      <c r="I41" s="771">
        <v>12396.4</v>
      </c>
      <c r="N41" s="771"/>
      <c r="BQ41" s="791" t="s">
        <v>97</v>
      </c>
      <c r="BR41" s="771">
        <v>48550</v>
      </c>
      <c r="BS41" s="771">
        <v>34277</v>
      </c>
      <c r="BT41" s="771">
        <v>2349</v>
      </c>
      <c r="BU41" s="771">
        <v>7983</v>
      </c>
      <c r="BV41" s="771">
        <v>11607</v>
      </c>
      <c r="BW41" s="771">
        <v>498.5</v>
      </c>
      <c r="BX41" s="771"/>
      <c r="BY41" s="771">
        <v>27200</v>
      </c>
      <c r="BZ41" s="771">
        <v>12396.4</v>
      </c>
    </row>
    <row r="42" spans="1:78" ht="13" customHeight="1">
      <c r="A42" s="791" t="s">
        <v>67</v>
      </c>
      <c r="B42" s="852">
        <v>78194.906653053244</v>
      </c>
      <c r="C42" s="852">
        <v>72912.377432487992</v>
      </c>
      <c r="D42" s="852">
        <v>97.098500000000001</v>
      </c>
      <c r="E42" s="852">
        <v>7381.4230000000007</v>
      </c>
      <c r="F42" s="852">
        <v>7076.6578210000007</v>
      </c>
      <c r="G42" s="864">
        <v>18.382300000000001</v>
      </c>
      <c r="H42" s="850">
        <v>17120.104392323712</v>
      </c>
      <c r="I42" s="771">
        <v>12726.4</v>
      </c>
      <c r="N42" s="771"/>
      <c r="BQ42" s="791" t="s">
        <v>98</v>
      </c>
      <c r="BR42" s="771">
        <v>47516.5</v>
      </c>
      <c r="BS42" s="771">
        <v>32600</v>
      </c>
      <c r="BT42" s="771">
        <v>2222.5</v>
      </c>
      <c r="BU42" s="771">
        <v>8324.5</v>
      </c>
      <c r="BV42" s="771">
        <v>11978</v>
      </c>
      <c r="BW42" s="771">
        <v>529.5</v>
      </c>
      <c r="BX42" s="771"/>
      <c r="BY42" s="771">
        <v>31100</v>
      </c>
      <c r="BZ42" s="771">
        <v>12726.4</v>
      </c>
    </row>
    <row r="43" spans="1:78" ht="13" customHeight="1" thickBot="1">
      <c r="A43" s="803" t="s">
        <v>68</v>
      </c>
      <c r="B43" s="853">
        <v>84634.537397707056</v>
      </c>
      <c r="C43" s="853">
        <v>77412.690079174994</v>
      </c>
      <c r="D43" s="853">
        <v>87.167000000000002</v>
      </c>
      <c r="E43" s="853">
        <v>8792.402</v>
      </c>
      <c r="F43" s="853">
        <v>6913.9430000000002</v>
      </c>
      <c r="G43" s="865">
        <v>20.141999999999999</v>
      </c>
      <c r="H43" s="848">
        <v>17916.023331972614</v>
      </c>
      <c r="I43" s="804">
        <v>12079.4</v>
      </c>
      <c r="N43" s="771"/>
      <c r="BQ43" s="803" t="s">
        <v>99</v>
      </c>
      <c r="BR43" s="804">
        <v>55225.5</v>
      </c>
      <c r="BS43" s="804">
        <v>37525</v>
      </c>
      <c r="BT43" s="804">
        <v>2271.5</v>
      </c>
      <c r="BU43" s="804">
        <v>8656</v>
      </c>
      <c r="BV43" s="804">
        <v>11822</v>
      </c>
      <c r="BW43" s="804">
        <v>554.5</v>
      </c>
      <c r="BX43" s="804"/>
      <c r="BY43" s="804">
        <v>39300</v>
      </c>
      <c r="BZ43" s="804">
        <v>12079.4</v>
      </c>
    </row>
    <row r="44" spans="1:78" ht="10" customHeight="1">
      <c r="A44" s="841" t="s">
        <v>476</v>
      </c>
      <c r="B44" s="842"/>
      <c r="C44" s="842"/>
      <c r="D44" s="842"/>
      <c r="E44" s="767" t="s">
        <v>489</v>
      </c>
      <c r="F44" s="842"/>
      <c r="G44" s="767"/>
      <c r="H44" s="842"/>
      <c r="I44" s="842"/>
      <c r="J44" s="768"/>
      <c r="BQ44" s="780"/>
      <c r="BR44" s="802"/>
      <c r="BS44" s="802"/>
      <c r="BT44" s="802"/>
      <c r="BU44" s="802"/>
      <c r="BV44" s="802"/>
      <c r="BW44" s="802"/>
      <c r="BX44" s="802"/>
      <c r="BY44" s="802"/>
      <c r="BZ44" s="802"/>
    </row>
    <row r="45" spans="1:78" ht="10" customHeight="1">
      <c r="A45" s="764" t="s">
        <v>213</v>
      </c>
      <c r="B45" s="762"/>
      <c r="C45" s="768"/>
      <c r="D45" s="768"/>
      <c r="E45" s="768"/>
      <c r="F45" s="768"/>
      <c r="G45" s="768"/>
      <c r="H45" s="843"/>
      <c r="I45" s="768"/>
      <c r="J45" s="768"/>
      <c r="BQ45" s="770"/>
      <c r="BY45" s="806"/>
    </row>
    <row r="46" spans="1:78" ht="10" customHeight="1">
      <c r="A46" s="765" t="s">
        <v>261</v>
      </c>
      <c r="B46" s="762"/>
      <c r="C46" s="768"/>
      <c r="D46" s="768"/>
      <c r="E46" s="768"/>
      <c r="F46" s="768"/>
      <c r="G46" s="768"/>
      <c r="H46" s="843"/>
      <c r="I46" s="768"/>
      <c r="J46" s="768"/>
      <c r="BY46" s="806"/>
    </row>
    <row r="47" spans="1:78" ht="15" customHeight="1">
      <c r="A47" s="822"/>
      <c r="H47" s="806"/>
      <c r="BY47" s="806"/>
    </row>
    <row r="48" spans="1:78" ht="15" customHeight="1">
      <c r="A48" s="730"/>
    </row>
  </sheetData>
  <mergeCells count="10">
    <mergeCell ref="A29:A30"/>
    <mergeCell ref="H29:H30"/>
    <mergeCell ref="A28:I28"/>
    <mergeCell ref="BQ28:BZ28"/>
    <mergeCell ref="BQ3:BZ3"/>
    <mergeCell ref="A5:I5"/>
    <mergeCell ref="BQ5:BZ5"/>
    <mergeCell ref="BQ26:BZ26"/>
    <mergeCell ref="A6:A7"/>
    <mergeCell ref="H6:H7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  <rowBreaks count="1" manualBreakCount="1">
    <brk id="25" max="9" man="1"/>
  </row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syncVertical="1" syncRef="A1" transitionEvaluation="1" codeName="Hoja98">
    <tabColor theme="9" tint="0.59999389629810485"/>
  </sheetPr>
  <dimension ref="A3:P53"/>
  <sheetViews>
    <sheetView showGridLines="0" zoomScaleNormal="100" workbookViewId="0">
      <selection activeCell="S46" sqref="S46"/>
    </sheetView>
  </sheetViews>
  <sheetFormatPr baseColWidth="10" defaultColWidth="8.59765625" defaultRowHeight="15" customHeight="1"/>
  <cols>
    <col min="1" max="1" width="6.3984375" style="807" customWidth="1"/>
    <col min="2" max="2" width="8" style="807" customWidth="1"/>
    <col min="3" max="5" width="8.19921875" style="807" bestFit="1" customWidth="1"/>
    <col min="6" max="6" width="7" style="807" bestFit="1" customWidth="1"/>
    <col min="7" max="7" width="8.19921875" style="807" bestFit="1" customWidth="1"/>
    <col min="8" max="8" width="1.19921875" style="807" customWidth="1"/>
    <col min="9" max="11" width="7" style="807" bestFit="1" customWidth="1"/>
    <col min="12" max="12" width="6.19921875" style="807" bestFit="1" customWidth="1"/>
    <col min="13" max="13" width="6.3984375" style="807" bestFit="1" customWidth="1"/>
    <col min="14" max="14" width="6" style="807" customWidth="1"/>
    <col min="15" max="16" width="8" style="807" customWidth="1"/>
    <col min="17" max="260" width="8.59765625" style="807"/>
    <col min="261" max="261" width="8.19921875" style="807" customWidth="1"/>
    <col min="262" max="262" width="9.19921875" style="807" customWidth="1"/>
    <col min="263" max="263" width="8.59765625" style="807"/>
    <col min="264" max="264" width="2" style="807" customWidth="1"/>
    <col min="265" max="265" width="6.796875" style="807" customWidth="1"/>
    <col min="266" max="266" width="9.3984375" style="807" customWidth="1"/>
    <col min="267" max="267" width="8.19921875" style="807" customWidth="1"/>
    <col min="268" max="268" width="8" style="807" customWidth="1"/>
    <col min="269" max="269" width="9" style="807" customWidth="1"/>
    <col min="270" max="270" width="8.796875" style="807" customWidth="1"/>
    <col min="271" max="516" width="8.59765625" style="807"/>
    <col min="517" max="517" width="8.19921875" style="807" customWidth="1"/>
    <col min="518" max="518" width="9.19921875" style="807" customWidth="1"/>
    <col min="519" max="519" width="8.59765625" style="807"/>
    <col min="520" max="520" width="2" style="807" customWidth="1"/>
    <col min="521" max="521" width="6.796875" style="807" customWidth="1"/>
    <col min="522" max="522" width="9.3984375" style="807" customWidth="1"/>
    <col min="523" max="523" width="8.19921875" style="807" customWidth="1"/>
    <col min="524" max="524" width="8" style="807" customWidth="1"/>
    <col min="525" max="525" width="9" style="807" customWidth="1"/>
    <col min="526" max="526" width="8.796875" style="807" customWidth="1"/>
    <col min="527" max="772" width="8.59765625" style="807"/>
    <col min="773" max="773" width="8.19921875" style="807" customWidth="1"/>
    <col min="774" max="774" width="9.19921875" style="807" customWidth="1"/>
    <col min="775" max="775" width="8.59765625" style="807"/>
    <col min="776" max="776" width="2" style="807" customWidth="1"/>
    <col min="777" max="777" width="6.796875" style="807" customWidth="1"/>
    <col min="778" max="778" width="9.3984375" style="807" customWidth="1"/>
    <col min="779" max="779" width="8.19921875" style="807" customWidth="1"/>
    <col min="780" max="780" width="8" style="807" customWidth="1"/>
    <col min="781" max="781" width="9" style="807" customWidth="1"/>
    <col min="782" max="782" width="8.796875" style="807" customWidth="1"/>
    <col min="783" max="1028" width="8.59765625" style="807"/>
    <col min="1029" max="1029" width="8.19921875" style="807" customWidth="1"/>
    <col min="1030" max="1030" width="9.19921875" style="807" customWidth="1"/>
    <col min="1031" max="1031" width="8.59765625" style="807"/>
    <col min="1032" max="1032" width="2" style="807" customWidth="1"/>
    <col min="1033" max="1033" width="6.796875" style="807" customWidth="1"/>
    <col min="1034" max="1034" width="9.3984375" style="807" customWidth="1"/>
    <col min="1035" max="1035" width="8.19921875" style="807" customWidth="1"/>
    <col min="1036" max="1036" width="8" style="807" customWidth="1"/>
    <col min="1037" max="1037" width="9" style="807" customWidth="1"/>
    <col min="1038" max="1038" width="8.796875" style="807" customWidth="1"/>
    <col min="1039" max="1284" width="8.59765625" style="807"/>
    <col min="1285" max="1285" width="8.19921875" style="807" customWidth="1"/>
    <col min="1286" max="1286" width="9.19921875" style="807" customWidth="1"/>
    <col min="1287" max="1287" width="8.59765625" style="807"/>
    <col min="1288" max="1288" width="2" style="807" customWidth="1"/>
    <col min="1289" max="1289" width="6.796875" style="807" customWidth="1"/>
    <col min="1290" max="1290" width="9.3984375" style="807" customWidth="1"/>
    <col min="1291" max="1291" width="8.19921875" style="807" customWidth="1"/>
    <col min="1292" max="1292" width="8" style="807" customWidth="1"/>
    <col min="1293" max="1293" width="9" style="807" customWidth="1"/>
    <col min="1294" max="1294" width="8.796875" style="807" customWidth="1"/>
    <col min="1295" max="1540" width="8.59765625" style="807"/>
    <col min="1541" max="1541" width="8.19921875" style="807" customWidth="1"/>
    <col min="1542" max="1542" width="9.19921875" style="807" customWidth="1"/>
    <col min="1543" max="1543" width="8.59765625" style="807"/>
    <col min="1544" max="1544" width="2" style="807" customWidth="1"/>
    <col min="1545" max="1545" width="6.796875" style="807" customWidth="1"/>
    <col min="1546" max="1546" width="9.3984375" style="807" customWidth="1"/>
    <col min="1547" max="1547" width="8.19921875" style="807" customWidth="1"/>
    <col min="1548" max="1548" width="8" style="807" customWidth="1"/>
    <col min="1549" max="1549" width="9" style="807" customWidth="1"/>
    <col min="1550" max="1550" width="8.796875" style="807" customWidth="1"/>
    <col min="1551" max="1796" width="8.59765625" style="807"/>
    <col min="1797" max="1797" width="8.19921875" style="807" customWidth="1"/>
    <col min="1798" max="1798" width="9.19921875" style="807" customWidth="1"/>
    <col min="1799" max="1799" width="8.59765625" style="807"/>
    <col min="1800" max="1800" width="2" style="807" customWidth="1"/>
    <col min="1801" max="1801" width="6.796875" style="807" customWidth="1"/>
    <col min="1802" max="1802" width="9.3984375" style="807" customWidth="1"/>
    <col min="1803" max="1803" width="8.19921875" style="807" customWidth="1"/>
    <col min="1804" max="1804" width="8" style="807" customWidth="1"/>
    <col min="1805" max="1805" width="9" style="807" customWidth="1"/>
    <col min="1806" max="1806" width="8.796875" style="807" customWidth="1"/>
    <col min="1807" max="2052" width="8.59765625" style="807"/>
    <col min="2053" max="2053" width="8.19921875" style="807" customWidth="1"/>
    <col min="2054" max="2054" width="9.19921875" style="807" customWidth="1"/>
    <col min="2055" max="2055" width="8.59765625" style="807"/>
    <col min="2056" max="2056" width="2" style="807" customWidth="1"/>
    <col min="2057" max="2057" width="6.796875" style="807" customWidth="1"/>
    <col min="2058" max="2058" width="9.3984375" style="807" customWidth="1"/>
    <col min="2059" max="2059" width="8.19921875" style="807" customWidth="1"/>
    <col min="2060" max="2060" width="8" style="807" customWidth="1"/>
    <col min="2061" max="2061" width="9" style="807" customWidth="1"/>
    <col min="2062" max="2062" width="8.796875" style="807" customWidth="1"/>
    <col min="2063" max="2308" width="8.59765625" style="807"/>
    <col min="2309" max="2309" width="8.19921875" style="807" customWidth="1"/>
    <col min="2310" max="2310" width="9.19921875" style="807" customWidth="1"/>
    <col min="2311" max="2311" width="8.59765625" style="807"/>
    <col min="2312" max="2312" width="2" style="807" customWidth="1"/>
    <col min="2313" max="2313" width="6.796875" style="807" customWidth="1"/>
    <col min="2314" max="2314" width="9.3984375" style="807" customWidth="1"/>
    <col min="2315" max="2315" width="8.19921875" style="807" customWidth="1"/>
    <col min="2316" max="2316" width="8" style="807" customWidth="1"/>
    <col min="2317" max="2317" width="9" style="807" customWidth="1"/>
    <col min="2318" max="2318" width="8.796875" style="807" customWidth="1"/>
    <col min="2319" max="2564" width="8.59765625" style="807"/>
    <col min="2565" max="2565" width="8.19921875" style="807" customWidth="1"/>
    <col min="2566" max="2566" width="9.19921875" style="807" customWidth="1"/>
    <col min="2567" max="2567" width="8.59765625" style="807"/>
    <col min="2568" max="2568" width="2" style="807" customWidth="1"/>
    <col min="2569" max="2569" width="6.796875" style="807" customWidth="1"/>
    <col min="2570" max="2570" width="9.3984375" style="807" customWidth="1"/>
    <col min="2571" max="2571" width="8.19921875" style="807" customWidth="1"/>
    <col min="2572" max="2572" width="8" style="807" customWidth="1"/>
    <col min="2573" max="2573" width="9" style="807" customWidth="1"/>
    <col min="2574" max="2574" width="8.796875" style="807" customWidth="1"/>
    <col min="2575" max="2820" width="8.59765625" style="807"/>
    <col min="2821" max="2821" width="8.19921875" style="807" customWidth="1"/>
    <col min="2822" max="2822" width="9.19921875" style="807" customWidth="1"/>
    <col min="2823" max="2823" width="8.59765625" style="807"/>
    <col min="2824" max="2824" width="2" style="807" customWidth="1"/>
    <col min="2825" max="2825" width="6.796875" style="807" customWidth="1"/>
    <col min="2826" max="2826" width="9.3984375" style="807" customWidth="1"/>
    <col min="2827" max="2827" width="8.19921875" style="807" customWidth="1"/>
    <col min="2828" max="2828" width="8" style="807" customWidth="1"/>
    <col min="2829" max="2829" width="9" style="807" customWidth="1"/>
    <col min="2830" max="2830" width="8.796875" style="807" customWidth="1"/>
    <col min="2831" max="3076" width="8.59765625" style="807"/>
    <col min="3077" max="3077" width="8.19921875" style="807" customWidth="1"/>
    <col min="3078" max="3078" width="9.19921875" style="807" customWidth="1"/>
    <col min="3079" max="3079" width="8.59765625" style="807"/>
    <col min="3080" max="3080" width="2" style="807" customWidth="1"/>
    <col min="3081" max="3081" width="6.796875" style="807" customWidth="1"/>
    <col min="3082" max="3082" width="9.3984375" style="807" customWidth="1"/>
    <col min="3083" max="3083" width="8.19921875" style="807" customWidth="1"/>
    <col min="3084" max="3084" width="8" style="807" customWidth="1"/>
    <col min="3085" max="3085" width="9" style="807" customWidth="1"/>
    <col min="3086" max="3086" width="8.796875" style="807" customWidth="1"/>
    <col min="3087" max="3332" width="8.59765625" style="807"/>
    <col min="3333" max="3333" width="8.19921875" style="807" customWidth="1"/>
    <col min="3334" max="3334" width="9.19921875" style="807" customWidth="1"/>
    <col min="3335" max="3335" width="8.59765625" style="807"/>
    <col min="3336" max="3336" width="2" style="807" customWidth="1"/>
    <col min="3337" max="3337" width="6.796875" style="807" customWidth="1"/>
    <col min="3338" max="3338" width="9.3984375" style="807" customWidth="1"/>
    <col min="3339" max="3339" width="8.19921875" style="807" customWidth="1"/>
    <col min="3340" max="3340" width="8" style="807" customWidth="1"/>
    <col min="3341" max="3341" width="9" style="807" customWidth="1"/>
    <col min="3342" max="3342" width="8.796875" style="807" customWidth="1"/>
    <col min="3343" max="3588" width="8.59765625" style="807"/>
    <col min="3589" max="3589" width="8.19921875" style="807" customWidth="1"/>
    <col min="3590" max="3590" width="9.19921875" style="807" customWidth="1"/>
    <col min="3591" max="3591" width="8.59765625" style="807"/>
    <col min="3592" max="3592" width="2" style="807" customWidth="1"/>
    <col min="3593" max="3593" width="6.796875" style="807" customWidth="1"/>
    <col min="3594" max="3594" width="9.3984375" style="807" customWidth="1"/>
    <col min="3595" max="3595" width="8.19921875" style="807" customWidth="1"/>
    <col min="3596" max="3596" width="8" style="807" customWidth="1"/>
    <col min="3597" max="3597" width="9" style="807" customWidth="1"/>
    <col min="3598" max="3598" width="8.796875" style="807" customWidth="1"/>
    <col min="3599" max="3844" width="8.59765625" style="807"/>
    <col min="3845" max="3845" width="8.19921875" style="807" customWidth="1"/>
    <col min="3846" max="3846" width="9.19921875" style="807" customWidth="1"/>
    <col min="3847" max="3847" width="8.59765625" style="807"/>
    <col min="3848" max="3848" width="2" style="807" customWidth="1"/>
    <col min="3849" max="3849" width="6.796875" style="807" customWidth="1"/>
    <col min="3850" max="3850" width="9.3984375" style="807" customWidth="1"/>
    <col min="3851" max="3851" width="8.19921875" style="807" customWidth="1"/>
    <col min="3852" max="3852" width="8" style="807" customWidth="1"/>
    <col min="3853" max="3853" width="9" style="807" customWidth="1"/>
    <col min="3854" max="3854" width="8.796875" style="807" customWidth="1"/>
    <col min="3855" max="4100" width="8.59765625" style="807"/>
    <col min="4101" max="4101" width="8.19921875" style="807" customWidth="1"/>
    <col min="4102" max="4102" width="9.19921875" style="807" customWidth="1"/>
    <col min="4103" max="4103" width="8.59765625" style="807"/>
    <col min="4104" max="4104" width="2" style="807" customWidth="1"/>
    <col min="4105" max="4105" width="6.796875" style="807" customWidth="1"/>
    <col min="4106" max="4106" width="9.3984375" style="807" customWidth="1"/>
    <col min="4107" max="4107" width="8.19921875" style="807" customWidth="1"/>
    <col min="4108" max="4108" width="8" style="807" customWidth="1"/>
    <col min="4109" max="4109" width="9" style="807" customWidth="1"/>
    <col min="4110" max="4110" width="8.796875" style="807" customWidth="1"/>
    <col min="4111" max="4356" width="8.59765625" style="807"/>
    <col min="4357" max="4357" width="8.19921875" style="807" customWidth="1"/>
    <col min="4358" max="4358" width="9.19921875" style="807" customWidth="1"/>
    <col min="4359" max="4359" width="8.59765625" style="807"/>
    <col min="4360" max="4360" width="2" style="807" customWidth="1"/>
    <col min="4361" max="4361" width="6.796875" style="807" customWidth="1"/>
    <col min="4362" max="4362" width="9.3984375" style="807" customWidth="1"/>
    <col min="4363" max="4363" width="8.19921875" style="807" customWidth="1"/>
    <col min="4364" max="4364" width="8" style="807" customWidth="1"/>
    <col min="4365" max="4365" width="9" style="807" customWidth="1"/>
    <col min="4366" max="4366" width="8.796875" style="807" customWidth="1"/>
    <col min="4367" max="4612" width="8.59765625" style="807"/>
    <col min="4613" max="4613" width="8.19921875" style="807" customWidth="1"/>
    <col min="4614" max="4614" width="9.19921875" style="807" customWidth="1"/>
    <col min="4615" max="4615" width="8.59765625" style="807"/>
    <col min="4616" max="4616" width="2" style="807" customWidth="1"/>
    <col min="4617" max="4617" width="6.796875" style="807" customWidth="1"/>
    <col min="4618" max="4618" width="9.3984375" style="807" customWidth="1"/>
    <col min="4619" max="4619" width="8.19921875" style="807" customWidth="1"/>
    <col min="4620" max="4620" width="8" style="807" customWidth="1"/>
    <col min="4621" max="4621" width="9" style="807" customWidth="1"/>
    <col min="4622" max="4622" width="8.796875" style="807" customWidth="1"/>
    <col min="4623" max="4868" width="8.59765625" style="807"/>
    <col min="4869" max="4869" width="8.19921875" style="807" customWidth="1"/>
    <col min="4870" max="4870" width="9.19921875" style="807" customWidth="1"/>
    <col min="4871" max="4871" width="8.59765625" style="807"/>
    <col min="4872" max="4872" width="2" style="807" customWidth="1"/>
    <col min="4873" max="4873" width="6.796875" style="807" customWidth="1"/>
    <col min="4874" max="4874" width="9.3984375" style="807" customWidth="1"/>
    <col min="4875" max="4875" width="8.19921875" style="807" customWidth="1"/>
    <col min="4876" max="4876" width="8" style="807" customWidth="1"/>
    <col min="4877" max="4877" width="9" style="807" customWidth="1"/>
    <col min="4878" max="4878" width="8.796875" style="807" customWidth="1"/>
    <col min="4879" max="5124" width="8.59765625" style="807"/>
    <col min="5125" max="5125" width="8.19921875" style="807" customWidth="1"/>
    <col min="5126" max="5126" width="9.19921875" style="807" customWidth="1"/>
    <col min="5127" max="5127" width="8.59765625" style="807"/>
    <col min="5128" max="5128" width="2" style="807" customWidth="1"/>
    <col min="5129" max="5129" width="6.796875" style="807" customWidth="1"/>
    <col min="5130" max="5130" width="9.3984375" style="807" customWidth="1"/>
    <col min="5131" max="5131" width="8.19921875" style="807" customWidth="1"/>
    <col min="5132" max="5132" width="8" style="807" customWidth="1"/>
    <col min="5133" max="5133" width="9" style="807" customWidth="1"/>
    <col min="5134" max="5134" width="8.796875" style="807" customWidth="1"/>
    <col min="5135" max="5380" width="8.59765625" style="807"/>
    <col min="5381" max="5381" width="8.19921875" style="807" customWidth="1"/>
    <col min="5382" max="5382" width="9.19921875" style="807" customWidth="1"/>
    <col min="5383" max="5383" width="8.59765625" style="807"/>
    <col min="5384" max="5384" width="2" style="807" customWidth="1"/>
    <col min="5385" max="5385" width="6.796875" style="807" customWidth="1"/>
    <col min="5386" max="5386" width="9.3984375" style="807" customWidth="1"/>
    <col min="5387" max="5387" width="8.19921875" style="807" customWidth="1"/>
    <col min="5388" max="5388" width="8" style="807" customWidth="1"/>
    <col min="5389" max="5389" width="9" style="807" customWidth="1"/>
    <col min="5390" max="5390" width="8.796875" style="807" customWidth="1"/>
    <col min="5391" max="5636" width="8.59765625" style="807"/>
    <col min="5637" max="5637" width="8.19921875" style="807" customWidth="1"/>
    <col min="5638" max="5638" width="9.19921875" style="807" customWidth="1"/>
    <col min="5639" max="5639" width="8.59765625" style="807"/>
    <col min="5640" max="5640" width="2" style="807" customWidth="1"/>
    <col min="5641" max="5641" width="6.796875" style="807" customWidth="1"/>
    <col min="5642" max="5642" width="9.3984375" style="807" customWidth="1"/>
    <col min="5643" max="5643" width="8.19921875" style="807" customWidth="1"/>
    <col min="5644" max="5644" width="8" style="807" customWidth="1"/>
    <col min="5645" max="5645" width="9" style="807" customWidth="1"/>
    <col min="5646" max="5646" width="8.796875" style="807" customWidth="1"/>
    <col min="5647" max="5892" width="8.59765625" style="807"/>
    <col min="5893" max="5893" width="8.19921875" style="807" customWidth="1"/>
    <col min="5894" max="5894" width="9.19921875" style="807" customWidth="1"/>
    <col min="5895" max="5895" width="8.59765625" style="807"/>
    <col min="5896" max="5896" width="2" style="807" customWidth="1"/>
    <col min="5897" max="5897" width="6.796875" style="807" customWidth="1"/>
    <col min="5898" max="5898" width="9.3984375" style="807" customWidth="1"/>
    <col min="5899" max="5899" width="8.19921875" style="807" customWidth="1"/>
    <col min="5900" max="5900" width="8" style="807" customWidth="1"/>
    <col min="5901" max="5901" width="9" style="807" customWidth="1"/>
    <col min="5902" max="5902" width="8.796875" style="807" customWidth="1"/>
    <col min="5903" max="6148" width="8.59765625" style="807"/>
    <col min="6149" max="6149" width="8.19921875" style="807" customWidth="1"/>
    <col min="6150" max="6150" width="9.19921875" style="807" customWidth="1"/>
    <col min="6151" max="6151" width="8.59765625" style="807"/>
    <col min="6152" max="6152" width="2" style="807" customWidth="1"/>
    <col min="6153" max="6153" width="6.796875" style="807" customWidth="1"/>
    <col min="6154" max="6154" width="9.3984375" style="807" customWidth="1"/>
    <col min="6155" max="6155" width="8.19921875" style="807" customWidth="1"/>
    <col min="6156" max="6156" width="8" style="807" customWidth="1"/>
    <col min="6157" max="6157" width="9" style="807" customWidth="1"/>
    <col min="6158" max="6158" width="8.796875" style="807" customWidth="1"/>
    <col min="6159" max="6404" width="8.59765625" style="807"/>
    <col min="6405" max="6405" width="8.19921875" style="807" customWidth="1"/>
    <col min="6406" max="6406" width="9.19921875" style="807" customWidth="1"/>
    <col min="6407" max="6407" width="8.59765625" style="807"/>
    <col min="6408" max="6408" width="2" style="807" customWidth="1"/>
    <col min="6409" max="6409" width="6.796875" style="807" customWidth="1"/>
    <col min="6410" max="6410" width="9.3984375" style="807" customWidth="1"/>
    <col min="6411" max="6411" width="8.19921875" style="807" customWidth="1"/>
    <col min="6412" max="6412" width="8" style="807" customWidth="1"/>
    <col min="6413" max="6413" width="9" style="807" customWidth="1"/>
    <col min="6414" max="6414" width="8.796875" style="807" customWidth="1"/>
    <col min="6415" max="6660" width="8.59765625" style="807"/>
    <col min="6661" max="6661" width="8.19921875" style="807" customWidth="1"/>
    <col min="6662" max="6662" width="9.19921875" style="807" customWidth="1"/>
    <col min="6663" max="6663" width="8.59765625" style="807"/>
    <col min="6664" max="6664" width="2" style="807" customWidth="1"/>
    <col min="6665" max="6665" width="6.796875" style="807" customWidth="1"/>
    <col min="6666" max="6666" width="9.3984375" style="807" customWidth="1"/>
    <col min="6667" max="6667" width="8.19921875" style="807" customWidth="1"/>
    <col min="6668" max="6668" width="8" style="807" customWidth="1"/>
    <col min="6669" max="6669" width="9" style="807" customWidth="1"/>
    <col min="6670" max="6670" width="8.796875" style="807" customWidth="1"/>
    <col min="6671" max="6916" width="8.59765625" style="807"/>
    <col min="6917" max="6917" width="8.19921875" style="807" customWidth="1"/>
    <col min="6918" max="6918" width="9.19921875" style="807" customWidth="1"/>
    <col min="6919" max="6919" width="8.59765625" style="807"/>
    <col min="6920" max="6920" width="2" style="807" customWidth="1"/>
    <col min="6921" max="6921" width="6.796875" style="807" customWidth="1"/>
    <col min="6922" max="6922" width="9.3984375" style="807" customWidth="1"/>
    <col min="6923" max="6923" width="8.19921875" style="807" customWidth="1"/>
    <col min="6924" max="6924" width="8" style="807" customWidth="1"/>
    <col min="6925" max="6925" width="9" style="807" customWidth="1"/>
    <col min="6926" max="6926" width="8.796875" style="807" customWidth="1"/>
    <col min="6927" max="7172" width="8.59765625" style="807"/>
    <col min="7173" max="7173" width="8.19921875" style="807" customWidth="1"/>
    <col min="7174" max="7174" width="9.19921875" style="807" customWidth="1"/>
    <col min="7175" max="7175" width="8.59765625" style="807"/>
    <col min="7176" max="7176" width="2" style="807" customWidth="1"/>
    <col min="7177" max="7177" width="6.796875" style="807" customWidth="1"/>
    <col min="7178" max="7178" width="9.3984375" style="807" customWidth="1"/>
    <col min="7179" max="7179" width="8.19921875" style="807" customWidth="1"/>
    <col min="7180" max="7180" width="8" style="807" customWidth="1"/>
    <col min="7181" max="7181" width="9" style="807" customWidth="1"/>
    <col min="7182" max="7182" width="8.796875" style="807" customWidth="1"/>
    <col min="7183" max="7428" width="8.59765625" style="807"/>
    <col min="7429" max="7429" width="8.19921875" style="807" customWidth="1"/>
    <col min="7430" max="7430" width="9.19921875" style="807" customWidth="1"/>
    <col min="7431" max="7431" width="8.59765625" style="807"/>
    <col min="7432" max="7432" width="2" style="807" customWidth="1"/>
    <col min="7433" max="7433" width="6.796875" style="807" customWidth="1"/>
    <col min="7434" max="7434" width="9.3984375" style="807" customWidth="1"/>
    <col min="7435" max="7435" width="8.19921875" style="807" customWidth="1"/>
    <col min="7436" max="7436" width="8" style="807" customWidth="1"/>
    <col min="7437" max="7437" width="9" style="807" customWidth="1"/>
    <col min="7438" max="7438" width="8.796875" style="807" customWidth="1"/>
    <col min="7439" max="7684" width="8.59765625" style="807"/>
    <col min="7685" max="7685" width="8.19921875" style="807" customWidth="1"/>
    <col min="7686" max="7686" width="9.19921875" style="807" customWidth="1"/>
    <col min="7687" max="7687" width="8.59765625" style="807"/>
    <col min="7688" max="7688" width="2" style="807" customWidth="1"/>
    <col min="7689" max="7689" width="6.796875" style="807" customWidth="1"/>
    <col min="7690" max="7690" width="9.3984375" style="807" customWidth="1"/>
    <col min="7691" max="7691" width="8.19921875" style="807" customWidth="1"/>
    <col min="7692" max="7692" width="8" style="807" customWidth="1"/>
    <col min="7693" max="7693" width="9" style="807" customWidth="1"/>
    <col min="7694" max="7694" width="8.796875" style="807" customWidth="1"/>
    <col min="7695" max="7940" width="8.59765625" style="807"/>
    <col min="7941" max="7941" width="8.19921875" style="807" customWidth="1"/>
    <col min="7942" max="7942" width="9.19921875" style="807" customWidth="1"/>
    <col min="7943" max="7943" width="8.59765625" style="807"/>
    <col min="7944" max="7944" width="2" style="807" customWidth="1"/>
    <col min="7945" max="7945" width="6.796875" style="807" customWidth="1"/>
    <col min="7946" max="7946" width="9.3984375" style="807" customWidth="1"/>
    <col min="7947" max="7947" width="8.19921875" style="807" customWidth="1"/>
    <col min="7948" max="7948" width="8" style="807" customWidth="1"/>
    <col min="7949" max="7949" width="9" style="807" customWidth="1"/>
    <col min="7950" max="7950" width="8.796875" style="807" customWidth="1"/>
    <col min="7951" max="8196" width="8.59765625" style="807"/>
    <col min="8197" max="8197" width="8.19921875" style="807" customWidth="1"/>
    <col min="8198" max="8198" width="9.19921875" style="807" customWidth="1"/>
    <col min="8199" max="8199" width="8.59765625" style="807"/>
    <col min="8200" max="8200" width="2" style="807" customWidth="1"/>
    <col min="8201" max="8201" width="6.796875" style="807" customWidth="1"/>
    <col min="8202" max="8202" width="9.3984375" style="807" customWidth="1"/>
    <col min="8203" max="8203" width="8.19921875" style="807" customWidth="1"/>
    <col min="8204" max="8204" width="8" style="807" customWidth="1"/>
    <col min="8205" max="8205" width="9" style="807" customWidth="1"/>
    <col min="8206" max="8206" width="8.796875" style="807" customWidth="1"/>
    <col min="8207" max="8452" width="8.59765625" style="807"/>
    <col min="8453" max="8453" width="8.19921875" style="807" customWidth="1"/>
    <col min="8454" max="8454" width="9.19921875" style="807" customWidth="1"/>
    <col min="8455" max="8455" width="8.59765625" style="807"/>
    <col min="8456" max="8456" width="2" style="807" customWidth="1"/>
    <col min="8457" max="8457" width="6.796875" style="807" customWidth="1"/>
    <col min="8458" max="8458" width="9.3984375" style="807" customWidth="1"/>
    <col min="8459" max="8459" width="8.19921875" style="807" customWidth="1"/>
    <col min="8460" max="8460" width="8" style="807" customWidth="1"/>
    <col min="8461" max="8461" width="9" style="807" customWidth="1"/>
    <col min="8462" max="8462" width="8.796875" style="807" customWidth="1"/>
    <col min="8463" max="8708" width="8.59765625" style="807"/>
    <col min="8709" max="8709" width="8.19921875" style="807" customWidth="1"/>
    <col min="8710" max="8710" width="9.19921875" style="807" customWidth="1"/>
    <col min="8711" max="8711" width="8.59765625" style="807"/>
    <col min="8712" max="8712" width="2" style="807" customWidth="1"/>
    <col min="8713" max="8713" width="6.796875" style="807" customWidth="1"/>
    <col min="8714" max="8714" width="9.3984375" style="807" customWidth="1"/>
    <col min="8715" max="8715" width="8.19921875" style="807" customWidth="1"/>
    <col min="8716" max="8716" width="8" style="807" customWidth="1"/>
    <col min="8717" max="8717" width="9" style="807" customWidth="1"/>
    <col min="8718" max="8718" width="8.796875" style="807" customWidth="1"/>
    <col min="8719" max="8964" width="8.59765625" style="807"/>
    <col min="8965" max="8965" width="8.19921875" style="807" customWidth="1"/>
    <col min="8966" max="8966" width="9.19921875" style="807" customWidth="1"/>
    <col min="8967" max="8967" width="8.59765625" style="807"/>
    <col min="8968" max="8968" width="2" style="807" customWidth="1"/>
    <col min="8969" max="8969" width="6.796875" style="807" customWidth="1"/>
    <col min="8970" max="8970" width="9.3984375" style="807" customWidth="1"/>
    <col min="8971" max="8971" width="8.19921875" style="807" customWidth="1"/>
    <col min="8972" max="8972" width="8" style="807" customWidth="1"/>
    <col min="8973" max="8973" width="9" style="807" customWidth="1"/>
    <col min="8974" max="8974" width="8.796875" style="807" customWidth="1"/>
    <col min="8975" max="9220" width="8.59765625" style="807"/>
    <col min="9221" max="9221" width="8.19921875" style="807" customWidth="1"/>
    <col min="9222" max="9222" width="9.19921875" style="807" customWidth="1"/>
    <col min="9223" max="9223" width="8.59765625" style="807"/>
    <col min="9224" max="9224" width="2" style="807" customWidth="1"/>
    <col min="9225" max="9225" width="6.796875" style="807" customWidth="1"/>
    <col min="9226" max="9226" width="9.3984375" style="807" customWidth="1"/>
    <col min="9227" max="9227" width="8.19921875" style="807" customWidth="1"/>
    <col min="9228" max="9228" width="8" style="807" customWidth="1"/>
    <col min="9229" max="9229" width="9" style="807" customWidth="1"/>
    <col min="9230" max="9230" width="8.796875" style="807" customWidth="1"/>
    <col min="9231" max="9476" width="8.59765625" style="807"/>
    <col min="9477" max="9477" width="8.19921875" style="807" customWidth="1"/>
    <col min="9478" max="9478" width="9.19921875" style="807" customWidth="1"/>
    <col min="9479" max="9479" width="8.59765625" style="807"/>
    <col min="9480" max="9480" width="2" style="807" customWidth="1"/>
    <col min="9481" max="9481" width="6.796875" style="807" customWidth="1"/>
    <col min="9482" max="9482" width="9.3984375" style="807" customWidth="1"/>
    <col min="9483" max="9483" width="8.19921875" style="807" customWidth="1"/>
    <col min="9484" max="9484" width="8" style="807" customWidth="1"/>
    <col min="9485" max="9485" width="9" style="807" customWidth="1"/>
    <col min="9486" max="9486" width="8.796875" style="807" customWidth="1"/>
    <col min="9487" max="9732" width="8.59765625" style="807"/>
    <col min="9733" max="9733" width="8.19921875" style="807" customWidth="1"/>
    <col min="9734" max="9734" width="9.19921875" style="807" customWidth="1"/>
    <col min="9735" max="9735" width="8.59765625" style="807"/>
    <col min="9736" max="9736" width="2" style="807" customWidth="1"/>
    <col min="9737" max="9737" width="6.796875" style="807" customWidth="1"/>
    <col min="9738" max="9738" width="9.3984375" style="807" customWidth="1"/>
    <col min="9739" max="9739" width="8.19921875" style="807" customWidth="1"/>
    <col min="9740" max="9740" width="8" style="807" customWidth="1"/>
    <col min="9741" max="9741" width="9" style="807" customWidth="1"/>
    <col min="9742" max="9742" width="8.796875" style="807" customWidth="1"/>
    <col min="9743" max="9988" width="8.59765625" style="807"/>
    <col min="9989" max="9989" width="8.19921875" style="807" customWidth="1"/>
    <col min="9990" max="9990" width="9.19921875" style="807" customWidth="1"/>
    <col min="9991" max="9991" width="8.59765625" style="807"/>
    <col min="9992" max="9992" width="2" style="807" customWidth="1"/>
    <col min="9993" max="9993" width="6.796875" style="807" customWidth="1"/>
    <col min="9994" max="9994" width="9.3984375" style="807" customWidth="1"/>
    <col min="9995" max="9995" width="8.19921875" style="807" customWidth="1"/>
    <col min="9996" max="9996" width="8" style="807" customWidth="1"/>
    <col min="9997" max="9997" width="9" style="807" customWidth="1"/>
    <col min="9998" max="9998" width="8.796875" style="807" customWidth="1"/>
    <col min="9999" max="10244" width="8.59765625" style="807"/>
    <col min="10245" max="10245" width="8.19921875" style="807" customWidth="1"/>
    <col min="10246" max="10246" width="9.19921875" style="807" customWidth="1"/>
    <col min="10247" max="10247" width="8.59765625" style="807"/>
    <col min="10248" max="10248" width="2" style="807" customWidth="1"/>
    <col min="10249" max="10249" width="6.796875" style="807" customWidth="1"/>
    <col min="10250" max="10250" width="9.3984375" style="807" customWidth="1"/>
    <col min="10251" max="10251" width="8.19921875" style="807" customWidth="1"/>
    <col min="10252" max="10252" width="8" style="807" customWidth="1"/>
    <col min="10253" max="10253" width="9" style="807" customWidth="1"/>
    <col min="10254" max="10254" width="8.796875" style="807" customWidth="1"/>
    <col min="10255" max="10500" width="8.59765625" style="807"/>
    <col min="10501" max="10501" width="8.19921875" style="807" customWidth="1"/>
    <col min="10502" max="10502" width="9.19921875" style="807" customWidth="1"/>
    <col min="10503" max="10503" width="8.59765625" style="807"/>
    <col min="10504" max="10504" width="2" style="807" customWidth="1"/>
    <col min="10505" max="10505" width="6.796875" style="807" customWidth="1"/>
    <col min="10506" max="10506" width="9.3984375" style="807" customWidth="1"/>
    <col min="10507" max="10507" width="8.19921875" style="807" customWidth="1"/>
    <col min="10508" max="10508" width="8" style="807" customWidth="1"/>
    <col min="10509" max="10509" width="9" style="807" customWidth="1"/>
    <col min="10510" max="10510" width="8.796875" style="807" customWidth="1"/>
    <col min="10511" max="10756" width="8.59765625" style="807"/>
    <col min="10757" max="10757" width="8.19921875" style="807" customWidth="1"/>
    <col min="10758" max="10758" width="9.19921875" style="807" customWidth="1"/>
    <col min="10759" max="10759" width="8.59765625" style="807"/>
    <col min="10760" max="10760" width="2" style="807" customWidth="1"/>
    <col min="10761" max="10761" width="6.796875" style="807" customWidth="1"/>
    <col min="10762" max="10762" width="9.3984375" style="807" customWidth="1"/>
    <col min="10763" max="10763" width="8.19921875" style="807" customWidth="1"/>
    <col min="10764" max="10764" width="8" style="807" customWidth="1"/>
    <col min="10765" max="10765" width="9" style="807" customWidth="1"/>
    <col min="10766" max="10766" width="8.796875" style="807" customWidth="1"/>
    <col min="10767" max="11012" width="8.59765625" style="807"/>
    <col min="11013" max="11013" width="8.19921875" style="807" customWidth="1"/>
    <col min="11014" max="11014" width="9.19921875" style="807" customWidth="1"/>
    <col min="11015" max="11015" width="8.59765625" style="807"/>
    <col min="11016" max="11016" width="2" style="807" customWidth="1"/>
    <col min="11017" max="11017" width="6.796875" style="807" customWidth="1"/>
    <col min="11018" max="11018" width="9.3984375" style="807" customWidth="1"/>
    <col min="11019" max="11019" width="8.19921875" style="807" customWidth="1"/>
    <col min="11020" max="11020" width="8" style="807" customWidth="1"/>
    <col min="11021" max="11021" width="9" style="807" customWidth="1"/>
    <col min="11022" max="11022" width="8.796875" style="807" customWidth="1"/>
    <col min="11023" max="11268" width="8.59765625" style="807"/>
    <col min="11269" max="11269" width="8.19921875" style="807" customWidth="1"/>
    <col min="11270" max="11270" width="9.19921875" style="807" customWidth="1"/>
    <col min="11271" max="11271" width="8.59765625" style="807"/>
    <col min="11272" max="11272" width="2" style="807" customWidth="1"/>
    <col min="11273" max="11273" width="6.796875" style="807" customWidth="1"/>
    <col min="11274" max="11274" width="9.3984375" style="807" customWidth="1"/>
    <col min="11275" max="11275" width="8.19921875" style="807" customWidth="1"/>
    <col min="11276" max="11276" width="8" style="807" customWidth="1"/>
    <col min="11277" max="11277" width="9" style="807" customWidth="1"/>
    <col min="11278" max="11278" width="8.796875" style="807" customWidth="1"/>
    <col min="11279" max="11524" width="8.59765625" style="807"/>
    <col min="11525" max="11525" width="8.19921875" style="807" customWidth="1"/>
    <col min="11526" max="11526" width="9.19921875" style="807" customWidth="1"/>
    <col min="11527" max="11527" width="8.59765625" style="807"/>
    <col min="11528" max="11528" width="2" style="807" customWidth="1"/>
    <col min="11529" max="11529" width="6.796875" style="807" customWidth="1"/>
    <col min="11530" max="11530" width="9.3984375" style="807" customWidth="1"/>
    <col min="11531" max="11531" width="8.19921875" style="807" customWidth="1"/>
    <col min="11532" max="11532" width="8" style="807" customWidth="1"/>
    <col min="11533" max="11533" width="9" style="807" customWidth="1"/>
    <col min="11534" max="11534" width="8.796875" style="807" customWidth="1"/>
    <col min="11535" max="11780" width="8.59765625" style="807"/>
    <col min="11781" max="11781" width="8.19921875" style="807" customWidth="1"/>
    <col min="11782" max="11782" width="9.19921875" style="807" customWidth="1"/>
    <col min="11783" max="11783" width="8.59765625" style="807"/>
    <col min="11784" max="11784" width="2" style="807" customWidth="1"/>
    <col min="11785" max="11785" width="6.796875" style="807" customWidth="1"/>
    <col min="11786" max="11786" width="9.3984375" style="807" customWidth="1"/>
    <col min="11787" max="11787" width="8.19921875" style="807" customWidth="1"/>
    <col min="11788" max="11788" width="8" style="807" customWidth="1"/>
    <col min="11789" max="11789" width="9" style="807" customWidth="1"/>
    <col min="11790" max="11790" width="8.796875" style="807" customWidth="1"/>
    <col min="11791" max="12036" width="8.59765625" style="807"/>
    <col min="12037" max="12037" width="8.19921875" style="807" customWidth="1"/>
    <col min="12038" max="12038" width="9.19921875" style="807" customWidth="1"/>
    <col min="12039" max="12039" width="8.59765625" style="807"/>
    <col min="12040" max="12040" width="2" style="807" customWidth="1"/>
    <col min="12041" max="12041" width="6.796875" style="807" customWidth="1"/>
    <col min="12042" max="12042" width="9.3984375" style="807" customWidth="1"/>
    <col min="12043" max="12043" width="8.19921875" style="807" customWidth="1"/>
    <col min="12044" max="12044" width="8" style="807" customWidth="1"/>
    <col min="12045" max="12045" width="9" style="807" customWidth="1"/>
    <col min="12046" max="12046" width="8.796875" style="807" customWidth="1"/>
    <col min="12047" max="12292" width="8.59765625" style="807"/>
    <col min="12293" max="12293" width="8.19921875" style="807" customWidth="1"/>
    <col min="12294" max="12294" width="9.19921875" style="807" customWidth="1"/>
    <col min="12295" max="12295" width="8.59765625" style="807"/>
    <col min="12296" max="12296" width="2" style="807" customWidth="1"/>
    <col min="12297" max="12297" width="6.796875" style="807" customWidth="1"/>
    <col min="12298" max="12298" width="9.3984375" style="807" customWidth="1"/>
    <col min="12299" max="12299" width="8.19921875" style="807" customWidth="1"/>
    <col min="12300" max="12300" width="8" style="807" customWidth="1"/>
    <col min="12301" max="12301" width="9" style="807" customWidth="1"/>
    <col min="12302" max="12302" width="8.796875" style="807" customWidth="1"/>
    <col min="12303" max="12548" width="8.59765625" style="807"/>
    <col min="12549" max="12549" width="8.19921875" style="807" customWidth="1"/>
    <col min="12550" max="12550" width="9.19921875" style="807" customWidth="1"/>
    <col min="12551" max="12551" width="8.59765625" style="807"/>
    <col min="12552" max="12552" width="2" style="807" customWidth="1"/>
    <col min="12553" max="12553" width="6.796875" style="807" customWidth="1"/>
    <col min="12554" max="12554" width="9.3984375" style="807" customWidth="1"/>
    <col min="12555" max="12555" width="8.19921875" style="807" customWidth="1"/>
    <col min="12556" max="12556" width="8" style="807" customWidth="1"/>
    <col min="12557" max="12557" width="9" style="807" customWidth="1"/>
    <col min="12558" max="12558" width="8.796875" style="807" customWidth="1"/>
    <col min="12559" max="12804" width="8.59765625" style="807"/>
    <col min="12805" max="12805" width="8.19921875" style="807" customWidth="1"/>
    <col min="12806" max="12806" width="9.19921875" style="807" customWidth="1"/>
    <col min="12807" max="12807" width="8.59765625" style="807"/>
    <col min="12808" max="12808" width="2" style="807" customWidth="1"/>
    <col min="12809" max="12809" width="6.796875" style="807" customWidth="1"/>
    <col min="12810" max="12810" width="9.3984375" style="807" customWidth="1"/>
    <col min="12811" max="12811" width="8.19921875" style="807" customWidth="1"/>
    <col min="12812" max="12812" width="8" style="807" customWidth="1"/>
    <col min="12813" max="12813" width="9" style="807" customWidth="1"/>
    <col min="12814" max="12814" width="8.796875" style="807" customWidth="1"/>
    <col min="12815" max="13060" width="8.59765625" style="807"/>
    <col min="13061" max="13061" width="8.19921875" style="807" customWidth="1"/>
    <col min="13062" max="13062" width="9.19921875" style="807" customWidth="1"/>
    <col min="13063" max="13063" width="8.59765625" style="807"/>
    <col min="13064" max="13064" width="2" style="807" customWidth="1"/>
    <col min="13065" max="13065" width="6.796875" style="807" customWidth="1"/>
    <col min="13066" max="13066" width="9.3984375" style="807" customWidth="1"/>
    <col min="13067" max="13067" width="8.19921875" style="807" customWidth="1"/>
    <col min="13068" max="13068" width="8" style="807" customWidth="1"/>
    <col min="13069" max="13069" width="9" style="807" customWidth="1"/>
    <col min="13070" max="13070" width="8.796875" style="807" customWidth="1"/>
    <col min="13071" max="13316" width="8.59765625" style="807"/>
    <col min="13317" max="13317" width="8.19921875" style="807" customWidth="1"/>
    <col min="13318" max="13318" width="9.19921875" style="807" customWidth="1"/>
    <col min="13319" max="13319" width="8.59765625" style="807"/>
    <col min="13320" max="13320" width="2" style="807" customWidth="1"/>
    <col min="13321" max="13321" width="6.796875" style="807" customWidth="1"/>
    <col min="13322" max="13322" width="9.3984375" style="807" customWidth="1"/>
    <col min="13323" max="13323" width="8.19921875" style="807" customWidth="1"/>
    <col min="13324" max="13324" width="8" style="807" customWidth="1"/>
    <col min="13325" max="13325" width="9" style="807" customWidth="1"/>
    <col min="13326" max="13326" width="8.796875" style="807" customWidth="1"/>
    <col min="13327" max="13572" width="8.59765625" style="807"/>
    <col min="13573" max="13573" width="8.19921875" style="807" customWidth="1"/>
    <col min="13574" max="13574" width="9.19921875" style="807" customWidth="1"/>
    <col min="13575" max="13575" width="8.59765625" style="807"/>
    <col min="13576" max="13576" width="2" style="807" customWidth="1"/>
    <col min="13577" max="13577" width="6.796875" style="807" customWidth="1"/>
    <col min="13578" max="13578" width="9.3984375" style="807" customWidth="1"/>
    <col min="13579" max="13579" width="8.19921875" style="807" customWidth="1"/>
    <col min="13580" max="13580" width="8" style="807" customWidth="1"/>
    <col min="13581" max="13581" width="9" style="807" customWidth="1"/>
    <col min="13582" max="13582" width="8.796875" style="807" customWidth="1"/>
    <col min="13583" max="13828" width="8.59765625" style="807"/>
    <col min="13829" max="13829" width="8.19921875" style="807" customWidth="1"/>
    <col min="13830" max="13830" width="9.19921875" style="807" customWidth="1"/>
    <col min="13831" max="13831" width="8.59765625" style="807"/>
    <col min="13832" max="13832" width="2" style="807" customWidth="1"/>
    <col min="13833" max="13833" width="6.796875" style="807" customWidth="1"/>
    <col min="13834" max="13834" width="9.3984375" style="807" customWidth="1"/>
    <col min="13835" max="13835" width="8.19921875" style="807" customWidth="1"/>
    <col min="13836" max="13836" width="8" style="807" customWidth="1"/>
    <col min="13837" max="13837" width="9" style="807" customWidth="1"/>
    <col min="13838" max="13838" width="8.796875" style="807" customWidth="1"/>
    <col min="13839" max="14084" width="8.59765625" style="807"/>
    <col min="14085" max="14085" width="8.19921875" style="807" customWidth="1"/>
    <col min="14086" max="14086" width="9.19921875" style="807" customWidth="1"/>
    <col min="14087" max="14087" width="8.59765625" style="807"/>
    <col min="14088" max="14088" width="2" style="807" customWidth="1"/>
    <col min="14089" max="14089" width="6.796875" style="807" customWidth="1"/>
    <col min="14090" max="14090" width="9.3984375" style="807" customWidth="1"/>
    <col min="14091" max="14091" width="8.19921875" style="807" customWidth="1"/>
    <col min="14092" max="14092" width="8" style="807" customWidth="1"/>
    <col min="14093" max="14093" width="9" style="807" customWidth="1"/>
    <col min="14094" max="14094" width="8.796875" style="807" customWidth="1"/>
    <col min="14095" max="14340" width="8.59765625" style="807"/>
    <col min="14341" max="14341" width="8.19921875" style="807" customWidth="1"/>
    <col min="14342" max="14342" width="9.19921875" style="807" customWidth="1"/>
    <col min="14343" max="14343" width="8.59765625" style="807"/>
    <col min="14344" max="14344" width="2" style="807" customWidth="1"/>
    <col min="14345" max="14345" width="6.796875" style="807" customWidth="1"/>
    <col min="14346" max="14346" width="9.3984375" style="807" customWidth="1"/>
    <col min="14347" max="14347" width="8.19921875" style="807" customWidth="1"/>
    <col min="14348" max="14348" width="8" style="807" customWidth="1"/>
    <col min="14349" max="14349" width="9" style="807" customWidth="1"/>
    <col min="14350" max="14350" width="8.796875" style="807" customWidth="1"/>
    <col min="14351" max="14596" width="8.59765625" style="807"/>
    <col min="14597" max="14597" width="8.19921875" style="807" customWidth="1"/>
    <col min="14598" max="14598" width="9.19921875" style="807" customWidth="1"/>
    <col min="14599" max="14599" width="8.59765625" style="807"/>
    <col min="14600" max="14600" width="2" style="807" customWidth="1"/>
    <col min="14601" max="14601" width="6.796875" style="807" customWidth="1"/>
    <col min="14602" max="14602" width="9.3984375" style="807" customWidth="1"/>
    <col min="14603" max="14603" width="8.19921875" style="807" customWidth="1"/>
    <col min="14604" max="14604" width="8" style="807" customWidth="1"/>
    <col min="14605" max="14605" width="9" style="807" customWidth="1"/>
    <col min="14606" max="14606" width="8.796875" style="807" customWidth="1"/>
    <col min="14607" max="14852" width="8.59765625" style="807"/>
    <col min="14853" max="14853" width="8.19921875" style="807" customWidth="1"/>
    <col min="14854" max="14854" width="9.19921875" style="807" customWidth="1"/>
    <col min="14855" max="14855" width="8.59765625" style="807"/>
    <col min="14856" max="14856" width="2" style="807" customWidth="1"/>
    <col min="14857" max="14857" width="6.796875" style="807" customWidth="1"/>
    <col min="14858" max="14858" width="9.3984375" style="807" customWidth="1"/>
    <col min="14859" max="14859" width="8.19921875" style="807" customWidth="1"/>
    <col min="14860" max="14860" width="8" style="807" customWidth="1"/>
    <col min="14861" max="14861" width="9" style="807" customWidth="1"/>
    <col min="14862" max="14862" width="8.796875" style="807" customWidth="1"/>
    <col min="14863" max="15108" width="8.59765625" style="807"/>
    <col min="15109" max="15109" width="8.19921875" style="807" customWidth="1"/>
    <col min="15110" max="15110" width="9.19921875" style="807" customWidth="1"/>
    <col min="15111" max="15111" width="8.59765625" style="807"/>
    <col min="15112" max="15112" width="2" style="807" customWidth="1"/>
    <col min="15113" max="15113" width="6.796875" style="807" customWidth="1"/>
    <col min="15114" max="15114" width="9.3984375" style="807" customWidth="1"/>
    <col min="15115" max="15115" width="8.19921875" style="807" customWidth="1"/>
    <col min="15116" max="15116" width="8" style="807" customWidth="1"/>
    <col min="15117" max="15117" width="9" style="807" customWidth="1"/>
    <col min="15118" max="15118" width="8.796875" style="807" customWidth="1"/>
    <col min="15119" max="15364" width="8.59765625" style="807"/>
    <col min="15365" max="15365" width="8.19921875" style="807" customWidth="1"/>
    <col min="15366" max="15366" width="9.19921875" style="807" customWidth="1"/>
    <col min="15367" max="15367" width="8.59765625" style="807"/>
    <col min="15368" max="15368" width="2" style="807" customWidth="1"/>
    <col min="15369" max="15369" width="6.796875" style="807" customWidth="1"/>
    <col min="15370" max="15370" width="9.3984375" style="807" customWidth="1"/>
    <col min="15371" max="15371" width="8.19921875" style="807" customWidth="1"/>
    <col min="15372" max="15372" width="8" style="807" customWidth="1"/>
    <col min="15373" max="15373" width="9" style="807" customWidth="1"/>
    <col min="15374" max="15374" width="8.796875" style="807" customWidth="1"/>
    <col min="15375" max="15620" width="8.59765625" style="807"/>
    <col min="15621" max="15621" width="8.19921875" style="807" customWidth="1"/>
    <col min="15622" max="15622" width="9.19921875" style="807" customWidth="1"/>
    <col min="15623" max="15623" width="8.59765625" style="807"/>
    <col min="15624" max="15624" width="2" style="807" customWidth="1"/>
    <col min="15625" max="15625" width="6.796875" style="807" customWidth="1"/>
    <col min="15626" max="15626" width="9.3984375" style="807" customWidth="1"/>
    <col min="15627" max="15627" width="8.19921875" style="807" customWidth="1"/>
    <col min="15628" max="15628" width="8" style="807" customWidth="1"/>
    <col min="15629" max="15629" width="9" style="807" customWidth="1"/>
    <col min="15630" max="15630" width="8.796875" style="807" customWidth="1"/>
    <col min="15631" max="15876" width="8.59765625" style="807"/>
    <col min="15877" max="15877" width="8.19921875" style="807" customWidth="1"/>
    <col min="15878" max="15878" width="9.19921875" style="807" customWidth="1"/>
    <col min="15879" max="15879" width="8.59765625" style="807"/>
    <col min="15880" max="15880" width="2" style="807" customWidth="1"/>
    <col min="15881" max="15881" width="6.796875" style="807" customWidth="1"/>
    <col min="15882" max="15882" width="9.3984375" style="807" customWidth="1"/>
    <col min="15883" max="15883" width="8.19921875" style="807" customWidth="1"/>
    <col min="15884" max="15884" width="8" style="807" customWidth="1"/>
    <col min="15885" max="15885" width="9" style="807" customWidth="1"/>
    <col min="15886" max="15886" width="8.796875" style="807" customWidth="1"/>
    <col min="15887" max="16132" width="8.59765625" style="807"/>
    <col min="16133" max="16133" width="8.19921875" style="807" customWidth="1"/>
    <col min="16134" max="16134" width="9.19921875" style="807" customWidth="1"/>
    <col min="16135" max="16135" width="8.59765625" style="807"/>
    <col min="16136" max="16136" width="2" style="807" customWidth="1"/>
    <col min="16137" max="16137" width="6.796875" style="807" customWidth="1"/>
    <col min="16138" max="16138" width="9.3984375" style="807" customWidth="1"/>
    <col min="16139" max="16139" width="8.19921875" style="807" customWidth="1"/>
    <col min="16140" max="16140" width="8" style="807" customWidth="1"/>
    <col min="16141" max="16141" width="9" style="807" customWidth="1"/>
    <col min="16142" max="16142" width="8.796875" style="807" customWidth="1"/>
    <col min="16143" max="16384" width="8.59765625" style="807"/>
  </cols>
  <sheetData>
    <row r="3" spans="1:16" ht="15" customHeight="1">
      <c r="B3" s="871" t="s">
        <v>497</v>
      </c>
      <c r="C3" s="869"/>
      <c r="D3" s="869"/>
      <c r="E3" s="869"/>
      <c r="F3" s="869"/>
      <c r="G3" s="869"/>
      <c r="H3" s="869"/>
      <c r="I3" s="869"/>
      <c r="J3" s="869"/>
    </row>
    <row r="4" spans="1:16" ht="15" customHeight="1">
      <c r="B4" s="870" t="s">
        <v>490</v>
      </c>
      <c r="C4" s="869"/>
      <c r="D4" s="869"/>
      <c r="E4" s="869"/>
      <c r="F4" s="869"/>
      <c r="G4" s="869"/>
      <c r="H4" s="869"/>
      <c r="I4" s="869"/>
      <c r="J4" s="869"/>
    </row>
    <row r="5" spans="1:16" ht="4" customHeight="1" thickBot="1">
      <c r="A5" s="808"/>
      <c r="B5" s="809"/>
      <c r="C5" s="809"/>
      <c r="D5" s="809"/>
      <c r="E5" s="809"/>
      <c r="F5" s="809"/>
      <c r="G5" s="809"/>
      <c r="H5" s="809"/>
      <c r="I5" s="810"/>
      <c r="J5" s="810"/>
      <c r="K5" s="810"/>
      <c r="L5" s="810"/>
      <c r="M5" s="810"/>
      <c r="N5" s="810"/>
    </row>
    <row r="6" spans="1:16" ht="14" customHeight="1">
      <c r="A6" s="808"/>
      <c r="B6" s="1128" t="s">
        <v>123</v>
      </c>
      <c r="C6" s="1128" t="s">
        <v>121</v>
      </c>
      <c r="D6" s="1133" t="s">
        <v>471</v>
      </c>
      <c r="E6" s="1133"/>
      <c r="F6" s="1133"/>
      <c r="G6" s="1133"/>
      <c r="H6" s="1062"/>
      <c r="I6" s="1132" t="s">
        <v>499</v>
      </c>
      <c r="J6" s="1132"/>
      <c r="K6" s="1132"/>
      <c r="L6" s="1132"/>
      <c r="M6" s="1132"/>
      <c r="N6" s="1132"/>
    </row>
    <row r="7" spans="1:16" ht="11" customHeight="1">
      <c r="A7" s="808"/>
      <c r="B7" s="1129"/>
      <c r="C7" s="1129"/>
      <c r="D7" s="1060"/>
      <c r="E7" s="1060"/>
      <c r="F7" s="1060"/>
      <c r="G7" s="1060"/>
      <c r="H7" s="1060"/>
      <c r="I7" s="1060"/>
      <c r="J7" s="1060" t="s">
        <v>133</v>
      </c>
      <c r="K7" s="1060" t="s">
        <v>134</v>
      </c>
      <c r="L7" s="1060"/>
      <c r="M7" s="1060"/>
      <c r="N7" s="1060"/>
    </row>
    <row r="8" spans="1:16" ht="11" customHeight="1">
      <c r="A8" s="811"/>
      <c r="B8" s="1129"/>
      <c r="C8" s="1129"/>
      <c r="D8" s="1060"/>
      <c r="E8" s="1060" t="s">
        <v>132</v>
      </c>
      <c r="F8" s="1060" t="s">
        <v>212</v>
      </c>
      <c r="G8" s="1060" t="s">
        <v>212</v>
      </c>
      <c r="H8" s="1060"/>
      <c r="I8" s="1060"/>
      <c r="J8" s="1060" t="s">
        <v>607</v>
      </c>
      <c r="K8" s="1060" t="s">
        <v>611</v>
      </c>
      <c r="L8" s="1060" t="s">
        <v>135</v>
      </c>
      <c r="M8" s="1060" t="s">
        <v>132</v>
      </c>
      <c r="N8" s="1060" t="s">
        <v>212</v>
      </c>
    </row>
    <row r="9" spans="1:16" ht="11" customHeight="1">
      <c r="A9" s="811"/>
      <c r="B9" s="1129"/>
      <c r="C9" s="1129"/>
      <c r="D9" s="1060" t="s">
        <v>121</v>
      </c>
      <c r="E9" s="1060" t="s">
        <v>217</v>
      </c>
      <c r="F9" s="1060" t="s">
        <v>603</v>
      </c>
      <c r="G9" s="1060" t="s">
        <v>605</v>
      </c>
      <c r="H9" s="1060"/>
      <c r="I9" s="1060" t="s">
        <v>121</v>
      </c>
      <c r="J9" s="1060" t="s">
        <v>608</v>
      </c>
      <c r="K9" s="1060" t="s">
        <v>133</v>
      </c>
      <c r="L9" s="1060" t="s">
        <v>136</v>
      </c>
      <c r="M9" s="1060" t="s">
        <v>609</v>
      </c>
      <c r="N9" s="1060" t="s">
        <v>605</v>
      </c>
    </row>
    <row r="10" spans="1:16" ht="11" customHeight="1">
      <c r="A10" s="808"/>
      <c r="B10" s="1130"/>
      <c r="C10" s="1130"/>
      <c r="D10" s="874"/>
      <c r="E10" s="874"/>
      <c r="F10" s="1061" t="s">
        <v>604</v>
      </c>
      <c r="G10" s="1061" t="s">
        <v>606</v>
      </c>
      <c r="H10" s="874"/>
      <c r="I10" s="874"/>
      <c r="J10" s="875" t="s">
        <v>214</v>
      </c>
      <c r="K10" s="875" t="s">
        <v>215</v>
      </c>
      <c r="L10" s="875" t="s">
        <v>216</v>
      </c>
      <c r="M10" s="1061" t="s">
        <v>610</v>
      </c>
      <c r="N10" s="1061" t="s">
        <v>606</v>
      </c>
    </row>
    <row r="11" spans="1:16" ht="13" customHeight="1">
      <c r="A11" s="812"/>
      <c r="B11" s="1071">
        <v>2007</v>
      </c>
      <c r="C11" s="1066">
        <v>1616354.4510109958</v>
      </c>
      <c r="D11" s="1067">
        <v>1455814.9253722292</v>
      </c>
      <c r="E11" s="877">
        <v>548992.92537222907</v>
      </c>
      <c r="F11" s="877">
        <v>67929</v>
      </c>
      <c r="G11" s="1068">
        <v>838893.00000000012</v>
      </c>
      <c r="H11" s="1067"/>
      <c r="I11" s="1068">
        <v>160539.5256387665</v>
      </c>
      <c r="J11" s="1067">
        <v>77853.700440528628</v>
      </c>
      <c r="K11" s="1067">
        <v>61498</v>
      </c>
      <c r="L11" s="1067">
        <v>13870.705198237885</v>
      </c>
      <c r="M11" s="1067">
        <v>7313.16</v>
      </c>
      <c r="N11" s="1068">
        <v>3.9600000000000004</v>
      </c>
      <c r="P11" s="813"/>
    </row>
    <row r="12" spans="1:16" ht="13" customHeight="1">
      <c r="A12" s="812"/>
      <c r="B12" s="1071">
        <v>2008</v>
      </c>
      <c r="C12" s="1066">
        <v>1734485.7956477632</v>
      </c>
      <c r="D12" s="1067">
        <v>1565528.2071279394</v>
      </c>
      <c r="E12" s="877">
        <v>614295.0248572774</v>
      </c>
      <c r="F12" s="877">
        <v>100479.98227066199</v>
      </c>
      <c r="G12" s="1068">
        <v>850753.20000000007</v>
      </c>
      <c r="H12" s="1067"/>
      <c r="I12" s="1068">
        <v>168957.58851982377</v>
      </c>
      <c r="J12" s="1067">
        <v>83128.616740088095</v>
      </c>
      <c r="K12" s="1067">
        <v>47816</v>
      </c>
      <c r="L12" s="1067">
        <v>29932.789779735682</v>
      </c>
      <c r="M12" s="1067">
        <v>8042.54</v>
      </c>
      <c r="N12" s="1068">
        <v>37.642000000000003</v>
      </c>
      <c r="P12" s="813"/>
    </row>
    <row r="13" spans="1:16" ht="13" customHeight="1">
      <c r="A13" s="812"/>
      <c r="B13" s="1071">
        <v>2009</v>
      </c>
      <c r="C13" s="1066">
        <v>1828015.6247397575</v>
      </c>
      <c r="D13" s="1067">
        <v>1652112.3218322685</v>
      </c>
      <c r="E13" s="877">
        <v>742737.92183226848</v>
      </c>
      <c r="F13" s="877">
        <v>110077</v>
      </c>
      <c r="G13" s="1068">
        <v>799297.4</v>
      </c>
      <c r="H13" s="1067"/>
      <c r="I13" s="1068">
        <v>175903.30290748898</v>
      </c>
      <c r="J13" s="1067">
        <v>92891.022026431718</v>
      </c>
      <c r="K13" s="1067">
        <v>58104.5</v>
      </c>
      <c r="L13" s="1067">
        <v>16755.320881057269</v>
      </c>
      <c r="M13" s="1067">
        <v>8152.46</v>
      </c>
      <c r="N13" s="1068">
        <v>0</v>
      </c>
      <c r="P13" s="813"/>
    </row>
    <row r="14" spans="1:16" ht="13" customHeight="1">
      <c r="A14" s="812"/>
      <c r="B14" s="1071">
        <v>2010</v>
      </c>
      <c r="C14" s="1066">
        <v>1937365.8963200955</v>
      </c>
      <c r="D14" s="1067">
        <v>1678372.0905932232</v>
      </c>
      <c r="E14" s="877">
        <v>649309.49059322313</v>
      </c>
      <c r="F14" s="877">
        <v>126924</v>
      </c>
      <c r="G14" s="1068">
        <v>902138.60000000009</v>
      </c>
      <c r="H14" s="1067"/>
      <c r="I14" s="1068">
        <v>258993.80572687226</v>
      </c>
      <c r="J14" s="1067">
        <v>140077.39207048458</v>
      </c>
      <c r="K14" s="1067">
        <v>84932.6</v>
      </c>
      <c r="L14" s="1067">
        <v>22822.19365638767</v>
      </c>
      <c r="M14" s="1067">
        <v>11161.62</v>
      </c>
      <c r="N14" s="1068">
        <v>0</v>
      </c>
      <c r="P14" s="813"/>
    </row>
    <row r="15" spans="1:16" ht="13" customHeight="1">
      <c r="A15" s="812"/>
      <c r="B15" s="1071">
        <v>2011</v>
      </c>
      <c r="C15" s="1066">
        <v>1992741.5974477516</v>
      </c>
      <c r="D15" s="1067">
        <v>1755528.6562142714</v>
      </c>
      <c r="E15" s="877">
        <v>705017.11221427133</v>
      </c>
      <c r="F15" s="877">
        <v>126616</v>
      </c>
      <c r="G15" s="1068">
        <v>923895.54400000011</v>
      </c>
      <c r="H15" s="1067"/>
      <c r="I15" s="1068">
        <v>237212.94123348015</v>
      </c>
      <c r="J15" s="1067">
        <v>106709.10132158588</v>
      </c>
      <c r="K15" s="1067">
        <v>88374.1</v>
      </c>
      <c r="L15" s="1067">
        <v>33657.659911894276</v>
      </c>
      <c r="M15" s="1067">
        <v>8472.08</v>
      </c>
      <c r="N15" s="1068">
        <v>0</v>
      </c>
      <c r="P15" s="813"/>
    </row>
    <row r="16" spans="1:16" ht="13" customHeight="1">
      <c r="A16" s="812"/>
      <c r="B16" s="1071">
        <v>2012</v>
      </c>
      <c r="C16" s="1066">
        <v>2267828.9230198283</v>
      </c>
      <c r="D16" s="1067">
        <v>1790669.6513017665</v>
      </c>
      <c r="E16" s="877">
        <v>690076.6513017664</v>
      </c>
      <c r="F16" s="877">
        <v>130591</v>
      </c>
      <c r="G16" s="1068">
        <v>970002.00000000012</v>
      </c>
      <c r="H16" s="1067"/>
      <c r="I16" s="1068">
        <v>477159.2717180617</v>
      </c>
      <c r="J16" s="1067">
        <v>214696.71365638764</v>
      </c>
      <c r="K16" s="1067">
        <v>214467.90000000002</v>
      </c>
      <c r="L16" s="1067">
        <v>38195.878061674011</v>
      </c>
      <c r="M16" s="1067">
        <v>9798.7800000000007</v>
      </c>
      <c r="N16" s="1068">
        <v>0</v>
      </c>
      <c r="P16" s="813"/>
    </row>
    <row r="17" spans="1:16" ht="13" customHeight="1">
      <c r="A17" s="812"/>
      <c r="B17" s="1071">
        <v>2013</v>
      </c>
      <c r="C17" s="1066">
        <v>2128930.1067333473</v>
      </c>
      <c r="D17" s="1067">
        <v>1807805.9137818054</v>
      </c>
      <c r="E17" s="877">
        <v>657694.11378180538</v>
      </c>
      <c r="F17" s="877">
        <v>133758</v>
      </c>
      <c r="G17" s="1068">
        <v>1016353.8</v>
      </c>
      <c r="H17" s="1067"/>
      <c r="I17" s="1068">
        <v>321124.19295154186</v>
      </c>
      <c r="J17" s="1067">
        <v>138680.34361233481</v>
      </c>
      <c r="K17" s="1067">
        <v>136471.20000000001</v>
      </c>
      <c r="L17" s="1067">
        <v>36205.769339207051</v>
      </c>
      <c r="M17" s="1067">
        <v>9766.8799999999992</v>
      </c>
      <c r="N17" s="1068">
        <v>0</v>
      </c>
      <c r="P17" s="813"/>
    </row>
    <row r="18" spans="1:16" ht="13" customHeight="1">
      <c r="A18" s="812"/>
      <c r="B18" s="1071">
        <v>2014</v>
      </c>
      <c r="C18" s="1066">
        <v>2292587.8282696093</v>
      </c>
      <c r="D18" s="1067">
        <v>1840225.9962872302</v>
      </c>
      <c r="E18" s="877">
        <v>672023.59628723003</v>
      </c>
      <c r="F18" s="877">
        <v>133758</v>
      </c>
      <c r="G18" s="1068">
        <v>1034444.4000000001</v>
      </c>
      <c r="H18" s="1067"/>
      <c r="I18" s="1068">
        <v>452361.83198237891</v>
      </c>
      <c r="J18" s="1067">
        <v>217804.08810572687</v>
      </c>
      <c r="K18" s="1067">
        <v>176705.80000000002</v>
      </c>
      <c r="L18" s="1067">
        <v>49875.203876651984</v>
      </c>
      <c r="M18" s="1067">
        <v>7976.74</v>
      </c>
      <c r="N18" s="1068">
        <v>0</v>
      </c>
      <c r="P18" s="813"/>
    </row>
    <row r="19" spans="1:16" ht="13" customHeight="1">
      <c r="A19" s="812"/>
      <c r="B19" s="1071">
        <v>2015</v>
      </c>
      <c r="C19" s="1066">
        <v>2297373.8903623582</v>
      </c>
      <c r="D19" s="1067">
        <v>1903176.7256046487</v>
      </c>
      <c r="E19" s="877">
        <v>761492.19658307137</v>
      </c>
      <c r="F19" s="877">
        <v>143437.26490692</v>
      </c>
      <c r="G19" s="1068">
        <v>998247.2641146573</v>
      </c>
      <c r="H19" s="1067"/>
      <c r="I19" s="1068">
        <v>394197.16475770931</v>
      </c>
      <c r="J19" s="1067">
        <v>166926.1233480176</v>
      </c>
      <c r="K19" s="1067">
        <v>163494.20000000001</v>
      </c>
      <c r="L19" s="1067">
        <v>55966.081409691637</v>
      </c>
      <c r="M19" s="1067">
        <v>7810.76</v>
      </c>
      <c r="N19" s="1068">
        <v>0</v>
      </c>
      <c r="P19" s="813"/>
    </row>
    <row r="20" spans="1:16" ht="13" customHeight="1">
      <c r="A20" s="812"/>
      <c r="B20" s="1071">
        <v>2016</v>
      </c>
      <c r="C20" s="1066">
        <v>2385094.9093625937</v>
      </c>
      <c r="D20" s="1067">
        <v>1954231.7411687609</v>
      </c>
      <c r="E20" s="877">
        <v>787491.48211196112</v>
      </c>
      <c r="F20" s="877">
        <v>159259.82905679996</v>
      </c>
      <c r="G20" s="1068">
        <v>1007480.4299999998</v>
      </c>
      <c r="H20" s="1067"/>
      <c r="I20" s="1068">
        <v>430863.16819383262</v>
      </c>
      <c r="J20" s="1067">
        <v>183910.84581497798</v>
      </c>
      <c r="K20" s="1067">
        <v>188044.1</v>
      </c>
      <c r="L20" s="1067">
        <v>49622.582378854626</v>
      </c>
      <c r="M20" s="1067">
        <v>9285.64</v>
      </c>
      <c r="N20" s="1068">
        <v>0</v>
      </c>
      <c r="P20" s="813"/>
    </row>
    <row r="21" spans="1:16" ht="13" customHeight="1">
      <c r="A21" s="812"/>
      <c r="B21" s="1071">
        <v>2017</v>
      </c>
      <c r="C21" s="1066">
        <v>2445401.6005432447</v>
      </c>
      <c r="D21" s="1067">
        <v>2013673.7182955265</v>
      </c>
      <c r="E21" s="877">
        <v>879838.29279272642</v>
      </c>
      <c r="F21" s="877">
        <v>168649.45870279998</v>
      </c>
      <c r="G21" s="1068">
        <v>965185.96680000005</v>
      </c>
      <c r="H21" s="1067"/>
      <c r="I21" s="1068">
        <v>431727.88224771805</v>
      </c>
      <c r="J21" s="1067">
        <v>185979.32422907485</v>
      </c>
      <c r="K21" s="1067">
        <v>179968</v>
      </c>
      <c r="L21" s="1067">
        <v>58209.254882643167</v>
      </c>
      <c r="M21" s="1067">
        <v>7571.3031360000004</v>
      </c>
      <c r="N21" s="1068">
        <v>0</v>
      </c>
      <c r="P21" s="813"/>
    </row>
    <row r="22" spans="1:16" ht="13" customHeight="1">
      <c r="A22" s="812"/>
      <c r="B22" s="1071" t="s">
        <v>465</v>
      </c>
      <c r="C22" s="1066">
        <v>2613117.3787831371</v>
      </c>
      <c r="D22" s="1067">
        <v>2067142.5065071944</v>
      </c>
      <c r="E22" s="877">
        <v>902351.18868039432</v>
      </c>
      <c r="F22" s="877">
        <v>163706.68162679998</v>
      </c>
      <c r="G22" s="1067">
        <v>1001084.6362000001</v>
      </c>
      <c r="H22" s="1067"/>
      <c r="I22" s="1067">
        <v>545974.8722759427</v>
      </c>
      <c r="J22" s="1067">
        <v>237743.77973568282</v>
      </c>
      <c r="K22" s="1067">
        <v>218940</v>
      </c>
      <c r="L22" s="1067">
        <v>77851.755383259922</v>
      </c>
      <c r="M22" s="1067">
        <v>9937.1675759999998</v>
      </c>
      <c r="N22" s="1067">
        <v>1502.1695810000001</v>
      </c>
      <c r="P22" s="813"/>
    </row>
    <row r="23" spans="1:16" ht="13" customHeight="1" thickBot="1">
      <c r="A23" s="812"/>
      <c r="B23" s="1072" t="s">
        <v>466</v>
      </c>
      <c r="C23" s="1069">
        <v>2653478.8730534455</v>
      </c>
      <c r="D23" s="1070">
        <v>2192142.5065071899</v>
      </c>
      <c r="E23" s="878">
        <v>1015878.13173239</v>
      </c>
      <c r="F23" s="878">
        <v>174731.26452679999</v>
      </c>
      <c r="G23" s="1070">
        <v>1001533.110248</v>
      </c>
      <c r="H23" s="1070"/>
      <c r="I23" s="1070">
        <v>461336.36654625548</v>
      </c>
      <c r="J23" s="1070">
        <v>188216.75237004404</v>
      </c>
      <c r="K23" s="1070">
        <v>215412.44999999998</v>
      </c>
      <c r="L23" s="1070">
        <v>45378.840176211452</v>
      </c>
      <c r="M23" s="1070">
        <v>9468.2800000000007</v>
      </c>
      <c r="N23" s="1070">
        <v>2860.0440000000003</v>
      </c>
      <c r="P23" s="813"/>
    </row>
    <row r="24" spans="1:16" ht="10" customHeight="1">
      <c r="A24" s="808"/>
      <c r="B24" s="866" t="s">
        <v>498</v>
      </c>
      <c r="C24" s="867"/>
      <c r="D24" s="867"/>
      <c r="E24" s="867"/>
      <c r="F24" s="867"/>
      <c r="G24" s="867"/>
      <c r="H24" s="867"/>
      <c r="I24" s="867"/>
      <c r="J24" s="867"/>
      <c r="K24" s="867"/>
      <c r="L24" s="867"/>
      <c r="M24" s="867"/>
      <c r="N24" s="867"/>
      <c r="O24" s="868"/>
    </row>
    <row r="25" spans="1:16" ht="10" customHeight="1">
      <c r="A25" s="808"/>
      <c r="B25" s="764" t="s">
        <v>213</v>
      </c>
      <c r="C25" s="762"/>
      <c r="D25" s="768"/>
      <c r="E25" s="867"/>
      <c r="F25" s="867"/>
      <c r="G25" s="867"/>
      <c r="H25" s="867"/>
      <c r="I25" s="867"/>
      <c r="J25" s="867"/>
      <c r="K25" s="867"/>
      <c r="L25" s="867"/>
      <c r="M25" s="867"/>
      <c r="N25" s="868"/>
      <c r="O25" s="868"/>
    </row>
    <row r="26" spans="1:16" ht="10" customHeight="1">
      <c r="A26" s="808"/>
      <c r="B26" s="765" t="s">
        <v>261</v>
      </c>
      <c r="C26" s="762"/>
      <c r="D26" s="768"/>
      <c r="E26" s="867"/>
      <c r="F26" s="867"/>
      <c r="G26" s="867"/>
      <c r="H26" s="867"/>
      <c r="I26" s="867"/>
      <c r="J26" s="867"/>
      <c r="K26" s="867"/>
      <c r="L26" s="867"/>
      <c r="M26" s="867"/>
      <c r="N26" s="868"/>
      <c r="O26" s="868"/>
    </row>
    <row r="27" spans="1:16" ht="10" customHeight="1">
      <c r="A27" s="808"/>
      <c r="B27" s="867"/>
      <c r="C27" s="867"/>
      <c r="D27" s="867"/>
      <c r="E27" s="867"/>
      <c r="F27" s="867"/>
      <c r="G27" s="867"/>
      <c r="H27" s="867"/>
      <c r="I27" s="867"/>
      <c r="J27" s="867"/>
      <c r="K27" s="867"/>
      <c r="L27" s="867"/>
      <c r="M27" s="867"/>
      <c r="N27" s="868"/>
      <c r="O27" s="868"/>
    </row>
    <row r="28" spans="1:16" ht="15" customHeight="1">
      <c r="A28" s="871" t="s">
        <v>500</v>
      </c>
      <c r="B28" s="869"/>
      <c r="C28" s="869"/>
      <c r="D28" s="869"/>
      <c r="E28" s="869"/>
    </row>
    <row r="29" spans="1:16" ht="15" customHeight="1">
      <c r="A29" s="748" t="s">
        <v>501</v>
      </c>
      <c r="B29" s="869"/>
      <c r="C29" s="869"/>
      <c r="D29" s="869"/>
      <c r="E29" s="869"/>
    </row>
    <row r="30" spans="1:16" ht="4" customHeight="1" thickBot="1">
      <c r="A30" s="815"/>
      <c r="B30" s="815"/>
      <c r="C30" s="815"/>
      <c r="D30" s="815"/>
      <c r="E30" s="815"/>
      <c r="F30" s="815"/>
      <c r="G30" s="815"/>
      <c r="H30" s="815"/>
      <c r="I30" s="815"/>
      <c r="J30" s="815"/>
      <c r="K30" s="815"/>
      <c r="L30" s="815"/>
      <c r="M30" s="815"/>
      <c r="N30" s="815"/>
    </row>
    <row r="31" spans="1:16" ht="15" customHeight="1">
      <c r="A31" s="1063"/>
      <c r="B31" s="873"/>
      <c r="C31" s="1063"/>
      <c r="D31" s="1131" t="s">
        <v>471</v>
      </c>
      <c r="E31" s="1131"/>
      <c r="F31" s="1131"/>
      <c r="G31" s="1131"/>
      <c r="H31" s="872"/>
      <c r="I31" s="1131" t="s">
        <v>472</v>
      </c>
      <c r="J31" s="1131"/>
      <c r="K31" s="1131"/>
      <c r="L31" s="1131"/>
      <c r="M31" s="1131"/>
      <c r="N31" s="1131"/>
    </row>
    <row r="32" spans="1:16" ht="11" customHeight="1">
      <c r="A32" s="1064"/>
      <c r="B32" s="889"/>
      <c r="C32" s="1064"/>
      <c r="D32" s="1060"/>
      <c r="E32" s="1060"/>
      <c r="F32" s="1060"/>
      <c r="G32" s="1060"/>
      <c r="H32" s="1060"/>
      <c r="I32" s="1060"/>
      <c r="J32" s="1060" t="s">
        <v>133</v>
      </c>
      <c r="K32" s="1060" t="s">
        <v>134</v>
      </c>
      <c r="L32" s="1060"/>
      <c r="M32" s="1060"/>
      <c r="N32" s="1060"/>
    </row>
    <row r="33" spans="1:15" ht="11" customHeight="1">
      <c r="A33" s="1060" t="s">
        <v>123</v>
      </c>
      <c r="B33" s="889" t="s">
        <v>137</v>
      </c>
      <c r="C33" s="1060" t="s">
        <v>121</v>
      </c>
      <c r="D33" s="1060"/>
      <c r="E33" s="1060" t="s">
        <v>132</v>
      </c>
      <c r="F33" s="1060" t="s">
        <v>212</v>
      </c>
      <c r="G33" s="1060" t="s">
        <v>212</v>
      </c>
      <c r="H33" s="1060"/>
      <c r="I33" s="1060"/>
      <c r="J33" s="1060" t="s">
        <v>607</v>
      </c>
      <c r="K33" s="1060" t="s">
        <v>611</v>
      </c>
      <c r="L33" s="1060" t="s">
        <v>135</v>
      </c>
      <c r="M33" s="1060" t="s">
        <v>132</v>
      </c>
      <c r="N33" s="1060" t="s">
        <v>212</v>
      </c>
    </row>
    <row r="34" spans="1:15" ht="11" customHeight="1">
      <c r="A34" s="1064"/>
      <c r="B34" s="888" t="s">
        <v>145</v>
      </c>
      <c r="C34" s="1064"/>
      <c r="D34" s="1060" t="s">
        <v>121</v>
      </c>
      <c r="E34" s="1060" t="s">
        <v>217</v>
      </c>
      <c r="F34" s="1060" t="s">
        <v>603</v>
      </c>
      <c r="G34" s="1060" t="s">
        <v>605</v>
      </c>
      <c r="H34" s="1060"/>
      <c r="I34" s="1060" t="s">
        <v>121</v>
      </c>
      <c r="J34" s="1060" t="s">
        <v>608</v>
      </c>
      <c r="K34" s="1060" t="s">
        <v>133</v>
      </c>
      <c r="L34" s="1060" t="s">
        <v>136</v>
      </c>
      <c r="M34" s="1060" t="s">
        <v>609</v>
      </c>
      <c r="N34" s="1060" t="s">
        <v>605</v>
      </c>
    </row>
    <row r="35" spans="1:15" ht="11" customHeight="1">
      <c r="A35" s="1065"/>
      <c r="B35" s="876"/>
      <c r="C35" s="1065"/>
      <c r="D35" s="874"/>
      <c r="E35" s="874"/>
      <c r="F35" s="1061" t="s">
        <v>604</v>
      </c>
      <c r="G35" s="1061" t="s">
        <v>606</v>
      </c>
      <c r="H35" s="874"/>
      <c r="I35" s="874"/>
      <c r="J35" s="875" t="s">
        <v>214</v>
      </c>
      <c r="K35" s="875" t="s">
        <v>215</v>
      </c>
      <c r="L35" s="875" t="s">
        <v>216</v>
      </c>
      <c r="M35" s="1061" t="s">
        <v>610</v>
      </c>
      <c r="N35" s="1061" t="s">
        <v>606</v>
      </c>
    </row>
    <row r="36" spans="1:15" ht="13" customHeight="1">
      <c r="A36" s="1071">
        <v>2007</v>
      </c>
      <c r="B36" s="879">
        <v>28481.901000000002</v>
      </c>
      <c r="C36" s="886">
        <v>56.750230646858711</v>
      </c>
      <c r="D36" s="880">
        <v>51.113685332036972</v>
      </c>
      <c r="E36" s="880">
        <v>19.275150397167277</v>
      </c>
      <c r="F36" s="880">
        <v>2.3849882772923054</v>
      </c>
      <c r="G36" s="880">
        <v>29.453546657577387</v>
      </c>
      <c r="H36" s="880"/>
      <c r="I36" s="880">
        <v>5.6365453148217348</v>
      </c>
      <c r="J36" s="880">
        <v>2.7334446686170502</v>
      </c>
      <c r="K36" s="880">
        <v>2.1591957643557569</v>
      </c>
      <c r="L36" s="880">
        <v>0.48700068152887283</v>
      </c>
      <c r="M36" s="880">
        <v>0.25676516465667087</v>
      </c>
      <c r="N36" s="880">
        <v>1.3903566338496859E-4</v>
      </c>
    </row>
    <row r="37" spans="1:15" ht="13" customHeight="1">
      <c r="A37" s="1071">
        <v>2008</v>
      </c>
      <c r="B37" s="879">
        <v>28807.034</v>
      </c>
      <c r="C37" s="886">
        <v>60.210495660461369</v>
      </c>
      <c r="D37" s="880">
        <v>54.345345207283039</v>
      </c>
      <c r="E37" s="880">
        <v>21.324480154995388</v>
      </c>
      <c r="F37" s="880">
        <v>3.488036368848733</v>
      </c>
      <c r="G37" s="880">
        <v>29.532828683438915</v>
      </c>
      <c r="H37" s="880"/>
      <c r="I37" s="880">
        <v>5.8651504531783374</v>
      </c>
      <c r="J37" s="880">
        <v>2.885705509983711</v>
      </c>
      <c r="K37" s="880">
        <v>1.6598723770034778</v>
      </c>
      <c r="L37" s="880">
        <v>1.0390791978006373</v>
      </c>
      <c r="M37" s="880">
        <v>0.27918667364366634</v>
      </c>
      <c r="N37" s="880">
        <v>1.3066947468455101E-3</v>
      </c>
    </row>
    <row r="38" spans="1:15" ht="13" customHeight="1">
      <c r="A38" s="1071">
        <v>2009</v>
      </c>
      <c r="B38" s="879">
        <v>29132.012999999999</v>
      </c>
      <c r="C38" s="886">
        <v>62.749375566314541</v>
      </c>
      <c r="D38" s="880">
        <v>56.711231106215301</v>
      </c>
      <c r="E38" s="880">
        <v>25.495592145735639</v>
      </c>
      <c r="F38" s="880">
        <v>3.7785579733195918</v>
      </c>
      <c r="G38" s="880">
        <v>27.437080987160073</v>
      </c>
      <c r="H38" s="880"/>
      <c r="I38" s="880">
        <v>6.0381444600992378</v>
      </c>
      <c r="J38" s="880">
        <v>3.1886235265112548</v>
      </c>
      <c r="K38" s="880">
        <v>1.9945240310032817</v>
      </c>
      <c r="L38" s="880">
        <v>0.57515149677632194</v>
      </c>
      <c r="M38" s="880">
        <v>0.27984540580837997</v>
      </c>
      <c r="N38" s="880">
        <v>0</v>
      </c>
    </row>
    <row r="39" spans="1:15" ht="13" customHeight="1">
      <c r="A39" s="1071">
        <v>2010</v>
      </c>
      <c r="B39" s="879">
        <v>29461.933000000001</v>
      </c>
      <c r="C39" s="886">
        <v>65.758275138297805</v>
      </c>
      <c r="D39" s="880">
        <v>56.967480395574292</v>
      </c>
      <c r="E39" s="880">
        <v>22.038930391743921</v>
      </c>
      <c r="F39" s="880">
        <v>4.3080676342587569</v>
      </c>
      <c r="G39" s="880">
        <v>30.620482369571612</v>
      </c>
      <c r="H39" s="880"/>
      <c r="I39" s="880">
        <v>8.7907947427235094</v>
      </c>
      <c r="J39" s="880">
        <v>4.7545214385792196</v>
      </c>
      <c r="K39" s="880">
        <v>2.8827911596974984</v>
      </c>
      <c r="L39" s="880">
        <v>0.77463327529757364</v>
      </c>
      <c r="M39" s="880">
        <v>0.37884886914921706</v>
      </c>
      <c r="N39" s="880">
        <v>0</v>
      </c>
    </row>
    <row r="40" spans="1:15" ht="13" customHeight="1">
      <c r="A40" s="1071">
        <v>2011</v>
      </c>
      <c r="B40" s="879">
        <v>29797.694</v>
      </c>
      <c r="C40" s="886">
        <v>66.875698416385902</v>
      </c>
      <c r="D40" s="880">
        <v>58.914916577580513</v>
      </c>
      <c r="E40" s="880">
        <v>23.660123236860922</v>
      </c>
      <c r="F40" s="880">
        <v>4.2491878733971831</v>
      </c>
      <c r="G40" s="880">
        <v>31.005605467322408</v>
      </c>
      <c r="H40" s="880"/>
      <c r="I40" s="880">
        <v>7.9607818388053841</v>
      </c>
      <c r="J40" s="880">
        <v>3.5811194423832222</v>
      </c>
      <c r="K40" s="880">
        <v>2.9658033269285875</v>
      </c>
      <c r="L40" s="880">
        <v>1.1295390815106121</v>
      </c>
      <c r="M40" s="880">
        <v>0.28431998798296271</v>
      </c>
      <c r="N40" s="880">
        <v>0</v>
      </c>
    </row>
    <row r="41" spans="1:15" ht="13" customHeight="1">
      <c r="A41" s="1071">
        <v>2012</v>
      </c>
      <c r="B41" s="879">
        <v>30135.875</v>
      </c>
      <c r="C41" s="886">
        <v>75.253461962522351</v>
      </c>
      <c r="D41" s="880">
        <v>59.419865900750068</v>
      </c>
      <c r="E41" s="880">
        <v>22.898842369825545</v>
      </c>
      <c r="F41" s="880">
        <v>4.3334066125506556</v>
      </c>
      <c r="G41" s="880">
        <v>32.18761691837387</v>
      </c>
      <c r="H41" s="880"/>
      <c r="I41" s="880">
        <v>15.83359606177228</v>
      </c>
      <c r="J41" s="880">
        <v>7.1242900249748065</v>
      </c>
      <c r="K41" s="880">
        <v>7.1166972918490012</v>
      </c>
      <c r="L41" s="880">
        <v>1.2674554185559241</v>
      </c>
      <c r="M41" s="880">
        <v>0.32515332639254713</v>
      </c>
      <c r="N41" s="880">
        <v>0</v>
      </c>
    </row>
    <row r="42" spans="1:15" ht="13" customHeight="1">
      <c r="A42" s="1071">
        <v>2013</v>
      </c>
      <c r="B42" s="879">
        <v>30475.144</v>
      </c>
      <c r="C42" s="886">
        <v>69.857917873442943</v>
      </c>
      <c r="D42" s="880">
        <v>59.320668469419061</v>
      </c>
      <c r="E42" s="880">
        <v>21.58132915735543</v>
      </c>
      <c r="F42" s="880">
        <v>4.3890850852091132</v>
      </c>
      <c r="G42" s="880">
        <v>33.350254226854517</v>
      </c>
      <c r="H42" s="880"/>
      <c r="I42" s="880">
        <v>10.537249404023878</v>
      </c>
      <c r="J42" s="880">
        <v>4.5506050311799937</v>
      </c>
      <c r="K42" s="880">
        <v>4.4781150172744058</v>
      </c>
      <c r="L42" s="880">
        <v>1.1880426008555383</v>
      </c>
      <c r="M42" s="880">
        <v>0.32048675471393995</v>
      </c>
      <c r="N42" s="880">
        <v>0</v>
      </c>
    </row>
    <row r="43" spans="1:15" ht="13" customHeight="1">
      <c r="A43" s="1071">
        <v>2014</v>
      </c>
      <c r="B43" s="879">
        <v>30814.174999999999</v>
      </c>
      <c r="C43" s="886">
        <v>74.400428642649345</v>
      </c>
      <c r="D43" s="880">
        <v>59.720112457569613</v>
      </c>
      <c r="E43" s="880">
        <v>21.808910875830037</v>
      </c>
      <c r="F43" s="880">
        <v>4.3407944557983464</v>
      </c>
      <c r="G43" s="880">
        <v>33.57040712594123</v>
      </c>
      <c r="H43" s="880"/>
      <c r="I43" s="880">
        <v>14.680316185079722</v>
      </c>
      <c r="J43" s="880">
        <v>7.0683082738942993</v>
      </c>
      <c r="K43" s="880">
        <v>5.7345620968271911</v>
      </c>
      <c r="L43" s="880">
        <v>1.6185798865831063</v>
      </c>
      <c r="M43" s="880">
        <v>0.25886592777512296</v>
      </c>
      <c r="N43" s="880">
        <v>0</v>
      </c>
    </row>
    <row r="44" spans="1:15" ht="13" customHeight="1">
      <c r="A44" s="1071">
        <v>2015</v>
      </c>
      <c r="B44" s="879">
        <v>31151.643</v>
      </c>
      <c r="C44" s="886">
        <v>73.748080971599421</v>
      </c>
      <c r="D44" s="880">
        <v>61.093943764206877</v>
      </c>
      <c r="E44" s="880">
        <v>24.444688088620925</v>
      </c>
      <c r="F44" s="880">
        <v>4.6044847428085891</v>
      </c>
      <c r="G44" s="880">
        <v>32.044770932777361</v>
      </c>
      <c r="H44" s="880"/>
      <c r="I44" s="880">
        <v>12.654137207392537</v>
      </c>
      <c r="J44" s="880">
        <v>5.3585014231197245</v>
      </c>
      <c r="K44" s="880">
        <v>5.2483331296522628</v>
      </c>
      <c r="L44" s="880">
        <v>1.796569170033556</v>
      </c>
      <c r="M44" s="880">
        <v>0.25073348458699274</v>
      </c>
      <c r="N44" s="880">
        <v>0</v>
      </c>
    </row>
    <row r="45" spans="1:15" ht="13" customHeight="1">
      <c r="A45" s="1071">
        <v>2016</v>
      </c>
      <c r="B45" s="879">
        <v>31488.625</v>
      </c>
      <c r="C45" s="886">
        <v>75.744650944987072</v>
      </c>
      <c r="D45" s="880">
        <v>62.061513996522898</v>
      </c>
      <c r="E45" s="880">
        <v>25.008760532159187</v>
      </c>
      <c r="F45" s="880">
        <v>5.0576939785970323</v>
      </c>
      <c r="G45" s="880">
        <v>31.995059485766681</v>
      </c>
      <c r="H45" s="880"/>
      <c r="I45" s="880">
        <v>13.683136948464172</v>
      </c>
      <c r="J45" s="880">
        <v>5.8405486366895341</v>
      </c>
      <c r="K45" s="880">
        <v>5.9718104553628493</v>
      </c>
      <c r="L45" s="880">
        <v>1.5758891465999112</v>
      </c>
      <c r="M45" s="880">
        <v>0.29488870981187648</v>
      </c>
      <c r="N45" s="880">
        <v>0</v>
      </c>
    </row>
    <row r="46" spans="1:15" ht="13" customHeight="1">
      <c r="A46" s="1071">
        <v>2017</v>
      </c>
      <c r="B46" s="879">
        <v>31826.018</v>
      </c>
      <c r="C46" s="886">
        <v>76.836555567311152</v>
      </c>
      <c r="D46" s="880">
        <v>63.271305832087648</v>
      </c>
      <c r="E46" s="880">
        <v>27.645252157927089</v>
      </c>
      <c r="F46" s="880">
        <v>5.2991064952831985</v>
      </c>
      <c r="G46" s="880">
        <v>30.326947178877358</v>
      </c>
      <c r="H46" s="880"/>
      <c r="I46" s="880">
        <v>13.565249735223491</v>
      </c>
      <c r="J46" s="880">
        <v>5.8436253077301359</v>
      </c>
      <c r="K46" s="880">
        <v>5.6547444923835588</v>
      </c>
      <c r="L46" s="880">
        <v>1.8289832828801633</v>
      </c>
      <c r="M46" s="880">
        <v>0.23789665222963174</v>
      </c>
      <c r="N46" s="880">
        <v>0</v>
      </c>
    </row>
    <row r="47" spans="1:15" ht="13" customHeight="1">
      <c r="A47" s="812" t="s">
        <v>465</v>
      </c>
      <c r="B47" s="879">
        <v>32162.184000000001</v>
      </c>
      <c r="C47" s="886">
        <v>81.248132240743885</v>
      </c>
      <c r="D47" s="880">
        <v>64.272454461027721</v>
      </c>
      <c r="E47" s="880">
        <v>28.056278413194647</v>
      </c>
      <c r="F47" s="880">
        <v>5.0900362247414535</v>
      </c>
      <c r="G47" s="880">
        <v>31.126139823091616</v>
      </c>
      <c r="H47" s="880"/>
      <c r="I47" s="880">
        <v>16.975677779716161</v>
      </c>
      <c r="J47" s="880">
        <v>7.3920284684548418</v>
      </c>
      <c r="K47" s="880">
        <v>6.8073735291110822</v>
      </c>
      <c r="L47" s="880">
        <v>2.4205991540642864</v>
      </c>
      <c r="M47" s="880">
        <v>0.30897054677630098</v>
      </c>
      <c r="N47" s="881">
        <v>4.6706081309652356E-2</v>
      </c>
      <c r="O47" s="816"/>
    </row>
    <row r="48" spans="1:15" ht="13" customHeight="1" thickBot="1">
      <c r="A48" s="814" t="s">
        <v>466</v>
      </c>
      <c r="B48" s="882">
        <v>32162.184000000001</v>
      </c>
      <c r="C48" s="887">
        <v>81.65678498517012</v>
      </c>
      <c r="D48" s="883">
        <v>67.459858500672553</v>
      </c>
      <c r="E48" s="883">
        <v>31.262107649099523</v>
      </c>
      <c r="F48" s="883">
        <v>5.377089466415514</v>
      </c>
      <c r="G48" s="883">
        <v>30.820661385157521</v>
      </c>
      <c r="H48" s="883"/>
      <c r="I48" s="883">
        <v>14.196926484497565</v>
      </c>
      <c r="J48" s="883">
        <v>5.792084887113452</v>
      </c>
      <c r="K48" s="883">
        <v>6.6289912052465096</v>
      </c>
      <c r="L48" s="883">
        <v>1.396464932423324</v>
      </c>
      <c r="M48" s="883">
        <v>0.29137194646275749</v>
      </c>
      <c r="N48" s="883">
        <v>8.8013513251523068E-2</v>
      </c>
    </row>
    <row r="49" spans="1:14" ht="10" customHeight="1">
      <c r="A49" s="866" t="s">
        <v>498</v>
      </c>
      <c r="B49" s="884"/>
      <c r="C49" s="885"/>
      <c r="D49" s="885"/>
      <c r="E49" s="885"/>
      <c r="F49" s="885"/>
      <c r="G49" s="885"/>
      <c r="H49" s="810"/>
      <c r="I49" s="817"/>
      <c r="J49" s="817"/>
      <c r="K49" s="810"/>
      <c r="L49" s="818"/>
      <c r="M49" s="818"/>
      <c r="N49" s="817"/>
    </row>
    <row r="50" spans="1:14" ht="10" customHeight="1">
      <c r="A50" s="764" t="s">
        <v>213</v>
      </c>
      <c r="B50" s="762"/>
      <c r="C50" s="768"/>
      <c r="D50" s="885"/>
      <c r="E50" s="885"/>
      <c r="F50" s="885"/>
      <c r="G50" s="885"/>
      <c r="H50" s="810"/>
      <c r="I50" s="819"/>
      <c r="J50" s="819"/>
      <c r="K50" s="819"/>
      <c r="L50" s="819"/>
      <c r="M50" s="819"/>
      <c r="N50" s="819"/>
    </row>
    <row r="51" spans="1:14" ht="10" customHeight="1">
      <c r="A51" s="765" t="s">
        <v>261</v>
      </c>
      <c r="B51" s="762"/>
      <c r="C51" s="768"/>
      <c r="D51" s="885"/>
      <c r="E51" s="885"/>
      <c r="F51" s="885"/>
      <c r="G51" s="885"/>
      <c r="H51" s="810"/>
      <c r="I51" s="810"/>
      <c r="J51" s="810"/>
      <c r="K51" s="810"/>
      <c r="L51" s="810"/>
      <c r="M51" s="810"/>
      <c r="N51" s="810"/>
    </row>
    <row r="52" spans="1:14" ht="15" customHeight="1">
      <c r="A52" s="810"/>
      <c r="B52" s="820"/>
      <c r="C52" s="810"/>
      <c r="D52" s="810"/>
      <c r="E52" s="810"/>
      <c r="F52" s="810"/>
      <c r="G52" s="810"/>
      <c r="H52" s="810"/>
      <c r="I52" s="810"/>
      <c r="J52" s="810"/>
      <c r="K52" s="810"/>
      <c r="L52" s="810"/>
      <c r="M52" s="810"/>
      <c r="N52" s="810"/>
    </row>
    <row r="53" spans="1:14" ht="15" customHeight="1">
      <c r="A53" s="810"/>
      <c r="B53" s="821"/>
      <c r="C53" s="810"/>
      <c r="D53" s="810"/>
      <c r="E53" s="810"/>
      <c r="F53" s="810"/>
      <c r="G53" s="810"/>
      <c r="H53" s="810"/>
      <c r="I53" s="810"/>
      <c r="J53" s="810"/>
      <c r="K53" s="810"/>
      <c r="L53" s="810"/>
      <c r="M53" s="810"/>
      <c r="N53" s="810"/>
    </row>
  </sheetData>
  <mergeCells count="6">
    <mergeCell ref="B6:B10"/>
    <mergeCell ref="I31:N31"/>
    <mergeCell ref="I6:N6"/>
    <mergeCell ref="D6:G6"/>
    <mergeCell ref="D31:G31"/>
    <mergeCell ref="C6:C10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  <rowBreaks count="1" manualBreakCount="1">
    <brk id="27" max="16383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Hoja99">
    <tabColor theme="9" tint="0.59999389629810485"/>
  </sheetPr>
  <dimension ref="A1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" customWidth="1"/>
    <col min="2" max="9" width="8" style="21" customWidth="1"/>
    <col min="10" max="16384" width="7" style="21"/>
  </cols>
  <sheetData/>
  <printOptions horizontalCentered="1" verticalCentered="1"/>
  <pageMargins left="0" right="0" top="0" bottom="0" header="0" footer="0"/>
  <pageSetup paperSize="9" orientation="landscape" horizontalDpi="0" verticalDpi="0"/>
  <headerFooter scaleWithDoc="0"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Hoja100">
    <tabColor theme="9" tint="0.59999389629810485"/>
  </sheetPr>
  <dimension ref="A3:X50"/>
  <sheetViews>
    <sheetView showGridLines="0" zoomScale="150" zoomScaleNormal="150" workbookViewId="0">
      <selection activeCell="A3" sqref="A3:M50"/>
    </sheetView>
  </sheetViews>
  <sheetFormatPr baseColWidth="10" defaultColWidth="7" defaultRowHeight="13" customHeight="1"/>
  <cols>
    <col min="1" max="1" width="9.59765625" style="213" customWidth="1"/>
    <col min="2" max="3" width="9" style="213" customWidth="1"/>
    <col min="4" max="4" width="2.19921875" style="213" customWidth="1"/>
    <col min="5" max="6" width="9" style="213" customWidth="1"/>
    <col min="7" max="7" width="2.59765625" style="213" customWidth="1"/>
    <col min="8" max="9" width="9" style="213" customWidth="1"/>
    <col min="10" max="10" width="2.3984375" style="213" customWidth="1"/>
    <col min="11" max="12" width="9" style="213" customWidth="1"/>
    <col min="13" max="13" width="5.59765625" style="213" customWidth="1"/>
    <col min="14" max="16384" width="7" style="213"/>
  </cols>
  <sheetData>
    <row r="3" spans="1:18" ht="13" customHeight="1">
      <c r="A3" s="894" t="s">
        <v>508</v>
      </c>
      <c r="B3" s="895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</row>
    <row r="4" spans="1:18" ht="13" customHeight="1">
      <c r="A4" s="896" t="s">
        <v>593</v>
      </c>
      <c r="B4" s="897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</row>
    <row r="5" spans="1:18" ht="4" customHeight="1" thickBot="1">
      <c r="A5" s="1134"/>
      <c r="B5" s="1134"/>
      <c r="C5" s="1134"/>
      <c r="D5" s="1134"/>
      <c r="E5" s="1134"/>
      <c r="F5" s="1134"/>
      <c r="G5" s="1134"/>
      <c r="H5" s="1134"/>
      <c r="I5" s="1134"/>
      <c r="J5" s="1134"/>
      <c r="K5" s="1134"/>
      <c r="L5" s="1134"/>
      <c r="M5" s="215"/>
    </row>
    <row r="6" spans="1:18" ht="13" customHeight="1">
      <c r="A6" s="1137" t="s">
        <v>122</v>
      </c>
      <c r="B6" s="1135" t="s">
        <v>510</v>
      </c>
      <c r="C6" s="1135"/>
      <c r="D6" s="899"/>
      <c r="E6" s="1135" t="s">
        <v>511</v>
      </c>
      <c r="F6" s="1135"/>
      <c r="G6" s="899"/>
      <c r="H6" s="1135" t="s">
        <v>225</v>
      </c>
      <c r="I6" s="1135"/>
      <c r="J6" s="899"/>
      <c r="K6" s="1136" t="s">
        <v>512</v>
      </c>
      <c r="L6" s="1136"/>
      <c r="M6" s="216"/>
    </row>
    <row r="7" spans="1:18" ht="13" customHeight="1">
      <c r="A7" s="1138"/>
      <c r="B7" s="900">
        <v>2018</v>
      </c>
      <c r="C7" s="900" t="s">
        <v>239</v>
      </c>
      <c r="D7" s="900"/>
      <c r="E7" s="900">
        <v>2018</v>
      </c>
      <c r="F7" s="900" t="s">
        <v>239</v>
      </c>
      <c r="G7" s="900"/>
      <c r="H7" s="900">
        <v>2018</v>
      </c>
      <c r="I7" s="900" t="s">
        <v>239</v>
      </c>
      <c r="J7" s="900"/>
      <c r="K7" s="900">
        <v>2018</v>
      </c>
      <c r="L7" s="900" t="s">
        <v>239</v>
      </c>
      <c r="M7" s="217"/>
    </row>
    <row r="8" spans="1:18" ht="15" customHeight="1">
      <c r="A8" s="906" t="s">
        <v>56</v>
      </c>
      <c r="B8" s="907">
        <f>AVERAGE(B9:B20)</f>
        <v>4.5974999999999993</v>
      </c>
      <c r="C8" s="907">
        <f>AVERAGE(C9:C20)</f>
        <v>3.8641666666666672</v>
      </c>
      <c r="D8" s="907"/>
      <c r="E8" s="907">
        <f>AVERAGE(E9:E20)</f>
        <v>4.8549999999999995</v>
      </c>
      <c r="F8" s="907">
        <f>AVERAGE(F9:F20)</f>
        <v>4.0341666666666676</v>
      </c>
      <c r="G8" s="907"/>
      <c r="H8" s="907">
        <f>AVERAGE(H9:H20)</f>
        <v>6.5933333333333337</v>
      </c>
      <c r="I8" s="907">
        <f>AVERAGE(I9:I20)</f>
        <v>6.1499999999999995</v>
      </c>
      <c r="J8" s="907"/>
      <c r="K8" s="907">
        <f>AVERAGE(K9:K20)</f>
        <v>8.0491666666666664</v>
      </c>
      <c r="L8" s="907">
        <f>AVERAGE(L9:L20)</f>
        <v>7.6124999999999998</v>
      </c>
      <c r="M8" s="218"/>
      <c r="O8" s="219"/>
      <c r="P8" s="219"/>
      <c r="Q8" s="219"/>
    </row>
    <row r="9" spans="1:18" ht="13" customHeight="1">
      <c r="A9" s="791" t="s">
        <v>57</v>
      </c>
      <c r="B9" s="901">
        <v>5.22</v>
      </c>
      <c r="C9" s="901">
        <v>3.82</v>
      </c>
      <c r="D9" s="901"/>
      <c r="E9" s="901">
        <v>5.49</v>
      </c>
      <c r="F9" s="901">
        <v>4.08</v>
      </c>
      <c r="G9" s="901"/>
      <c r="H9" s="901">
        <v>6.95</v>
      </c>
      <c r="I9" s="901">
        <v>6.3</v>
      </c>
      <c r="J9" s="901"/>
      <c r="K9" s="902">
        <v>8.42</v>
      </c>
      <c r="L9" s="902">
        <v>7.78</v>
      </c>
      <c r="M9" s="221"/>
      <c r="N9" s="222"/>
      <c r="O9" s="222"/>
      <c r="P9" s="222"/>
      <c r="Q9" s="222"/>
      <c r="R9" s="223"/>
    </row>
    <row r="10" spans="1:18" ht="13" customHeight="1">
      <c r="A10" s="791" t="s">
        <v>58</v>
      </c>
      <c r="B10" s="901">
        <v>5.28</v>
      </c>
      <c r="C10" s="901">
        <v>3.46</v>
      </c>
      <c r="D10" s="901"/>
      <c r="E10" s="901">
        <v>5.65</v>
      </c>
      <c r="F10" s="901">
        <v>3.71</v>
      </c>
      <c r="G10" s="901"/>
      <c r="H10" s="901">
        <v>6.81</v>
      </c>
      <c r="I10" s="903">
        <v>5.97</v>
      </c>
      <c r="J10" s="901"/>
      <c r="K10" s="902">
        <v>8.5399999999999991</v>
      </c>
      <c r="L10" s="902">
        <v>7.69</v>
      </c>
      <c r="M10" s="221"/>
      <c r="N10" s="222"/>
      <c r="O10" s="222"/>
      <c r="P10" s="222"/>
      <c r="Q10" s="222"/>
      <c r="R10" s="223"/>
    </row>
    <row r="11" spans="1:18" ht="13" customHeight="1">
      <c r="A11" s="791" t="s">
        <v>59</v>
      </c>
      <c r="B11" s="901">
        <v>5.31</v>
      </c>
      <c r="C11" s="901">
        <v>4.0599999999999996</v>
      </c>
      <c r="D11" s="901"/>
      <c r="E11" s="901">
        <v>5.71</v>
      </c>
      <c r="F11" s="901">
        <v>4.28</v>
      </c>
      <c r="G11" s="901"/>
      <c r="H11" s="901">
        <v>6.96</v>
      </c>
      <c r="I11" s="903">
        <v>6.03</v>
      </c>
      <c r="J11" s="901"/>
      <c r="K11" s="902">
        <v>8.66</v>
      </c>
      <c r="L11" s="902">
        <v>7.71</v>
      </c>
      <c r="M11" s="221"/>
      <c r="N11" s="222"/>
      <c r="O11" s="222"/>
      <c r="P11" s="222"/>
      <c r="Q11" s="222"/>
      <c r="R11" s="223"/>
    </row>
    <row r="12" spans="1:18" ht="13" customHeight="1">
      <c r="A12" s="791" t="s">
        <v>60</v>
      </c>
      <c r="B12" s="901">
        <v>3.78</v>
      </c>
      <c r="C12" s="901">
        <v>4.01</v>
      </c>
      <c r="D12" s="901"/>
      <c r="E12" s="901">
        <v>4</v>
      </c>
      <c r="F12" s="901">
        <v>4.17</v>
      </c>
      <c r="G12" s="901"/>
      <c r="H12" s="901">
        <v>6.43</v>
      </c>
      <c r="I12" s="903">
        <v>6.27</v>
      </c>
      <c r="J12" s="901"/>
      <c r="K12" s="902">
        <v>7.82</v>
      </c>
      <c r="L12" s="902">
        <v>7.66</v>
      </c>
      <c r="M12" s="221"/>
      <c r="N12" s="222"/>
      <c r="O12" s="222"/>
      <c r="P12" s="222"/>
      <c r="Q12" s="222"/>
      <c r="R12" s="223"/>
    </row>
    <row r="13" spans="1:18" ht="13" customHeight="1">
      <c r="A13" s="791" t="s">
        <v>61</v>
      </c>
      <c r="B13" s="901">
        <v>4.0199999999999996</v>
      </c>
      <c r="C13" s="901">
        <v>4.99</v>
      </c>
      <c r="D13" s="901"/>
      <c r="E13" s="901">
        <v>4.24</v>
      </c>
      <c r="F13" s="901">
        <v>5.23</v>
      </c>
      <c r="G13" s="901"/>
      <c r="H13" s="901">
        <v>6.53</v>
      </c>
      <c r="I13" s="903">
        <v>6.63</v>
      </c>
      <c r="J13" s="901"/>
      <c r="K13" s="902">
        <v>7.72</v>
      </c>
      <c r="L13" s="902">
        <v>8.02</v>
      </c>
      <c r="M13" s="221"/>
      <c r="N13" s="222"/>
      <c r="O13" s="222"/>
      <c r="P13" s="222"/>
      <c r="Q13" s="222"/>
      <c r="R13" s="223"/>
    </row>
    <row r="14" spans="1:18" ht="13" customHeight="1">
      <c r="A14" s="791" t="s">
        <v>62</v>
      </c>
      <c r="B14" s="901">
        <v>4.13</v>
      </c>
      <c r="C14" s="901">
        <v>4.1500000000000004</v>
      </c>
      <c r="D14" s="901"/>
      <c r="E14" s="901">
        <v>4.38</v>
      </c>
      <c r="F14" s="901">
        <v>4.32</v>
      </c>
      <c r="G14" s="901"/>
      <c r="H14" s="901">
        <v>6.35</v>
      </c>
      <c r="I14" s="903">
        <v>6.47</v>
      </c>
      <c r="J14" s="901"/>
      <c r="K14" s="902">
        <v>7.85</v>
      </c>
      <c r="L14" s="902">
        <v>7.87</v>
      </c>
      <c r="M14" s="221"/>
      <c r="N14" s="222"/>
      <c r="O14" s="222"/>
      <c r="P14" s="222"/>
      <c r="Q14" s="222"/>
      <c r="R14" s="223"/>
    </row>
    <row r="15" spans="1:18" ht="13" customHeight="1">
      <c r="A15" s="791" t="s">
        <v>63</v>
      </c>
      <c r="B15" s="901">
        <v>4.38</v>
      </c>
      <c r="C15" s="901">
        <v>3.81</v>
      </c>
      <c r="D15" s="901"/>
      <c r="E15" s="901">
        <v>4.63</v>
      </c>
      <c r="F15" s="901">
        <v>3.9</v>
      </c>
      <c r="G15" s="901"/>
      <c r="H15" s="901">
        <v>6.48</v>
      </c>
      <c r="I15" s="903">
        <v>6.07</v>
      </c>
      <c r="J15" s="901"/>
      <c r="K15" s="902">
        <v>7.98</v>
      </c>
      <c r="L15" s="902">
        <v>7.57</v>
      </c>
      <c r="M15" s="221"/>
      <c r="N15" s="222"/>
      <c r="O15" s="222"/>
      <c r="P15" s="222"/>
      <c r="Q15" s="222"/>
      <c r="R15" s="223"/>
    </row>
    <row r="16" spans="1:18" ht="13" customHeight="1">
      <c r="A16" s="791" t="s">
        <v>64</v>
      </c>
      <c r="B16" s="901">
        <v>3.89</v>
      </c>
      <c r="C16" s="901">
        <v>3.37</v>
      </c>
      <c r="D16" s="901"/>
      <c r="E16" s="901">
        <v>4.08</v>
      </c>
      <c r="F16" s="901">
        <v>3.54</v>
      </c>
      <c r="G16" s="901"/>
      <c r="H16" s="901">
        <v>6.41</v>
      </c>
      <c r="I16" s="903">
        <v>6.18</v>
      </c>
      <c r="J16" s="901"/>
      <c r="K16" s="902">
        <v>7.77</v>
      </c>
      <c r="L16" s="902">
        <v>7.54</v>
      </c>
      <c r="M16" s="221"/>
      <c r="N16" s="222"/>
      <c r="O16" s="222"/>
      <c r="P16" s="222"/>
      <c r="Q16" s="222"/>
      <c r="R16" s="223"/>
    </row>
    <row r="17" spans="1:19" ht="13" customHeight="1">
      <c r="A17" s="791" t="s">
        <v>65</v>
      </c>
      <c r="B17" s="901">
        <v>4.57</v>
      </c>
      <c r="C17" s="901">
        <v>3.22</v>
      </c>
      <c r="D17" s="901"/>
      <c r="E17" s="901">
        <v>4.76</v>
      </c>
      <c r="F17" s="901">
        <v>3.35</v>
      </c>
      <c r="G17" s="901"/>
      <c r="H17" s="901">
        <v>6.32</v>
      </c>
      <c r="I17" s="903">
        <v>5.81</v>
      </c>
      <c r="J17" s="901"/>
      <c r="K17" s="902">
        <v>7.77</v>
      </c>
      <c r="L17" s="902">
        <v>7.26</v>
      </c>
      <c r="M17" s="221"/>
      <c r="N17" s="222"/>
      <c r="O17" s="222"/>
      <c r="P17" s="222"/>
      <c r="Q17" s="222"/>
      <c r="R17" s="223"/>
    </row>
    <row r="18" spans="1:19" ht="13" customHeight="1">
      <c r="A18" s="791" t="s">
        <v>66</v>
      </c>
      <c r="B18" s="901">
        <v>4.75</v>
      </c>
      <c r="C18" s="901">
        <v>3.57</v>
      </c>
      <c r="D18" s="901"/>
      <c r="E18" s="901">
        <v>4.99</v>
      </c>
      <c r="F18" s="901">
        <v>3.77</v>
      </c>
      <c r="G18" s="901"/>
      <c r="H18" s="901">
        <v>6.46</v>
      </c>
      <c r="I18" s="903">
        <v>5.86</v>
      </c>
      <c r="J18" s="901"/>
      <c r="K18" s="902">
        <v>7.87</v>
      </c>
      <c r="L18" s="902">
        <v>7.27</v>
      </c>
      <c r="M18" s="221"/>
      <c r="N18" s="222"/>
      <c r="O18" s="222"/>
      <c r="P18" s="222"/>
      <c r="Q18" s="222"/>
      <c r="R18" s="223"/>
    </row>
    <row r="19" spans="1:19" ht="13" customHeight="1">
      <c r="A19" s="791" t="s">
        <v>67</v>
      </c>
      <c r="B19" s="901">
        <v>5.05</v>
      </c>
      <c r="C19" s="901">
        <v>3.88</v>
      </c>
      <c r="D19" s="901"/>
      <c r="E19" s="901">
        <v>5.3</v>
      </c>
      <c r="F19" s="901">
        <v>3.99</v>
      </c>
      <c r="G19" s="901"/>
      <c r="H19" s="901">
        <v>6.56</v>
      </c>
      <c r="I19" s="903">
        <v>5.97</v>
      </c>
      <c r="J19" s="901"/>
      <c r="K19" s="902">
        <v>8</v>
      </c>
      <c r="L19" s="902">
        <v>7.41</v>
      </c>
      <c r="M19" s="221"/>
      <c r="N19" s="222"/>
      <c r="O19" s="222"/>
      <c r="P19" s="222"/>
      <c r="Q19" s="222"/>
      <c r="R19" s="223"/>
    </row>
    <row r="20" spans="1:19" ht="13" customHeight="1" thickBot="1">
      <c r="A20" s="803" t="s">
        <v>68</v>
      </c>
      <c r="B20" s="904">
        <v>4.79</v>
      </c>
      <c r="C20" s="904">
        <v>4.03</v>
      </c>
      <c r="D20" s="904"/>
      <c r="E20" s="904">
        <v>5.03</v>
      </c>
      <c r="F20" s="904">
        <v>4.07</v>
      </c>
      <c r="G20" s="904"/>
      <c r="H20" s="904">
        <v>6.86</v>
      </c>
      <c r="I20" s="904">
        <v>6.24</v>
      </c>
      <c r="J20" s="904"/>
      <c r="K20" s="905">
        <v>8.19</v>
      </c>
      <c r="L20" s="905">
        <v>7.57</v>
      </c>
      <c r="M20" s="221"/>
      <c r="N20" s="222"/>
      <c r="O20" s="222"/>
      <c r="P20" s="222"/>
      <c r="Q20" s="222"/>
      <c r="R20" s="223"/>
    </row>
    <row r="21" spans="1:19" ht="10" customHeight="1">
      <c r="A21" s="536" t="s">
        <v>502</v>
      </c>
      <c r="B21" s="536"/>
      <c r="C21" s="536"/>
      <c r="D21" s="536"/>
      <c r="E21" s="536"/>
      <c r="F21" s="536"/>
      <c r="G21" s="536"/>
      <c r="H21" s="891"/>
      <c r="I21" s="536"/>
      <c r="J21" s="536"/>
      <c r="K21" s="893"/>
      <c r="L21" s="893"/>
      <c r="M21" s="225"/>
      <c r="N21" s="220"/>
      <c r="O21" s="222"/>
      <c r="P21" s="222"/>
      <c r="Q21" s="222"/>
      <c r="R21" s="223"/>
    </row>
    <row r="22" spans="1:19" ht="10" customHeight="1">
      <c r="A22" s="28" t="s">
        <v>238</v>
      </c>
      <c r="B22" s="536"/>
      <c r="C22" s="536"/>
      <c r="D22" s="536"/>
      <c r="E22" s="890"/>
      <c r="F22" s="536"/>
      <c r="G22" s="536"/>
      <c r="H22" s="536"/>
      <c r="I22" s="536"/>
      <c r="J22" s="536"/>
      <c r="K22" s="536"/>
      <c r="L22" s="536"/>
      <c r="O22" s="217"/>
      <c r="P22" s="217"/>
      <c r="Q22" s="217"/>
    </row>
    <row r="23" spans="1:19" ht="10" customHeight="1">
      <c r="A23" s="891" t="s">
        <v>506</v>
      </c>
      <c r="B23" s="536"/>
      <c r="C23" s="536"/>
      <c r="D23" s="536"/>
      <c r="E23" s="536"/>
      <c r="F23" s="536"/>
      <c r="G23" s="536"/>
      <c r="H23" s="536"/>
      <c r="I23" s="536"/>
      <c r="J23" s="536"/>
      <c r="K23" s="536"/>
      <c r="L23" s="536"/>
    </row>
    <row r="24" spans="1:19" ht="10" customHeight="1">
      <c r="A24" s="892" t="s">
        <v>507</v>
      </c>
      <c r="B24" s="536"/>
      <c r="C24" s="536"/>
      <c r="D24" s="536"/>
      <c r="E24" s="536"/>
      <c r="F24" s="536"/>
      <c r="G24" s="536"/>
      <c r="H24" s="536"/>
      <c r="I24" s="536"/>
      <c r="J24" s="536"/>
      <c r="K24" s="536"/>
      <c r="L24" s="536"/>
    </row>
    <row r="25" spans="1:19" ht="10" customHeight="1">
      <c r="A25" s="40" t="s">
        <v>261</v>
      </c>
      <c r="B25" s="536"/>
      <c r="C25" s="536"/>
      <c r="D25" s="536"/>
      <c r="E25" s="536"/>
      <c r="F25" s="536"/>
      <c r="G25" s="536"/>
      <c r="H25" s="536"/>
      <c r="I25" s="536"/>
      <c r="J25" s="536"/>
      <c r="K25" s="536"/>
      <c r="L25" s="536"/>
    </row>
    <row r="27" spans="1:19" ht="13" customHeight="1">
      <c r="A27" s="898" t="s">
        <v>509</v>
      </c>
      <c r="B27" s="227"/>
      <c r="C27" s="227"/>
      <c r="D27" s="227"/>
      <c r="E27" s="227"/>
      <c r="F27" s="227"/>
      <c r="G27" s="227"/>
      <c r="H27" s="227"/>
      <c r="I27" s="227"/>
      <c r="J27" s="227"/>
      <c r="K27" s="227"/>
      <c r="L27" s="227"/>
      <c r="M27" s="212"/>
    </row>
    <row r="28" spans="1:19" ht="13" customHeight="1">
      <c r="A28" s="896" t="s">
        <v>594</v>
      </c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</row>
    <row r="29" spans="1:19" ht="4" customHeight="1" thickBot="1">
      <c r="A29" s="1134"/>
      <c r="B29" s="1134"/>
      <c r="C29" s="1134"/>
      <c r="D29" s="1134"/>
      <c r="E29" s="1134"/>
      <c r="F29" s="1134"/>
      <c r="G29" s="1134"/>
      <c r="H29" s="1134"/>
      <c r="I29" s="1134"/>
      <c r="J29" s="1134"/>
      <c r="K29" s="1134"/>
      <c r="L29" s="1134"/>
      <c r="M29" s="216"/>
    </row>
    <row r="30" spans="1:19" ht="13" customHeight="1">
      <c r="A30" s="1137" t="s">
        <v>122</v>
      </c>
      <c r="B30" s="1135" t="s">
        <v>510</v>
      </c>
      <c r="C30" s="1135"/>
      <c r="D30" s="899"/>
      <c r="E30" s="1135" t="s">
        <v>511</v>
      </c>
      <c r="F30" s="1135"/>
      <c r="G30" s="899"/>
      <c r="H30" s="1135" t="s">
        <v>513</v>
      </c>
      <c r="I30" s="1135"/>
      <c r="J30" s="899"/>
      <c r="K30" s="1136" t="s">
        <v>514</v>
      </c>
      <c r="L30" s="1136"/>
      <c r="M30" s="216"/>
    </row>
    <row r="31" spans="1:19" ht="13" customHeight="1">
      <c r="A31" s="1138"/>
      <c r="B31" s="900">
        <v>2016</v>
      </c>
      <c r="C31" s="900">
        <v>2017</v>
      </c>
      <c r="D31" s="900"/>
      <c r="E31" s="900">
        <v>2016</v>
      </c>
      <c r="F31" s="900">
        <v>2017</v>
      </c>
      <c r="G31" s="900"/>
      <c r="H31" s="900">
        <v>2016</v>
      </c>
      <c r="I31" s="900">
        <v>2017</v>
      </c>
      <c r="J31" s="900"/>
      <c r="K31" s="900">
        <v>2016</v>
      </c>
      <c r="L31" s="900">
        <v>2017</v>
      </c>
      <c r="M31" s="217"/>
      <c r="N31" s="223"/>
    </row>
    <row r="32" spans="1:19" ht="15" customHeight="1">
      <c r="A32" s="906" t="s">
        <v>56</v>
      </c>
      <c r="B32" s="907">
        <f>AVERAGE(B33:B44)</f>
        <v>4.7099999999999991</v>
      </c>
      <c r="C32" s="907">
        <f>AVERAGE(C33:C44)</f>
        <v>4.4008333333333329</v>
      </c>
      <c r="D32" s="907"/>
      <c r="E32" s="907">
        <f>AVERAGE(E33:E44)</f>
        <v>5.0374999999999996</v>
      </c>
      <c r="F32" s="907">
        <f>AVERAGE(F33:F44)</f>
        <v>4.6391666666666671</v>
      </c>
      <c r="G32" s="907"/>
      <c r="H32" s="907">
        <f>AVERAGE(H33:H44)</f>
        <v>6.9099999999999993</v>
      </c>
      <c r="I32" s="907">
        <f>AVERAGE(I33:I44)</f>
        <v>7.0000000000000009</v>
      </c>
      <c r="J32" s="907"/>
      <c r="K32" s="907">
        <f>AVERAGE(K33:K44)</f>
        <v>8.5141666666666662</v>
      </c>
      <c r="L32" s="907">
        <f>AVERAGE(L33:L44)</f>
        <v>8.1375000000000011</v>
      </c>
      <c r="M32" s="222"/>
      <c r="N32" s="223"/>
      <c r="P32" s="228"/>
      <c r="Q32" s="228"/>
      <c r="R32" s="228"/>
      <c r="S32" s="228"/>
    </row>
    <row r="33" spans="1:24" ht="13" customHeight="1">
      <c r="A33" s="791" t="s">
        <v>57</v>
      </c>
      <c r="B33" s="901">
        <v>5.2</v>
      </c>
      <c r="C33" s="901">
        <v>4.28</v>
      </c>
      <c r="D33" s="901"/>
      <c r="E33" s="901">
        <v>5.59</v>
      </c>
      <c r="F33" s="901">
        <v>4.59</v>
      </c>
      <c r="G33" s="901"/>
      <c r="H33" s="901">
        <v>7.16</v>
      </c>
      <c r="I33" s="901">
        <v>7.1</v>
      </c>
      <c r="J33" s="901"/>
      <c r="K33" s="902">
        <v>8.7100000000000009</v>
      </c>
      <c r="L33" s="902">
        <v>8.51</v>
      </c>
      <c r="M33" s="222"/>
      <c r="N33" s="222"/>
      <c r="O33" s="222"/>
      <c r="P33" s="229"/>
      <c r="Q33" s="229"/>
      <c r="R33" s="229"/>
      <c r="S33" s="229"/>
    </row>
    <row r="34" spans="1:24" ht="13" customHeight="1">
      <c r="A34" s="791" t="s">
        <v>58</v>
      </c>
      <c r="B34" s="901">
        <v>5.27</v>
      </c>
      <c r="C34" s="901">
        <v>4.8899999999999997</v>
      </c>
      <c r="D34" s="901"/>
      <c r="E34" s="901">
        <v>5.58</v>
      </c>
      <c r="F34" s="901">
        <v>5.12</v>
      </c>
      <c r="G34" s="901"/>
      <c r="H34" s="903">
        <v>7.15</v>
      </c>
      <c r="I34" s="903">
        <v>7.12</v>
      </c>
      <c r="J34" s="901"/>
      <c r="K34" s="902">
        <v>8.68</v>
      </c>
      <c r="L34" s="902">
        <v>8.4700000000000006</v>
      </c>
      <c r="M34" s="222"/>
      <c r="N34" s="222"/>
      <c r="O34" s="222"/>
      <c r="P34" s="229"/>
      <c r="Q34" s="229"/>
      <c r="R34" s="229"/>
      <c r="S34" s="229"/>
    </row>
    <row r="35" spans="1:24" ht="13" customHeight="1">
      <c r="A35" s="791" t="s">
        <v>59</v>
      </c>
      <c r="B35" s="901">
        <v>5.52</v>
      </c>
      <c r="C35" s="901">
        <v>5.9</v>
      </c>
      <c r="D35" s="901"/>
      <c r="E35" s="901">
        <v>5.94</v>
      </c>
      <c r="F35" s="901">
        <v>6.14</v>
      </c>
      <c r="G35" s="901"/>
      <c r="H35" s="903">
        <v>7.31</v>
      </c>
      <c r="I35" s="903">
        <v>7.26</v>
      </c>
      <c r="J35" s="901"/>
      <c r="K35" s="902">
        <v>8.9600000000000009</v>
      </c>
      <c r="L35" s="902">
        <v>8.98</v>
      </c>
      <c r="M35" s="222"/>
      <c r="N35" s="222"/>
      <c r="O35" s="222"/>
      <c r="P35" s="229"/>
      <c r="Q35" s="229"/>
      <c r="R35" s="229"/>
      <c r="S35" s="229"/>
      <c r="W35" s="228"/>
      <c r="X35" s="228"/>
    </row>
    <row r="36" spans="1:24" ht="13" customHeight="1">
      <c r="A36" s="791" t="s">
        <v>60</v>
      </c>
      <c r="B36" s="901">
        <v>4.99</v>
      </c>
      <c r="C36" s="901">
        <v>3.97</v>
      </c>
      <c r="D36" s="901"/>
      <c r="E36" s="901">
        <v>5.33</v>
      </c>
      <c r="F36" s="901">
        <v>4.21</v>
      </c>
      <c r="G36" s="901"/>
      <c r="H36" s="903">
        <v>7.32</v>
      </c>
      <c r="I36" s="903">
        <v>7.05</v>
      </c>
      <c r="J36" s="901"/>
      <c r="K36" s="902">
        <v>8.82</v>
      </c>
      <c r="L36" s="902">
        <v>8.3699999999999992</v>
      </c>
      <c r="M36" s="222"/>
      <c r="N36" s="222"/>
      <c r="O36" s="222"/>
      <c r="P36" s="229"/>
      <c r="Q36" s="229"/>
      <c r="R36" s="229"/>
      <c r="S36" s="229"/>
      <c r="W36" s="229"/>
      <c r="X36" s="229"/>
    </row>
    <row r="37" spans="1:24" ht="13" customHeight="1">
      <c r="A37" s="791" t="s">
        <v>61</v>
      </c>
      <c r="B37" s="901">
        <v>4.32</v>
      </c>
      <c r="C37" s="901">
        <v>4.5</v>
      </c>
      <c r="D37" s="901"/>
      <c r="E37" s="901">
        <v>4.6500000000000004</v>
      </c>
      <c r="F37" s="901">
        <v>4.75</v>
      </c>
      <c r="G37" s="901"/>
      <c r="H37" s="903">
        <v>6.94</v>
      </c>
      <c r="I37" s="903">
        <v>7.12</v>
      </c>
      <c r="J37" s="901"/>
      <c r="K37" s="902">
        <v>8.4</v>
      </c>
      <c r="L37" s="902">
        <v>8.01</v>
      </c>
      <c r="M37" s="222"/>
      <c r="N37" s="222"/>
      <c r="O37" s="222"/>
      <c r="P37" s="229"/>
      <c r="Q37" s="229"/>
      <c r="R37" s="229"/>
      <c r="S37" s="229"/>
      <c r="W37" s="229"/>
      <c r="X37" s="229"/>
    </row>
    <row r="38" spans="1:24" ht="13" customHeight="1">
      <c r="A38" s="791" t="s">
        <v>62</v>
      </c>
      <c r="B38" s="901">
        <v>4.0599999999999996</v>
      </c>
      <c r="C38" s="901">
        <v>4.75</v>
      </c>
      <c r="D38" s="901"/>
      <c r="E38" s="901">
        <v>4.4000000000000004</v>
      </c>
      <c r="F38" s="901">
        <v>5.01</v>
      </c>
      <c r="G38" s="901"/>
      <c r="H38" s="903">
        <v>6.9</v>
      </c>
      <c r="I38" s="903">
        <v>6.99</v>
      </c>
      <c r="J38" s="901"/>
      <c r="K38" s="902">
        <v>8.35</v>
      </c>
      <c r="L38" s="902">
        <v>8.1999999999999993</v>
      </c>
      <c r="M38" s="222"/>
      <c r="N38" s="222"/>
      <c r="O38" s="222"/>
      <c r="P38" s="229"/>
      <c r="Q38" s="229"/>
      <c r="R38" s="229"/>
      <c r="S38" s="229"/>
      <c r="W38" s="229"/>
      <c r="X38" s="229"/>
    </row>
    <row r="39" spans="1:24" ht="13" customHeight="1">
      <c r="A39" s="791" t="s">
        <v>63</v>
      </c>
      <c r="B39" s="901">
        <v>3.06</v>
      </c>
      <c r="C39" s="901">
        <v>3.48</v>
      </c>
      <c r="D39" s="901"/>
      <c r="E39" s="901">
        <v>3.43</v>
      </c>
      <c r="F39" s="901">
        <v>3.76</v>
      </c>
      <c r="G39" s="901"/>
      <c r="H39" s="903">
        <v>6.45</v>
      </c>
      <c r="I39" s="903">
        <v>7.05</v>
      </c>
      <c r="J39" s="901"/>
      <c r="K39" s="902">
        <v>7.87</v>
      </c>
      <c r="L39" s="902">
        <v>7.87</v>
      </c>
      <c r="M39" s="222"/>
      <c r="N39" s="222"/>
      <c r="O39" s="222"/>
      <c r="P39" s="229"/>
      <c r="Q39" s="229"/>
      <c r="R39" s="229"/>
      <c r="S39" s="229"/>
      <c r="W39" s="229"/>
      <c r="X39" s="229"/>
    </row>
    <row r="40" spans="1:24" ht="13" customHeight="1">
      <c r="A40" s="791" t="s">
        <v>64</v>
      </c>
      <c r="B40" s="901">
        <v>3.94</v>
      </c>
      <c r="C40" s="901">
        <v>3.73</v>
      </c>
      <c r="D40" s="901"/>
      <c r="E40" s="901">
        <v>4.25</v>
      </c>
      <c r="F40" s="901">
        <v>3.99</v>
      </c>
      <c r="G40" s="901"/>
      <c r="H40" s="903">
        <v>6.57</v>
      </c>
      <c r="I40" s="903">
        <v>6.98</v>
      </c>
      <c r="J40" s="901"/>
      <c r="K40" s="902">
        <v>8.1999999999999993</v>
      </c>
      <c r="L40" s="902">
        <v>7.75</v>
      </c>
      <c r="M40" s="222"/>
      <c r="N40" s="222"/>
      <c r="O40" s="222"/>
      <c r="P40" s="229"/>
      <c r="Q40" s="229"/>
      <c r="R40" s="229"/>
      <c r="S40" s="229"/>
      <c r="W40" s="229"/>
      <c r="X40" s="229"/>
    </row>
    <row r="41" spans="1:24" ht="13" customHeight="1">
      <c r="A41" s="791" t="s">
        <v>65</v>
      </c>
      <c r="B41" s="901">
        <v>4.33</v>
      </c>
      <c r="C41" s="901">
        <v>3.79</v>
      </c>
      <c r="D41" s="901"/>
      <c r="E41" s="901">
        <v>4.63</v>
      </c>
      <c r="F41" s="901">
        <v>3.96</v>
      </c>
      <c r="G41" s="901"/>
      <c r="H41" s="903">
        <v>6.59</v>
      </c>
      <c r="I41" s="903">
        <v>6.52</v>
      </c>
      <c r="J41" s="901"/>
      <c r="K41" s="902">
        <v>8.18</v>
      </c>
      <c r="L41" s="902">
        <v>7.73</v>
      </c>
      <c r="M41" s="222"/>
      <c r="N41" s="222"/>
      <c r="O41" s="222"/>
      <c r="P41" s="229"/>
      <c r="Q41" s="229"/>
      <c r="R41" s="229"/>
      <c r="S41" s="229"/>
      <c r="W41" s="229"/>
      <c r="X41" s="229"/>
    </row>
    <row r="42" spans="1:24" ht="13" customHeight="1">
      <c r="A42" s="791" t="s">
        <v>66</v>
      </c>
      <c r="B42" s="901">
        <v>5.4</v>
      </c>
      <c r="C42" s="901">
        <v>4.1900000000000004</v>
      </c>
      <c r="D42" s="901"/>
      <c r="E42" s="901">
        <v>5.58</v>
      </c>
      <c r="F42" s="901">
        <v>4.4000000000000004</v>
      </c>
      <c r="G42" s="901"/>
      <c r="H42" s="903">
        <v>6.69</v>
      </c>
      <c r="I42" s="903">
        <v>6.68</v>
      </c>
      <c r="J42" s="901"/>
      <c r="K42" s="902">
        <v>8.51</v>
      </c>
      <c r="L42" s="902">
        <v>7.67</v>
      </c>
      <c r="M42" s="222"/>
      <c r="N42" s="222"/>
      <c r="O42" s="222"/>
      <c r="P42" s="229"/>
      <c r="Q42" s="229"/>
      <c r="R42" s="229"/>
      <c r="S42" s="229"/>
      <c r="W42" s="229"/>
      <c r="X42" s="229"/>
    </row>
    <row r="43" spans="1:24" ht="13" customHeight="1">
      <c r="A43" s="791" t="s">
        <v>67</v>
      </c>
      <c r="B43" s="901">
        <v>5.62</v>
      </c>
      <c r="C43" s="901">
        <v>4.28</v>
      </c>
      <c r="D43" s="901"/>
      <c r="E43" s="901">
        <v>5.87</v>
      </c>
      <c r="F43" s="901">
        <v>4.47</v>
      </c>
      <c r="G43" s="901"/>
      <c r="H43" s="903">
        <v>6.85</v>
      </c>
      <c r="I43" s="903">
        <v>6.84</v>
      </c>
      <c r="J43" s="901"/>
      <c r="K43" s="902">
        <v>8.73</v>
      </c>
      <c r="L43" s="902">
        <v>7.78</v>
      </c>
      <c r="M43" s="222"/>
      <c r="N43" s="222"/>
      <c r="O43" s="222"/>
      <c r="P43" s="229"/>
      <c r="Q43" s="229"/>
      <c r="R43" s="229"/>
      <c r="S43" s="229"/>
      <c r="W43" s="229"/>
      <c r="X43" s="229"/>
    </row>
    <row r="44" spans="1:24" ht="13" customHeight="1" thickBot="1">
      <c r="A44" s="803" t="s">
        <v>68</v>
      </c>
      <c r="B44" s="904">
        <v>4.8099999999999996</v>
      </c>
      <c r="C44" s="904">
        <v>5.05</v>
      </c>
      <c r="D44" s="904"/>
      <c r="E44" s="904">
        <v>5.2</v>
      </c>
      <c r="F44" s="904">
        <v>5.27</v>
      </c>
      <c r="G44" s="904"/>
      <c r="H44" s="904">
        <v>6.99</v>
      </c>
      <c r="I44" s="904">
        <v>7.29</v>
      </c>
      <c r="J44" s="904"/>
      <c r="K44" s="905">
        <v>8.76</v>
      </c>
      <c r="L44" s="905">
        <v>8.31</v>
      </c>
      <c r="M44" s="222"/>
      <c r="N44" s="222"/>
      <c r="O44" s="222"/>
      <c r="P44" s="229"/>
      <c r="Q44" s="229"/>
      <c r="R44" s="229"/>
      <c r="S44" s="229"/>
      <c r="W44" s="229"/>
      <c r="X44" s="229"/>
    </row>
    <row r="45" spans="1:24" ht="10" customHeight="1">
      <c r="A45" s="536" t="s">
        <v>502</v>
      </c>
      <c r="B45" s="536"/>
      <c r="C45" s="536"/>
      <c r="D45" s="536"/>
      <c r="E45" s="536"/>
      <c r="K45" s="225"/>
      <c r="L45" s="225"/>
      <c r="W45" s="229"/>
      <c r="X45" s="229"/>
    </row>
    <row r="46" spans="1:24" ht="10" customHeight="1">
      <c r="A46" s="28" t="s">
        <v>238</v>
      </c>
      <c r="B46" s="536"/>
      <c r="C46" s="536"/>
      <c r="D46" s="536"/>
      <c r="E46" s="890"/>
      <c r="W46" s="229"/>
      <c r="X46" s="229"/>
    </row>
    <row r="47" spans="1:24" ht="10" customHeight="1">
      <c r="A47" s="891" t="s">
        <v>503</v>
      </c>
      <c r="B47" s="536"/>
      <c r="C47" s="536"/>
      <c r="D47" s="536"/>
      <c r="E47" s="536"/>
      <c r="W47" s="229"/>
      <c r="X47" s="229"/>
    </row>
    <row r="48" spans="1:24" ht="10" customHeight="1">
      <c r="A48" s="892" t="s">
        <v>504</v>
      </c>
      <c r="B48" s="536"/>
      <c r="C48" s="536"/>
      <c r="D48" s="536"/>
      <c r="E48" s="536"/>
    </row>
    <row r="49" spans="1:5" ht="10" customHeight="1">
      <c r="A49" s="892" t="s">
        <v>505</v>
      </c>
      <c r="B49" s="536"/>
      <c r="C49" s="536"/>
      <c r="D49" s="536"/>
      <c r="E49" s="536"/>
    </row>
    <row r="50" spans="1:5" ht="10" customHeight="1">
      <c r="A50" s="40" t="s">
        <v>261</v>
      </c>
      <c r="B50" s="536"/>
      <c r="C50" s="536"/>
      <c r="D50" s="536"/>
      <c r="E50" s="536"/>
    </row>
  </sheetData>
  <mergeCells count="12">
    <mergeCell ref="A29:L29"/>
    <mergeCell ref="B30:C30"/>
    <mergeCell ref="E30:F30"/>
    <mergeCell ref="H30:I30"/>
    <mergeCell ref="K30:L30"/>
    <mergeCell ref="A30:A31"/>
    <mergeCell ref="A5:L5"/>
    <mergeCell ref="B6:C6"/>
    <mergeCell ref="E6:F6"/>
    <mergeCell ref="H6:I6"/>
    <mergeCell ref="K6:L6"/>
    <mergeCell ref="A6:A7"/>
  </mergeCells>
  <printOptions horizontalCentered="1" verticalCentered="1"/>
  <pageMargins left="0" right="0" top="0" bottom="0" header="0" footer="0"/>
  <pageSetup paperSize="9" orientation="portrait"/>
  <headerFooter scaleWithDoc="0" alignWithMargins="0"/>
  <rowBreaks count="1" manualBreakCount="1">
    <brk id="26" max="12" man="1"/>
  </rowBreaks>
  <colBreaks count="1" manualBreakCount="1">
    <brk id="13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Hoja101">
    <tabColor theme="9" tint="0.59999389629810485"/>
  </sheetPr>
  <dimension ref="A1:M41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3.59765625" style="141" customWidth="1"/>
    <col min="2" max="13" width="8" style="141" customWidth="1"/>
    <col min="14" max="16384" width="7" style="141"/>
  </cols>
  <sheetData>
    <row r="1" spans="1:13" ht="15" customHeight="1">
      <c r="A1" s="910" t="s">
        <v>515</v>
      </c>
      <c r="B1" s="911"/>
      <c r="C1" s="912"/>
      <c r="D1" s="911"/>
      <c r="E1" s="911"/>
      <c r="F1" s="911"/>
      <c r="G1" s="911"/>
      <c r="H1" s="911"/>
      <c r="I1" s="911"/>
      <c r="J1" s="911"/>
      <c r="K1" s="911"/>
      <c r="L1" s="911"/>
      <c r="M1" s="911"/>
    </row>
    <row r="2" spans="1:13" ht="13" customHeight="1">
      <c r="A2" s="913" t="s">
        <v>593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</row>
    <row r="3" spans="1:13" ht="4" customHeight="1" thickBot="1">
      <c r="A3" s="916"/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</row>
    <row r="4" spans="1:13" ht="12" customHeight="1">
      <c r="A4" s="1139" t="s">
        <v>18</v>
      </c>
      <c r="B4" s="1139" t="s">
        <v>19</v>
      </c>
      <c r="C4" s="1139" t="s">
        <v>5</v>
      </c>
      <c r="D4" s="1139" t="s">
        <v>6</v>
      </c>
      <c r="E4" s="1139" t="s">
        <v>7</v>
      </c>
      <c r="F4" s="1139" t="s">
        <v>8</v>
      </c>
      <c r="G4" s="1139" t="s">
        <v>9</v>
      </c>
      <c r="H4" s="1139" t="s">
        <v>10</v>
      </c>
      <c r="I4" s="917" t="s">
        <v>16</v>
      </c>
      <c r="J4" s="917" t="s">
        <v>516</v>
      </c>
      <c r="K4" s="918" t="s">
        <v>517</v>
      </c>
      <c r="L4" s="918"/>
      <c r="M4" s="917" t="s">
        <v>13</v>
      </c>
    </row>
    <row r="5" spans="1:13" ht="12" customHeight="1">
      <c r="A5" s="1140"/>
      <c r="B5" s="1140"/>
      <c r="C5" s="1140"/>
      <c r="D5" s="1140"/>
      <c r="E5" s="1140"/>
      <c r="F5" s="1140"/>
      <c r="G5" s="1140"/>
      <c r="H5" s="1140"/>
      <c r="I5" s="919" t="s">
        <v>138</v>
      </c>
      <c r="J5" s="919" t="s">
        <v>7</v>
      </c>
      <c r="K5" s="919" t="s">
        <v>9</v>
      </c>
      <c r="L5" s="919" t="s">
        <v>10</v>
      </c>
      <c r="M5" s="920" t="s">
        <v>518</v>
      </c>
    </row>
    <row r="6" spans="1:13" ht="15" customHeight="1">
      <c r="A6" s="921" t="s">
        <v>114</v>
      </c>
      <c r="B6" s="922">
        <v>4.6500000000000004</v>
      </c>
      <c r="C6" s="922">
        <v>5.6</v>
      </c>
      <c r="D6" s="922">
        <v>6.95</v>
      </c>
      <c r="E6" s="922">
        <v>5.68</v>
      </c>
      <c r="F6" s="922">
        <v>4.8099999999999996</v>
      </c>
      <c r="G6" s="922">
        <v>4.9400000000000004</v>
      </c>
      <c r="H6" s="922">
        <v>4.2699999999999996</v>
      </c>
      <c r="I6" s="922">
        <v>4.1399999999999997</v>
      </c>
      <c r="J6" s="922">
        <v>1.34</v>
      </c>
      <c r="K6" s="922">
        <v>6.63</v>
      </c>
      <c r="L6" s="922">
        <v>3.13</v>
      </c>
      <c r="M6" s="922">
        <v>3.14</v>
      </c>
    </row>
    <row r="7" spans="1:13" ht="11.5" customHeight="1">
      <c r="A7" s="141" t="s">
        <v>21</v>
      </c>
      <c r="B7" s="923">
        <v>4.7699999999999996</v>
      </c>
      <c r="C7" s="923">
        <v>5.5</v>
      </c>
      <c r="D7" s="923">
        <v>5.91</v>
      </c>
      <c r="E7" s="923">
        <v>5.58</v>
      </c>
      <c r="F7" s="923">
        <v>4.58</v>
      </c>
      <c r="G7" s="923">
        <v>0</v>
      </c>
      <c r="H7" s="923">
        <v>0</v>
      </c>
      <c r="I7" s="923">
        <v>4.13</v>
      </c>
      <c r="J7" s="923">
        <v>2</v>
      </c>
      <c r="K7" s="923">
        <v>0</v>
      </c>
      <c r="L7" s="924">
        <v>0</v>
      </c>
      <c r="M7" s="924">
        <v>0</v>
      </c>
    </row>
    <row r="8" spans="1:13" ht="11.5" customHeight="1">
      <c r="A8" s="141" t="s">
        <v>22</v>
      </c>
      <c r="B8" s="924">
        <v>4.79</v>
      </c>
      <c r="C8" s="924">
        <v>5.61</v>
      </c>
      <c r="D8" s="924">
        <v>6.76</v>
      </c>
      <c r="E8" s="924">
        <v>5.67</v>
      </c>
      <c r="F8" s="924">
        <v>4.8499999999999996</v>
      </c>
      <c r="G8" s="924">
        <v>0</v>
      </c>
      <c r="H8" s="924">
        <v>0</v>
      </c>
      <c r="I8" s="924">
        <v>4.1100000000000003</v>
      </c>
      <c r="J8" s="924">
        <v>1.79</v>
      </c>
      <c r="K8" s="924">
        <v>5.82</v>
      </c>
      <c r="L8" s="924">
        <v>0</v>
      </c>
      <c r="M8" s="924">
        <v>3.33</v>
      </c>
    </row>
    <row r="9" spans="1:13" ht="11.5" customHeight="1">
      <c r="A9" s="141" t="s">
        <v>23</v>
      </c>
      <c r="B9" s="924">
        <v>4.7699999999999996</v>
      </c>
      <c r="C9" s="924">
        <v>5.77</v>
      </c>
      <c r="D9" s="924">
        <v>6.88</v>
      </c>
      <c r="E9" s="924">
        <v>5.8</v>
      </c>
      <c r="F9" s="924">
        <v>4.5999999999999996</v>
      </c>
      <c r="G9" s="924">
        <v>0</v>
      </c>
      <c r="H9" s="924">
        <v>0</v>
      </c>
      <c r="I9" s="924">
        <v>4.1100000000000003</v>
      </c>
      <c r="J9" s="924">
        <v>1.32</v>
      </c>
      <c r="K9" s="924">
        <v>0</v>
      </c>
      <c r="L9" s="924">
        <v>0</v>
      </c>
      <c r="M9" s="924">
        <v>0</v>
      </c>
    </row>
    <row r="10" spans="1:13" ht="11.5" customHeight="1">
      <c r="A10" s="141" t="s">
        <v>24</v>
      </c>
      <c r="B10" s="924">
        <v>4.75</v>
      </c>
      <c r="C10" s="924">
        <v>5.75</v>
      </c>
      <c r="D10" s="924">
        <v>7.69</v>
      </c>
      <c r="E10" s="924">
        <v>6.12</v>
      </c>
      <c r="F10" s="924">
        <v>5.72</v>
      </c>
      <c r="G10" s="924">
        <v>4.63</v>
      </c>
      <c r="H10" s="924">
        <v>0</v>
      </c>
      <c r="I10" s="924">
        <v>4.1399999999999997</v>
      </c>
      <c r="J10" s="924">
        <v>1.24</v>
      </c>
      <c r="K10" s="924">
        <v>5.96</v>
      </c>
      <c r="L10" s="924">
        <v>0</v>
      </c>
      <c r="M10" s="924">
        <v>3.3</v>
      </c>
    </row>
    <row r="11" spans="1:13" ht="11.5" customHeight="1">
      <c r="A11" s="141" t="s">
        <v>25</v>
      </c>
      <c r="B11" s="924">
        <v>4.9000000000000004</v>
      </c>
      <c r="C11" s="924">
        <v>4.76</v>
      </c>
      <c r="D11" s="924">
        <v>5.92</v>
      </c>
      <c r="E11" s="924">
        <v>5.6</v>
      </c>
      <c r="F11" s="924">
        <v>4.45</v>
      </c>
      <c r="G11" s="924">
        <v>0</v>
      </c>
      <c r="H11" s="924">
        <v>0</v>
      </c>
      <c r="I11" s="924">
        <v>4.16</v>
      </c>
      <c r="J11" s="924">
        <v>1.27</v>
      </c>
      <c r="K11" s="924">
        <v>0</v>
      </c>
      <c r="L11" s="924">
        <v>0</v>
      </c>
      <c r="M11" s="924">
        <v>3.35</v>
      </c>
    </row>
    <row r="12" spans="1:13" ht="11.5" customHeight="1">
      <c r="A12" s="141" t="s">
        <v>107</v>
      </c>
      <c r="B12" s="924">
        <v>4.9000000000000004</v>
      </c>
      <c r="C12" s="924">
        <v>4.7699999999999996</v>
      </c>
      <c r="D12" s="924">
        <v>6.31</v>
      </c>
      <c r="E12" s="924">
        <v>6.05</v>
      </c>
      <c r="F12" s="924">
        <v>4.37</v>
      </c>
      <c r="G12" s="924">
        <v>0</v>
      </c>
      <c r="H12" s="924">
        <v>0</v>
      </c>
      <c r="I12" s="924">
        <v>4.1500000000000004</v>
      </c>
      <c r="J12" s="924">
        <v>1.27</v>
      </c>
      <c r="K12" s="924">
        <v>0</v>
      </c>
      <c r="L12" s="924">
        <v>0</v>
      </c>
      <c r="M12" s="924">
        <v>3.36</v>
      </c>
    </row>
    <row r="13" spans="1:13" ht="11.5" customHeight="1">
      <c r="A13" s="141" t="s">
        <v>108</v>
      </c>
      <c r="B13" s="924">
        <v>4.8899999999999997</v>
      </c>
      <c r="C13" s="924">
        <v>4.75</v>
      </c>
      <c r="D13" s="924">
        <v>5.23</v>
      </c>
      <c r="E13" s="924">
        <v>5.04</v>
      </c>
      <c r="F13" s="924">
        <v>4.16</v>
      </c>
      <c r="G13" s="924">
        <v>0</v>
      </c>
      <c r="H13" s="924">
        <v>0</v>
      </c>
      <c r="I13" s="924">
        <v>4.17</v>
      </c>
      <c r="J13" s="924">
        <v>1.26</v>
      </c>
      <c r="K13" s="924">
        <v>0</v>
      </c>
      <c r="L13" s="924">
        <v>0</v>
      </c>
      <c r="M13" s="924">
        <v>3.34</v>
      </c>
    </row>
    <row r="14" spans="1:13" ht="11.5" customHeight="1">
      <c r="A14" s="141" t="s">
        <v>139</v>
      </c>
      <c r="B14" s="924">
        <v>4.91</v>
      </c>
      <c r="C14" s="924">
        <v>4.76</v>
      </c>
      <c r="D14" s="924">
        <v>6.29</v>
      </c>
      <c r="E14" s="924">
        <v>5.27</v>
      </c>
      <c r="F14" s="924">
        <v>4.6399999999999997</v>
      </c>
      <c r="G14" s="924">
        <v>0</v>
      </c>
      <c r="H14" s="924">
        <v>0</v>
      </c>
      <c r="I14" s="924">
        <v>4.18</v>
      </c>
      <c r="J14" s="924">
        <v>1.33</v>
      </c>
      <c r="K14" s="924">
        <v>0</v>
      </c>
      <c r="L14" s="924">
        <v>0</v>
      </c>
      <c r="M14" s="924">
        <v>0</v>
      </c>
    </row>
    <row r="15" spans="1:13" ht="11.5" customHeight="1">
      <c r="A15" s="141" t="s">
        <v>29</v>
      </c>
      <c r="B15" s="924">
        <v>4.84</v>
      </c>
      <c r="C15" s="924">
        <v>5.24</v>
      </c>
      <c r="D15" s="924">
        <v>6.15</v>
      </c>
      <c r="E15" s="924">
        <v>5.52</v>
      </c>
      <c r="F15" s="924">
        <v>4.71</v>
      </c>
      <c r="G15" s="924">
        <v>0</v>
      </c>
      <c r="H15" s="924">
        <v>0</v>
      </c>
      <c r="I15" s="924">
        <v>4.1100000000000003</v>
      </c>
      <c r="J15" s="924">
        <v>1.33</v>
      </c>
      <c r="K15" s="924">
        <v>0</v>
      </c>
      <c r="L15" s="924">
        <v>0</v>
      </c>
      <c r="M15" s="924">
        <v>3.33</v>
      </c>
    </row>
    <row r="16" spans="1:13" ht="11.5" customHeight="1">
      <c r="A16" s="141" t="s">
        <v>30</v>
      </c>
      <c r="B16" s="924">
        <v>4.76</v>
      </c>
      <c r="C16" s="924">
        <v>4.7699999999999996</v>
      </c>
      <c r="D16" s="924">
        <v>6.97</v>
      </c>
      <c r="E16" s="924">
        <v>5.1100000000000003</v>
      </c>
      <c r="F16" s="924">
        <v>4.54</v>
      </c>
      <c r="G16" s="924">
        <v>4.09</v>
      </c>
      <c r="H16" s="924">
        <v>0</v>
      </c>
      <c r="I16" s="924">
        <v>4.13</v>
      </c>
      <c r="J16" s="924">
        <v>1.3</v>
      </c>
      <c r="K16" s="924">
        <v>0</v>
      </c>
      <c r="L16" s="924">
        <v>0</v>
      </c>
      <c r="M16" s="924">
        <v>3.32</v>
      </c>
    </row>
    <row r="17" spans="1:13" ht="11.5" customHeight="1">
      <c r="A17" s="141" t="s">
        <v>31</v>
      </c>
      <c r="B17" s="924">
        <v>4.55</v>
      </c>
      <c r="C17" s="924">
        <v>5.69</v>
      </c>
      <c r="D17" s="924">
        <v>6.71</v>
      </c>
      <c r="E17" s="924">
        <v>5.9</v>
      </c>
      <c r="F17" s="924">
        <v>5.26</v>
      </c>
      <c r="G17" s="924">
        <v>4.21</v>
      </c>
      <c r="H17" s="924">
        <v>3.81</v>
      </c>
      <c r="I17" s="924">
        <v>4.13</v>
      </c>
      <c r="J17" s="924">
        <v>1.43</v>
      </c>
      <c r="K17" s="924">
        <v>6.37</v>
      </c>
      <c r="L17" s="924">
        <v>2.83</v>
      </c>
      <c r="M17" s="924">
        <v>3.36</v>
      </c>
    </row>
    <row r="18" spans="1:13" ht="11.5" customHeight="1">
      <c r="A18" s="141" t="s">
        <v>32</v>
      </c>
      <c r="B18" s="924">
        <v>4.5999999999999996</v>
      </c>
      <c r="C18" s="924">
        <v>5.3</v>
      </c>
      <c r="D18" s="924">
        <v>6.39</v>
      </c>
      <c r="E18" s="924">
        <v>5.23</v>
      </c>
      <c r="F18" s="924">
        <v>5.15</v>
      </c>
      <c r="G18" s="924">
        <v>0</v>
      </c>
      <c r="H18" s="924">
        <v>0</v>
      </c>
      <c r="I18" s="924">
        <v>4.13</v>
      </c>
      <c r="J18" s="924">
        <v>1.3</v>
      </c>
      <c r="K18" s="924">
        <v>0</v>
      </c>
      <c r="L18" s="924">
        <v>0</v>
      </c>
      <c r="M18" s="924">
        <v>0</v>
      </c>
    </row>
    <row r="19" spans="1:13" ht="11.5" customHeight="1">
      <c r="A19" s="141" t="s">
        <v>33</v>
      </c>
      <c r="B19" s="924">
        <v>4.87</v>
      </c>
      <c r="C19" s="924">
        <v>5.54</v>
      </c>
      <c r="D19" s="924">
        <v>7.06</v>
      </c>
      <c r="E19" s="924">
        <v>5.56</v>
      </c>
      <c r="F19" s="924">
        <v>4.9400000000000004</v>
      </c>
      <c r="G19" s="924">
        <v>4.79</v>
      </c>
      <c r="H19" s="924">
        <v>0</v>
      </c>
      <c r="I19" s="924">
        <v>4.21</v>
      </c>
      <c r="J19" s="924">
        <v>1.53</v>
      </c>
      <c r="K19" s="924">
        <v>5.75</v>
      </c>
      <c r="L19" s="924">
        <v>0</v>
      </c>
      <c r="M19" s="924">
        <v>3.19</v>
      </c>
    </row>
    <row r="20" spans="1:13" ht="11.5" customHeight="1">
      <c r="A20" s="141" t="s">
        <v>34</v>
      </c>
      <c r="B20" s="924">
        <v>4.95</v>
      </c>
      <c r="C20" s="924">
        <v>5.46</v>
      </c>
      <c r="D20" s="924">
        <v>6.31</v>
      </c>
      <c r="E20" s="924">
        <v>5.61</v>
      </c>
      <c r="F20" s="924">
        <v>4.03</v>
      </c>
      <c r="G20" s="924">
        <v>4.72</v>
      </c>
      <c r="H20" s="924">
        <v>3.87</v>
      </c>
      <c r="I20" s="924">
        <v>4.21</v>
      </c>
      <c r="J20" s="924">
        <v>1.51</v>
      </c>
      <c r="K20" s="924">
        <v>6.12</v>
      </c>
      <c r="L20" s="924">
        <v>2.61</v>
      </c>
      <c r="M20" s="924">
        <v>3.09</v>
      </c>
    </row>
    <row r="21" spans="1:13" ht="11.5" customHeight="1">
      <c r="A21" s="141" t="s">
        <v>35</v>
      </c>
      <c r="B21" s="924">
        <v>4.95</v>
      </c>
      <c r="C21" s="924">
        <v>6.07</v>
      </c>
      <c r="D21" s="924">
        <v>6.73</v>
      </c>
      <c r="E21" s="924">
        <v>6.15</v>
      </c>
      <c r="F21" s="924">
        <v>4.95</v>
      </c>
      <c r="G21" s="924">
        <v>4.96</v>
      </c>
      <c r="H21" s="924">
        <v>3.9</v>
      </c>
      <c r="I21" s="924">
        <v>4.38</v>
      </c>
      <c r="J21" s="924">
        <v>1.35</v>
      </c>
      <c r="K21" s="924">
        <v>6.94</v>
      </c>
      <c r="L21" s="924">
        <v>2.84</v>
      </c>
      <c r="M21" s="924">
        <v>3.13</v>
      </c>
    </row>
    <row r="22" spans="1:13" ht="11.5" customHeight="1">
      <c r="A22" s="141" t="s">
        <v>36</v>
      </c>
      <c r="B22" s="924">
        <v>4.87</v>
      </c>
      <c r="C22" s="924">
        <v>5.0199999999999996</v>
      </c>
      <c r="D22" s="924">
        <v>5.79</v>
      </c>
      <c r="E22" s="924">
        <v>5.46</v>
      </c>
      <c r="F22" s="924">
        <v>4.4400000000000004</v>
      </c>
      <c r="G22" s="924">
        <v>4.49</v>
      </c>
      <c r="H22" s="924">
        <v>3.92</v>
      </c>
      <c r="I22" s="924">
        <v>4.1500000000000004</v>
      </c>
      <c r="J22" s="924">
        <v>1.26</v>
      </c>
      <c r="K22" s="924">
        <v>7.15</v>
      </c>
      <c r="L22" s="924">
        <v>2.6</v>
      </c>
      <c r="M22" s="924">
        <v>3.11</v>
      </c>
    </row>
    <row r="23" spans="1:13" ht="11.5" customHeight="1">
      <c r="A23" s="141" t="s">
        <v>37</v>
      </c>
      <c r="B23" s="924">
        <v>4.76</v>
      </c>
      <c r="C23" s="924">
        <v>5.45</v>
      </c>
      <c r="D23" s="924">
        <v>5.95</v>
      </c>
      <c r="E23" s="924">
        <v>5.73</v>
      </c>
      <c r="F23" s="924">
        <v>4.8</v>
      </c>
      <c r="G23" s="924">
        <v>4.9800000000000004</v>
      </c>
      <c r="H23" s="924">
        <v>4.5599999999999996</v>
      </c>
      <c r="I23" s="924">
        <v>4.16</v>
      </c>
      <c r="J23" s="924">
        <v>1.25</v>
      </c>
      <c r="K23" s="924">
        <v>7.71</v>
      </c>
      <c r="L23" s="924">
        <v>3.24</v>
      </c>
      <c r="M23" s="924">
        <v>3.15</v>
      </c>
    </row>
    <row r="24" spans="1:13" ht="11.5" customHeight="1">
      <c r="A24" s="141" t="s">
        <v>38</v>
      </c>
      <c r="B24" s="924">
        <v>4.9400000000000004</v>
      </c>
      <c r="C24" s="924">
        <v>5.0199999999999996</v>
      </c>
      <c r="D24" s="924">
        <v>5.73</v>
      </c>
      <c r="E24" s="924">
        <v>5.46</v>
      </c>
      <c r="F24" s="924">
        <v>4.34</v>
      </c>
      <c r="G24" s="924">
        <v>4.6900000000000004</v>
      </c>
      <c r="H24" s="924">
        <v>4.12</v>
      </c>
      <c r="I24" s="924">
        <v>4.0999999999999996</v>
      </c>
      <c r="J24" s="924">
        <v>1.37</v>
      </c>
      <c r="K24" s="924">
        <v>6.82</v>
      </c>
      <c r="L24" s="924">
        <v>3.14</v>
      </c>
      <c r="M24" s="924">
        <v>3.34</v>
      </c>
    </row>
    <row r="25" spans="1:13" ht="11.5" customHeight="1">
      <c r="A25" s="141" t="s">
        <v>39</v>
      </c>
      <c r="B25" s="924">
        <v>4.82</v>
      </c>
      <c r="C25" s="924">
        <v>5.15</v>
      </c>
      <c r="D25" s="924">
        <v>6.24</v>
      </c>
      <c r="E25" s="924">
        <v>5.76</v>
      </c>
      <c r="F25" s="924">
        <v>4.51</v>
      </c>
      <c r="G25" s="924">
        <v>4.93</v>
      </c>
      <c r="H25" s="924">
        <v>4.17</v>
      </c>
      <c r="I25" s="924">
        <v>4.12</v>
      </c>
      <c r="J25" s="924">
        <v>1.25</v>
      </c>
      <c r="K25" s="924">
        <v>6.99</v>
      </c>
      <c r="L25" s="924">
        <v>0</v>
      </c>
      <c r="M25" s="924">
        <v>0</v>
      </c>
    </row>
    <row r="26" spans="1:13" ht="11.5" customHeight="1">
      <c r="A26" s="141" t="s">
        <v>40</v>
      </c>
      <c r="B26" s="924">
        <v>4.8600000000000003</v>
      </c>
      <c r="C26" s="924">
        <v>5.12</v>
      </c>
      <c r="D26" s="924">
        <v>6.22</v>
      </c>
      <c r="E26" s="924">
        <v>5.67</v>
      </c>
      <c r="F26" s="924">
        <v>4.3499999999999996</v>
      </c>
      <c r="G26" s="924">
        <v>4.5599999999999996</v>
      </c>
      <c r="H26" s="924">
        <v>4.1900000000000004</v>
      </c>
      <c r="I26" s="924">
        <v>4.18</v>
      </c>
      <c r="J26" s="924">
        <v>1.56</v>
      </c>
      <c r="K26" s="924">
        <v>5.89</v>
      </c>
      <c r="L26" s="924">
        <v>2.65</v>
      </c>
      <c r="M26" s="924">
        <v>2.72</v>
      </c>
    </row>
    <row r="27" spans="1:13" ht="11.5" customHeight="1">
      <c r="A27" s="141" t="s">
        <v>41</v>
      </c>
      <c r="B27" s="924">
        <v>4.97</v>
      </c>
      <c r="C27" s="924">
        <v>5.08</v>
      </c>
      <c r="D27" s="924">
        <v>6.15</v>
      </c>
      <c r="E27" s="924">
        <v>5.17</v>
      </c>
      <c r="F27" s="924">
        <v>3.93</v>
      </c>
      <c r="G27" s="924">
        <v>3.87</v>
      </c>
      <c r="H27" s="924">
        <v>3.78</v>
      </c>
      <c r="I27" s="924">
        <v>4.16</v>
      </c>
      <c r="J27" s="924">
        <v>1.37</v>
      </c>
      <c r="K27" s="924">
        <v>5.69</v>
      </c>
      <c r="L27" s="924">
        <v>2.69</v>
      </c>
      <c r="M27" s="924">
        <v>2.8</v>
      </c>
    </row>
    <row r="28" spans="1:13" ht="11.5" customHeight="1">
      <c r="A28" s="141" t="s">
        <v>111</v>
      </c>
      <c r="B28" s="924">
        <v>4.9800000000000004</v>
      </c>
      <c r="C28" s="924">
        <v>5.07</v>
      </c>
      <c r="D28" s="924">
        <v>6.15</v>
      </c>
      <c r="E28" s="924">
        <v>5.16</v>
      </c>
      <c r="F28" s="924">
        <v>3.86</v>
      </c>
      <c r="G28" s="924">
        <v>3.88</v>
      </c>
      <c r="H28" s="924">
        <v>3.79</v>
      </c>
      <c r="I28" s="924">
        <v>4.1500000000000004</v>
      </c>
      <c r="J28" s="924">
        <v>1.37</v>
      </c>
      <c r="K28" s="924">
        <v>5.71</v>
      </c>
      <c r="L28" s="924">
        <v>2.68</v>
      </c>
      <c r="M28" s="924">
        <v>2.79</v>
      </c>
    </row>
    <row r="29" spans="1:13" ht="11.5" customHeight="1">
      <c r="A29" s="141" t="s">
        <v>112</v>
      </c>
      <c r="B29" s="924">
        <v>4.97</v>
      </c>
      <c r="C29" s="924">
        <v>5.09</v>
      </c>
      <c r="D29" s="924">
        <v>6.15</v>
      </c>
      <c r="E29" s="924">
        <v>5.17</v>
      </c>
      <c r="F29" s="924">
        <v>3.96</v>
      </c>
      <c r="G29" s="924">
        <v>3.86</v>
      </c>
      <c r="H29" s="924">
        <v>3.77</v>
      </c>
      <c r="I29" s="924">
        <v>4.17</v>
      </c>
      <c r="J29" s="924">
        <v>1.36</v>
      </c>
      <c r="K29" s="924">
        <v>5.61</v>
      </c>
      <c r="L29" s="924">
        <v>2.71</v>
      </c>
      <c r="M29" s="924">
        <v>2.81</v>
      </c>
    </row>
    <row r="30" spans="1:13" ht="11.5" customHeight="1">
      <c r="A30" s="141" t="s">
        <v>44</v>
      </c>
      <c r="B30" s="924">
        <v>4.8899999999999997</v>
      </c>
      <c r="C30" s="924">
        <v>6.11</v>
      </c>
      <c r="D30" s="924">
        <v>7.37</v>
      </c>
      <c r="E30" s="924">
        <v>5.88</v>
      </c>
      <c r="F30" s="924">
        <v>4.9800000000000004</v>
      </c>
      <c r="G30" s="924">
        <v>4.46</v>
      </c>
      <c r="H30" s="924">
        <v>3.96</v>
      </c>
      <c r="I30" s="924">
        <v>4.21</v>
      </c>
      <c r="J30" s="924">
        <v>1.39</v>
      </c>
      <c r="K30" s="924">
        <v>6.54</v>
      </c>
      <c r="L30" s="924">
        <v>2.96</v>
      </c>
      <c r="M30" s="924">
        <v>2.78</v>
      </c>
    </row>
    <row r="31" spans="1:13" ht="11.5" customHeight="1">
      <c r="A31" s="141" t="s">
        <v>45</v>
      </c>
      <c r="B31" s="924">
        <v>4.9800000000000004</v>
      </c>
      <c r="C31" s="924">
        <v>5.75</v>
      </c>
      <c r="D31" s="924">
        <v>7.28</v>
      </c>
      <c r="E31" s="924">
        <v>5.84</v>
      </c>
      <c r="F31" s="924">
        <v>0</v>
      </c>
      <c r="G31" s="924">
        <v>5.38</v>
      </c>
      <c r="H31" s="924">
        <v>4.6100000000000003</v>
      </c>
      <c r="I31" s="924">
        <v>4.2300000000000004</v>
      </c>
      <c r="J31" s="924">
        <v>1.24</v>
      </c>
      <c r="K31" s="924">
        <v>6.65</v>
      </c>
      <c r="L31" s="924">
        <v>3.25</v>
      </c>
      <c r="M31" s="924">
        <v>3.22</v>
      </c>
    </row>
    <row r="32" spans="1:13" ht="11.5" customHeight="1">
      <c r="A32" s="141" t="s">
        <v>46</v>
      </c>
      <c r="B32" s="924">
        <v>4.8099999999999996</v>
      </c>
      <c r="C32" s="924">
        <v>5.43</v>
      </c>
      <c r="D32" s="924">
        <v>7.26</v>
      </c>
      <c r="E32" s="924">
        <v>5.57</v>
      </c>
      <c r="F32" s="924">
        <v>0</v>
      </c>
      <c r="G32" s="924">
        <v>0</v>
      </c>
      <c r="H32" s="924">
        <v>0</v>
      </c>
      <c r="I32" s="924">
        <v>4.26</v>
      </c>
      <c r="J32" s="924">
        <v>1.35</v>
      </c>
      <c r="K32" s="924">
        <v>0</v>
      </c>
      <c r="L32" s="924">
        <v>0</v>
      </c>
      <c r="M32" s="924">
        <v>0</v>
      </c>
    </row>
    <row r="33" spans="1:13" ht="11.5" customHeight="1">
      <c r="A33" s="141" t="s">
        <v>47</v>
      </c>
      <c r="B33" s="924">
        <v>5.03</v>
      </c>
      <c r="C33" s="924">
        <v>4.6500000000000004</v>
      </c>
      <c r="D33" s="924">
        <v>5.57</v>
      </c>
      <c r="E33" s="924">
        <v>5.76</v>
      </c>
      <c r="F33" s="924">
        <v>4.9400000000000004</v>
      </c>
      <c r="G33" s="924">
        <v>0</v>
      </c>
      <c r="H33" s="924">
        <v>0</v>
      </c>
      <c r="I33" s="924">
        <v>4.26</v>
      </c>
      <c r="J33" s="924">
        <v>1.91</v>
      </c>
      <c r="K33" s="924">
        <v>0</v>
      </c>
      <c r="L33" s="924">
        <v>0</v>
      </c>
      <c r="M33" s="924">
        <v>0</v>
      </c>
    </row>
    <row r="34" spans="1:13" ht="11.5" customHeight="1">
      <c r="A34" s="141" t="s">
        <v>48</v>
      </c>
      <c r="B34" s="923">
        <v>5.05</v>
      </c>
      <c r="C34" s="924">
        <v>4.8499999999999996</v>
      </c>
      <c r="D34" s="924">
        <v>6.67</v>
      </c>
      <c r="E34" s="923">
        <v>5.43</v>
      </c>
      <c r="F34" s="924">
        <v>0</v>
      </c>
      <c r="G34" s="924">
        <v>0</v>
      </c>
      <c r="H34" s="924">
        <v>0</v>
      </c>
      <c r="I34" s="924">
        <v>4.1900000000000004</v>
      </c>
      <c r="J34" s="924">
        <v>1.58</v>
      </c>
      <c r="K34" s="924">
        <v>0</v>
      </c>
      <c r="L34" s="924">
        <v>0</v>
      </c>
      <c r="M34" s="924">
        <v>0</v>
      </c>
    </row>
    <row r="35" spans="1:13" ht="11.5" customHeight="1" thickBot="1">
      <c r="A35" s="202" t="s">
        <v>49</v>
      </c>
      <c r="B35" s="925">
        <v>5.1100000000000003</v>
      </c>
      <c r="C35" s="925">
        <v>5.15</v>
      </c>
      <c r="D35" s="925">
        <v>6.37</v>
      </c>
      <c r="E35" s="925">
        <v>5.57</v>
      </c>
      <c r="F35" s="925">
        <v>0</v>
      </c>
      <c r="G35" s="925">
        <v>0</v>
      </c>
      <c r="H35" s="925">
        <v>0</v>
      </c>
      <c r="I35" s="925">
        <v>4.1500000000000004</v>
      </c>
      <c r="J35" s="925">
        <v>1.59</v>
      </c>
      <c r="K35" s="925">
        <v>0</v>
      </c>
      <c r="L35" s="925">
        <v>0</v>
      </c>
      <c r="M35" s="925">
        <v>0</v>
      </c>
    </row>
    <row r="36" spans="1:13" ht="10" customHeight="1">
      <c r="A36" s="914" t="s">
        <v>519</v>
      </c>
      <c r="B36" s="915"/>
      <c r="C36" s="914" t="s">
        <v>520</v>
      </c>
      <c r="D36" s="915"/>
      <c r="E36" s="365"/>
      <c r="F36" s="915"/>
      <c r="G36" s="915"/>
      <c r="H36" s="914"/>
      <c r="I36" s="915"/>
      <c r="J36" s="365"/>
      <c r="K36" s="365"/>
      <c r="L36" s="915"/>
      <c r="M36" s="915"/>
    </row>
    <row r="37" spans="1:13" ht="10" customHeight="1">
      <c r="A37" s="28" t="s">
        <v>238</v>
      </c>
      <c r="B37" s="915"/>
      <c r="C37" s="915"/>
      <c r="D37" s="915"/>
      <c r="E37" s="915"/>
      <c r="F37" s="915"/>
      <c r="G37" s="915"/>
      <c r="H37" s="915"/>
      <c r="I37" s="915"/>
      <c r="J37" s="915"/>
      <c r="K37" s="915"/>
      <c r="L37" s="915"/>
      <c r="M37" s="915"/>
    </row>
    <row r="38" spans="1:13" ht="10" customHeight="1">
      <c r="A38" s="28" t="s">
        <v>192</v>
      </c>
      <c r="B38" s="365"/>
      <c r="C38" s="365"/>
      <c r="D38" s="365"/>
      <c r="E38" s="365"/>
      <c r="F38" s="365"/>
      <c r="G38" s="365"/>
      <c r="H38" s="365"/>
      <c r="I38" s="365"/>
      <c r="J38" s="365"/>
      <c r="K38" s="365"/>
      <c r="L38" s="365"/>
      <c r="M38" s="365"/>
    </row>
    <row r="39" spans="1:13" ht="10" customHeight="1">
      <c r="A39" s="40" t="s">
        <v>261</v>
      </c>
      <c r="B39" s="365"/>
      <c r="C39" s="365"/>
      <c r="D39" s="365"/>
      <c r="E39" s="365"/>
      <c r="F39" s="365"/>
      <c r="G39" s="365"/>
      <c r="H39" s="365"/>
      <c r="I39" s="365"/>
      <c r="J39" s="365"/>
      <c r="K39" s="365"/>
      <c r="L39" s="365"/>
      <c r="M39" s="365"/>
    </row>
    <row r="40" spans="1:13" ht="13" customHeight="1">
      <c r="A40" s="31"/>
    </row>
    <row r="41" spans="1:13" ht="13" customHeight="1">
      <c r="A41" s="31"/>
    </row>
  </sheetData>
  <mergeCells count="8">
    <mergeCell ref="G4:G5"/>
    <mergeCell ref="H4:H5"/>
    <mergeCell ref="A4:A5"/>
    <mergeCell ref="B4:B5"/>
    <mergeCell ref="C4:C5"/>
    <mergeCell ref="D4:D5"/>
    <mergeCell ref="E4:E5"/>
    <mergeCell ref="F4:F5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Hoja102">
    <tabColor theme="9" tint="0.59999389629810485"/>
  </sheetPr>
  <dimension ref="A1:O39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141" customWidth="1"/>
    <col min="2" max="14" width="8.3984375" style="141" customWidth="1"/>
    <col min="15" max="16384" width="7" style="141"/>
  </cols>
  <sheetData>
    <row r="1" spans="1:15" ht="17" customHeight="1">
      <c r="A1" s="942" t="s">
        <v>521</v>
      </c>
      <c r="B1" s="387"/>
      <c r="C1" s="189"/>
      <c r="D1" s="189"/>
      <c r="E1" s="189"/>
      <c r="F1" s="189"/>
      <c r="G1" s="193"/>
      <c r="H1" s="192"/>
      <c r="I1" s="189"/>
      <c r="J1" s="189"/>
      <c r="K1" s="189"/>
      <c r="L1" s="189"/>
      <c r="M1" s="189"/>
      <c r="N1" s="189"/>
      <c r="O1" s="192"/>
    </row>
    <row r="2" spans="1:15" ht="13" customHeight="1">
      <c r="A2" s="909" t="s">
        <v>593</v>
      </c>
      <c r="B2" s="387"/>
      <c r="C2" s="189"/>
      <c r="D2" s="189"/>
      <c r="E2" s="189"/>
      <c r="F2" s="189"/>
      <c r="G2" s="193"/>
      <c r="H2" s="192"/>
      <c r="I2" s="189"/>
      <c r="J2" s="189"/>
      <c r="K2" s="189"/>
      <c r="L2" s="189"/>
      <c r="M2" s="189"/>
      <c r="N2" s="189"/>
      <c r="O2" s="192"/>
    </row>
    <row r="3" spans="1:15" ht="4" customHeight="1" thickBot="1">
      <c r="A3" s="192"/>
      <c r="B3" s="189"/>
      <c r="C3" s="189"/>
      <c r="D3" s="189"/>
      <c r="E3" s="189"/>
      <c r="F3" s="189"/>
      <c r="G3" s="193"/>
      <c r="H3" s="192"/>
      <c r="I3" s="189"/>
      <c r="J3" s="189"/>
      <c r="K3" s="189"/>
      <c r="L3" s="189"/>
      <c r="M3" s="189"/>
      <c r="N3" s="189"/>
      <c r="O3" s="192"/>
    </row>
    <row r="4" spans="1:15" ht="15" customHeight="1">
      <c r="A4" s="932" t="s">
        <v>18</v>
      </c>
      <c r="B4" s="933" t="s">
        <v>56</v>
      </c>
      <c r="C4" s="933" t="s">
        <v>57</v>
      </c>
      <c r="D4" s="933" t="s">
        <v>58</v>
      </c>
      <c r="E4" s="933" t="s">
        <v>59</v>
      </c>
      <c r="F4" s="933" t="s">
        <v>60</v>
      </c>
      <c r="G4" s="933" t="s">
        <v>61</v>
      </c>
      <c r="H4" s="933" t="s">
        <v>62</v>
      </c>
      <c r="I4" s="933" t="s">
        <v>63</v>
      </c>
      <c r="J4" s="933" t="s">
        <v>64</v>
      </c>
      <c r="K4" s="933" t="s">
        <v>65</v>
      </c>
      <c r="L4" s="933" t="s">
        <v>66</v>
      </c>
      <c r="M4" s="933" t="s">
        <v>67</v>
      </c>
      <c r="N4" s="933" t="s">
        <v>68</v>
      </c>
      <c r="O4" s="210"/>
    </row>
    <row r="5" spans="1:15" ht="15" customHeight="1">
      <c r="A5" s="921" t="s">
        <v>114</v>
      </c>
      <c r="B5" s="922">
        <v>4.6500000000000004</v>
      </c>
      <c r="C5" s="922">
        <v>4.6900000000000004</v>
      </c>
      <c r="D5" s="922">
        <v>4.66</v>
      </c>
      <c r="E5" s="922">
        <v>4.6900000000000004</v>
      </c>
      <c r="F5" s="922">
        <v>4.68</v>
      </c>
      <c r="G5" s="922">
        <v>4.71</v>
      </c>
      <c r="H5" s="922">
        <v>4.68</v>
      </c>
      <c r="I5" s="922">
        <v>4.66</v>
      </c>
      <c r="J5" s="922">
        <v>4.62</v>
      </c>
      <c r="K5" s="922">
        <v>4.5999999999999996</v>
      </c>
      <c r="L5" s="922">
        <v>4.5999999999999996</v>
      </c>
      <c r="M5" s="922">
        <v>4.6100000000000003</v>
      </c>
      <c r="N5" s="922">
        <v>4.66</v>
      </c>
      <c r="O5" s="209"/>
    </row>
    <row r="6" spans="1:15" ht="12" customHeight="1">
      <c r="A6" s="141" t="s">
        <v>21</v>
      </c>
      <c r="B6" s="937">
        <v>4.7699999999999996</v>
      </c>
      <c r="C6" s="924">
        <v>4.75</v>
      </c>
      <c r="D6" s="924">
        <v>4.74</v>
      </c>
      <c r="E6" s="924">
        <v>4.75</v>
      </c>
      <c r="F6" s="924">
        <v>4.76</v>
      </c>
      <c r="G6" s="924">
        <v>4.75</v>
      </c>
      <c r="H6" s="924">
        <v>4.76</v>
      </c>
      <c r="I6" s="924">
        <v>4.76</v>
      </c>
      <c r="J6" s="924">
        <v>4.75</v>
      </c>
      <c r="K6" s="924">
        <v>4.75</v>
      </c>
      <c r="L6" s="924">
        <v>4.76</v>
      </c>
      <c r="M6" s="924">
        <v>4.78</v>
      </c>
      <c r="N6" s="924">
        <v>4.79</v>
      </c>
      <c r="O6" s="208"/>
    </row>
    <row r="7" spans="1:15" ht="12" customHeight="1">
      <c r="A7" s="141" t="s">
        <v>22</v>
      </c>
      <c r="B7" s="937">
        <v>4.79</v>
      </c>
      <c r="C7" s="924">
        <v>4.76</v>
      </c>
      <c r="D7" s="924">
        <v>4.75</v>
      </c>
      <c r="E7" s="924">
        <v>4.78</v>
      </c>
      <c r="F7" s="924">
        <v>4.79</v>
      </c>
      <c r="G7" s="924">
        <v>4.8</v>
      </c>
      <c r="H7" s="924">
        <v>4.78</v>
      </c>
      <c r="I7" s="924">
        <v>4.78</v>
      </c>
      <c r="J7" s="924">
        <v>4.79</v>
      </c>
      <c r="K7" s="924">
        <v>4.78</v>
      </c>
      <c r="L7" s="924">
        <v>4.79</v>
      </c>
      <c r="M7" s="924">
        <v>4.8</v>
      </c>
      <c r="N7" s="924">
        <v>4.82</v>
      </c>
      <c r="O7" s="208"/>
    </row>
    <row r="8" spans="1:15" ht="12" customHeight="1">
      <c r="A8" s="141" t="s">
        <v>23</v>
      </c>
      <c r="B8" s="937">
        <v>4.7699999999999996</v>
      </c>
      <c r="C8" s="924">
        <v>4.78</v>
      </c>
      <c r="D8" s="924">
        <v>4.7699999999999996</v>
      </c>
      <c r="E8" s="924">
        <v>4.76</v>
      </c>
      <c r="F8" s="924">
        <v>4.7699999999999996</v>
      </c>
      <c r="G8" s="924">
        <v>4.79</v>
      </c>
      <c r="H8" s="924">
        <v>4.78</v>
      </c>
      <c r="I8" s="924">
        <v>4.79</v>
      </c>
      <c r="J8" s="924">
        <v>4.7699999999999996</v>
      </c>
      <c r="K8" s="924">
        <v>4.76</v>
      </c>
      <c r="L8" s="924">
        <v>4.75</v>
      </c>
      <c r="M8" s="924">
        <v>4.7699999999999996</v>
      </c>
      <c r="N8" s="924">
        <v>4.8</v>
      </c>
      <c r="O8" s="208"/>
    </row>
    <row r="9" spans="1:15" ht="12" customHeight="1">
      <c r="A9" s="141" t="s">
        <v>24</v>
      </c>
      <c r="B9" s="937">
        <v>4.75</v>
      </c>
      <c r="C9" s="924">
        <v>4.75</v>
      </c>
      <c r="D9" s="924">
        <v>4.76</v>
      </c>
      <c r="E9" s="924">
        <v>4.8</v>
      </c>
      <c r="F9" s="924">
        <v>4.78</v>
      </c>
      <c r="G9" s="924">
        <v>4.8</v>
      </c>
      <c r="H9" s="924">
        <v>4.7699999999999996</v>
      </c>
      <c r="I9" s="924">
        <v>4.75</v>
      </c>
      <c r="J9" s="924">
        <v>4.7300000000000004</v>
      </c>
      <c r="K9" s="924">
        <v>4.71</v>
      </c>
      <c r="L9" s="924">
        <v>4.7</v>
      </c>
      <c r="M9" s="924">
        <v>4.72</v>
      </c>
      <c r="N9" s="924">
        <v>4.75</v>
      </c>
      <c r="O9" s="208"/>
    </row>
    <row r="10" spans="1:15" ht="12" customHeight="1">
      <c r="A10" s="141" t="s">
        <v>25</v>
      </c>
      <c r="B10" s="937">
        <v>4.9000000000000004</v>
      </c>
      <c r="C10" s="924">
        <v>4.87</v>
      </c>
      <c r="D10" s="924">
        <v>4.87</v>
      </c>
      <c r="E10" s="924">
        <v>4.87</v>
      </c>
      <c r="F10" s="924">
        <v>4.88</v>
      </c>
      <c r="G10" s="924">
        <v>4.8899999999999997</v>
      </c>
      <c r="H10" s="924">
        <v>4.8899999999999997</v>
      </c>
      <c r="I10" s="924">
        <v>4.9000000000000004</v>
      </c>
      <c r="J10" s="924">
        <v>4.9000000000000004</v>
      </c>
      <c r="K10" s="924">
        <v>4.91</v>
      </c>
      <c r="L10" s="924">
        <v>4.92</v>
      </c>
      <c r="M10" s="924">
        <v>4.9400000000000004</v>
      </c>
      <c r="N10" s="924">
        <v>4.95</v>
      </c>
      <c r="O10" s="208"/>
    </row>
    <row r="11" spans="1:15" ht="12" customHeight="1">
      <c r="A11" s="141" t="s">
        <v>107</v>
      </c>
      <c r="B11" s="937">
        <v>4.9000000000000004</v>
      </c>
      <c r="C11" s="924">
        <v>4.87</v>
      </c>
      <c r="D11" s="924">
        <v>4.8600000000000003</v>
      </c>
      <c r="E11" s="924">
        <v>4.87</v>
      </c>
      <c r="F11" s="924">
        <v>4.88</v>
      </c>
      <c r="G11" s="924">
        <v>4.8899999999999997</v>
      </c>
      <c r="H11" s="924">
        <v>4.8899999999999997</v>
      </c>
      <c r="I11" s="924">
        <v>4.9000000000000004</v>
      </c>
      <c r="J11" s="924">
        <v>4.9000000000000004</v>
      </c>
      <c r="K11" s="924">
        <v>4.91</v>
      </c>
      <c r="L11" s="924">
        <v>4.92</v>
      </c>
      <c r="M11" s="924">
        <v>4.9400000000000004</v>
      </c>
      <c r="N11" s="924">
        <v>4.95</v>
      </c>
      <c r="O11" s="208"/>
    </row>
    <row r="12" spans="1:15" ht="12" customHeight="1">
      <c r="A12" s="141" t="s">
        <v>108</v>
      </c>
      <c r="B12" s="937">
        <v>4.8899999999999997</v>
      </c>
      <c r="C12" s="924">
        <v>4.8499999999999996</v>
      </c>
      <c r="D12" s="924">
        <v>4.87</v>
      </c>
      <c r="E12" s="924">
        <v>4.8600000000000003</v>
      </c>
      <c r="F12" s="924">
        <v>4.87</v>
      </c>
      <c r="G12" s="924">
        <v>4.87</v>
      </c>
      <c r="H12" s="924">
        <v>4.88</v>
      </c>
      <c r="I12" s="924">
        <v>4.8899999999999997</v>
      </c>
      <c r="J12" s="924">
        <v>4.8899999999999997</v>
      </c>
      <c r="K12" s="924">
        <v>4.9000000000000004</v>
      </c>
      <c r="L12" s="924">
        <v>4.91</v>
      </c>
      <c r="M12" s="924">
        <v>4.93</v>
      </c>
      <c r="N12" s="924">
        <v>4.9400000000000004</v>
      </c>
      <c r="O12" s="208"/>
    </row>
    <row r="13" spans="1:15" ht="12" customHeight="1">
      <c r="A13" s="141" t="s">
        <v>139</v>
      </c>
      <c r="B13" s="937">
        <v>4.91</v>
      </c>
      <c r="C13" s="924">
        <v>4.87</v>
      </c>
      <c r="D13" s="924">
        <v>4.88</v>
      </c>
      <c r="E13" s="924">
        <v>4.8899999999999997</v>
      </c>
      <c r="F13" s="924">
        <v>4.9000000000000004</v>
      </c>
      <c r="G13" s="924">
        <v>4.91</v>
      </c>
      <c r="H13" s="924">
        <v>4.92</v>
      </c>
      <c r="I13" s="924">
        <v>4.91</v>
      </c>
      <c r="J13" s="924">
        <v>4.91</v>
      </c>
      <c r="K13" s="924">
        <v>4.9000000000000004</v>
      </c>
      <c r="L13" s="924">
        <v>4.92</v>
      </c>
      <c r="M13" s="924">
        <v>4.95</v>
      </c>
      <c r="N13" s="924">
        <v>4.97</v>
      </c>
      <c r="O13" s="208"/>
    </row>
    <row r="14" spans="1:15" ht="12" customHeight="1">
      <c r="A14" s="141" t="s">
        <v>29</v>
      </c>
      <c r="B14" s="937">
        <v>4.84</v>
      </c>
      <c r="C14" s="924">
        <v>4.8099999999999996</v>
      </c>
      <c r="D14" s="924">
        <v>4.8</v>
      </c>
      <c r="E14" s="924">
        <v>4.82</v>
      </c>
      <c r="F14" s="924">
        <v>4.8099999999999996</v>
      </c>
      <c r="G14" s="924">
        <v>4.82</v>
      </c>
      <c r="H14" s="924">
        <v>4.83</v>
      </c>
      <c r="I14" s="924">
        <v>4.84</v>
      </c>
      <c r="J14" s="924">
        <v>4.8499999999999996</v>
      </c>
      <c r="K14" s="924">
        <v>4.8499999999999996</v>
      </c>
      <c r="L14" s="924">
        <v>4.8600000000000003</v>
      </c>
      <c r="M14" s="924">
        <v>4.87</v>
      </c>
      <c r="N14" s="924">
        <v>4.8899999999999997</v>
      </c>
      <c r="O14" s="208"/>
    </row>
    <row r="15" spans="1:15" ht="12" customHeight="1">
      <c r="A15" s="141" t="s">
        <v>30</v>
      </c>
      <c r="B15" s="937">
        <v>4.76</v>
      </c>
      <c r="C15" s="924">
        <v>4.74</v>
      </c>
      <c r="D15" s="924">
        <v>4.72</v>
      </c>
      <c r="E15" s="924">
        <v>4.76</v>
      </c>
      <c r="F15" s="924">
        <v>4.75</v>
      </c>
      <c r="G15" s="924">
        <v>4.78</v>
      </c>
      <c r="H15" s="924">
        <v>4.7699999999999996</v>
      </c>
      <c r="I15" s="924">
        <v>4.78</v>
      </c>
      <c r="J15" s="924">
        <v>4.76</v>
      </c>
      <c r="K15" s="924">
        <v>4.75</v>
      </c>
      <c r="L15" s="924">
        <v>4.75</v>
      </c>
      <c r="M15" s="924">
        <v>4.76</v>
      </c>
      <c r="N15" s="924">
        <v>4.78</v>
      </c>
      <c r="O15" s="208"/>
    </row>
    <row r="16" spans="1:15" ht="12" customHeight="1">
      <c r="A16" s="141" t="s">
        <v>31</v>
      </c>
      <c r="B16" s="937">
        <v>4.55</v>
      </c>
      <c r="C16" s="924">
        <v>4.6100000000000003</v>
      </c>
      <c r="D16" s="924">
        <v>4.57</v>
      </c>
      <c r="E16" s="924">
        <v>4.6100000000000003</v>
      </c>
      <c r="F16" s="924">
        <v>4.59</v>
      </c>
      <c r="G16" s="924">
        <v>4.62</v>
      </c>
      <c r="H16" s="924">
        <v>4.5999999999999996</v>
      </c>
      <c r="I16" s="924">
        <v>4.5599999999999996</v>
      </c>
      <c r="J16" s="924">
        <v>4.5</v>
      </c>
      <c r="K16" s="924">
        <v>4.4800000000000004</v>
      </c>
      <c r="L16" s="924">
        <v>4.47</v>
      </c>
      <c r="M16" s="924">
        <v>4.49</v>
      </c>
      <c r="N16" s="924">
        <v>4.55</v>
      </c>
      <c r="O16" s="208"/>
    </row>
    <row r="17" spans="1:15" ht="12" customHeight="1">
      <c r="A17" s="141" t="s">
        <v>32</v>
      </c>
      <c r="B17" s="937">
        <v>4.5999999999999996</v>
      </c>
      <c r="C17" s="924">
        <v>4.6500000000000004</v>
      </c>
      <c r="D17" s="924">
        <v>4.63</v>
      </c>
      <c r="E17" s="924">
        <v>4.63</v>
      </c>
      <c r="F17" s="924">
        <v>4.62</v>
      </c>
      <c r="G17" s="924">
        <v>4.6399999999999997</v>
      </c>
      <c r="H17" s="924">
        <v>4.63</v>
      </c>
      <c r="I17" s="924">
        <v>4.5999999999999996</v>
      </c>
      <c r="J17" s="924">
        <v>4.57</v>
      </c>
      <c r="K17" s="924">
        <v>4.5599999999999996</v>
      </c>
      <c r="L17" s="924">
        <v>4.55</v>
      </c>
      <c r="M17" s="924">
        <v>4.58</v>
      </c>
      <c r="N17" s="924">
        <v>4.5999999999999996</v>
      </c>
      <c r="O17" s="208"/>
    </row>
    <row r="18" spans="1:15" ht="12" customHeight="1">
      <c r="A18" s="141" t="s">
        <v>33</v>
      </c>
      <c r="B18" s="937">
        <v>4.87</v>
      </c>
      <c r="C18" s="924">
        <v>4.84</v>
      </c>
      <c r="D18" s="924">
        <v>4.83</v>
      </c>
      <c r="E18" s="924">
        <v>4.8600000000000003</v>
      </c>
      <c r="F18" s="924">
        <v>4.87</v>
      </c>
      <c r="G18" s="924">
        <v>4.88</v>
      </c>
      <c r="H18" s="924">
        <v>4.87</v>
      </c>
      <c r="I18" s="924">
        <v>4.88</v>
      </c>
      <c r="J18" s="924">
        <v>4.88</v>
      </c>
      <c r="K18" s="924">
        <v>4.87</v>
      </c>
      <c r="L18" s="924">
        <v>4.8600000000000003</v>
      </c>
      <c r="M18" s="924">
        <v>4.88</v>
      </c>
      <c r="N18" s="924">
        <v>4.9000000000000004</v>
      </c>
      <c r="O18" s="208"/>
    </row>
    <row r="19" spans="1:15" ht="12" customHeight="1">
      <c r="A19" s="141" t="s">
        <v>34</v>
      </c>
      <c r="B19" s="937">
        <v>4.95</v>
      </c>
      <c r="C19" s="924">
        <v>4.92</v>
      </c>
      <c r="D19" s="924">
        <v>4.95</v>
      </c>
      <c r="E19" s="924">
        <v>4.9400000000000004</v>
      </c>
      <c r="F19" s="924">
        <v>4.95</v>
      </c>
      <c r="G19" s="924">
        <v>4.96</v>
      </c>
      <c r="H19" s="924">
        <v>4.95</v>
      </c>
      <c r="I19" s="924">
        <v>4.96</v>
      </c>
      <c r="J19" s="924">
        <v>4.95</v>
      </c>
      <c r="K19" s="924">
        <v>4.95</v>
      </c>
      <c r="L19" s="924">
        <v>4.9400000000000004</v>
      </c>
      <c r="M19" s="924">
        <v>4.95</v>
      </c>
      <c r="N19" s="924">
        <v>4.97</v>
      </c>
      <c r="O19" s="208"/>
    </row>
    <row r="20" spans="1:15" ht="12" customHeight="1">
      <c r="A20" s="141" t="s">
        <v>35</v>
      </c>
      <c r="B20" s="937">
        <v>4.95</v>
      </c>
      <c r="C20" s="924">
        <v>4.95</v>
      </c>
      <c r="D20" s="924">
        <v>4.92</v>
      </c>
      <c r="E20" s="924">
        <v>4.95</v>
      </c>
      <c r="F20" s="924">
        <v>4.9400000000000004</v>
      </c>
      <c r="G20" s="924">
        <v>4.95</v>
      </c>
      <c r="H20" s="924">
        <v>4.9400000000000004</v>
      </c>
      <c r="I20" s="924">
        <v>4.95</v>
      </c>
      <c r="J20" s="924">
        <v>4.95</v>
      </c>
      <c r="K20" s="924">
        <v>4.96</v>
      </c>
      <c r="L20" s="924">
        <v>4.95</v>
      </c>
      <c r="M20" s="924">
        <v>4.97</v>
      </c>
      <c r="N20" s="924">
        <v>4.99</v>
      </c>
      <c r="O20" s="208"/>
    </row>
    <row r="21" spans="1:15" ht="12" customHeight="1">
      <c r="A21" s="141" t="s">
        <v>36</v>
      </c>
      <c r="B21" s="937">
        <v>4.87</v>
      </c>
      <c r="C21" s="924">
        <v>4.83</v>
      </c>
      <c r="D21" s="924">
        <v>4.84</v>
      </c>
      <c r="E21" s="924">
        <v>4.8499999999999996</v>
      </c>
      <c r="F21" s="924">
        <v>4.8600000000000003</v>
      </c>
      <c r="G21" s="924">
        <v>4.8600000000000003</v>
      </c>
      <c r="H21" s="924">
        <v>4.87</v>
      </c>
      <c r="I21" s="924">
        <v>4.8600000000000003</v>
      </c>
      <c r="J21" s="924">
        <v>4.87</v>
      </c>
      <c r="K21" s="924">
        <v>4.87</v>
      </c>
      <c r="L21" s="924">
        <v>4.88</v>
      </c>
      <c r="M21" s="924">
        <v>4.9000000000000004</v>
      </c>
      <c r="N21" s="924">
        <v>4.92</v>
      </c>
      <c r="O21" s="208"/>
    </row>
    <row r="22" spans="1:15" ht="12" customHeight="1">
      <c r="A22" s="141" t="s">
        <v>37</v>
      </c>
      <c r="B22" s="937">
        <v>4.76</v>
      </c>
      <c r="C22" s="924">
        <v>4.78</v>
      </c>
      <c r="D22" s="924">
        <v>4.75</v>
      </c>
      <c r="E22" s="924">
        <v>4.75</v>
      </c>
      <c r="F22" s="924">
        <v>4.74</v>
      </c>
      <c r="G22" s="924">
        <v>4.8</v>
      </c>
      <c r="H22" s="924">
        <v>4.78</v>
      </c>
      <c r="I22" s="924">
        <v>4.76</v>
      </c>
      <c r="J22" s="924">
        <v>4.74</v>
      </c>
      <c r="K22" s="924">
        <v>4.7300000000000004</v>
      </c>
      <c r="L22" s="924">
        <v>4.7300000000000004</v>
      </c>
      <c r="M22" s="924">
        <v>4.75</v>
      </c>
      <c r="N22" s="924">
        <v>4.7699999999999996</v>
      </c>
      <c r="O22" s="208"/>
    </row>
    <row r="23" spans="1:15" ht="12" customHeight="1">
      <c r="A23" s="141" t="s">
        <v>38</v>
      </c>
      <c r="B23" s="937">
        <v>4.9400000000000004</v>
      </c>
      <c r="C23" s="924">
        <v>4.9000000000000004</v>
      </c>
      <c r="D23" s="924">
        <v>4.91</v>
      </c>
      <c r="E23" s="924">
        <v>4.92</v>
      </c>
      <c r="F23" s="924">
        <v>4.92</v>
      </c>
      <c r="G23" s="924">
        <v>4.9400000000000004</v>
      </c>
      <c r="H23" s="924">
        <v>4.9400000000000004</v>
      </c>
      <c r="I23" s="924">
        <v>4.95</v>
      </c>
      <c r="J23" s="924">
        <v>4.95</v>
      </c>
      <c r="K23" s="924">
        <v>4.9400000000000004</v>
      </c>
      <c r="L23" s="924">
        <v>4.93</v>
      </c>
      <c r="M23" s="924">
        <v>4.95</v>
      </c>
      <c r="N23" s="924">
        <v>4.96</v>
      </c>
      <c r="O23" s="208"/>
    </row>
    <row r="24" spans="1:15" ht="12" customHeight="1">
      <c r="A24" s="141" t="s">
        <v>39</v>
      </c>
      <c r="B24" s="937">
        <v>4.82</v>
      </c>
      <c r="C24" s="924">
        <v>4.82</v>
      </c>
      <c r="D24" s="924">
        <v>4.8099999999999996</v>
      </c>
      <c r="E24" s="924">
        <v>4.84</v>
      </c>
      <c r="F24" s="924">
        <v>4.82</v>
      </c>
      <c r="G24" s="924">
        <v>4.8499999999999996</v>
      </c>
      <c r="H24" s="924">
        <v>4.84</v>
      </c>
      <c r="I24" s="924">
        <v>4.8499999999999996</v>
      </c>
      <c r="J24" s="924">
        <v>4.84</v>
      </c>
      <c r="K24" s="924">
        <v>4.83</v>
      </c>
      <c r="L24" s="924">
        <v>4.74</v>
      </c>
      <c r="M24" s="924">
        <v>4.75</v>
      </c>
      <c r="N24" s="924">
        <v>4.78</v>
      </c>
      <c r="O24" s="208"/>
    </row>
    <row r="25" spans="1:15" ht="12" customHeight="1">
      <c r="A25" s="141" t="s">
        <v>40</v>
      </c>
      <c r="B25" s="937">
        <v>4.8600000000000003</v>
      </c>
      <c r="C25" s="924">
        <v>4.82</v>
      </c>
      <c r="D25" s="924">
        <v>4.84</v>
      </c>
      <c r="E25" s="924">
        <v>4.8499999999999996</v>
      </c>
      <c r="F25" s="924">
        <v>4.84</v>
      </c>
      <c r="G25" s="924">
        <v>4.84</v>
      </c>
      <c r="H25" s="924">
        <v>4.8499999999999996</v>
      </c>
      <c r="I25" s="924">
        <v>4.8499999999999996</v>
      </c>
      <c r="J25" s="924">
        <v>4.8499999999999996</v>
      </c>
      <c r="K25" s="924">
        <v>4.8600000000000003</v>
      </c>
      <c r="L25" s="924">
        <v>4.87</v>
      </c>
      <c r="M25" s="924">
        <v>4.8899999999999997</v>
      </c>
      <c r="N25" s="924">
        <v>4.9000000000000004</v>
      </c>
      <c r="O25" s="208"/>
    </row>
    <row r="26" spans="1:15" ht="12" customHeight="1">
      <c r="A26" s="141" t="s">
        <v>41</v>
      </c>
      <c r="B26" s="937">
        <v>4.97</v>
      </c>
      <c r="C26" s="924">
        <v>4.93</v>
      </c>
      <c r="D26" s="924">
        <v>4.95</v>
      </c>
      <c r="E26" s="924">
        <v>4.96</v>
      </c>
      <c r="F26" s="924">
        <v>4.97</v>
      </c>
      <c r="G26" s="924">
        <v>4.9800000000000004</v>
      </c>
      <c r="H26" s="924">
        <v>4.9800000000000004</v>
      </c>
      <c r="I26" s="924">
        <v>4.9800000000000004</v>
      </c>
      <c r="J26" s="924">
        <v>4.9800000000000004</v>
      </c>
      <c r="K26" s="924">
        <v>4.97</v>
      </c>
      <c r="L26" s="924">
        <v>4.9800000000000004</v>
      </c>
      <c r="M26" s="924">
        <v>5</v>
      </c>
      <c r="N26" s="924">
        <v>5.0199999999999996</v>
      </c>
      <c r="O26" s="208"/>
    </row>
    <row r="27" spans="1:15" ht="12" customHeight="1">
      <c r="A27" s="141" t="s">
        <v>111</v>
      </c>
      <c r="B27" s="937">
        <v>4.9800000000000004</v>
      </c>
      <c r="C27" s="924">
        <v>4.9400000000000004</v>
      </c>
      <c r="D27" s="924">
        <v>4.95</v>
      </c>
      <c r="E27" s="924">
        <v>4.96</v>
      </c>
      <c r="F27" s="924">
        <v>4.97</v>
      </c>
      <c r="G27" s="924">
        <v>4.9800000000000004</v>
      </c>
      <c r="H27" s="924">
        <v>4.9800000000000004</v>
      </c>
      <c r="I27" s="924">
        <v>4.9800000000000004</v>
      </c>
      <c r="J27" s="924">
        <v>4.9800000000000004</v>
      </c>
      <c r="K27" s="924">
        <v>4.9800000000000004</v>
      </c>
      <c r="L27" s="924">
        <v>4.99</v>
      </c>
      <c r="M27" s="924">
        <v>5</v>
      </c>
      <c r="N27" s="924">
        <v>5.0199999999999996</v>
      </c>
      <c r="O27" s="208"/>
    </row>
    <row r="28" spans="1:15" ht="12" customHeight="1">
      <c r="A28" s="141" t="s">
        <v>112</v>
      </c>
      <c r="B28" s="937">
        <v>4.97</v>
      </c>
      <c r="C28" s="924">
        <v>4.92</v>
      </c>
      <c r="D28" s="924">
        <v>4.9400000000000004</v>
      </c>
      <c r="E28" s="924">
        <v>4.95</v>
      </c>
      <c r="F28" s="924">
        <v>4.96</v>
      </c>
      <c r="G28" s="924">
        <v>4.97</v>
      </c>
      <c r="H28" s="924">
        <v>4.97</v>
      </c>
      <c r="I28" s="924">
        <v>4.97</v>
      </c>
      <c r="J28" s="924">
        <v>4.97</v>
      </c>
      <c r="K28" s="924">
        <v>4.96</v>
      </c>
      <c r="L28" s="924">
        <v>4.97</v>
      </c>
      <c r="M28" s="924">
        <v>4.99</v>
      </c>
      <c r="N28" s="924">
        <v>5.0199999999999996</v>
      </c>
      <c r="O28" s="208"/>
    </row>
    <row r="29" spans="1:15" ht="12" customHeight="1">
      <c r="A29" s="141" t="s">
        <v>44</v>
      </c>
      <c r="B29" s="937">
        <v>4.8899999999999997</v>
      </c>
      <c r="C29" s="924">
        <v>4.8499999999999996</v>
      </c>
      <c r="D29" s="924">
        <v>4.8600000000000003</v>
      </c>
      <c r="E29" s="924">
        <v>4.87</v>
      </c>
      <c r="F29" s="924">
        <v>4.88</v>
      </c>
      <c r="G29" s="924">
        <v>4.88</v>
      </c>
      <c r="H29" s="924">
        <v>4.8899999999999997</v>
      </c>
      <c r="I29" s="924">
        <v>4.88</v>
      </c>
      <c r="J29" s="924">
        <v>4.8899999999999997</v>
      </c>
      <c r="K29" s="924">
        <v>4.8899999999999997</v>
      </c>
      <c r="L29" s="924">
        <v>4.9000000000000004</v>
      </c>
      <c r="M29" s="924">
        <v>4.93</v>
      </c>
      <c r="N29" s="924">
        <v>4.95</v>
      </c>
      <c r="O29" s="208"/>
    </row>
    <row r="30" spans="1:15" ht="12" customHeight="1">
      <c r="A30" s="141" t="s">
        <v>45</v>
      </c>
      <c r="B30" s="937">
        <v>4.9800000000000004</v>
      </c>
      <c r="C30" s="924">
        <v>4.97</v>
      </c>
      <c r="D30" s="924">
        <v>4.97</v>
      </c>
      <c r="E30" s="924">
        <v>4.97</v>
      </c>
      <c r="F30" s="924">
        <v>4.9800000000000004</v>
      </c>
      <c r="G30" s="924">
        <v>4.99</v>
      </c>
      <c r="H30" s="924">
        <v>4.99</v>
      </c>
      <c r="I30" s="924">
        <v>4.9800000000000004</v>
      </c>
      <c r="J30" s="924">
        <v>4.9800000000000004</v>
      </c>
      <c r="K30" s="924">
        <v>4.9800000000000004</v>
      </c>
      <c r="L30" s="924">
        <v>4.97</v>
      </c>
      <c r="M30" s="924">
        <v>4.99</v>
      </c>
      <c r="N30" s="924">
        <v>5</v>
      </c>
      <c r="O30" s="208"/>
    </row>
    <row r="31" spans="1:15" ht="12" customHeight="1">
      <c r="A31" s="141" t="s">
        <v>46</v>
      </c>
      <c r="B31" s="937">
        <v>4.8099999999999996</v>
      </c>
      <c r="C31" s="924">
        <v>4.83</v>
      </c>
      <c r="D31" s="924">
        <v>4.8099999999999996</v>
      </c>
      <c r="E31" s="924">
        <v>4.8099999999999996</v>
      </c>
      <c r="F31" s="924">
        <v>4.8</v>
      </c>
      <c r="G31" s="924">
        <v>4.83</v>
      </c>
      <c r="H31" s="924">
        <v>4.82</v>
      </c>
      <c r="I31" s="924">
        <v>4.8</v>
      </c>
      <c r="J31" s="924">
        <v>4.78</v>
      </c>
      <c r="K31" s="924">
        <v>4.79</v>
      </c>
      <c r="L31" s="924">
        <v>4.8</v>
      </c>
      <c r="M31" s="924">
        <v>4.83</v>
      </c>
      <c r="N31" s="924">
        <v>4.8499999999999996</v>
      </c>
      <c r="O31" s="208"/>
    </row>
    <row r="32" spans="1:15" ht="12" customHeight="1">
      <c r="A32" s="184" t="s">
        <v>47</v>
      </c>
      <c r="B32" s="937">
        <v>5.03</v>
      </c>
      <c r="C32" s="926">
        <v>5.05</v>
      </c>
      <c r="D32" s="926">
        <v>5.03</v>
      </c>
      <c r="E32" s="926">
        <v>5.0199999999999996</v>
      </c>
      <c r="F32" s="926">
        <v>5.01</v>
      </c>
      <c r="G32" s="926">
        <v>5.03</v>
      </c>
      <c r="H32" s="926">
        <v>5.0199999999999996</v>
      </c>
      <c r="I32" s="926">
        <v>5.0199999999999996</v>
      </c>
      <c r="J32" s="926">
        <v>5.01</v>
      </c>
      <c r="K32" s="926">
        <v>5.0199999999999996</v>
      </c>
      <c r="L32" s="926">
        <v>5.01</v>
      </c>
      <c r="M32" s="926">
        <v>5.03</v>
      </c>
      <c r="N32" s="926">
        <v>5.05</v>
      </c>
      <c r="O32" s="208"/>
    </row>
    <row r="33" spans="1:15" ht="12" customHeight="1">
      <c r="A33" s="141" t="s">
        <v>48</v>
      </c>
      <c r="B33" s="937">
        <v>5.05</v>
      </c>
      <c r="C33" s="926">
        <v>5.07</v>
      </c>
      <c r="D33" s="926">
        <v>5.05</v>
      </c>
      <c r="E33" s="926">
        <v>5.03</v>
      </c>
      <c r="F33" s="926">
        <v>5.04</v>
      </c>
      <c r="G33" s="926">
        <v>5.0599999999999996</v>
      </c>
      <c r="H33" s="926">
        <v>5.05</v>
      </c>
      <c r="I33" s="926">
        <v>5.05</v>
      </c>
      <c r="J33" s="926">
        <v>5.04</v>
      </c>
      <c r="K33" s="926">
        <v>5.04</v>
      </c>
      <c r="L33" s="926">
        <v>5.03</v>
      </c>
      <c r="M33" s="926">
        <v>5.05</v>
      </c>
      <c r="N33" s="926">
        <v>5.0599999999999996</v>
      </c>
      <c r="O33" s="208"/>
    </row>
    <row r="34" spans="1:15" ht="12" customHeight="1" thickBot="1">
      <c r="A34" s="202" t="s">
        <v>49</v>
      </c>
      <c r="B34" s="938">
        <v>5.1100000000000003</v>
      </c>
      <c r="C34" s="925">
        <v>5.12</v>
      </c>
      <c r="D34" s="925">
        <v>5.0999999999999996</v>
      </c>
      <c r="E34" s="925">
        <v>5.08</v>
      </c>
      <c r="F34" s="925">
        <v>5.09</v>
      </c>
      <c r="G34" s="925">
        <v>5.1100000000000003</v>
      </c>
      <c r="H34" s="925">
        <v>5.0999999999999996</v>
      </c>
      <c r="I34" s="925">
        <v>5.0999999999999996</v>
      </c>
      <c r="J34" s="925">
        <v>5.0999999999999996</v>
      </c>
      <c r="K34" s="925">
        <v>5.0999999999999996</v>
      </c>
      <c r="L34" s="925">
        <v>5.1100000000000003</v>
      </c>
      <c r="M34" s="925">
        <v>5.12</v>
      </c>
      <c r="N34" s="925">
        <v>5.14</v>
      </c>
      <c r="O34" s="209"/>
    </row>
    <row r="35" spans="1:15" ht="10" customHeight="1">
      <c r="A35" s="28" t="s">
        <v>238</v>
      </c>
      <c r="B35" s="935"/>
      <c r="C35" s="936"/>
      <c r="D35" s="936"/>
      <c r="E35" s="936"/>
      <c r="F35" s="936"/>
      <c r="G35" s="936"/>
      <c r="H35" s="936"/>
      <c r="I35" s="936"/>
      <c r="J35" s="936"/>
      <c r="K35" s="936"/>
      <c r="L35" s="936"/>
      <c r="M35" s="936"/>
      <c r="N35" s="936"/>
      <c r="O35" s="189"/>
    </row>
    <row r="36" spans="1:15" ht="10" customHeight="1">
      <c r="A36" s="28" t="s">
        <v>192</v>
      </c>
      <c r="B36" s="936"/>
      <c r="C36" s="936"/>
      <c r="D36" s="936"/>
      <c r="E36" s="936"/>
      <c r="F36" s="936"/>
      <c r="G36" s="936"/>
      <c r="H36" s="936"/>
      <c r="I36" s="936"/>
      <c r="J36" s="936"/>
      <c r="K36" s="936"/>
      <c r="L36" s="936"/>
      <c r="M36" s="936"/>
      <c r="N36" s="936"/>
      <c r="O36" s="189"/>
    </row>
    <row r="37" spans="1:15" ht="10" customHeight="1">
      <c r="A37" s="40" t="s">
        <v>261</v>
      </c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</row>
    <row r="38" spans="1:15" ht="13" customHeight="1">
      <c r="A38" s="31"/>
    </row>
    <row r="39" spans="1:15" ht="13" customHeight="1">
      <c r="A39" s="31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Hoja103">
    <tabColor theme="9" tint="0.59999389629810485"/>
  </sheetPr>
  <dimension ref="A1:Q45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141" customWidth="1"/>
    <col min="2" max="14" width="8.3984375" style="141" customWidth="1"/>
    <col min="15" max="16384" width="7" style="141"/>
  </cols>
  <sheetData>
    <row r="1" spans="1:17" ht="17" customHeight="1">
      <c r="A1" s="942" t="s">
        <v>522</v>
      </c>
      <c r="B1" s="927"/>
      <c r="C1" s="908"/>
      <c r="D1" s="908"/>
      <c r="E1" s="908"/>
      <c r="F1" s="908"/>
      <c r="G1" s="908"/>
      <c r="H1" s="908"/>
      <c r="I1" s="908"/>
      <c r="J1" s="908"/>
      <c r="K1" s="908"/>
      <c r="L1" s="908"/>
      <c r="M1" s="908"/>
      <c r="N1" s="908"/>
      <c r="O1" s="187"/>
      <c r="P1" s="187"/>
      <c r="Q1" s="187"/>
    </row>
    <row r="2" spans="1:17" ht="13" customHeight="1">
      <c r="A2" s="927" t="s">
        <v>593</v>
      </c>
      <c r="B2" s="508"/>
      <c r="C2" s="189"/>
      <c r="D2" s="189"/>
      <c r="E2" s="189"/>
      <c r="F2" s="189"/>
      <c r="G2" s="193"/>
      <c r="H2" s="192"/>
      <c r="I2" s="189"/>
      <c r="J2" s="189"/>
      <c r="K2" s="189"/>
      <c r="L2" s="189"/>
      <c r="M2" s="189"/>
      <c r="N2" s="189"/>
    </row>
    <row r="3" spans="1:17" ht="4" customHeight="1" thickBot="1">
      <c r="A3" s="192"/>
      <c r="B3" s="189"/>
      <c r="C3" s="189"/>
      <c r="D3" s="189"/>
      <c r="E3" s="189"/>
      <c r="F3" s="189"/>
      <c r="G3" s="193"/>
      <c r="H3" s="192"/>
      <c r="I3" s="189"/>
      <c r="J3" s="189"/>
      <c r="K3" s="189"/>
      <c r="L3" s="189"/>
      <c r="M3" s="189"/>
      <c r="N3" s="189"/>
    </row>
    <row r="4" spans="1:17" ht="15" customHeight="1">
      <c r="A4" s="525" t="s">
        <v>18</v>
      </c>
      <c r="B4" s="934" t="s">
        <v>56</v>
      </c>
      <c r="C4" s="934" t="s">
        <v>57</v>
      </c>
      <c r="D4" s="934" t="s">
        <v>58</v>
      </c>
      <c r="E4" s="934" t="s">
        <v>59</v>
      </c>
      <c r="F4" s="934" t="s">
        <v>60</v>
      </c>
      <c r="G4" s="934" t="s">
        <v>61</v>
      </c>
      <c r="H4" s="934" t="s">
        <v>62</v>
      </c>
      <c r="I4" s="934" t="s">
        <v>63</v>
      </c>
      <c r="J4" s="934" t="s">
        <v>64</v>
      </c>
      <c r="K4" s="934" t="s">
        <v>65</v>
      </c>
      <c r="L4" s="934" t="s">
        <v>66</v>
      </c>
      <c r="M4" s="934" t="s">
        <v>67</v>
      </c>
      <c r="N4" s="934" t="s">
        <v>68</v>
      </c>
    </row>
    <row r="5" spans="1:17" ht="15" customHeight="1">
      <c r="A5" s="929" t="s">
        <v>114</v>
      </c>
      <c r="B5" s="931">
        <v>5.6</v>
      </c>
      <c r="C5" s="930">
        <v>5.57</v>
      </c>
      <c r="D5" s="930">
        <v>5.59</v>
      </c>
      <c r="E5" s="930">
        <v>5.61</v>
      </c>
      <c r="F5" s="930">
        <v>5.64</v>
      </c>
      <c r="G5" s="930">
        <v>5.64</v>
      </c>
      <c r="H5" s="930">
        <v>5.62</v>
      </c>
      <c r="I5" s="930">
        <v>5.61</v>
      </c>
      <c r="J5" s="930">
        <v>5.6</v>
      </c>
      <c r="K5" s="930">
        <v>5.58</v>
      </c>
      <c r="L5" s="930">
        <v>5.57</v>
      </c>
      <c r="M5" s="930">
        <v>5.57</v>
      </c>
      <c r="N5" s="930">
        <v>5.56</v>
      </c>
    </row>
    <row r="6" spans="1:17" ht="12" customHeight="1">
      <c r="A6" s="141" t="s">
        <v>21</v>
      </c>
      <c r="B6" s="939">
        <v>5.5</v>
      </c>
      <c r="C6" s="924">
        <v>5.5</v>
      </c>
      <c r="D6" s="924">
        <v>5.49</v>
      </c>
      <c r="E6" s="924">
        <v>5.5</v>
      </c>
      <c r="F6" s="924">
        <v>5.51</v>
      </c>
      <c r="G6" s="924">
        <v>5.52</v>
      </c>
      <c r="H6" s="924">
        <v>5.51</v>
      </c>
      <c r="I6" s="924">
        <v>5.51</v>
      </c>
      <c r="J6" s="924">
        <v>5.51</v>
      </c>
      <c r="K6" s="924">
        <v>5.5</v>
      </c>
      <c r="L6" s="924">
        <v>5.49</v>
      </c>
      <c r="M6" s="924">
        <v>5.49</v>
      </c>
      <c r="N6" s="924">
        <v>5.48</v>
      </c>
    </row>
    <row r="7" spans="1:17" ht="12" customHeight="1">
      <c r="A7" s="141" t="s">
        <v>22</v>
      </c>
      <c r="B7" s="941">
        <v>5.61</v>
      </c>
      <c r="C7" s="924">
        <v>5.6</v>
      </c>
      <c r="D7" s="924">
        <v>5.62</v>
      </c>
      <c r="E7" s="924">
        <v>5.63</v>
      </c>
      <c r="F7" s="924">
        <v>5.62</v>
      </c>
      <c r="G7" s="924">
        <v>5.63</v>
      </c>
      <c r="H7" s="924">
        <v>5.62</v>
      </c>
      <c r="I7" s="924">
        <v>5.62</v>
      </c>
      <c r="J7" s="924">
        <v>5.61</v>
      </c>
      <c r="K7" s="924">
        <v>5.6</v>
      </c>
      <c r="L7" s="924">
        <v>5.6</v>
      </c>
      <c r="M7" s="924">
        <v>5.6</v>
      </c>
      <c r="N7" s="924">
        <v>5.58</v>
      </c>
    </row>
    <row r="8" spans="1:17" ht="12" customHeight="1">
      <c r="A8" s="141" t="s">
        <v>23</v>
      </c>
      <c r="B8" s="941">
        <v>5.77</v>
      </c>
      <c r="C8" s="924">
        <v>5.8</v>
      </c>
      <c r="D8" s="924">
        <v>5.78</v>
      </c>
      <c r="E8" s="924">
        <v>5.77</v>
      </c>
      <c r="F8" s="924">
        <v>5.76</v>
      </c>
      <c r="G8" s="924">
        <v>5.76</v>
      </c>
      <c r="H8" s="924">
        <v>5.75</v>
      </c>
      <c r="I8" s="924">
        <v>5.76</v>
      </c>
      <c r="J8" s="924">
        <v>5.76</v>
      </c>
      <c r="K8" s="924">
        <v>5.77</v>
      </c>
      <c r="L8" s="924">
        <v>5.76</v>
      </c>
      <c r="M8" s="924">
        <v>5.77</v>
      </c>
      <c r="N8" s="924">
        <v>5.78</v>
      </c>
    </row>
    <row r="9" spans="1:17" ht="12" customHeight="1">
      <c r="A9" s="141" t="s">
        <v>24</v>
      </c>
      <c r="B9" s="941">
        <v>5.75</v>
      </c>
      <c r="C9" s="924">
        <v>5.73</v>
      </c>
      <c r="D9" s="924">
        <v>5.75</v>
      </c>
      <c r="E9" s="924">
        <v>5.76</v>
      </c>
      <c r="F9" s="924">
        <v>5.75</v>
      </c>
      <c r="G9" s="924">
        <v>5.75</v>
      </c>
      <c r="H9" s="924">
        <v>5.76</v>
      </c>
      <c r="I9" s="924">
        <v>5.75</v>
      </c>
      <c r="J9" s="924">
        <v>5.75</v>
      </c>
      <c r="K9" s="924">
        <v>5.74</v>
      </c>
      <c r="L9" s="924">
        <v>5.75</v>
      </c>
      <c r="M9" s="924">
        <v>5.75</v>
      </c>
      <c r="N9" s="924">
        <v>5.74</v>
      </c>
    </row>
    <row r="10" spans="1:17" ht="12" customHeight="1">
      <c r="A10" s="141" t="s">
        <v>25</v>
      </c>
      <c r="B10" s="941">
        <v>4.76</v>
      </c>
      <c r="C10" s="924">
        <v>4.75</v>
      </c>
      <c r="D10" s="924">
        <v>4.7699999999999996</v>
      </c>
      <c r="E10" s="924">
        <v>4.78</v>
      </c>
      <c r="F10" s="924">
        <v>4.7699999999999996</v>
      </c>
      <c r="G10" s="924">
        <v>4.78</v>
      </c>
      <c r="H10" s="924">
        <v>4.7699999999999996</v>
      </c>
      <c r="I10" s="924">
        <v>4.76</v>
      </c>
      <c r="J10" s="924">
        <v>4.7699999999999996</v>
      </c>
      <c r="K10" s="924">
        <v>4.76</v>
      </c>
      <c r="L10" s="924">
        <v>4.75</v>
      </c>
      <c r="M10" s="924">
        <v>4.76</v>
      </c>
      <c r="N10" s="924">
        <v>4.75</v>
      </c>
    </row>
    <row r="11" spans="1:17" ht="12" customHeight="1">
      <c r="A11" s="141" t="s">
        <v>107</v>
      </c>
      <c r="B11" s="941">
        <v>4.7699999999999996</v>
      </c>
      <c r="C11" s="924">
        <v>4.76</v>
      </c>
      <c r="D11" s="924">
        <v>4.78</v>
      </c>
      <c r="E11" s="924">
        <v>4.78</v>
      </c>
      <c r="F11" s="924">
        <v>4.7699999999999996</v>
      </c>
      <c r="G11" s="924">
        <v>4.78</v>
      </c>
      <c r="H11" s="924">
        <v>4.7699999999999996</v>
      </c>
      <c r="I11" s="924">
        <v>4.76</v>
      </c>
      <c r="J11" s="924">
        <v>4.7699999999999996</v>
      </c>
      <c r="K11" s="924">
        <v>4.76</v>
      </c>
      <c r="L11" s="924">
        <v>4.76</v>
      </c>
      <c r="M11" s="924">
        <v>4.76</v>
      </c>
      <c r="N11" s="924">
        <v>4.75</v>
      </c>
    </row>
    <row r="12" spans="1:17" ht="12" customHeight="1">
      <c r="A12" s="141" t="s">
        <v>108</v>
      </c>
      <c r="B12" s="941">
        <v>4.75</v>
      </c>
      <c r="C12" s="924">
        <v>4.74</v>
      </c>
      <c r="D12" s="924">
        <v>4.76</v>
      </c>
      <c r="E12" s="924">
        <v>4.7699999999999996</v>
      </c>
      <c r="F12" s="924">
        <v>4.76</v>
      </c>
      <c r="G12" s="924">
        <v>4.7699999999999996</v>
      </c>
      <c r="H12" s="924">
        <v>4.76</v>
      </c>
      <c r="I12" s="924">
        <v>4.75</v>
      </c>
      <c r="J12" s="924">
        <v>4.75</v>
      </c>
      <c r="K12" s="924">
        <v>4.74</v>
      </c>
      <c r="L12" s="924">
        <v>4.7300000000000004</v>
      </c>
      <c r="M12" s="924">
        <v>4.74</v>
      </c>
      <c r="N12" s="924">
        <v>4.74</v>
      </c>
    </row>
    <row r="13" spans="1:17" ht="12" customHeight="1">
      <c r="A13" s="141" t="s">
        <v>139</v>
      </c>
      <c r="B13" s="941">
        <v>4.76</v>
      </c>
      <c r="C13" s="924">
        <v>4.72</v>
      </c>
      <c r="D13" s="924">
        <v>4.75</v>
      </c>
      <c r="E13" s="924">
        <v>4.75</v>
      </c>
      <c r="F13" s="924">
        <v>4.76</v>
      </c>
      <c r="G13" s="924">
        <v>4.78</v>
      </c>
      <c r="H13" s="924">
        <v>4.7699999999999996</v>
      </c>
      <c r="I13" s="924">
        <v>4.7699999999999996</v>
      </c>
      <c r="J13" s="924">
        <v>4.76</v>
      </c>
      <c r="K13" s="924">
        <v>4.76</v>
      </c>
      <c r="L13" s="924">
        <v>4.75</v>
      </c>
      <c r="M13" s="924">
        <v>4.75</v>
      </c>
      <c r="N13" s="924">
        <v>4.74</v>
      </c>
    </row>
    <row r="14" spans="1:17" ht="12" customHeight="1">
      <c r="A14" s="141" t="s">
        <v>29</v>
      </c>
      <c r="B14" s="941">
        <v>5.24</v>
      </c>
      <c r="C14" s="924">
        <v>5.2</v>
      </c>
      <c r="D14" s="924">
        <v>5.23</v>
      </c>
      <c r="E14" s="924">
        <v>5.25</v>
      </c>
      <c r="F14" s="924">
        <v>5.26</v>
      </c>
      <c r="G14" s="924">
        <v>5.25</v>
      </c>
      <c r="H14" s="924">
        <v>5.24</v>
      </c>
      <c r="I14" s="924">
        <v>5.23</v>
      </c>
      <c r="J14" s="924">
        <v>5.23</v>
      </c>
      <c r="K14" s="924">
        <v>5.24</v>
      </c>
      <c r="L14" s="924">
        <v>5.25</v>
      </c>
      <c r="M14" s="924">
        <v>5.26</v>
      </c>
      <c r="N14" s="924">
        <v>5.26</v>
      </c>
    </row>
    <row r="15" spans="1:17" ht="12" customHeight="1">
      <c r="A15" s="141" t="s">
        <v>30</v>
      </c>
      <c r="B15" s="941">
        <v>4.7699999999999996</v>
      </c>
      <c r="C15" s="924">
        <v>4.7300000000000004</v>
      </c>
      <c r="D15" s="924">
        <v>4.74</v>
      </c>
      <c r="E15" s="924">
        <v>4.7699999999999996</v>
      </c>
      <c r="F15" s="924">
        <v>4.78</v>
      </c>
      <c r="G15" s="924">
        <v>4.8</v>
      </c>
      <c r="H15" s="924">
        <v>4.8</v>
      </c>
      <c r="I15" s="924">
        <v>4.79</v>
      </c>
      <c r="J15" s="924">
        <v>4.78</v>
      </c>
      <c r="K15" s="924">
        <v>4.78</v>
      </c>
      <c r="L15" s="924">
        <v>4.7699999999999996</v>
      </c>
      <c r="M15" s="924">
        <v>4.76</v>
      </c>
      <c r="N15" s="924">
        <v>4.7699999999999996</v>
      </c>
    </row>
    <row r="16" spans="1:17" ht="12" customHeight="1">
      <c r="A16" s="141" t="s">
        <v>31</v>
      </c>
      <c r="B16" s="941">
        <v>5.69</v>
      </c>
      <c r="C16" s="924">
        <v>5.72</v>
      </c>
      <c r="D16" s="924">
        <v>5.7</v>
      </c>
      <c r="E16" s="924">
        <v>5.8</v>
      </c>
      <c r="F16" s="924">
        <v>5.78</v>
      </c>
      <c r="G16" s="924">
        <v>5.79</v>
      </c>
      <c r="H16" s="924">
        <v>5.8</v>
      </c>
      <c r="I16" s="924">
        <v>5.8</v>
      </c>
      <c r="J16" s="924">
        <v>5.81</v>
      </c>
      <c r="K16" s="924">
        <v>5.51</v>
      </c>
      <c r="L16" s="924">
        <v>5.51</v>
      </c>
      <c r="M16" s="924">
        <v>5.52</v>
      </c>
      <c r="N16" s="924">
        <v>5.52</v>
      </c>
    </row>
    <row r="17" spans="1:14" ht="12" customHeight="1">
      <c r="A17" s="141" t="s">
        <v>32</v>
      </c>
      <c r="B17" s="941">
        <v>5.3</v>
      </c>
      <c r="C17" s="924">
        <v>5.28</v>
      </c>
      <c r="D17" s="924">
        <v>5.29</v>
      </c>
      <c r="E17" s="924">
        <v>5.3</v>
      </c>
      <c r="F17" s="924">
        <v>5.29</v>
      </c>
      <c r="G17" s="924">
        <v>5.3</v>
      </c>
      <c r="H17" s="924">
        <v>5.3</v>
      </c>
      <c r="I17" s="924">
        <v>5.29</v>
      </c>
      <c r="J17" s="924">
        <v>5.29</v>
      </c>
      <c r="K17" s="924">
        <v>5.3</v>
      </c>
      <c r="L17" s="924">
        <v>5.29</v>
      </c>
      <c r="M17" s="924">
        <v>5.3</v>
      </c>
      <c r="N17" s="924">
        <v>5.31</v>
      </c>
    </row>
    <row r="18" spans="1:14" ht="12" customHeight="1">
      <c r="A18" s="141" t="s">
        <v>33</v>
      </c>
      <c r="B18" s="941">
        <v>5.54</v>
      </c>
      <c r="C18" s="924">
        <v>5.55</v>
      </c>
      <c r="D18" s="924">
        <v>5.56</v>
      </c>
      <c r="E18" s="924">
        <v>5.55</v>
      </c>
      <c r="F18" s="924">
        <v>5.54</v>
      </c>
      <c r="G18" s="924">
        <v>5.55</v>
      </c>
      <c r="H18" s="924">
        <v>5.54</v>
      </c>
      <c r="I18" s="924">
        <v>5.53</v>
      </c>
      <c r="J18" s="924">
        <v>5.54</v>
      </c>
      <c r="K18" s="924">
        <v>5.54</v>
      </c>
      <c r="L18" s="924">
        <v>5.55</v>
      </c>
      <c r="M18" s="924">
        <v>5.54</v>
      </c>
      <c r="N18" s="924">
        <v>5.53</v>
      </c>
    </row>
    <row r="19" spans="1:14" ht="12" customHeight="1">
      <c r="A19" s="141" t="s">
        <v>34</v>
      </c>
      <c r="B19" s="941">
        <v>5.46</v>
      </c>
      <c r="C19" s="924">
        <v>5.48</v>
      </c>
      <c r="D19" s="924">
        <v>5.49</v>
      </c>
      <c r="E19" s="924">
        <v>5.48</v>
      </c>
      <c r="F19" s="924">
        <v>5.47</v>
      </c>
      <c r="G19" s="924">
        <v>5.47</v>
      </c>
      <c r="H19" s="924">
        <v>5.46</v>
      </c>
      <c r="I19" s="924">
        <v>5.45</v>
      </c>
      <c r="J19" s="924">
        <v>5.44</v>
      </c>
      <c r="K19" s="924">
        <v>5.44</v>
      </c>
      <c r="L19" s="924">
        <v>5.45</v>
      </c>
      <c r="M19" s="924">
        <v>5.45</v>
      </c>
      <c r="N19" s="924">
        <v>5.44</v>
      </c>
    </row>
    <row r="20" spans="1:14" ht="12" customHeight="1">
      <c r="A20" s="141" t="s">
        <v>35</v>
      </c>
      <c r="B20" s="941">
        <v>6.07</v>
      </c>
      <c r="C20" s="924">
        <v>6.05</v>
      </c>
      <c r="D20" s="924">
        <v>6.06</v>
      </c>
      <c r="E20" s="924">
        <v>6.1</v>
      </c>
      <c r="F20" s="924">
        <v>6.09</v>
      </c>
      <c r="G20" s="924">
        <v>6.1</v>
      </c>
      <c r="H20" s="924">
        <v>6.09</v>
      </c>
      <c r="I20" s="924">
        <v>6.08</v>
      </c>
      <c r="J20" s="924">
        <v>6.07</v>
      </c>
      <c r="K20" s="924">
        <v>6.07</v>
      </c>
      <c r="L20" s="924">
        <v>6.05</v>
      </c>
      <c r="M20" s="924">
        <v>6.05</v>
      </c>
      <c r="N20" s="924">
        <v>6.04</v>
      </c>
    </row>
    <row r="21" spans="1:14" ht="12" customHeight="1">
      <c r="A21" s="141" t="s">
        <v>36</v>
      </c>
      <c r="B21" s="941">
        <v>5.0199999999999996</v>
      </c>
      <c r="C21" s="924">
        <v>5</v>
      </c>
      <c r="D21" s="924">
        <v>5.05</v>
      </c>
      <c r="E21" s="924">
        <v>5.04</v>
      </c>
      <c r="F21" s="924">
        <v>5.03</v>
      </c>
      <c r="G21" s="924">
        <v>5.03</v>
      </c>
      <c r="H21" s="924">
        <v>5.0199999999999996</v>
      </c>
      <c r="I21" s="924">
        <v>5.01</v>
      </c>
      <c r="J21" s="924">
        <v>5</v>
      </c>
      <c r="K21" s="924">
        <v>5.01</v>
      </c>
      <c r="L21" s="924">
        <v>5.01</v>
      </c>
      <c r="M21" s="924">
        <v>5.0199999999999996</v>
      </c>
      <c r="N21" s="924">
        <v>5.01</v>
      </c>
    </row>
    <row r="22" spans="1:14" ht="12" customHeight="1">
      <c r="A22" s="141" t="s">
        <v>37</v>
      </c>
      <c r="B22" s="941">
        <v>5.45</v>
      </c>
      <c r="C22" s="924">
        <v>5.58</v>
      </c>
      <c r="D22" s="924">
        <v>5.59</v>
      </c>
      <c r="E22" s="924">
        <v>5.58</v>
      </c>
      <c r="F22" s="924">
        <v>5.57</v>
      </c>
      <c r="G22" s="924">
        <v>5.58</v>
      </c>
      <c r="H22" s="924">
        <v>5.37</v>
      </c>
      <c r="I22" s="924">
        <v>5.36</v>
      </c>
      <c r="J22" s="924">
        <v>5.35</v>
      </c>
      <c r="K22" s="924">
        <v>5.34</v>
      </c>
      <c r="L22" s="924">
        <v>5.35</v>
      </c>
      <c r="M22" s="924">
        <v>5.34</v>
      </c>
      <c r="N22" s="924">
        <v>5.33</v>
      </c>
    </row>
    <row r="23" spans="1:14" ht="12" customHeight="1">
      <c r="A23" s="141" t="s">
        <v>38</v>
      </c>
      <c r="B23" s="941">
        <v>5.0199999999999996</v>
      </c>
      <c r="C23" s="924">
        <v>5</v>
      </c>
      <c r="D23" s="924">
        <v>5.0199999999999996</v>
      </c>
      <c r="E23" s="924">
        <v>5.0199999999999996</v>
      </c>
      <c r="F23" s="924">
        <v>5.03</v>
      </c>
      <c r="G23" s="924">
        <v>5.04</v>
      </c>
      <c r="H23" s="924">
        <v>5.03</v>
      </c>
      <c r="I23" s="924">
        <v>5.0199999999999996</v>
      </c>
      <c r="J23" s="924">
        <v>5.0199999999999996</v>
      </c>
      <c r="K23" s="924">
        <v>5.01</v>
      </c>
      <c r="L23" s="924">
        <v>5.01</v>
      </c>
      <c r="M23" s="924">
        <v>5.01</v>
      </c>
      <c r="N23" s="924">
        <v>5</v>
      </c>
    </row>
    <row r="24" spans="1:14" ht="12" customHeight="1">
      <c r="A24" s="141" t="s">
        <v>39</v>
      </c>
      <c r="B24" s="941">
        <v>5.15</v>
      </c>
      <c r="C24" s="924">
        <v>5.18</v>
      </c>
      <c r="D24" s="924">
        <v>5.16</v>
      </c>
      <c r="E24" s="924">
        <v>5.15</v>
      </c>
      <c r="F24" s="924">
        <v>5.14</v>
      </c>
      <c r="G24" s="924">
        <v>5.16</v>
      </c>
      <c r="H24" s="924">
        <v>5.15</v>
      </c>
      <c r="I24" s="924">
        <v>5.14</v>
      </c>
      <c r="J24" s="924">
        <v>5.15</v>
      </c>
      <c r="K24" s="924">
        <v>5.14</v>
      </c>
      <c r="L24" s="924">
        <v>5.15</v>
      </c>
      <c r="M24" s="924">
        <v>5.16</v>
      </c>
      <c r="N24" s="924">
        <v>5.15</v>
      </c>
    </row>
    <row r="25" spans="1:14" ht="12" customHeight="1">
      <c r="A25" s="141" t="s">
        <v>40</v>
      </c>
      <c r="B25" s="941">
        <v>5.12</v>
      </c>
      <c r="C25" s="928">
        <v>5.07</v>
      </c>
      <c r="D25" s="928">
        <v>5.08</v>
      </c>
      <c r="E25" s="928">
        <v>5.07</v>
      </c>
      <c r="F25" s="928">
        <v>5.16</v>
      </c>
      <c r="G25" s="928">
        <v>5.15</v>
      </c>
      <c r="H25" s="928">
        <v>5.14</v>
      </c>
      <c r="I25" s="928">
        <v>5.12</v>
      </c>
      <c r="J25" s="928">
        <v>5.1100000000000003</v>
      </c>
      <c r="K25" s="928">
        <v>5.0999999999999996</v>
      </c>
      <c r="L25" s="928">
        <v>5.12</v>
      </c>
      <c r="M25" s="928">
        <v>5.13</v>
      </c>
      <c r="N25" s="928">
        <v>5.14</v>
      </c>
    </row>
    <row r="26" spans="1:14" ht="12" customHeight="1">
      <c r="A26" s="141" t="s">
        <v>41</v>
      </c>
      <c r="B26" s="941">
        <v>5.08</v>
      </c>
      <c r="C26" s="924">
        <v>5.1100000000000003</v>
      </c>
      <c r="D26" s="924">
        <v>5.0999999999999996</v>
      </c>
      <c r="E26" s="924">
        <v>5.1100000000000003</v>
      </c>
      <c r="F26" s="924">
        <v>5.09</v>
      </c>
      <c r="G26" s="924">
        <v>5.09</v>
      </c>
      <c r="H26" s="924">
        <v>5.08</v>
      </c>
      <c r="I26" s="924">
        <v>5.0599999999999996</v>
      </c>
      <c r="J26" s="924">
        <v>5.0599999999999996</v>
      </c>
      <c r="K26" s="924">
        <v>5.0599999999999996</v>
      </c>
      <c r="L26" s="924">
        <v>5.05</v>
      </c>
      <c r="M26" s="924">
        <v>5.0599999999999996</v>
      </c>
      <c r="N26" s="924">
        <v>5.05</v>
      </c>
    </row>
    <row r="27" spans="1:14" ht="12" customHeight="1">
      <c r="A27" s="141" t="s">
        <v>111</v>
      </c>
      <c r="B27" s="941">
        <v>5.07</v>
      </c>
      <c r="C27" s="924">
        <v>5.0999999999999996</v>
      </c>
      <c r="D27" s="924">
        <v>5.09</v>
      </c>
      <c r="E27" s="924">
        <v>5.0999999999999996</v>
      </c>
      <c r="F27" s="924">
        <v>5.09</v>
      </c>
      <c r="G27" s="924">
        <v>5.07</v>
      </c>
      <c r="H27" s="924">
        <v>5.0599999999999996</v>
      </c>
      <c r="I27" s="924">
        <v>5.05</v>
      </c>
      <c r="J27" s="924">
        <v>5.0599999999999996</v>
      </c>
      <c r="K27" s="924">
        <v>5.0599999999999996</v>
      </c>
      <c r="L27" s="924">
        <v>5.05</v>
      </c>
      <c r="M27" s="924">
        <v>5.05</v>
      </c>
      <c r="N27" s="924">
        <v>5.04</v>
      </c>
    </row>
    <row r="28" spans="1:14" ht="12" customHeight="1">
      <c r="A28" s="141" t="s">
        <v>112</v>
      </c>
      <c r="B28" s="941">
        <v>5.09</v>
      </c>
      <c r="C28" s="924">
        <v>5.12</v>
      </c>
      <c r="D28" s="924">
        <v>5.1100000000000003</v>
      </c>
      <c r="E28" s="924">
        <v>5.12</v>
      </c>
      <c r="F28" s="924">
        <v>5.0999999999999996</v>
      </c>
      <c r="G28" s="924">
        <v>5.1100000000000003</v>
      </c>
      <c r="H28" s="924">
        <v>5.0999999999999996</v>
      </c>
      <c r="I28" s="924">
        <v>5.08</v>
      </c>
      <c r="J28" s="924">
        <v>5.07</v>
      </c>
      <c r="K28" s="924">
        <v>5.0599999999999996</v>
      </c>
      <c r="L28" s="924">
        <v>5.0599999999999996</v>
      </c>
      <c r="M28" s="924">
        <v>5.07</v>
      </c>
      <c r="N28" s="924">
        <v>5.0599999999999996</v>
      </c>
    </row>
    <row r="29" spans="1:14" ht="12" customHeight="1">
      <c r="A29" s="141" t="s">
        <v>44</v>
      </c>
      <c r="B29" s="941">
        <v>6.11</v>
      </c>
      <c r="C29" s="924">
        <v>6.09</v>
      </c>
      <c r="D29" s="924">
        <v>6.08</v>
      </c>
      <c r="E29" s="924">
        <v>6.07</v>
      </c>
      <c r="F29" s="924">
        <v>6.11</v>
      </c>
      <c r="G29" s="924">
        <v>6.12</v>
      </c>
      <c r="H29" s="924">
        <v>6.13</v>
      </c>
      <c r="I29" s="924">
        <v>6.11</v>
      </c>
      <c r="J29" s="924">
        <v>6.12</v>
      </c>
      <c r="K29" s="924">
        <v>6.11</v>
      </c>
      <c r="L29" s="924">
        <v>6.1</v>
      </c>
      <c r="M29" s="924">
        <v>6.12</v>
      </c>
      <c r="N29" s="924">
        <v>6.13</v>
      </c>
    </row>
    <row r="30" spans="1:14" ht="12" customHeight="1">
      <c r="A30" s="141" t="s">
        <v>45</v>
      </c>
      <c r="B30" s="941">
        <v>5.75</v>
      </c>
      <c r="C30" s="924">
        <v>5.65</v>
      </c>
      <c r="D30" s="924">
        <v>5.67</v>
      </c>
      <c r="E30" s="924">
        <v>5.8</v>
      </c>
      <c r="F30" s="924">
        <v>5.79</v>
      </c>
      <c r="G30" s="924">
        <v>5.8</v>
      </c>
      <c r="H30" s="924">
        <v>5.78</v>
      </c>
      <c r="I30" s="924">
        <v>5.76</v>
      </c>
      <c r="J30" s="924">
        <v>5.75</v>
      </c>
      <c r="K30" s="924">
        <v>5.74</v>
      </c>
      <c r="L30" s="924">
        <v>5.72</v>
      </c>
      <c r="M30" s="924">
        <v>5.72</v>
      </c>
      <c r="N30" s="924">
        <v>5.73</v>
      </c>
    </row>
    <row r="31" spans="1:14" ht="12" customHeight="1">
      <c r="A31" s="141" t="s">
        <v>46</v>
      </c>
      <c r="B31" s="941">
        <v>5.43</v>
      </c>
      <c r="C31" s="924">
        <v>5.44</v>
      </c>
      <c r="D31" s="924">
        <v>5.42</v>
      </c>
      <c r="E31" s="924">
        <v>5.43</v>
      </c>
      <c r="F31" s="924">
        <v>5.43</v>
      </c>
      <c r="G31" s="924">
        <v>5.45</v>
      </c>
      <c r="H31" s="924">
        <v>5.45</v>
      </c>
      <c r="I31" s="924">
        <v>5.45</v>
      </c>
      <c r="J31" s="924">
        <v>5.44</v>
      </c>
      <c r="K31" s="924">
        <v>5.44</v>
      </c>
      <c r="L31" s="924">
        <v>5.43</v>
      </c>
      <c r="M31" s="924">
        <v>5.42</v>
      </c>
      <c r="N31" s="924">
        <v>5.41</v>
      </c>
    </row>
    <row r="32" spans="1:14" ht="12" customHeight="1">
      <c r="A32" s="141" t="s">
        <v>47</v>
      </c>
      <c r="B32" s="941">
        <v>4.6500000000000004</v>
      </c>
      <c r="C32" s="924">
        <v>4.7</v>
      </c>
      <c r="D32" s="924">
        <v>4.68</v>
      </c>
      <c r="E32" s="924">
        <v>4.67</v>
      </c>
      <c r="F32" s="924">
        <v>4.66</v>
      </c>
      <c r="G32" s="924">
        <v>4.6500000000000004</v>
      </c>
      <c r="H32" s="924">
        <v>4.6500000000000004</v>
      </c>
      <c r="I32" s="924">
        <v>4.66</v>
      </c>
      <c r="J32" s="924">
        <v>4.6500000000000004</v>
      </c>
      <c r="K32" s="924">
        <v>4.6500000000000004</v>
      </c>
      <c r="L32" s="924">
        <v>4.6399999999999997</v>
      </c>
      <c r="M32" s="924">
        <v>4.63</v>
      </c>
      <c r="N32" s="924">
        <v>4.62</v>
      </c>
    </row>
    <row r="33" spans="1:14" ht="12" customHeight="1">
      <c r="A33" s="141" t="s">
        <v>48</v>
      </c>
      <c r="B33" s="941">
        <v>4.8499999999999996</v>
      </c>
      <c r="C33" s="924">
        <v>4.87</v>
      </c>
      <c r="D33" s="924">
        <v>4.8499999999999996</v>
      </c>
      <c r="E33" s="924">
        <v>4.8600000000000003</v>
      </c>
      <c r="F33" s="924">
        <v>4.8499999999999996</v>
      </c>
      <c r="G33" s="924">
        <v>4.8600000000000003</v>
      </c>
      <c r="H33" s="924">
        <v>4.8499999999999996</v>
      </c>
      <c r="I33" s="924">
        <v>4.84</v>
      </c>
      <c r="J33" s="924">
        <v>4.8499999999999996</v>
      </c>
      <c r="K33" s="924">
        <v>4.8499999999999996</v>
      </c>
      <c r="L33" s="924">
        <v>4.8600000000000003</v>
      </c>
      <c r="M33" s="924">
        <v>4.8499999999999996</v>
      </c>
      <c r="N33" s="924">
        <v>4.84</v>
      </c>
    </row>
    <row r="34" spans="1:14" ht="12" customHeight="1" thickBot="1">
      <c r="A34" s="202" t="s">
        <v>49</v>
      </c>
      <c r="B34" s="940">
        <v>5.15</v>
      </c>
      <c r="C34" s="925">
        <v>5.17</v>
      </c>
      <c r="D34" s="925">
        <v>5.18</v>
      </c>
      <c r="E34" s="925">
        <v>5.16</v>
      </c>
      <c r="F34" s="925">
        <v>5.15</v>
      </c>
      <c r="G34" s="925">
        <v>5.14</v>
      </c>
      <c r="H34" s="925">
        <v>5.15</v>
      </c>
      <c r="I34" s="925">
        <v>5.13</v>
      </c>
      <c r="J34" s="925">
        <v>5.14</v>
      </c>
      <c r="K34" s="925">
        <v>5.13</v>
      </c>
      <c r="L34" s="925">
        <v>5.13</v>
      </c>
      <c r="M34" s="925">
        <v>5.14</v>
      </c>
      <c r="N34" s="925">
        <v>5.14</v>
      </c>
    </row>
    <row r="35" spans="1:14" ht="10" customHeight="1">
      <c r="A35" s="28" t="s">
        <v>238</v>
      </c>
      <c r="B35" s="935"/>
      <c r="C35" s="936"/>
      <c r="D35" s="936"/>
      <c r="E35" s="936"/>
      <c r="F35" s="936"/>
      <c r="G35" s="936"/>
      <c r="H35" s="936"/>
      <c r="I35" s="936"/>
      <c r="J35" s="936"/>
      <c r="K35" s="936"/>
      <c r="L35" s="936"/>
      <c r="M35" s="936"/>
      <c r="N35" s="936"/>
    </row>
    <row r="36" spans="1:14" ht="10" customHeight="1">
      <c r="A36" s="28" t="s">
        <v>192</v>
      </c>
      <c r="B36" s="936"/>
      <c r="C36" s="936"/>
      <c r="D36" s="936"/>
      <c r="E36" s="936"/>
      <c r="F36" s="936"/>
      <c r="G36" s="936"/>
      <c r="H36" s="936"/>
      <c r="I36" s="936"/>
      <c r="J36" s="936"/>
      <c r="K36" s="936"/>
      <c r="L36" s="936"/>
      <c r="M36" s="936"/>
      <c r="N36" s="936"/>
    </row>
    <row r="37" spans="1:14" ht="10" customHeight="1">
      <c r="A37" s="40" t="s">
        <v>261</v>
      </c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</row>
    <row r="38" spans="1:14" ht="13" customHeight="1">
      <c r="A38" s="31"/>
    </row>
    <row r="39" spans="1:14" ht="13" customHeight="1">
      <c r="A39" s="31"/>
      <c r="B39" s="191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</row>
    <row r="40" spans="1:14" ht="13" customHeight="1">
      <c r="A40" s="191"/>
      <c r="B40" s="191"/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</row>
    <row r="41" spans="1:14" ht="13" customHeight="1">
      <c r="A41" s="191"/>
      <c r="B41" s="191"/>
      <c r="C41" s="191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</row>
    <row r="42" spans="1:14" ht="13" customHeight="1">
      <c r="A42" s="191"/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</row>
    <row r="43" spans="1:14" ht="13" customHeight="1">
      <c r="A43" s="191"/>
      <c r="B43" s="191"/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</row>
    <row r="44" spans="1:14" ht="13" customHeight="1">
      <c r="A44" s="191"/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</row>
    <row r="45" spans="1:14" ht="13" customHeight="1">
      <c r="A45" s="191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Hoja104">
    <tabColor theme="9" tint="0.59999389629810485"/>
  </sheetPr>
  <dimension ref="A1:N39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141" customWidth="1"/>
    <col min="2" max="14" width="8.3984375" style="141" customWidth="1"/>
    <col min="15" max="16384" width="7" style="141"/>
  </cols>
  <sheetData>
    <row r="1" spans="1:14" ht="17" customHeight="1">
      <c r="A1" s="942" t="s">
        <v>523</v>
      </c>
      <c r="B1" s="943"/>
      <c r="C1" s="944"/>
      <c r="D1" s="944"/>
      <c r="E1" s="944"/>
      <c r="F1" s="944"/>
      <c r="G1" s="944"/>
      <c r="H1" s="944"/>
      <c r="I1" s="944"/>
      <c r="J1" s="944"/>
      <c r="K1" s="944"/>
      <c r="L1" s="944"/>
      <c r="M1" s="944"/>
      <c r="N1" s="944"/>
    </row>
    <row r="2" spans="1:14" ht="13" customHeight="1">
      <c r="A2" s="927" t="s">
        <v>593</v>
      </c>
      <c r="B2" s="508"/>
      <c r="C2" s="189"/>
      <c r="D2" s="189"/>
      <c r="E2" s="189"/>
      <c r="F2" s="189"/>
      <c r="G2" s="193"/>
      <c r="H2" s="192"/>
      <c r="I2" s="189"/>
      <c r="J2" s="189"/>
      <c r="K2" s="189"/>
      <c r="L2" s="189"/>
      <c r="M2" s="189"/>
      <c r="N2" s="189"/>
    </row>
    <row r="3" spans="1:14" ht="4" customHeight="1" thickBot="1">
      <c r="A3" s="192"/>
      <c r="B3" s="189"/>
      <c r="C3" s="189"/>
      <c r="D3" s="189"/>
      <c r="E3" s="189"/>
      <c r="F3" s="189"/>
      <c r="G3" s="193"/>
      <c r="H3" s="192"/>
      <c r="I3" s="189"/>
      <c r="J3" s="189"/>
      <c r="K3" s="189"/>
      <c r="L3" s="189"/>
      <c r="M3" s="189"/>
      <c r="N3" s="189"/>
    </row>
    <row r="4" spans="1:14" ht="15" customHeight="1">
      <c r="A4" s="525" t="s">
        <v>18</v>
      </c>
      <c r="B4" s="934" t="s">
        <v>56</v>
      </c>
      <c r="C4" s="934" t="s">
        <v>57</v>
      </c>
      <c r="D4" s="934" t="s">
        <v>58</v>
      </c>
      <c r="E4" s="934" t="s">
        <v>59</v>
      </c>
      <c r="F4" s="934" t="s">
        <v>60</v>
      </c>
      <c r="G4" s="934" t="s">
        <v>61</v>
      </c>
      <c r="H4" s="934" t="s">
        <v>62</v>
      </c>
      <c r="I4" s="934" t="s">
        <v>63</v>
      </c>
      <c r="J4" s="934" t="s">
        <v>64</v>
      </c>
      <c r="K4" s="934" t="s">
        <v>65</v>
      </c>
      <c r="L4" s="934" t="s">
        <v>66</v>
      </c>
      <c r="M4" s="934" t="s">
        <v>67</v>
      </c>
      <c r="N4" s="934" t="s">
        <v>68</v>
      </c>
    </row>
    <row r="5" spans="1:14" ht="15" customHeight="1">
      <c r="A5" s="929" t="s">
        <v>114</v>
      </c>
      <c r="B5" s="931">
        <v>6.95</v>
      </c>
      <c r="C5" s="930">
        <v>6.91</v>
      </c>
      <c r="D5" s="930">
        <v>6.9</v>
      </c>
      <c r="E5" s="930">
        <v>6.91</v>
      </c>
      <c r="F5" s="930">
        <v>6.93</v>
      </c>
      <c r="G5" s="930">
        <v>6.94</v>
      </c>
      <c r="H5" s="930">
        <v>6.93</v>
      </c>
      <c r="I5" s="930">
        <v>6.95</v>
      </c>
      <c r="J5" s="930">
        <v>6.96</v>
      </c>
      <c r="K5" s="930">
        <v>6.96</v>
      </c>
      <c r="L5" s="930">
        <v>6.97</v>
      </c>
      <c r="M5" s="930">
        <v>6.98</v>
      </c>
      <c r="N5" s="930">
        <v>7.03</v>
      </c>
    </row>
    <row r="6" spans="1:14" ht="12" customHeight="1">
      <c r="A6" s="141" t="s">
        <v>21</v>
      </c>
      <c r="B6" s="941">
        <v>5.91</v>
      </c>
      <c r="C6" s="924">
        <v>5.9</v>
      </c>
      <c r="D6" s="924">
        <v>5.91</v>
      </c>
      <c r="E6" s="924">
        <v>5.9</v>
      </c>
      <c r="F6" s="924">
        <v>5.92</v>
      </c>
      <c r="G6" s="924">
        <v>5.91</v>
      </c>
      <c r="H6" s="924">
        <v>5.9</v>
      </c>
      <c r="I6" s="924">
        <v>5.92</v>
      </c>
      <c r="J6" s="924">
        <v>5.91</v>
      </c>
      <c r="K6" s="924">
        <v>5.91</v>
      </c>
      <c r="L6" s="924">
        <v>5.9</v>
      </c>
      <c r="M6" s="924">
        <v>5.92</v>
      </c>
      <c r="N6" s="924">
        <v>5.94</v>
      </c>
    </row>
    <row r="7" spans="1:14" ht="12" customHeight="1">
      <c r="A7" s="141" t="s">
        <v>22</v>
      </c>
      <c r="B7" s="941">
        <v>6.76</v>
      </c>
      <c r="C7" s="924">
        <v>6.78</v>
      </c>
      <c r="D7" s="924">
        <v>6.76</v>
      </c>
      <c r="E7" s="924">
        <v>6.75</v>
      </c>
      <c r="F7" s="924">
        <v>6.74</v>
      </c>
      <c r="G7" s="924">
        <v>6.75</v>
      </c>
      <c r="H7" s="924">
        <v>6.74</v>
      </c>
      <c r="I7" s="924">
        <v>6.75</v>
      </c>
      <c r="J7" s="924">
        <v>6.76</v>
      </c>
      <c r="K7" s="924">
        <v>6.76</v>
      </c>
      <c r="L7" s="924">
        <v>6.75</v>
      </c>
      <c r="M7" s="924">
        <v>6.76</v>
      </c>
      <c r="N7" s="924">
        <v>6.78</v>
      </c>
    </row>
    <row r="8" spans="1:14" ht="12" customHeight="1">
      <c r="A8" s="141" t="s">
        <v>23</v>
      </c>
      <c r="B8" s="941">
        <v>6.88</v>
      </c>
      <c r="C8" s="924">
        <v>6.77</v>
      </c>
      <c r="D8" s="924">
        <v>6.85</v>
      </c>
      <c r="E8" s="924">
        <v>6.85</v>
      </c>
      <c r="F8" s="924">
        <v>6.86</v>
      </c>
      <c r="G8" s="924">
        <v>6.87</v>
      </c>
      <c r="H8" s="924">
        <v>6.88</v>
      </c>
      <c r="I8" s="924">
        <v>6.9</v>
      </c>
      <c r="J8" s="924">
        <v>6.89</v>
      </c>
      <c r="K8" s="924">
        <v>6.9</v>
      </c>
      <c r="L8" s="924">
        <v>6.92</v>
      </c>
      <c r="M8" s="924">
        <v>6.93</v>
      </c>
      <c r="N8" s="924">
        <v>6.95</v>
      </c>
    </row>
    <row r="9" spans="1:14" ht="12" customHeight="1">
      <c r="A9" s="141" t="s">
        <v>24</v>
      </c>
      <c r="B9" s="941">
        <v>7.69</v>
      </c>
      <c r="C9" s="924">
        <v>7.64</v>
      </c>
      <c r="D9" s="924">
        <v>7.63</v>
      </c>
      <c r="E9" s="924">
        <v>7.65</v>
      </c>
      <c r="F9" s="924">
        <v>7.68</v>
      </c>
      <c r="G9" s="924">
        <v>7.68</v>
      </c>
      <c r="H9" s="924">
        <v>7.67</v>
      </c>
      <c r="I9" s="924">
        <v>7.69</v>
      </c>
      <c r="J9" s="924">
        <v>7.69</v>
      </c>
      <c r="K9" s="924">
        <v>7.7</v>
      </c>
      <c r="L9" s="924">
        <v>7.72</v>
      </c>
      <c r="M9" s="924">
        <v>7.73</v>
      </c>
      <c r="N9" s="924">
        <v>7.75</v>
      </c>
    </row>
    <row r="10" spans="1:14" ht="12" customHeight="1">
      <c r="A10" s="141" t="s">
        <v>25</v>
      </c>
      <c r="B10" s="941">
        <v>5.92</v>
      </c>
      <c r="C10" s="924">
        <v>5.91</v>
      </c>
      <c r="D10" s="924">
        <v>5.85</v>
      </c>
      <c r="E10" s="924">
        <v>5.93</v>
      </c>
      <c r="F10" s="924">
        <v>5.91</v>
      </c>
      <c r="G10" s="924">
        <v>5.9</v>
      </c>
      <c r="H10" s="924">
        <v>5.91</v>
      </c>
      <c r="I10" s="924">
        <v>5.93</v>
      </c>
      <c r="J10" s="924">
        <v>5.92</v>
      </c>
      <c r="K10" s="924">
        <v>5.94</v>
      </c>
      <c r="L10" s="924">
        <v>5.91</v>
      </c>
      <c r="M10" s="924">
        <v>5.94</v>
      </c>
      <c r="N10" s="924">
        <v>5.98</v>
      </c>
    </row>
    <row r="11" spans="1:14" ht="12" customHeight="1">
      <c r="A11" s="141" t="s">
        <v>107</v>
      </c>
      <c r="B11" s="941">
        <v>6.31</v>
      </c>
      <c r="C11" s="924">
        <v>6.23</v>
      </c>
      <c r="D11" s="924">
        <v>6.23</v>
      </c>
      <c r="E11" s="924">
        <v>6.25</v>
      </c>
      <c r="F11" s="924">
        <v>6.28</v>
      </c>
      <c r="G11" s="924">
        <v>6.32</v>
      </c>
      <c r="H11" s="924">
        <v>6.32</v>
      </c>
      <c r="I11" s="924">
        <v>6.33</v>
      </c>
      <c r="J11" s="924">
        <v>6.33</v>
      </c>
      <c r="K11" s="924">
        <v>6.34</v>
      </c>
      <c r="L11" s="924">
        <v>6.33</v>
      </c>
      <c r="M11" s="924">
        <v>6.34</v>
      </c>
      <c r="N11" s="924">
        <v>6.36</v>
      </c>
    </row>
    <row r="12" spans="1:14" ht="12" customHeight="1">
      <c r="A12" s="141" t="s">
        <v>108</v>
      </c>
      <c r="B12" s="941">
        <v>5.23</v>
      </c>
      <c r="C12" s="924">
        <v>5.2</v>
      </c>
      <c r="D12" s="924">
        <v>5.17</v>
      </c>
      <c r="E12" s="924">
        <v>5.18</v>
      </c>
      <c r="F12" s="924">
        <v>5.2</v>
      </c>
      <c r="G12" s="924">
        <v>5.21</v>
      </c>
      <c r="H12" s="924">
        <v>5.22</v>
      </c>
      <c r="I12" s="924">
        <v>5.25</v>
      </c>
      <c r="J12" s="924">
        <v>5.26</v>
      </c>
      <c r="K12" s="924">
        <v>5.27</v>
      </c>
      <c r="L12" s="924">
        <v>5.26</v>
      </c>
      <c r="M12" s="924">
        <v>5.27</v>
      </c>
      <c r="N12" s="924">
        <v>5.29</v>
      </c>
    </row>
    <row r="13" spans="1:14" ht="12" customHeight="1">
      <c r="A13" s="141" t="s">
        <v>139</v>
      </c>
      <c r="B13" s="941">
        <v>6.29</v>
      </c>
      <c r="C13" s="924">
        <v>6.23</v>
      </c>
      <c r="D13" s="924">
        <v>6.24</v>
      </c>
      <c r="E13" s="924">
        <v>6.26</v>
      </c>
      <c r="F13" s="924">
        <v>6.26</v>
      </c>
      <c r="G13" s="924">
        <v>6.27</v>
      </c>
      <c r="H13" s="924">
        <v>6.28</v>
      </c>
      <c r="I13" s="924">
        <v>6.3</v>
      </c>
      <c r="J13" s="924">
        <v>6.3</v>
      </c>
      <c r="K13" s="924">
        <v>6.32</v>
      </c>
      <c r="L13" s="924">
        <v>6.33</v>
      </c>
      <c r="M13" s="924">
        <v>6.35</v>
      </c>
      <c r="N13" s="924">
        <v>6.37</v>
      </c>
    </row>
    <row r="14" spans="1:14" ht="12" customHeight="1">
      <c r="A14" s="141" t="s">
        <v>29</v>
      </c>
      <c r="B14" s="941">
        <v>6.15</v>
      </c>
      <c r="C14" s="924">
        <v>6.12</v>
      </c>
      <c r="D14" s="924">
        <v>6.13</v>
      </c>
      <c r="E14" s="924">
        <v>6.12</v>
      </c>
      <c r="F14" s="924">
        <v>6.13</v>
      </c>
      <c r="G14" s="924">
        <v>6.14</v>
      </c>
      <c r="H14" s="924">
        <v>6.15</v>
      </c>
      <c r="I14" s="924">
        <v>6.17</v>
      </c>
      <c r="J14" s="924">
        <v>6.17</v>
      </c>
      <c r="K14" s="924">
        <v>6.16</v>
      </c>
      <c r="L14" s="924">
        <v>6.16</v>
      </c>
      <c r="M14" s="924">
        <v>6.15</v>
      </c>
      <c r="N14" s="924">
        <v>6.18</v>
      </c>
    </row>
    <row r="15" spans="1:14" ht="12" customHeight="1">
      <c r="A15" s="141" t="s">
        <v>30</v>
      </c>
      <c r="B15" s="941">
        <v>6.97</v>
      </c>
      <c r="C15" s="924">
        <v>6.98</v>
      </c>
      <c r="D15" s="924">
        <v>6.96</v>
      </c>
      <c r="E15" s="924">
        <v>6.98</v>
      </c>
      <c r="F15" s="924">
        <v>6.97</v>
      </c>
      <c r="G15" s="924">
        <v>6.98</v>
      </c>
      <c r="H15" s="924">
        <v>6.96</v>
      </c>
      <c r="I15" s="924">
        <v>6.98</v>
      </c>
      <c r="J15" s="924">
        <v>6.97</v>
      </c>
      <c r="K15" s="924">
        <v>6.97</v>
      </c>
      <c r="L15" s="924">
        <v>6.96</v>
      </c>
      <c r="M15" s="924">
        <v>6.95</v>
      </c>
      <c r="N15" s="924">
        <v>6.97</v>
      </c>
    </row>
    <row r="16" spans="1:14" ht="12" customHeight="1">
      <c r="A16" s="141" t="s">
        <v>31</v>
      </c>
      <c r="B16" s="941">
        <v>6.71</v>
      </c>
      <c r="C16" s="924">
        <v>6.67</v>
      </c>
      <c r="D16" s="924">
        <v>6.66</v>
      </c>
      <c r="E16" s="924">
        <v>6.64</v>
      </c>
      <c r="F16" s="924">
        <v>6.68</v>
      </c>
      <c r="G16" s="924">
        <v>6.71</v>
      </c>
      <c r="H16" s="924">
        <v>6.7</v>
      </c>
      <c r="I16" s="924">
        <v>6.72</v>
      </c>
      <c r="J16" s="924">
        <v>6.73</v>
      </c>
      <c r="K16" s="924">
        <v>6.74</v>
      </c>
      <c r="L16" s="924">
        <v>6.75</v>
      </c>
      <c r="M16" s="924">
        <v>6.75</v>
      </c>
      <c r="N16" s="924">
        <v>6.78</v>
      </c>
    </row>
    <row r="17" spans="1:14" ht="12" customHeight="1">
      <c r="A17" s="141" t="s">
        <v>32</v>
      </c>
      <c r="B17" s="941">
        <v>6.39</v>
      </c>
      <c r="C17" s="924">
        <v>6.25</v>
      </c>
      <c r="D17" s="924">
        <v>6.24</v>
      </c>
      <c r="E17" s="924">
        <v>6.28</v>
      </c>
      <c r="F17" s="924">
        <v>6.35</v>
      </c>
      <c r="G17" s="924">
        <v>6.42</v>
      </c>
      <c r="H17" s="924">
        <v>6.4</v>
      </c>
      <c r="I17" s="924">
        <v>6.42</v>
      </c>
      <c r="J17" s="924">
        <v>6.42</v>
      </c>
      <c r="K17" s="924">
        <v>6.43</v>
      </c>
      <c r="L17" s="924">
        <v>6.45</v>
      </c>
      <c r="M17" s="924">
        <v>6.46</v>
      </c>
      <c r="N17" s="924">
        <v>6.48</v>
      </c>
    </row>
    <row r="18" spans="1:14" ht="12" customHeight="1">
      <c r="A18" s="141" t="s">
        <v>33</v>
      </c>
      <c r="B18" s="941">
        <v>7.06</v>
      </c>
      <c r="C18" s="924">
        <v>7.1</v>
      </c>
      <c r="D18" s="924">
        <v>7.08</v>
      </c>
      <c r="E18" s="924">
        <v>7.07</v>
      </c>
      <c r="F18" s="924">
        <v>7.06</v>
      </c>
      <c r="G18" s="924">
        <v>7.07</v>
      </c>
      <c r="H18" s="924">
        <v>7.05</v>
      </c>
      <c r="I18" s="924">
        <v>7.06</v>
      </c>
      <c r="J18" s="924">
        <v>7.05</v>
      </c>
      <c r="K18" s="924">
        <v>7.05</v>
      </c>
      <c r="L18" s="924">
        <v>7.06</v>
      </c>
      <c r="M18" s="924">
        <v>7.06</v>
      </c>
      <c r="N18" s="924">
        <v>7.08</v>
      </c>
    </row>
    <row r="19" spans="1:14" ht="12" customHeight="1">
      <c r="A19" s="141" t="s">
        <v>34</v>
      </c>
      <c r="B19" s="941">
        <v>6.31</v>
      </c>
      <c r="C19" s="924">
        <v>6.3</v>
      </c>
      <c r="D19" s="924">
        <v>6.28</v>
      </c>
      <c r="E19" s="924">
        <v>6.28</v>
      </c>
      <c r="F19" s="924">
        <v>6.3</v>
      </c>
      <c r="G19" s="924">
        <v>6.32</v>
      </c>
      <c r="H19" s="924">
        <v>6.31</v>
      </c>
      <c r="I19" s="924">
        <v>6.32</v>
      </c>
      <c r="J19" s="924">
        <v>6.32</v>
      </c>
      <c r="K19" s="924">
        <v>6.31</v>
      </c>
      <c r="L19" s="924">
        <v>6.3</v>
      </c>
      <c r="M19" s="924">
        <v>6.31</v>
      </c>
      <c r="N19" s="924">
        <v>6.33</v>
      </c>
    </row>
    <row r="20" spans="1:14" ht="12" customHeight="1">
      <c r="A20" s="141" t="s">
        <v>35</v>
      </c>
      <c r="B20" s="941">
        <v>6.73</v>
      </c>
      <c r="C20" s="924">
        <v>6.62</v>
      </c>
      <c r="D20" s="924">
        <v>6.68</v>
      </c>
      <c r="E20" s="924">
        <v>6.72</v>
      </c>
      <c r="F20" s="924">
        <v>6.73</v>
      </c>
      <c r="G20" s="924">
        <v>6.75</v>
      </c>
      <c r="H20" s="924">
        <v>6.74</v>
      </c>
      <c r="I20" s="924">
        <v>6.75</v>
      </c>
      <c r="J20" s="924">
        <v>6.74</v>
      </c>
      <c r="K20" s="924">
        <v>6.74</v>
      </c>
      <c r="L20" s="924">
        <v>6.75</v>
      </c>
      <c r="M20" s="924">
        <v>6.75</v>
      </c>
      <c r="N20" s="924">
        <v>6.77</v>
      </c>
    </row>
    <row r="21" spans="1:14" ht="12" customHeight="1">
      <c r="A21" s="141" t="s">
        <v>36</v>
      </c>
      <c r="B21" s="941">
        <v>5.79</v>
      </c>
      <c r="C21" s="924">
        <v>5.75</v>
      </c>
      <c r="D21" s="924">
        <v>5.73</v>
      </c>
      <c r="E21" s="924">
        <v>5.72</v>
      </c>
      <c r="F21" s="924">
        <v>5.81</v>
      </c>
      <c r="G21" s="924">
        <v>5.8</v>
      </c>
      <c r="H21" s="924">
        <v>5.79</v>
      </c>
      <c r="I21" s="924">
        <v>5.8</v>
      </c>
      <c r="J21" s="924">
        <v>5.8</v>
      </c>
      <c r="K21" s="924">
        <v>5.82</v>
      </c>
      <c r="L21" s="924">
        <v>5.81</v>
      </c>
      <c r="M21" s="924">
        <v>5.82</v>
      </c>
      <c r="N21" s="924">
        <v>5.84</v>
      </c>
    </row>
    <row r="22" spans="1:14" ht="12" customHeight="1">
      <c r="A22" s="141" t="s">
        <v>37</v>
      </c>
      <c r="B22" s="941">
        <v>5.95</v>
      </c>
      <c r="C22" s="924">
        <v>5.9</v>
      </c>
      <c r="D22" s="924">
        <v>5.91</v>
      </c>
      <c r="E22" s="924">
        <v>5.93</v>
      </c>
      <c r="F22" s="924">
        <v>5.94</v>
      </c>
      <c r="G22" s="924">
        <v>5.96</v>
      </c>
      <c r="H22" s="924">
        <v>5.95</v>
      </c>
      <c r="I22" s="924">
        <v>5.96</v>
      </c>
      <c r="J22" s="924">
        <v>5.95</v>
      </c>
      <c r="K22" s="924">
        <v>5.95</v>
      </c>
      <c r="L22" s="924">
        <v>5.96</v>
      </c>
      <c r="M22" s="924">
        <v>5.97</v>
      </c>
      <c r="N22" s="924">
        <v>5.99</v>
      </c>
    </row>
    <row r="23" spans="1:14" ht="12" customHeight="1">
      <c r="A23" s="141" t="s">
        <v>38</v>
      </c>
      <c r="B23" s="941">
        <v>5.73</v>
      </c>
      <c r="C23" s="924">
        <v>5.71</v>
      </c>
      <c r="D23" s="924">
        <v>5.7</v>
      </c>
      <c r="E23" s="924">
        <v>5.72</v>
      </c>
      <c r="F23" s="924">
        <v>5.73</v>
      </c>
      <c r="G23" s="924">
        <v>5.73</v>
      </c>
      <c r="H23" s="924">
        <v>5.72</v>
      </c>
      <c r="I23" s="924">
        <v>5.74</v>
      </c>
      <c r="J23" s="924">
        <v>5.74</v>
      </c>
      <c r="K23" s="924">
        <v>5.75</v>
      </c>
      <c r="L23" s="924">
        <v>5.74</v>
      </c>
      <c r="M23" s="924">
        <v>5.73</v>
      </c>
      <c r="N23" s="924">
        <v>5.74</v>
      </c>
    </row>
    <row r="24" spans="1:14" ht="12" customHeight="1">
      <c r="A24" s="141" t="s">
        <v>39</v>
      </c>
      <c r="B24" s="941">
        <v>6.24</v>
      </c>
      <c r="C24" s="924">
        <v>6.12</v>
      </c>
      <c r="D24" s="924">
        <v>6.13</v>
      </c>
      <c r="E24" s="924">
        <v>6.23</v>
      </c>
      <c r="F24" s="924">
        <v>6.24</v>
      </c>
      <c r="G24" s="924">
        <v>6.25</v>
      </c>
      <c r="H24" s="924">
        <v>6.24</v>
      </c>
      <c r="I24" s="924">
        <v>6.25</v>
      </c>
      <c r="J24" s="924">
        <v>6.25</v>
      </c>
      <c r="K24" s="924">
        <v>6.26</v>
      </c>
      <c r="L24" s="924">
        <v>6.27</v>
      </c>
      <c r="M24" s="924">
        <v>6.28</v>
      </c>
      <c r="N24" s="924">
        <v>6.3</v>
      </c>
    </row>
    <row r="25" spans="1:14" ht="12" customHeight="1">
      <c r="A25" s="141" t="s">
        <v>40</v>
      </c>
      <c r="B25" s="941">
        <v>6.22</v>
      </c>
      <c r="C25" s="924">
        <v>6.25</v>
      </c>
      <c r="D25" s="924">
        <v>6.23</v>
      </c>
      <c r="E25" s="924">
        <v>6.22</v>
      </c>
      <c r="F25" s="924">
        <v>6.23</v>
      </c>
      <c r="G25" s="924">
        <v>6.23</v>
      </c>
      <c r="H25" s="924">
        <v>6.22</v>
      </c>
      <c r="I25" s="924">
        <v>6.23</v>
      </c>
      <c r="J25" s="924">
        <v>6.23</v>
      </c>
      <c r="K25" s="924">
        <v>6.22</v>
      </c>
      <c r="L25" s="924">
        <v>6.21</v>
      </c>
      <c r="M25" s="924">
        <v>6.2</v>
      </c>
      <c r="N25" s="924">
        <v>6.22</v>
      </c>
    </row>
    <row r="26" spans="1:14" ht="12" customHeight="1">
      <c r="A26" s="141" t="s">
        <v>41</v>
      </c>
      <c r="B26" s="941">
        <v>6.15</v>
      </c>
      <c r="C26" s="924">
        <v>6.13</v>
      </c>
      <c r="D26" s="924">
        <v>6.14</v>
      </c>
      <c r="E26" s="924">
        <v>6.13</v>
      </c>
      <c r="F26" s="924">
        <v>6.14</v>
      </c>
      <c r="G26" s="924">
        <v>6.16</v>
      </c>
      <c r="H26" s="924">
        <v>6.15</v>
      </c>
      <c r="I26" s="924">
        <v>6.16</v>
      </c>
      <c r="J26" s="924">
        <v>6.16</v>
      </c>
      <c r="K26" s="924">
        <v>6.17</v>
      </c>
      <c r="L26" s="924">
        <v>6.15</v>
      </c>
      <c r="M26" s="924">
        <v>6.15</v>
      </c>
      <c r="N26" s="924">
        <v>6.17</v>
      </c>
    </row>
    <row r="27" spans="1:14" ht="12" customHeight="1">
      <c r="A27" s="141" t="s">
        <v>111</v>
      </c>
      <c r="B27" s="941">
        <v>6.15</v>
      </c>
      <c r="C27" s="924">
        <v>6.14</v>
      </c>
      <c r="D27" s="924">
        <v>6.13</v>
      </c>
      <c r="E27" s="924">
        <v>6.14</v>
      </c>
      <c r="F27" s="924">
        <v>6.15</v>
      </c>
      <c r="G27" s="924">
        <v>6.15</v>
      </c>
      <c r="H27" s="924">
        <v>6.14</v>
      </c>
      <c r="I27" s="924">
        <v>6.15</v>
      </c>
      <c r="J27" s="924">
        <v>6.15</v>
      </c>
      <c r="K27" s="924">
        <v>6.15</v>
      </c>
      <c r="L27" s="924">
        <v>6.14</v>
      </c>
      <c r="M27" s="924">
        <v>6.14</v>
      </c>
      <c r="N27" s="924">
        <v>6.16</v>
      </c>
    </row>
    <row r="28" spans="1:14" ht="12" customHeight="1">
      <c r="A28" s="141" t="s">
        <v>112</v>
      </c>
      <c r="B28" s="941">
        <v>6.15</v>
      </c>
      <c r="C28" s="924">
        <v>6.13</v>
      </c>
      <c r="D28" s="924">
        <v>6.14</v>
      </c>
      <c r="E28" s="924">
        <v>6.13</v>
      </c>
      <c r="F28" s="924">
        <v>6.14</v>
      </c>
      <c r="G28" s="924">
        <v>6.16</v>
      </c>
      <c r="H28" s="924">
        <v>6.15</v>
      </c>
      <c r="I28" s="924">
        <v>6.17</v>
      </c>
      <c r="J28" s="924">
        <v>6.17</v>
      </c>
      <c r="K28" s="924">
        <v>6.17</v>
      </c>
      <c r="L28" s="924">
        <v>6.15</v>
      </c>
      <c r="M28" s="924">
        <v>6.15</v>
      </c>
      <c r="N28" s="924">
        <v>6.17</v>
      </c>
    </row>
    <row r="29" spans="1:14" ht="12" customHeight="1">
      <c r="A29" s="141" t="s">
        <v>44</v>
      </c>
      <c r="B29" s="941">
        <v>7.37</v>
      </c>
      <c r="C29" s="924">
        <v>7.39</v>
      </c>
      <c r="D29" s="924">
        <v>7.32</v>
      </c>
      <c r="E29" s="924">
        <v>7.35</v>
      </c>
      <c r="F29" s="924">
        <v>7.36</v>
      </c>
      <c r="G29" s="924">
        <v>7.37</v>
      </c>
      <c r="H29" s="924">
        <v>7.36</v>
      </c>
      <c r="I29" s="924">
        <v>7.37</v>
      </c>
      <c r="J29" s="924">
        <v>7.38</v>
      </c>
      <c r="K29" s="924">
        <v>7.39</v>
      </c>
      <c r="L29" s="924">
        <v>7.38</v>
      </c>
      <c r="M29" s="924">
        <v>7.4</v>
      </c>
      <c r="N29" s="924">
        <v>7.43</v>
      </c>
    </row>
    <row r="30" spans="1:14" ht="12" customHeight="1">
      <c r="A30" s="141" t="s">
        <v>45</v>
      </c>
      <c r="B30" s="941">
        <v>7.28</v>
      </c>
      <c r="C30" s="924">
        <v>7.2</v>
      </c>
      <c r="D30" s="924">
        <v>7.22</v>
      </c>
      <c r="E30" s="924">
        <v>7.25</v>
      </c>
      <c r="F30" s="924">
        <v>7.26</v>
      </c>
      <c r="G30" s="924">
        <v>7.28</v>
      </c>
      <c r="H30" s="924">
        <v>7.28</v>
      </c>
      <c r="I30" s="924">
        <v>7.3</v>
      </c>
      <c r="J30" s="924">
        <v>7.31</v>
      </c>
      <c r="K30" s="924">
        <v>7.3</v>
      </c>
      <c r="L30" s="924">
        <v>7.31</v>
      </c>
      <c r="M30" s="924">
        <v>7.31</v>
      </c>
      <c r="N30" s="924">
        <v>7.33</v>
      </c>
    </row>
    <row r="31" spans="1:14" ht="12" customHeight="1">
      <c r="A31" s="141" t="s">
        <v>46</v>
      </c>
      <c r="B31" s="941">
        <v>7.26</v>
      </c>
      <c r="C31" s="924">
        <v>7.22</v>
      </c>
      <c r="D31" s="924">
        <v>7.2</v>
      </c>
      <c r="E31" s="924">
        <v>7.24</v>
      </c>
      <c r="F31" s="924">
        <v>7.25</v>
      </c>
      <c r="G31" s="924">
        <v>7.27</v>
      </c>
      <c r="H31" s="924">
        <v>7.25</v>
      </c>
      <c r="I31" s="924">
        <v>7.27</v>
      </c>
      <c r="J31" s="924">
        <v>7.26</v>
      </c>
      <c r="K31" s="924">
        <v>7.27</v>
      </c>
      <c r="L31" s="924">
        <v>7.28</v>
      </c>
      <c r="M31" s="924">
        <v>7.29</v>
      </c>
      <c r="N31" s="924">
        <v>7.31</v>
      </c>
    </row>
    <row r="32" spans="1:14" ht="12" customHeight="1">
      <c r="A32" s="141" t="s">
        <v>47</v>
      </c>
      <c r="B32" s="941">
        <v>5.57</v>
      </c>
      <c r="C32" s="924">
        <v>5.41</v>
      </c>
      <c r="D32" s="924">
        <v>5.52</v>
      </c>
      <c r="E32" s="924">
        <v>5.54</v>
      </c>
      <c r="F32" s="924">
        <v>5.56</v>
      </c>
      <c r="G32" s="924">
        <v>5.58</v>
      </c>
      <c r="H32" s="924">
        <v>5.58</v>
      </c>
      <c r="I32" s="924">
        <v>5.6</v>
      </c>
      <c r="J32" s="924">
        <v>5.6</v>
      </c>
      <c r="K32" s="924">
        <v>5.62</v>
      </c>
      <c r="L32" s="924">
        <v>5.63</v>
      </c>
      <c r="M32" s="924">
        <v>5.65</v>
      </c>
      <c r="N32" s="924">
        <v>5.67</v>
      </c>
    </row>
    <row r="33" spans="1:14" ht="12" customHeight="1">
      <c r="A33" s="141" t="s">
        <v>48</v>
      </c>
      <c r="B33" s="941">
        <v>6.67</v>
      </c>
      <c r="C33" s="924">
        <v>6.31</v>
      </c>
      <c r="D33" s="924">
        <v>6.5</v>
      </c>
      <c r="E33" s="924">
        <v>6.7</v>
      </c>
      <c r="F33" s="924">
        <v>6.72</v>
      </c>
      <c r="G33" s="924">
        <v>6.73</v>
      </c>
      <c r="H33" s="924">
        <v>6.72</v>
      </c>
      <c r="I33" s="924">
        <v>6.73</v>
      </c>
      <c r="J33" s="924">
        <v>6.73</v>
      </c>
      <c r="K33" s="924">
        <v>6.72</v>
      </c>
      <c r="L33" s="924">
        <v>6.71</v>
      </c>
      <c r="M33" s="924">
        <v>6.71</v>
      </c>
      <c r="N33" s="924">
        <v>6.73</v>
      </c>
    </row>
    <row r="34" spans="1:14" ht="12" customHeight="1" thickBot="1">
      <c r="A34" s="202" t="s">
        <v>49</v>
      </c>
      <c r="B34" s="940">
        <v>6.37</v>
      </c>
      <c r="C34" s="925">
        <v>6.3</v>
      </c>
      <c r="D34" s="925">
        <v>6.32</v>
      </c>
      <c r="E34" s="925">
        <v>6.34</v>
      </c>
      <c r="F34" s="925">
        <v>6.35</v>
      </c>
      <c r="G34" s="925">
        <v>6.38</v>
      </c>
      <c r="H34" s="925">
        <v>6.37</v>
      </c>
      <c r="I34" s="925">
        <v>6.38</v>
      </c>
      <c r="J34" s="925">
        <v>6.37</v>
      </c>
      <c r="K34" s="925">
        <v>6.36</v>
      </c>
      <c r="L34" s="925">
        <v>6.37</v>
      </c>
      <c r="M34" s="925">
        <v>6.37</v>
      </c>
      <c r="N34" s="925">
        <v>6.49</v>
      </c>
    </row>
    <row r="35" spans="1:14" ht="10" customHeight="1">
      <c r="A35" s="28" t="s">
        <v>238</v>
      </c>
      <c r="B35" s="935"/>
      <c r="C35" s="936"/>
      <c r="D35" s="936"/>
      <c r="E35" s="936"/>
      <c r="F35" s="936"/>
      <c r="G35" s="936"/>
      <c r="H35" s="936"/>
      <c r="I35" s="936"/>
      <c r="J35" s="936"/>
      <c r="K35" s="936"/>
      <c r="L35" s="936"/>
      <c r="M35" s="936"/>
      <c r="N35" s="936"/>
    </row>
    <row r="36" spans="1:14" ht="10" customHeight="1">
      <c r="A36" s="28" t="s">
        <v>192</v>
      </c>
      <c r="B36" s="936"/>
      <c r="C36" s="936"/>
      <c r="D36" s="936"/>
      <c r="E36" s="936"/>
      <c r="F36" s="936"/>
      <c r="G36" s="936"/>
      <c r="H36" s="936"/>
      <c r="I36" s="936"/>
      <c r="J36" s="936"/>
      <c r="K36" s="936"/>
      <c r="L36" s="936"/>
      <c r="M36" s="936"/>
      <c r="N36" s="936"/>
    </row>
    <row r="37" spans="1:14" ht="10" customHeight="1">
      <c r="A37" s="40" t="s">
        <v>261</v>
      </c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</row>
    <row r="38" spans="1:14" ht="13" customHeight="1">
      <c r="A38" s="31"/>
    </row>
    <row r="39" spans="1:14" ht="13" customHeight="1">
      <c r="A39" s="31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Hoja105">
    <tabColor theme="9" tint="0.59999389629810485"/>
  </sheetPr>
  <dimension ref="A1:N39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141" customWidth="1"/>
    <col min="2" max="14" width="8.3984375" style="141" customWidth="1"/>
    <col min="15" max="16384" width="7" style="141"/>
  </cols>
  <sheetData>
    <row r="1" spans="1:14" ht="17" customHeight="1">
      <c r="A1" s="943" t="s">
        <v>524</v>
      </c>
      <c r="B1" s="943"/>
      <c r="C1" s="944"/>
      <c r="D1" s="944"/>
      <c r="E1" s="944"/>
      <c r="F1" s="944"/>
      <c r="G1" s="944"/>
      <c r="H1" s="944"/>
      <c r="I1" s="944"/>
      <c r="J1" s="944"/>
      <c r="K1" s="944"/>
      <c r="L1" s="944"/>
      <c r="M1" s="944"/>
      <c r="N1" s="944"/>
    </row>
    <row r="2" spans="1:14" ht="13" customHeight="1">
      <c r="A2" s="927" t="s">
        <v>593</v>
      </c>
      <c r="B2" s="508"/>
      <c r="C2" s="189"/>
      <c r="D2" s="189"/>
      <c r="E2" s="189"/>
      <c r="F2" s="189"/>
      <c r="G2" s="193"/>
      <c r="H2" s="192"/>
      <c r="I2" s="189"/>
      <c r="J2" s="189"/>
      <c r="K2" s="189"/>
      <c r="L2" s="189"/>
      <c r="M2" s="189"/>
      <c r="N2" s="189"/>
    </row>
    <row r="3" spans="1:14" ht="4" customHeight="1" thickBot="1">
      <c r="A3" s="192"/>
      <c r="B3" s="189"/>
      <c r="C3" s="189"/>
      <c r="D3" s="189"/>
      <c r="E3" s="189"/>
      <c r="F3" s="189"/>
      <c r="G3" s="193"/>
      <c r="H3" s="192"/>
      <c r="I3" s="189"/>
      <c r="J3" s="189"/>
      <c r="K3" s="189"/>
      <c r="L3" s="189"/>
      <c r="M3" s="189"/>
      <c r="N3" s="189"/>
    </row>
    <row r="4" spans="1:14" ht="15" customHeight="1">
      <c r="A4" s="525" t="s">
        <v>18</v>
      </c>
      <c r="B4" s="934" t="s">
        <v>56</v>
      </c>
      <c r="C4" s="934" t="s">
        <v>57</v>
      </c>
      <c r="D4" s="934" t="s">
        <v>58</v>
      </c>
      <c r="E4" s="934" t="s">
        <v>59</v>
      </c>
      <c r="F4" s="934" t="s">
        <v>60</v>
      </c>
      <c r="G4" s="934" t="s">
        <v>61</v>
      </c>
      <c r="H4" s="934" t="s">
        <v>62</v>
      </c>
      <c r="I4" s="934" t="s">
        <v>63</v>
      </c>
      <c r="J4" s="934" t="s">
        <v>64</v>
      </c>
      <c r="K4" s="934" t="s">
        <v>65</v>
      </c>
      <c r="L4" s="934" t="s">
        <v>66</v>
      </c>
      <c r="M4" s="934" t="s">
        <v>67</v>
      </c>
      <c r="N4" s="934" t="s">
        <v>68</v>
      </c>
    </row>
    <row r="5" spans="1:14" ht="15" customHeight="1">
      <c r="A5" s="929" t="s">
        <v>114</v>
      </c>
      <c r="B5" s="930">
        <v>5.68</v>
      </c>
      <c r="C5" s="930">
        <v>5.65</v>
      </c>
      <c r="D5" s="930">
        <v>5.67</v>
      </c>
      <c r="E5" s="930">
        <v>5.68</v>
      </c>
      <c r="F5" s="930">
        <v>5.69</v>
      </c>
      <c r="G5" s="930">
        <v>5.69</v>
      </c>
      <c r="H5" s="930">
        <v>5.69</v>
      </c>
      <c r="I5" s="930">
        <v>5.69</v>
      </c>
      <c r="J5" s="930">
        <v>5.69</v>
      </c>
      <c r="K5" s="930">
        <v>5.68</v>
      </c>
      <c r="L5" s="930">
        <v>5.69</v>
      </c>
      <c r="M5" s="930">
        <v>5.68</v>
      </c>
      <c r="N5" s="930">
        <v>5.69</v>
      </c>
    </row>
    <row r="6" spans="1:14" ht="12" customHeight="1">
      <c r="A6" s="141" t="s">
        <v>21</v>
      </c>
      <c r="B6" s="939">
        <v>5.58</v>
      </c>
      <c r="C6" s="924">
        <v>5.58</v>
      </c>
      <c r="D6" s="924">
        <v>5.57</v>
      </c>
      <c r="E6" s="924">
        <v>5.57</v>
      </c>
      <c r="F6" s="924">
        <v>5.58</v>
      </c>
      <c r="G6" s="924">
        <v>5.59</v>
      </c>
      <c r="H6" s="924">
        <v>5.58</v>
      </c>
      <c r="I6" s="924">
        <v>5.59</v>
      </c>
      <c r="J6" s="924">
        <v>5.58</v>
      </c>
      <c r="K6" s="924">
        <v>5.58</v>
      </c>
      <c r="L6" s="924">
        <v>5.59</v>
      </c>
      <c r="M6" s="924">
        <v>5.58</v>
      </c>
      <c r="N6" s="924">
        <v>5.6</v>
      </c>
    </row>
    <row r="7" spans="1:14" ht="12" customHeight="1">
      <c r="A7" s="141" t="s">
        <v>22</v>
      </c>
      <c r="B7" s="939">
        <v>5.67</v>
      </c>
      <c r="C7" s="924">
        <v>5.66</v>
      </c>
      <c r="D7" s="924">
        <v>5.67</v>
      </c>
      <c r="E7" s="924">
        <v>5.68</v>
      </c>
      <c r="F7" s="924">
        <v>5.67</v>
      </c>
      <c r="G7" s="924">
        <v>5.68</v>
      </c>
      <c r="H7" s="924">
        <v>5.67</v>
      </c>
      <c r="I7" s="924">
        <v>5.67</v>
      </c>
      <c r="J7" s="924">
        <v>5.67</v>
      </c>
      <c r="K7" s="924">
        <v>5.68</v>
      </c>
      <c r="L7" s="924">
        <v>5.67</v>
      </c>
      <c r="M7" s="924">
        <v>5.67</v>
      </c>
      <c r="N7" s="924">
        <v>5.68</v>
      </c>
    </row>
    <row r="8" spans="1:14" ht="12" customHeight="1">
      <c r="A8" s="141" t="s">
        <v>23</v>
      </c>
      <c r="B8" s="939">
        <v>5.8</v>
      </c>
      <c r="C8" s="924">
        <v>5.77</v>
      </c>
      <c r="D8" s="924">
        <v>5.78</v>
      </c>
      <c r="E8" s="924">
        <v>5.77</v>
      </c>
      <c r="F8" s="924">
        <v>5.79</v>
      </c>
      <c r="G8" s="924">
        <v>5.8</v>
      </c>
      <c r="H8" s="924">
        <v>5.79</v>
      </c>
      <c r="I8" s="924">
        <v>5.8</v>
      </c>
      <c r="J8" s="924">
        <v>5.81</v>
      </c>
      <c r="K8" s="924">
        <v>5.82</v>
      </c>
      <c r="L8" s="924">
        <v>5.82</v>
      </c>
      <c r="M8" s="924">
        <v>5.83</v>
      </c>
      <c r="N8" s="924">
        <v>5.85</v>
      </c>
    </row>
    <row r="9" spans="1:14" ht="12" customHeight="1">
      <c r="A9" s="141" t="s">
        <v>24</v>
      </c>
      <c r="B9" s="939">
        <v>6.12</v>
      </c>
      <c r="C9" s="924">
        <v>6.08</v>
      </c>
      <c r="D9" s="924">
        <v>6.12</v>
      </c>
      <c r="E9" s="924">
        <v>6.14</v>
      </c>
      <c r="F9" s="924">
        <v>6.13</v>
      </c>
      <c r="G9" s="924">
        <v>6.12</v>
      </c>
      <c r="H9" s="924">
        <v>6.11</v>
      </c>
      <c r="I9" s="924">
        <v>6.12</v>
      </c>
      <c r="J9" s="924">
        <v>6.11</v>
      </c>
      <c r="K9" s="924">
        <v>6.12</v>
      </c>
      <c r="L9" s="924">
        <v>6.13</v>
      </c>
      <c r="M9" s="924">
        <v>6.12</v>
      </c>
      <c r="N9" s="924">
        <v>6.13</v>
      </c>
    </row>
    <row r="10" spans="1:14" ht="12" customHeight="1">
      <c r="A10" s="141" t="s">
        <v>25</v>
      </c>
      <c r="B10" s="939">
        <v>5.6</v>
      </c>
      <c r="C10" s="924">
        <v>5.53</v>
      </c>
      <c r="D10" s="924">
        <v>5.62</v>
      </c>
      <c r="E10" s="924">
        <v>5.55</v>
      </c>
      <c r="F10" s="924">
        <v>5.58</v>
      </c>
      <c r="G10" s="924">
        <v>5.56</v>
      </c>
      <c r="H10" s="924">
        <v>5.59</v>
      </c>
      <c r="I10" s="924">
        <v>5.61</v>
      </c>
      <c r="J10" s="924">
        <v>5.64</v>
      </c>
      <c r="K10" s="924">
        <v>5.63</v>
      </c>
      <c r="L10" s="924">
        <v>5.64</v>
      </c>
      <c r="M10" s="924">
        <v>5.59</v>
      </c>
      <c r="N10" s="924">
        <v>5.64</v>
      </c>
    </row>
    <row r="11" spans="1:14" ht="12" customHeight="1">
      <c r="A11" s="141" t="s">
        <v>107</v>
      </c>
      <c r="B11" s="939">
        <v>6.05</v>
      </c>
      <c r="C11" s="924">
        <v>6.02</v>
      </c>
      <c r="D11" s="924">
        <v>6.03</v>
      </c>
      <c r="E11" s="924">
        <v>6.05</v>
      </c>
      <c r="F11" s="924">
        <v>6.06</v>
      </c>
      <c r="G11" s="924">
        <v>6.07</v>
      </c>
      <c r="H11" s="924">
        <v>6.07</v>
      </c>
      <c r="I11" s="924">
        <v>6.06</v>
      </c>
      <c r="J11" s="924">
        <v>6.05</v>
      </c>
      <c r="K11" s="924">
        <v>6.06</v>
      </c>
      <c r="L11" s="924">
        <v>6.06</v>
      </c>
      <c r="M11" s="924">
        <v>6.05</v>
      </c>
      <c r="N11" s="924">
        <v>6.07</v>
      </c>
    </row>
    <row r="12" spans="1:14" ht="12" customHeight="1">
      <c r="A12" s="141" t="s">
        <v>108</v>
      </c>
      <c r="B12" s="939">
        <v>5.04</v>
      </c>
      <c r="C12" s="924">
        <v>5</v>
      </c>
      <c r="D12" s="924">
        <v>5.01</v>
      </c>
      <c r="E12" s="924">
        <v>5.0199999999999996</v>
      </c>
      <c r="F12" s="924">
        <v>5.03</v>
      </c>
      <c r="G12" s="924">
        <v>5.05</v>
      </c>
      <c r="H12" s="924">
        <v>5.0599999999999996</v>
      </c>
      <c r="I12" s="924">
        <v>5.05</v>
      </c>
      <c r="J12" s="924">
        <v>5.05</v>
      </c>
      <c r="K12" s="924">
        <v>5.05</v>
      </c>
      <c r="L12" s="924">
        <v>5.04</v>
      </c>
      <c r="M12" s="924">
        <v>5.04</v>
      </c>
      <c r="N12" s="924">
        <v>5.05</v>
      </c>
    </row>
    <row r="13" spans="1:14" ht="12" customHeight="1">
      <c r="A13" s="141" t="s">
        <v>139</v>
      </c>
      <c r="B13" s="939">
        <v>5.27</v>
      </c>
      <c r="C13" s="924">
        <v>5.2</v>
      </c>
      <c r="D13" s="924">
        <v>5.22</v>
      </c>
      <c r="E13" s="924">
        <v>5.24</v>
      </c>
      <c r="F13" s="924">
        <v>5.25</v>
      </c>
      <c r="G13" s="924">
        <v>5.26</v>
      </c>
      <c r="H13" s="924">
        <v>5.27</v>
      </c>
      <c r="I13" s="924">
        <v>5.27</v>
      </c>
      <c r="J13" s="924">
        <v>5.28</v>
      </c>
      <c r="K13" s="924">
        <v>5.29</v>
      </c>
      <c r="L13" s="924">
        <v>5.3</v>
      </c>
      <c r="M13" s="924">
        <v>5.31</v>
      </c>
      <c r="N13" s="924">
        <v>5.32</v>
      </c>
    </row>
    <row r="14" spans="1:14" ht="12" customHeight="1">
      <c r="A14" s="141" t="s">
        <v>29</v>
      </c>
      <c r="B14" s="939">
        <v>5.52</v>
      </c>
      <c r="C14" s="924">
        <v>5.49</v>
      </c>
      <c r="D14" s="924">
        <v>5.5</v>
      </c>
      <c r="E14" s="924">
        <v>5.51</v>
      </c>
      <c r="F14" s="924">
        <v>5.52</v>
      </c>
      <c r="G14" s="924">
        <v>5.53</v>
      </c>
      <c r="H14" s="924">
        <v>5.53</v>
      </c>
      <c r="I14" s="924">
        <v>5.52</v>
      </c>
      <c r="J14" s="924">
        <v>5.51</v>
      </c>
      <c r="K14" s="924">
        <v>5.52</v>
      </c>
      <c r="L14" s="924">
        <v>5.52</v>
      </c>
      <c r="M14" s="924">
        <v>5.53</v>
      </c>
      <c r="N14" s="924">
        <v>5.52</v>
      </c>
    </row>
    <row r="15" spans="1:14" ht="12" customHeight="1">
      <c r="A15" s="141" t="s">
        <v>30</v>
      </c>
      <c r="B15" s="939">
        <v>5.1100000000000003</v>
      </c>
      <c r="C15" s="924">
        <v>5.09</v>
      </c>
      <c r="D15" s="924">
        <v>5.08</v>
      </c>
      <c r="E15" s="924">
        <v>5.09</v>
      </c>
      <c r="F15" s="924">
        <v>5.12</v>
      </c>
      <c r="G15" s="924">
        <v>5.1100000000000003</v>
      </c>
      <c r="H15" s="924">
        <v>5.12</v>
      </c>
      <c r="I15" s="924">
        <v>5.1100000000000003</v>
      </c>
      <c r="J15" s="924">
        <v>5.1100000000000003</v>
      </c>
      <c r="K15" s="924">
        <v>5.12</v>
      </c>
      <c r="L15" s="924">
        <v>5.1100000000000003</v>
      </c>
      <c r="M15" s="924">
        <v>5.12</v>
      </c>
      <c r="N15" s="924">
        <v>5.12</v>
      </c>
    </row>
    <row r="16" spans="1:14" ht="12" customHeight="1">
      <c r="A16" s="141" t="s">
        <v>31</v>
      </c>
      <c r="B16" s="939">
        <v>5.9</v>
      </c>
      <c r="C16" s="924">
        <v>5.85</v>
      </c>
      <c r="D16" s="924">
        <v>5.86</v>
      </c>
      <c r="E16" s="924">
        <v>5.88</v>
      </c>
      <c r="F16" s="924">
        <v>5.9</v>
      </c>
      <c r="G16" s="924">
        <v>5.92</v>
      </c>
      <c r="H16" s="924">
        <v>5.91</v>
      </c>
      <c r="I16" s="924">
        <v>5.9</v>
      </c>
      <c r="J16" s="924">
        <v>5.9</v>
      </c>
      <c r="K16" s="924">
        <v>5.91</v>
      </c>
      <c r="L16" s="924">
        <v>5.92</v>
      </c>
      <c r="M16" s="924">
        <v>5.92</v>
      </c>
      <c r="N16" s="924">
        <v>5.94</v>
      </c>
    </row>
    <row r="17" spans="1:14" ht="12" customHeight="1">
      <c r="A17" s="141" t="s">
        <v>32</v>
      </c>
      <c r="B17" s="939">
        <v>5.23</v>
      </c>
      <c r="C17" s="924">
        <v>5.19</v>
      </c>
      <c r="D17" s="924">
        <v>5.2</v>
      </c>
      <c r="E17" s="924">
        <v>5.21</v>
      </c>
      <c r="F17" s="924">
        <v>5.22</v>
      </c>
      <c r="G17" s="924">
        <v>5.23</v>
      </c>
      <c r="H17" s="924">
        <v>5.22</v>
      </c>
      <c r="I17" s="924">
        <v>5.21</v>
      </c>
      <c r="J17" s="924">
        <v>5.22</v>
      </c>
      <c r="K17" s="924">
        <v>5.24</v>
      </c>
      <c r="L17" s="924">
        <v>5.25</v>
      </c>
      <c r="M17" s="924">
        <v>5.24</v>
      </c>
      <c r="N17" s="924">
        <v>5.26</v>
      </c>
    </row>
    <row r="18" spans="1:14" ht="12" customHeight="1">
      <c r="A18" s="141" t="s">
        <v>33</v>
      </c>
      <c r="B18" s="939">
        <v>5.56</v>
      </c>
      <c r="C18" s="924">
        <v>5.6</v>
      </c>
      <c r="D18" s="924">
        <v>5.58</v>
      </c>
      <c r="E18" s="924">
        <v>5.57</v>
      </c>
      <c r="F18" s="924">
        <v>5.56</v>
      </c>
      <c r="G18" s="924">
        <v>5.55</v>
      </c>
      <c r="H18" s="924">
        <v>5.56</v>
      </c>
      <c r="I18" s="924">
        <v>5.56</v>
      </c>
      <c r="J18" s="924">
        <v>5.56</v>
      </c>
      <c r="K18" s="924">
        <v>5.55</v>
      </c>
      <c r="L18" s="924">
        <v>5.56</v>
      </c>
      <c r="M18" s="924">
        <v>5.55</v>
      </c>
      <c r="N18" s="924">
        <v>5.57</v>
      </c>
    </row>
    <row r="19" spans="1:14" ht="12" customHeight="1">
      <c r="A19" s="141" t="s">
        <v>34</v>
      </c>
      <c r="B19" s="939">
        <v>5.61</v>
      </c>
      <c r="C19" s="924">
        <v>5.7</v>
      </c>
      <c r="D19" s="924">
        <v>5.65</v>
      </c>
      <c r="E19" s="924">
        <v>5.64</v>
      </c>
      <c r="F19" s="924">
        <v>5.62</v>
      </c>
      <c r="G19" s="924">
        <v>5.63</v>
      </c>
      <c r="H19" s="924">
        <v>5.62</v>
      </c>
      <c r="I19" s="924">
        <v>5.59</v>
      </c>
      <c r="J19" s="924">
        <v>5.6</v>
      </c>
      <c r="K19" s="924">
        <v>5.59</v>
      </c>
      <c r="L19" s="924">
        <v>5.58</v>
      </c>
      <c r="M19" s="924">
        <v>5.59</v>
      </c>
      <c r="N19" s="924">
        <v>5.58</v>
      </c>
    </row>
    <row r="20" spans="1:14" ht="12" customHeight="1">
      <c r="A20" s="141" t="s">
        <v>35</v>
      </c>
      <c r="B20" s="939">
        <v>6.15</v>
      </c>
      <c r="C20" s="924">
        <v>6.1</v>
      </c>
      <c r="D20" s="924">
        <v>6.13</v>
      </c>
      <c r="E20" s="924">
        <v>6.14</v>
      </c>
      <c r="F20" s="924">
        <v>6.17</v>
      </c>
      <c r="G20" s="924">
        <v>6.18</v>
      </c>
      <c r="H20" s="924">
        <v>6.18</v>
      </c>
      <c r="I20" s="924">
        <v>6.16</v>
      </c>
      <c r="J20" s="924">
        <v>6.17</v>
      </c>
      <c r="K20" s="924">
        <v>6.15</v>
      </c>
      <c r="L20" s="924">
        <v>6.14</v>
      </c>
      <c r="M20" s="924">
        <v>6.15</v>
      </c>
      <c r="N20" s="924">
        <v>6.15</v>
      </c>
    </row>
    <row r="21" spans="1:14" ht="12" customHeight="1">
      <c r="A21" s="141" t="s">
        <v>36</v>
      </c>
      <c r="B21" s="939">
        <v>5.46</v>
      </c>
      <c r="C21" s="924">
        <v>5.45</v>
      </c>
      <c r="D21" s="924">
        <v>5.46</v>
      </c>
      <c r="E21" s="924">
        <v>5.45</v>
      </c>
      <c r="F21" s="924">
        <v>5.46</v>
      </c>
      <c r="G21" s="924">
        <v>5.47</v>
      </c>
      <c r="H21" s="924">
        <v>5.47</v>
      </c>
      <c r="I21" s="924">
        <v>5.45</v>
      </c>
      <c r="J21" s="924">
        <v>5.45</v>
      </c>
      <c r="K21" s="924">
        <v>5.44</v>
      </c>
      <c r="L21" s="924">
        <v>5.44</v>
      </c>
      <c r="M21" s="924">
        <v>5.45</v>
      </c>
      <c r="N21" s="924">
        <v>5.47</v>
      </c>
    </row>
    <row r="22" spans="1:14" ht="12" customHeight="1">
      <c r="A22" s="141" t="s">
        <v>37</v>
      </c>
      <c r="B22" s="939">
        <v>5.73</v>
      </c>
      <c r="C22" s="924">
        <v>5.72</v>
      </c>
      <c r="D22" s="924">
        <v>5.7</v>
      </c>
      <c r="E22" s="924">
        <v>5.73</v>
      </c>
      <c r="F22" s="924">
        <v>5.73</v>
      </c>
      <c r="G22" s="924">
        <v>5.75</v>
      </c>
      <c r="H22" s="924">
        <v>5.74</v>
      </c>
      <c r="I22" s="924">
        <v>5.73</v>
      </c>
      <c r="J22" s="924">
        <v>5.74</v>
      </c>
      <c r="K22" s="924">
        <v>5.73</v>
      </c>
      <c r="L22" s="924">
        <v>5.74</v>
      </c>
      <c r="M22" s="924">
        <v>5.73</v>
      </c>
      <c r="N22" s="924">
        <v>5.75</v>
      </c>
    </row>
    <row r="23" spans="1:14" ht="12" customHeight="1">
      <c r="A23" s="141" t="s">
        <v>38</v>
      </c>
      <c r="B23" s="939">
        <v>5.46</v>
      </c>
      <c r="C23" s="924">
        <v>5.42</v>
      </c>
      <c r="D23" s="924">
        <v>5.46</v>
      </c>
      <c r="E23" s="924">
        <v>5.47</v>
      </c>
      <c r="F23" s="924">
        <v>5.48</v>
      </c>
      <c r="G23" s="924">
        <v>5.48</v>
      </c>
      <c r="H23" s="924">
        <v>5.47</v>
      </c>
      <c r="I23" s="924">
        <v>5.47</v>
      </c>
      <c r="J23" s="924">
        <v>5.47</v>
      </c>
      <c r="K23" s="924">
        <v>5.46</v>
      </c>
      <c r="L23" s="924">
        <v>5.45</v>
      </c>
      <c r="M23" s="924">
        <v>5.45</v>
      </c>
      <c r="N23" s="924">
        <v>5.46</v>
      </c>
    </row>
    <row r="24" spans="1:14" ht="12" customHeight="1">
      <c r="A24" s="141" t="s">
        <v>39</v>
      </c>
      <c r="B24" s="939">
        <v>5.76</v>
      </c>
      <c r="C24" s="924">
        <v>5.78</v>
      </c>
      <c r="D24" s="924">
        <v>5.76</v>
      </c>
      <c r="E24" s="924">
        <v>5.76</v>
      </c>
      <c r="F24" s="924">
        <v>5.75</v>
      </c>
      <c r="G24" s="924">
        <v>5.76</v>
      </c>
      <c r="H24" s="924">
        <v>5.75</v>
      </c>
      <c r="I24" s="924">
        <v>5.75</v>
      </c>
      <c r="J24" s="924">
        <v>5.74</v>
      </c>
      <c r="K24" s="924">
        <v>5.75</v>
      </c>
      <c r="L24" s="924">
        <v>5.76</v>
      </c>
      <c r="M24" s="924">
        <v>5.76</v>
      </c>
      <c r="N24" s="924">
        <v>5.78</v>
      </c>
    </row>
    <row r="25" spans="1:14" ht="12" customHeight="1">
      <c r="A25" s="141" t="s">
        <v>40</v>
      </c>
      <c r="B25" s="939">
        <v>5.67</v>
      </c>
      <c r="C25" s="924">
        <v>5.7</v>
      </c>
      <c r="D25" s="924">
        <v>5.72</v>
      </c>
      <c r="E25" s="928">
        <v>5.72</v>
      </c>
      <c r="F25" s="924">
        <v>5.7</v>
      </c>
      <c r="G25" s="924">
        <v>5.69</v>
      </c>
      <c r="H25" s="924">
        <v>5.68</v>
      </c>
      <c r="I25" s="924">
        <v>5.66</v>
      </c>
      <c r="J25" s="924">
        <v>5.65</v>
      </c>
      <c r="K25" s="924">
        <v>5.64</v>
      </c>
      <c r="L25" s="924">
        <v>5.63</v>
      </c>
      <c r="M25" s="924">
        <v>5.63</v>
      </c>
      <c r="N25" s="924">
        <v>5.62</v>
      </c>
    </row>
    <row r="26" spans="1:14" ht="12" customHeight="1">
      <c r="A26" s="141" t="s">
        <v>41</v>
      </c>
      <c r="B26" s="939">
        <v>5.17</v>
      </c>
      <c r="C26" s="924">
        <v>5.18</v>
      </c>
      <c r="D26" s="924">
        <v>5.19</v>
      </c>
      <c r="E26" s="924">
        <v>5.19</v>
      </c>
      <c r="F26" s="924">
        <v>5.18</v>
      </c>
      <c r="G26" s="924">
        <v>5.17</v>
      </c>
      <c r="H26" s="924">
        <v>5.16</v>
      </c>
      <c r="I26" s="924">
        <v>5.15</v>
      </c>
      <c r="J26" s="924">
        <v>5.16</v>
      </c>
      <c r="K26" s="924">
        <v>5.14</v>
      </c>
      <c r="L26" s="924">
        <v>5.14</v>
      </c>
      <c r="M26" s="924">
        <v>5.16</v>
      </c>
      <c r="N26" s="924">
        <v>5.14</v>
      </c>
    </row>
    <row r="27" spans="1:14" ht="12" customHeight="1">
      <c r="A27" s="141" t="s">
        <v>111</v>
      </c>
      <c r="B27" s="939">
        <v>5.16</v>
      </c>
      <c r="C27" s="924">
        <v>5.18</v>
      </c>
      <c r="D27" s="924">
        <v>5.19</v>
      </c>
      <c r="E27" s="924">
        <v>5.19</v>
      </c>
      <c r="F27" s="924">
        <v>5.18</v>
      </c>
      <c r="G27" s="924">
        <v>5.17</v>
      </c>
      <c r="H27" s="924">
        <v>5.16</v>
      </c>
      <c r="I27" s="924">
        <v>5.15</v>
      </c>
      <c r="J27" s="924">
        <v>5.15</v>
      </c>
      <c r="K27" s="924">
        <v>5.14</v>
      </c>
      <c r="L27" s="924">
        <v>5.14</v>
      </c>
      <c r="M27" s="924">
        <v>5.15</v>
      </c>
      <c r="N27" s="924">
        <v>5.14</v>
      </c>
    </row>
    <row r="28" spans="1:14" ht="12" customHeight="1">
      <c r="A28" s="141" t="s">
        <v>112</v>
      </c>
      <c r="B28" s="939">
        <v>5.17</v>
      </c>
      <c r="C28" s="924">
        <v>5.19</v>
      </c>
      <c r="D28" s="924">
        <v>5.2</v>
      </c>
      <c r="E28" s="924">
        <v>5.2</v>
      </c>
      <c r="F28" s="924">
        <v>5.19</v>
      </c>
      <c r="G28" s="924">
        <v>5.18</v>
      </c>
      <c r="H28" s="924">
        <v>5.17</v>
      </c>
      <c r="I28" s="924">
        <v>5.16</v>
      </c>
      <c r="J28" s="924">
        <v>5.16</v>
      </c>
      <c r="K28" s="924">
        <v>5.15</v>
      </c>
      <c r="L28" s="924">
        <v>5.15</v>
      </c>
      <c r="M28" s="924">
        <v>5.16</v>
      </c>
      <c r="N28" s="924">
        <v>5.15</v>
      </c>
    </row>
    <row r="29" spans="1:14" ht="12" customHeight="1">
      <c r="A29" s="141" t="s">
        <v>44</v>
      </c>
      <c r="B29" s="939">
        <v>5.88</v>
      </c>
      <c r="C29" s="924">
        <v>5.85</v>
      </c>
      <c r="D29" s="924">
        <v>5.87</v>
      </c>
      <c r="E29" s="924">
        <v>5.88</v>
      </c>
      <c r="F29" s="924">
        <v>5.89</v>
      </c>
      <c r="G29" s="924">
        <v>5.88</v>
      </c>
      <c r="H29" s="924">
        <v>5.89</v>
      </c>
      <c r="I29" s="924">
        <v>5.87</v>
      </c>
      <c r="J29" s="924">
        <v>5.88</v>
      </c>
      <c r="K29" s="924">
        <v>5.89</v>
      </c>
      <c r="L29" s="924">
        <v>5.9</v>
      </c>
      <c r="M29" s="924">
        <v>5.9</v>
      </c>
      <c r="N29" s="924">
        <v>5.92</v>
      </c>
    </row>
    <row r="30" spans="1:14" ht="12" customHeight="1">
      <c r="A30" s="141" t="s">
        <v>45</v>
      </c>
      <c r="B30" s="939">
        <v>5.84</v>
      </c>
      <c r="C30" s="924">
        <v>5.8</v>
      </c>
      <c r="D30" s="924">
        <v>5.82</v>
      </c>
      <c r="E30" s="924">
        <v>5.84</v>
      </c>
      <c r="F30" s="924">
        <v>5.85</v>
      </c>
      <c r="G30" s="924">
        <v>5.86</v>
      </c>
      <c r="H30" s="924">
        <v>5.85</v>
      </c>
      <c r="I30" s="924">
        <v>5.84</v>
      </c>
      <c r="J30" s="924">
        <v>5.84</v>
      </c>
      <c r="K30" s="924">
        <v>5.83</v>
      </c>
      <c r="L30" s="924">
        <v>5.83</v>
      </c>
      <c r="M30" s="924">
        <v>5.84</v>
      </c>
      <c r="N30" s="924">
        <v>5.86</v>
      </c>
    </row>
    <row r="31" spans="1:14" ht="12" customHeight="1">
      <c r="A31" s="141" t="s">
        <v>46</v>
      </c>
      <c r="B31" s="939">
        <v>5.57</v>
      </c>
      <c r="C31" s="924">
        <v>5.5</v>
      </c>
      <c r="D31" s="924">
        <v>5.54</v>
      </c>
      <c r="E31" s="924">
        <v>5.54</v>
      </c>
      <c r="F31" s="924">
        <v>5.57</v>
      </c>
      <c r="G31" s="924">
        <v>5.58</v>
      </c>
      <c r="H31" s="924">
        <v>5.58</v>
      </c>
      <c r="I31" s="924">
        <v>5.58</v>
      </c>
      <c r="J31" s="924">
        <v>5.57</v>
      </c>
      <c r="K31" s="924">
        <v>5.58</v>
      </c>
      <c r="L31" s="924">
        <v>5.59</v>
      </c>
      <c r="M31" s="924">
        <v>5.58</v>
      </c>
      <c r="N31" s="924">
        <v>5.6</v>
      </c>
    </row>
    <row r="32" spans="1:14" ht="12" customHeight="1">
      <c r="A32" s="141" t="s">
        <v>47</v>
      </c>
      <c r="B32" s="939">
        <v>5.76</v>
      </c>
      <c r="C32" s="924">
        <v>5.46</v>
      </c>
      <c r="D32" s="924">
        <v>5.45</v>
      </c>
      <c r="E32" s="924">
        <v>5.45</v>
      </c>
      <c r="F32" s="924">
        <v>5.5</v>
      </c>
      <c r="G32" s="924">
        <v>5.91</v>
      </c>
      <c r="H32" s="924">
        <v>5.9</v>
      </c>
      <c r="I32" s="924">
        <v>5.9</v>
      </c>
      <c r="J32" s="924">
        <v>5.9</v>
      </c>
      <c r="K32" s="924">
        <v>5.89</v>
      </c>
      <c r="L32" s="924">
        <v>5.9</v>
      </c>
      <c r="M32" s="924">
        <v>5.89</v>
      </c>
      <c r="N32" s="924">
        <v>5.88</v>
      </c>
    </row>
    <row r="33" spans="1:14" ht="12" customHeight="1">
      <c r="A33" s="141" t="s">
        <v>48</v>
      </c>
      <c r="B33" s="939">
        <v>5.43</v>
      </c>
      <c r="C33" s="924">
        <v>5.4</v>
      </c>
      <c r="D33" s="924">
        <v>5.41</v>
      </c>
      <c r="E33" s="924">
        <v>5.42</v>
      </c>
      <c r="F33" s="924">
        <v>5.41</v>
      </c>
      <c r="G33" s="924">
        <v>5.42</v>
      </c>
      <c r="H33" s="924">
        <v>5.42</v>
      </c>
      <c r="I33" s="924">
        <v>5.42</v>
      </c>
      <c r="J33" s="924">
        <v>5.42</v>
      </c>
      <c r="K33" s="924">
        <v>5.43</v>
      </c>
      <c r="L33" s="924">
        <v>5.44</v>
      </c>
      <c r="M33" s="924">
        <v>5.45</v>
      </c>
      <c r="N33" s="924">
        <v>5.47</v>
      </c>
    </row>
    <row r="34" spans="1:14" ht="12" customHeight="1" thickBot="1">
      <c r="A34" s="202" t="s">
        <v>49</v>
      </c>
      <c r="B34" s="940">
        <v>5.57</v>
      </c>
      <c r="C34" s="925">
        <v>5.58</v>
      </c>
      <c r="D34" s="925">
        <v>5.57</v>
      </c>
      <c r="E34" s="925">
        <v>5.59</v>
      </c>
      <c r="F34" s="925">
        <v>5.58</v>
      </c>
      <c r="G34" s="925">
        <v>5.59</v>
      </c>
      <c r="H34" s="925">
        <v>5.58</v>
      </c>
      <c r="I34" s="925">
        <v>5.57</v>
      </c>
      <c r="J34" s="925">
        <v>5.57</v>
      </c>
      <c r="K34" s="925">
        <v>5.56</v>
      </c>
      <c r="L34" s="925">
        <v>5.55</v>
      </c>
      <c r="M34" s="925">
        <v>5.56</v>
      </c>
      <c r="N34" s="925">
        <v>5.58</v>
      </c>
    </row>
    <row r="35" spans="1:14" ht="10" customHeight="1">
      <c r="A35" s="28" t="s">
        <v>238</v>
      </c>
      <c r="B35" s="935"/>
      <c r="C35" s="936"/>
      <c r="D35" s="936"/>
      <c r="E35" s="936"/>
      <c r="F35" s="936"/>
      <c r="G35" s="936"/>
      <c r="H35" s="936"/>
      <c r="I35" s="936"/>
      <c r="J35" s="936"/>
      <c r="K35" s="936"/>
      <c r="L35" s="936"/>
      <c r="M35" s="936"/>
      <c r="N35" s="936"/>
    </row>
    <row r="36" spans="1:14" ht="10" customHeight="1">
      <c r="A36" s="28" t="s">
        <v>192</v>
      </c>
      <c r="B36" s="936"/>
      <c r="C36" s="936"/>
      <c r="D36" s="936"/>
      <c r="E36" s="936"/>
      <c r="F36" s="936"/>
      <c r="G36" s="936"/>
      <c r="H36" s="936"/>
      <c r="I36" s="936"/>
      <c r="J36" s="936"/>
      <c r="K36" s="936"/>
      <c r="L36" s="936"/>
      <c r="M36" s="936"/>
      <c r="N36" s="936"/>
    </row>
    <row r="37" spans="1:14" ht="10" customHeight="1">
      <c r="A37" s="40" t="s">
        <v>261</v>
      </c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</row>
    <row r="38" spans="1:14" ht="13" customHeight="1">
      <c r="A38" s="31"/>
    </row>
    <row r="39" spans="1:14" ht="13" customHeight="1">
      <c r="A39" s="31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Hoja106">
    <tabColor theme="9" tint="0.59999389629810485"/>
  </sheetPr>
  <dimension ref="A1:N39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141" customWidth="1"/>
    <col min="2" max="14" width="8.3984375" style="141" customWidth="1"/>
    <col min="15" max="16384" width="7" style="141"/>
  </cols>
  <sheetData>
    <row r="1" spans="1:14" ht="17" customHeight="1">
      <c r="A1" s="943" t="s">
        <v>525</v>
      </c>
      <c r="B1" s="943"/>
      <c r="C1" s="944"/>
      <c r="D1" s="944"/>
      <c r="E1" s="944"/>
      <c r="F1" s="944"/>
      <c r="G1" s="944"/>
      <c r="H1" s="944"/>
      <c r="I1" s="944"/>
      <c r="J1" s="944"/>
      <c r="K1" s="944"/>
      <c r="L1" s="944"/>
      <c r="M1" s="944"/>
      <c r="N1" s="944"/>
    </row>
    <row r="2" spans="1:14" ht="13" customHeight="1">
      <c r="A2" s="927" t="s">
        <v>593</v>
      </c>
      <c r="B2" s="508"/>
      <c r="C2" s="189"/>
      <c r="D2" s="189"/>
      <c r="E2" s="189"/>
      <c r="F2" s="189"/>
      <c r="G2" s="193"/>
      <c r="H2" s="192"/>
      <c r="I2" s="189"/>
      <c r="J2" s="189"/>
      <c r="K2" s="189"/>
      <c r="L2" s="189"/>
      <c r="M2" s="189"/>
      <c r="N2" s="189"/>
    </row>
    <row r="3" spans="1:14" ht="4" customHeight="1" thickBot="1">
      <c r="A3" s="192"/>
      <c r="B3" s="189"/>
      <c r="C3" s="189"/>
      <c r="D3" s="189"/>
      <c r="E3" s="189"/>
      <c r="F3" s="189"/>
      <c r="G3" s="193"/>
      <c r="H3" s="192"/>
      <c r="I3" s="189"/>
      <c r="J3" s="189"/>
      <c r="K3" s="189"/>
      <c r="L3" s="189"/>
      <c r="M3" s="189"/>
      <c r="N3" s="189"/>
    </row>
    <row r="4" spans="1:14" ht="15" customHeight="1">
      <c r="A4" s="525" t="s">
        <v>18</v>
      </c>
      <c r="B4" s="934" t="s">
        <v>56</v>
      </c>
      <c r="C4" s="934" t="s">
        <v>57</v>
      </c>
      <c r="D4" s="934" t="s">
        <v>58</v>
      </c>
      <c r="E4" s="934" t="s">
        <v>59</v>
      </c>
      <c r="F4" s="934" t="s">
        <v>60</v>
      </c>
      <c r="G4" s="934" t="s">
        <v>61</v>
      </c>
      <c r="H4" s="934" t="s">
        <v>62</v>
      </c>
      <c r="I4" s="934" t="s">
        <v>63</v>
      </c>
      <c r="J4" s="934" t="s">
        <v>64</v>
      </c>
      <c r="K4" s="934" t="s">
        <v>65</v>
      </c>
      <c r="L4" s="934" t="s">
        <v>66</v>
      </c>
      <c r="M4" s="934" t="s">
        <v>67</v>
      </c>
      <c r="N4" s="934" t="s">
        <v>68</v>
      </c>
    </row>
    <row r="5" spans="1:14" ht="15" customHeight="1">
      <c r="A5" s="929" t="s">
        <v>114</v>
      </c>
      <c r="B5" s="930">
        <v>4.8099999999999996</v>
      </c>
      <c r="C5" s="930">
        <v>4.8099999999999996</v>
      </c>
      <c r="D5" s="930">
        <v>4.8099999999999996</v>
      </c>
      <c r="E5" s="930">
        <v>4.8099999999999996</v>
      </c>
      <c r="F5" s="930">
        <v>4.8</v>
      </c>
      <c r="G5" s="930">
        <v>4.8099999999999996</v>
      </c>
      <c r="H5" s="930">
        <v>4.8</v>
      </c>
      <c r="I5" s="930">
        <v>4.8099999999999996</v>
      </c>
      <c r="J5" s="930">
        <v>4.8099999999999996</v>
      </c>
      <c r="K5" s="930">
        <v>4.82</v>
      </c>
      <c r="L5" s="930">
        <v>4.82</v>
      </c>
      <c r="M5" s="930">
        <v>4.82</v>
      </c>
      <c r="N5" s="930">
        <v>4.84</v>
      </c>
    </row>
    <row r="6" spans="1:14" ht="12" customHeight="1">
      <c r="A6" s="141" t="s">
        <v>21</v>
      </c>
      <c r="B6" s="939">
        <v>4.58</v>
      </c>
      <c r="C6" s="924">
        <v>4.57</v>
      </c>
      <c r="D6" s="924">
        <v>4.55</v>
      </c>
      <c r="E6" s="924">
        <v>4.5599999999999996</v>
      </c>
      <c r="F6" s="924">
        <v>4.5599999999999996</v>
      </c>
      <c r="G6" s="924">
        <v>4.5599999999999996</v>
      </c>
      <c r="H6" s="924">
        <v>4.57</v>
      </c>
      <c r="I6" s="924">
        <v>4.58</v>
      </c>
      <c r="J6" s="924">
        <v>4.58</v>
      </c>
      <c r="K6" s="924">
        <v>4.58</v>
      </c>
      <c r="L6" s="924">
        <v>4.59</v>
      </c>
      <c r="M6" s="924">
        <v>4.59</v>
      </c>
      <c r="N6" s="924">
        <v>4.6100000000000003</v>
      </c>
    </row>
    <row r="7" spans="1:14" ht="12" customHeight="1">
      <c r="A7" s="141" t="s">
        <v>22</v>
      </c>
      <c r="B7" s="939">
        <v>4.8499999999999996</v>
      </c>
      <c r="C7" s="924">
        <v>4.84</v>
      </c>
      <c r="D7" s="924">
        <v>4.83</v>
      </c>
      <c r="E7" s="924">
        <v>4.84</v>
      </c>
      <c r="F7" s="924">
        <v>4.8499999999999996</v>
      </c>
      <c r="G7" s="924">
        <v>4.8600000000000003</v>
      </c>
      <c r="H7" s="924">
        <v>4.8499999999999996</v>
      </c>
      <c r="I7" s="924">
        <v>4.8600000000000003</v>
      </c>
      <c r="J7" s="924">
        <v>4.8499999999999996</v>
      </c>
      <c r="K7" s="924">
        <v>4.84</v>
      </c>
      <c r="L7" s="924">
        <v>4.8499999999999996</v>
      </c>
      <c r="M7" s="924">
        <v>4.8499999999999996</v>
      </c>
      <c r="N7" s="924">
        <v>4.87</v>
      </c>
    </row>
    <row r="8" spans="1:14" ht="12" customHeight="1">
      <c r="A8" s="141" t="s">
        <v>23</v>
      </c>
      <c r="B8" s="939">
        <v>4.5999999999999996</v>
      </c>
      <c r="C8" s="924">
        <v>4.53</v>
      </c>
      <c r="D8" s="924">
        <v>4.55</v>
      </c>
      <c r="E8" s="924">
        <v>4.5599999999999996</v>
      </c>
      <c r="F8" s="924">
        <v>4.57</v>
      </c>
      <c r="G8" s="924">
        <v>4.57</v>
      </c>
      <c r="H8" s="924">
        <v>4.59</v>
      </c>
      <c r="I8" s="924">
        <v>4.5999999999999996</v>
      </c>
      <c r="J8" s="924">
        <v>4.6100000000000003</v>
      </c>
      <c r="K8" s="924">
        <v>4.62</v>
      </c>
      <c r="L8" s="924">
        <v>4.63</v>
      </c>
      <c r="M8" s="924">
        <v>4.6399999999999997</v>
      </c>
      <c r="N8" s="924">
        <v>4.66</v>
      </c>
    </row>
    <row r="9" spans="1:14" ht="12" customHeight="1">
      <c r="A9" s="141" t="s">
        <v>24</v>
      </c>
      <c r="B9" s="939">
        <v>5.72</v>
      </c>
      <c r="C9" s="924">
        <v>5.68</v>
      </c>
      <c r="D9" s="924">
        <v>5.7</v>
      </c>
      <c r="E9" s="924">
        <v>5.69</v>
      </c>
      <c r="F9" s="924">
        <v>5.7</v>
      </c>
      <c r="G9" s="924">
        <v>5.7</v>
      </c>
      <c r="H9" s="924">
        <v>5.71</v>
      </c>
      <c r="I9" s="924">
        <v>5.72</v>
      </c>
      <c r="J9" s="924">
        <v>5.73</v>
      </c>
      <c r="K9" s="924">
        <v>5.74</v>
      </c>
      <c r="L9" s="924">
        <v>5.75</v>
      </c>
      <c r="M9" s="924">
        <v>5.76</v>
      </c>
      <c r="N9" s="924">
        <v>5.77</v>
      </c>
    </row>
    <row r="10" spans="1:14" ht="12" customHeight="1">
      <c r="A10" s="141" t="s">
        <v>25</v>
      </c>
      <c r="B10" s="939">
        <v>4.45</v>
      </c>
      <c r="C10" s="924">
        <v>4.42</v>
      </c>
      <c r="D10" s="924">
        <v>4.43</v>
      </c>
      <c r="E10" s="924">
        <v>4.45</v>
      </c>
      <c r="F10" s="924">
        <v>4.4400000000000004</v>
      </c>
      <c r="G10" s="924">
        <v>4.46</v>
      </c>
      <c r="H10" s="924">
        <v>4.5</v>
      </c>
      <c r="I10" s="924">
        <v>4.47</v>
      </c>
      <c r="J10" s="924">
        <v>4.45</v>
      </c>
      <c r="K10" s="924">
        <v>4.45</v>
      </c>
      <c r="L10" s="924">
        <v>4.46</v>
      </c>
      <c r="M10" s="924">
        <v>4.45</v>
      </c>
      <c r="N10" s="924">
        <v>4.46</v>
      </c>
    </row>
    <row r="11" spans="1:14" ht="12" customHeight="1">
      <c r="A11" s="141" t="s">
        <v>107</v>
      </c>
      <c r="B11" s="939">
        <v>4.37</v>
      </c>
      <c r="C11" s="924">
        <v>4.3499999999999996</v>
      </c>
      <c r="D11" s="924">
        <v>4.3600000000000003</v>
      </c>
      <c r="E11" s="924">
        <v>4.37</v>
      </c>
      <c r="F11" s="924">
        <v>4.3499999999999996</v>
      </c>
      <c r="G11" s="924">
        <v>4.3600000000000003</v>
      </c>
      <c r="H11" s="924">
        <v>4.3600000000000003</v>
      </c>
      <c r="I11" s="924">
        <v>4.3600000000000003</v>
      </c>
      <c r="J11" s="924">
        <v>4.3600000000000003</v>
      </c>
      <c r="K11" s="924">
        <v>4.37</v>
      </c>
      <c r="L11" s="924">
        <v>4.38</v>
      </c>
      <c r="M11" s="924">
        <v>4.38</v>
      </c>
      <c r="N11" s="924">
        <v>4.3899999999999997</v>
      </c>
    </row>
    <row r="12" spans="1:14" ht="12" customHeight="1">
      <c r="A12" s="141" t="s">
        <v>108</v>
      </c>
      <c r="B12" s="939">
        <v>4.16</v>
      </c>
      <c r="C12" s="924">
        <v>4.16</v>
      </c>
      <c r="D12" s="924">
        <v>4.17</v>
      </c>
      <c r="E12" s="924">
        <v>4.16</v>
      </c>
      <c r="F12" s="924">
        <v>4.1500000000000004</v>
      </c>
      <c r="G12" s="924">
        <v>4.1500000000000004</v>
      </c>
      <c r="H12" s="924">
        <v>4.16</v>
      </c>
      <c r="I12" s="924">
        <v>4.16</v>
      </c>
      <c r="J12" s="924">
        <v>4.16</v>
      </c>
      <c r="K12" s="924">
        <v>4.1500000000000004</v>
      </c>
      <c r="L12" s="924">
        <v>4.1500000000000004</v>
      </c>
      <c r="M12" s="924">
        <v>4.1500000000000004</v>
      </c>
      <c r="N12" s="924">
        <v>4.1500000000000004</v>
      </c>
    </row>
    <row r="13" spans="1:14" ht="12" customHeight="1">
      <c r="A13" s="141" t="s">
        <v>139</v>
      </c>
      <c r="B13" s="939">
        <v>4.6399999999999997</v>
      </c>
      <c r="C13" s="924">
        <v>4.62</v>
      </c>
      <c r="D13" s="924">
        <v>4.63</v>
      </c>
      <c r="E13" s="924">
        <v>4.62</v>
      </c>
      <c r="F13" s="924">
        <v>4.63</v>
      </c>
      <c r="G13" s="924">
        <v>4.6399999999999997</v>
      </c>
      <c r="H13" s="924">
        <v>4.6500000000000004</v>
      </c>
      <c r="I13" s="924">
        <v>4.6500000000000004</v>
      </c>
      <c r="J13" s="924">
        <v>4.66</v>
      </c>
      <c r="K13" s="924">
        <v>4.66</v>
      </c>
      <c r="L13" s="924">
        <v>4.6500000000000004</v>
      </c>
      <c r="M13" s="924">
        <v>4.6399999999999997</v>
      </c>
      <c r="N13" s="924">
        <v>4.6500000000000004</v>
      </c>
    </row>
    <row r="14" spans="1:14" ht="12" customHeight="1">
      <c r="A14" s="141" t="s">
        <v>29</v>
      </c>
      <c r="B14" s="939">
        <v>4.71</v>
      </c>
      <c r="C14" s="924">
        <v>4.7</v>
      </c>
      <c r="D14" s="924">
        <v>4.6900000000000004</v>
      </c>
      <c r="E14" s="924">
        <v>4.7</v>
      </c>
      <c r="F14" s="924">
        <v>4.71</v>
      </c>
      <c r="G14" s="924">
        <v>4.72</v>
      </c>
      <c r="H14" s="924">
        <v>4.7300000000000004</v>
      </c>
      <c r="I14" s="924">
        <v>4.7300000000000004</v>
      </c>
      <c r="J14" s="924">
        <v>4.7300000000000004</v>
      </c>
      <c r="K14" s="924">
        <v>4.72</v>
      </c>
      <c r="L14" s="924">
        <v>4.71</v>
      </c>
      <c r="M14" s="924">
        <v>4.72</v>
      </c>
      <c r="N14" s="924">
        <v>4.71</v>
      </c>
    </row>
    <row r="15" spans="1:14" ht="12" customHeight="1">
      <c r="A15" s="141" t="s">
        <v>30</v>
      </c>
      <c r="B15" s="939">
        <v>4.54</v>
      </c>
      <c r="C15" s="924">
        <v>4.5</v>
      </c>
      <c r="D15" s="924">
        <v>4.5199999999999996</v>
      </c>
      <c r="E15" s="924">
        <v>4.53</v>
      </c>
      <c r="F15" s="924">
        <v>4.54</v>
      </c>
      <c r="G15" s="924">
        <v>4.55</v>
      </c>
      <c r="H15" s="924">
        <v>4.54</v>
      </c>
      <c r="I15" s="924">
        <v>4.55</v>
      </c>
      <c r="J15" s="924">
        <v>4.54</v>
      </c>
      <c r="K15" s="924">
        <v>4.55</v>
      </c>
      <c r="L15" s="924">
        <v>4.5599999999999996</v>
      </c>
      <c r="M15" s="924">
        <v>4.5599999999999996</v>
      </c>
      <c r="N15" s="924">
        <v>4.5599999999999996</v>
      </c>
    </row>
    <row r="16" spans="1:14" ht="12" customHeight="1">
      <c r="A16" s="141" t="s">
        <v>31</v>
      </c>
      <c r="B16" s="939">
        <v>5.26</v>
      </c>
      <c r="C16" s="924">
        <v>5.25</v>
      </c>
      <c r="D16" s="924">
        <v>5.23</v>
      </c>
      <c r="E16" s="924">
        <v>5.24</v>
      </c>
      <c r="F16" s="924">
        <v>5.25</v>
      </c>
      <c r="G16" s="924">
        <v>5.24</v>
      </c>
      <c r="H16" s="924">
        <v>5.24</v>
      </c>
      <c r="I16" s="924">
        <v>5.25</v>
      </c>
      <c r="J16" s="924">
        <v>5.26</v>
      </c>
      <c r="K16" s="924">
        <v>5.26</v>
      </c>
      <c r="L16" s="924">
        <v>5.28</v>
      </c>
      <c r="M16" s="924">
        <v>5.3</v>
      </c>
      <c r="N16" s="924">
        <v>5.32</v>
      </c>
    </row>
    <row r="17" spans="1:14" ht="12" customHeight="1">
      <c r="A17" s="141" t="s">
        <v>32</v>
      </c>
      <c r="B17" s="939">
        <v>5.15</v>
      </c>
      <c r="C17" s="924">
        <v>5.15</v>
      </c>
      <c r="D17" s="924">
        <v>5.14</v>
      </c>
      <c r="E17" s="924">
        <v>5.13</v>
      </c>
      <c r="F17" s="924">
        <v>5.14</v>
      </c>
      <c r="G17" s="924">
        <v>5.14</v>
      </c>
      <c r="H17" s="924">
        <v>5.15</v>
      </c>
      <c r="I17" s="924">
        <v>5.15</v>
      </c>
      <c r="J17" s="924">
        <v>5.15</v>
      </c>
      <c r="K17" s="924">
        <v>5.16</v>
      </c>
      <c r="L17" s="924">
        <v>5.16</v>
      </c>
      <c r="M17" s="924">
        <v>5.15</v>
      </c>
      <c r="N17" s="924">
        <v>5.17</v>
      </c>
    </row>
    <row r="18" spans="1:14" ht="12" customHeight="1">
      <c r="A18" s="141" t="s">
        <v>33</v>
      </c>
      <c r="B18" s="939">
        <v>4.9400000000000004</v>
      </c>
      <c r="C18" s="924">
        <v>4.9000000000000004</v>
      </c>
      <c r="D18" s="924">
        <v>4.92</v>
      </c>
      <c r="E18" s="924">
        <v>4.93</v>
      </c>
      <c r="F18" s="924">
        <v>4.9400000000000004</v>
      </c>
      <c r="G18" s="924">
        <v>4.95</v>
      </c>
      <c r="H18" s="924">
        <v>4.9400000000000004</v>
      </c>
      <c r="I18" s="924">
        <v>4.9400000000000004</v>
      </c>
      <c r="J18" s="924">
        <v>4.9400000000000004</v>
      </c>
      <c r="K18" s="924">
        <v>4.95</v>
      </c>
      <c r="L18" s="924">
        <v>4.95</v>
      </c>
      <c r="M18" s="924">
        <v>4.95</v>
      </c>
      <c r="N18" s="924">
        <v>4.96</v>
      </c>
    </row>
    <row r="19" spans="1:14" ht="12" customHeight="1">
      <c r="A19" s="141" t="s">
        <v>34</v>
      </c>
      <c r="B19" s="939">
        <v>4.03</v>
      </c>
      <c r="C19" s="924">
        <v>4.04</v>
      </c>
      <c r="D19" s="924">
        <v>4.0199999999999996</v>
      </c>
      <c r="E19" s="924">
        <v>4.03</v>
      </c>
      <c r="F19" s="924">
        <v>4.04</v>
      </c>
      <c r="G19" s="924">
        <v>4.04</v>
      </c>
      <c r="H19" s="924">
        <v>4.03</v>
      </c>
      <c r="I19" s="924">
        <v>4.0199999999999996</v>
      </c>
      <c r="J19" s="924">
        <v>4.01</v>
      </c>
      <c r="K19" s="924">
        <v>4.0199999999999996</v>
      </c>
      <c r="L19" s="924">
        <v>4.0199999999999996</v>
      </c>
      <c r="M19" s="924">
        <v>4.0199999999999996</v>
      </c>
      <c r="N19" s="924">
        <v>4.03</v>
      </c>
    </row>
    <row r="20" spans="1:14" ht="12" customHeight="1">
      <c r="A20" s="141" t="s">
        <v>35</v>
      </c>
      <c r="B20" s="939">
        <v>4.95</v>
      </c>
      <c r="C20" s="924">
        <v>4.96</v>
      </c>
      <c r="D20" s="924">
        <v>4.95</v>
      </c>
      <c r="E20" s="924">
        <v>4.95</v>
      </c>
      <c r="F20" s="924">
        <v>4.96</v>
      </c>
      <c r="G20" s="924">
        <v>4.97</v>
      </c>
      <c r="H20" s="924">
        <v>4.95</v>
      </c>
      <c r="I20" s="924">
        <v>4.95</v>
      </c>
      <c r="J20" s="924">
        <v>4.9400000000000004</v>
      </c>
      <c r="K20" s="924">
        <v>4.95</v>
      </c>
      <c r="L20" s="924">
        <v>4.95</v>
      </c>
      <c r="M20" s="924">
        <v>4.95</v>
      </c>
      <c r="N20" s="924">
        <v>4.95</v>
      </c>
    </row>
    <row r="21" spans="1:14" ht="12" customHeight="1">
      <c r="A21" s="141" t="s">
        <v>36</v>
      </c>
      <c r="B21" s="939">
        <v>4.4400000000000004</v>
      </c>
      <c r="C21" s="924">
        <v>4.4800000000000004</v>
      </c>
      <c r="D21" s="924">
        <v>4.47</v>
      </c>
      <c r="E21" s="924">
        <v>4.4800000000000004</v>
      </c>
      <c r="F21" s="924">
        <v>4.47</v>
      </c>
      <c r="G21" s="924">
        <v>4.43</v>
      </c>
      <c r="H21" s="924">
        <v>4.42</v>
      </c>
      <c r="I21" s="924">
        <v>4.43</v>
      </c>
      <c r="J21" s="924">
        <v>4.42</v>
      </c>
      <c r="K21" s="924">
        <v>4.41</v>
      </c>
      <c r="L21" s="924">
        <v>4.41</v>
      </c>
      <c r="M21" s="924">
        <v>4.4000000000000004</v>
      </c>
      <c r="N21" s="924">
        <v>4.42</v>
      </c>
    </row>
    <row r="22" spans="1:14" ht="12" customHeight="1">
      <c r="A22" s="141" t="s">
        <v>37</v>
      </c>
      <c r="B22" s="939">
        <v>4.8</v>
      </c>
      <c r="C22" s="924">
        <v>4.7699999999999996</v>
      </c>
      <c r="D22" s="924">
        <v>4.76</v>
      </c>
      <c r="E22" s="924">
        <v>4.7699999999999996</v>
      </c>
      <c r="F22" s="924">
        <v>4.78</v>
      </c>
      <c r="G22" s="924">
        <v>4.78</v>
      </c>
      <c r="H22" s="924">
        <v>4.79</v>
      </c>
      <c r="I22" s="924">
        <v>4.8</v>
      </c>
      <c r="J22" s="924">
        <v>4.8</v>
      </c>
      <c r="K22" s="924">
        <v>4.82</v>
      </c>
      <c r="L22" s="924">
        <v>4.83</v>
      </c>
      <c r="M22" s="924">
        <v>4.83</v>
      </c>
      <c r="N22" s="924">
        <v>4.8499999999999996</v>
      </c>
    </row>
    <row r="23" spans="1:14" ht="12" customHeight="1">
      <c r="A23" s="141" t="s">
        <v>38</v>
      </c>
      <c r="B23" s="939">
        <v>4.34</v>
      </c>
      <c r="C23" s="924">
        <v>4.3499999999999996</v>
      </c>
      <c r="D23" s="924">
        <v>4.3600000000000003</v>
      </c>
      <c r="E23" s="924">
        <v>4.3499999999999996</v>
      </c>
      <c r="F23" s="924">
        <v>4.3600000000000003</v>
      </c>
      <c r="G23" s="924">
        <v>4.3600000000000003</v>
      </c>
      <c r="H23" s="924">
        <v>4.3499999999999996</v>
      </c>
      <c r="I23" s="924">
        <v>4.3499999999999996</v>
      </c>
      <c r="J23" s="924">
        <v>4.32</v>
      </c>
      <c r="K23" s="924">
        <v>4.32</v>
      </c>
      <c r="L23" s="924">
        <v>4.33</v>
      </c>
      <c r="M23" s="924">
        <v>4.32</v>
      </c>
      <c r="N23" s="924">
        <v>4.34</v>
      </c>
    </row>
    <row r="24" spans="1:14" ht="12" customHeight="1">
      <c r="A24" s="141" t="s">
        <v>39</v>
      </c>
      <c r="B24" s="939">
        <v>4.51</v>
      </c>
      <c r="C24" s="924">
        <v>4.51</v>
      </c>
      <c r="D24" s="924">
        <v>4.4800000000000004</v>
      </c>
      <c r="E24" s="924">
        <v>4.49</v>
      </c>
      <c r="F24" s="924">
        <v>4.4800000000000004</v>
      </c>
      <c r="G24" s="924">
        <v>4.49</v>
      </c>
      <c r="H24" s="924">
        <v>4.5</v>
      </c>
      <c r="I24" s="924">
        <v>4.5</v>
      </c>
      <c r="J24" s="924">
        <v>4.49</v>
      </c>
      <c r="K24" s="924">
        <v>4.5</v>
      </c>
      <c r="L24" s="924">
        <v>4.5199999999999996</v>
      </c>
      <c r="M24" s="924">
        <v>4.54</v>
      </c>
      <c r="N24" s="924">
        <v>4.5599999999999996</v>
      </c>
    </row>
    <row r="25" spans="1:14" ht="12" customHeight="1">
      <c r="A25" s="141" t="s">
        <v>40</v>
      </c>
      <c r="B25" s="939">
        <v>4.3499999999999996</v>
      </c>
      <c r="C25" s="924">
        <v>4.3899999999999997</v>
      </c>
      <c r="D25" s="924">
        <v>4.38</v>
      </c>
      <c r="E25" s="928">
        <v>4.38</v>
      </c>
      <c r="F25" s="924">
        <v>4.37</v>
      </c>
      <c r="G25" s="924">
        <v>4.3600000000000003</v>
      </c>
      <c r="H25" s="924">
        <v>4.3499999999999996</v>
      </c>
      <c r="I25" s="924">
        <v>4.3499999999999996</v>
      </c>
      <c r="J25" s="924">
        <v>4.34</v>
      </c>
      <c r="K25" s="924">
        <v>4.33</v>
      </c>
      <c r="L25" s="924">
        <v>4.32</v>
      </c>
      <c r="M25" s="924">
        <v>4.32</v>
      </c>
      <c r="N25" s="924">
        <v>4.34</v>
      </c>
    </row>
    <row r="26" spans="1:14" ht="12" customHeight="1">
      <c r="A26" s="141" t="s">
        <v>41</v>
      </c>
      <c r="B26" s="939">
        <v>3.93</v>
      </c>
      <c r="C26" s="924">
        <v>3.97</v>
      </c>
      <c r="D26" s="924">
        <v>3.96</v>
      </c>
      <c r="E26" s="924">
        <v>3.97</v>
      </c>
      <c r="F26" s="924">
        <v>3.98</v>
      </c>
      <c r="G26" s="924">
        <v>3.97</v>
      </c>
      <c r="H26" s="924">
        <v>3.96</v>
      </c>
      <c r="I26" s="924">
        <v>3.96</v>
      </c>
      <c r="J26" s="924">
        <v>3.95</v>
      </c>
      <c r="K26" s="924">
        <v>3.84</v>
      </c>
      <c r="L26" s="924">
        <v>3.83</v>
      </c>
      <c r="M26" s="924">
        <v>3.83</v>
      </c>
      <c r="N26" s="924">
        <v>3.83</v>
      </c>
    </row>
    <row r="27" spans="1:14" ht="12" customHeight="1">
      <c r="A27" s="141" t="s">
        <v>111</v>
      </c>
      <c r="B27" s="939">
        <v>3.86</v>
      </c>
      <c r="C27" s="924">
        <v>3.98</v>
      </c>
      <c r="D27" s="924">
        <v>3.97</v>
      </c>
      <c r="E27" s="924">
        <v>3.98</v>
      </c>
      <c r="F27" s="924">
        <v>3.98</v>
      </c>
      <c r="G27" s="924">
        <v>3.98</v>
      </c>
      <c r="H27" s="924">
        <v>3.97</v>
      </c>
      <c r="I27" s="924">
        <v>3.97</v>
      </c>
      <c r="J27" s="924">
        <v>3.96</v>
      </c>
      <c r="K27" s="924">
        <v>3.62</v>
      </c>
      <c r="L27" s="924">
        <v>3.6</v>
      </c>
      <c r="M27" s="924">
        <v>3.61</v>
      </c>
      <c r="N27" s="924">
        <v>3.62</v>
      </c>
    </row>
    <row r="28" spans="1:14" ht="12" customHeight="1">
      <c r="A28" s="141" t="s">
        <v>112</v>
      </c>
      <c r="B28" s="939">
        <v>3.96</v>
      </c>
      <c r="C28" s="924">
        <v>3.96</v>
      </c>
      <c r="D28" s="924">
        <v>3.96</v>
      </c>
      <c r="E28" s="924">
        <v>3.97</v>
      </c>
      <c r="F28" s="924">
        <v>3.98</v>
      </c>
      <c r="G28" s="924">
        <v>3.97</v>
      </c>
      <c r="H28" s="924">
        <v>3.96</v>
      </c>
      <c r="I28" s="924">
        <v>3.96</v>
      </c>
      <c r="J28" s="924">
        <v>3.95</v>
      </c>
      <c r="K28" s="924">
        <v>3.95</v>
      </c>
      <c r="L28" s="924">
        <v>3.94</v>
      </c>
      <c r="M28" s="924">
        <v>3.94</v>
      </c>
      <c r="N28" s="924">
        <v>3.93</v>
      </c>
    </row>
    <row r="29" spans="1:14" ht="12" customHeight="1">
      <c r="A29" s="141" t="s">
        <v>44</v>
      </c>
      <c r="B29" s="939">
        <v>4.9800000000000004</v>
      </c>
      <c r="C29" s="924">
        <v>4.9800000000000004</v>
      </c>
      <c r="D29" s="924">
        <v>4.9800000000000004</v>
      </c>
      <c r="E29" s="924">
        <v>4.99</v>
      </c>
      <c r="F29" s="924">
        <v>4.9800000000000004</v>
      </c>
      <c r="G29" s="924">
        <v>4.99</v>
      </c>
      <c r="H29" s="924">
        <v>4.9800000000000004</v>
      </c>
      <c r="I29" s="924">
        <v>4.9800000000000004</v>
      </c>
      <c r="J29" s="924">
        <v>4.99</v>
      </c>
      <c r="K29" s="924">
        <v>4.99</v>
      </c>
      <c r="L29" s="924">
        <v>4.9800000000000004</v>
      </c>
      <c r="M29" s="924">
        <v>4.9800000000000004</v>
      </c>
      <c r="N29" s="924">
        <v>4.97</v>
      </c>
    </row>
    <row r="30" spans="1:14" ht="12" customHeight="1">
      <c r="A30" s="141" t="s">
        <v>45</v>
      </c>
      <c r="B30" s="941">
        <v>0</v>
      </c>
      <c r="C30" s="923">
        <v>0</v>
      </c>
      <c r="D30" s="923">
        <v>0</v>
      </c>
      <c r="E30" s="923">
        <v>0</v>
      </c>
      <c r="F30" s="923">
        <v>0</v>
      </c>
      <c r="G30" s="923">
        <v>0</v>
      </c>
      <c r="H30" s="923">
        <v>0</v>
      </c>
      <c r="I30" s="923">
        <v>0</v>
      </c>
      <c r="J30" s="923">
        <v>0</v>
      </c>
      <c r="K30" s="923">
        <v>0</v>
      </c>
      <c r="L30" s="923">
        <v>0</v>
      </c>
      <c r="M30" s="923">
        <v>0</v>
      </c>
      <c r="N30" s="923">
        <v>0</v>
      </c>
    </row>
    <row r="31" spans="1:14" ht="12" customHeight="1">
      <c r="A31" s="141" t="s">
        <v>46</v>
      </c>
      <c r="B31" s="941">
        <v>0</v>
      </c>
      <c r="C31" s="923">
        <v>0</v>
      </c>
      <c r="D31" s="923">
        <v>0</v>
      </c>
      <c r="E31" s="923">
        <v>0</v>
      </c>
      <c r="F31" s="923">
        <v>0</v>
      </c>
      <c r="G31" s="923">
        <v>0</v>
      </c>
      <c r="H31" s="923">
        <v>0</v>
      </c>
      <c r="I31" s="923">
        <v>0</v>
      </c>
      <c r="J31" s="923">
        <v>0</v>
      </c>
      <c r="K31" s="923">
        <v>0</v>
      </c>
      <c r="L31" s="923">
        <v>0</v>
      </c>
      <c r="M31" s="923">
        <v>0</v>
      </c>
      <c r="N31" s="923">
        <v>0</v>
      </c>
    </row>
    <row r="32" spans="1:14" ht="12" customHeight="1">
      <c r="A32" s="141" t="s">
        <v>47</v>
      </c>
      <c r="B32" s="941">
        <v>4.9400000000000004</v>
      </c>
      <c r="C32" s="923">
        <v>4.95</v>
      </c>
      <c r="D32" s="923">
        <v>4.9400000000000004</v>
      </c>
      <c r="E32" s="923">
        <v>4.93</v>
      </c>
      <c r="F32" s="923">
        <v>4.9400000000000004</v>
      </c>
      <c r="G32" s="923">
        <v>4.93</v>
      </c>
      <c r="H32" s="923">
        <v>4.9400000000000004</v>
      </c>
      <c r="I32" s="923">
        <v>4.95</v>
      </c>
      <c r="J32" s="923">
        <v>4.95</v>
      </c>
      <c r="K32" s="923">
        <v>4.96</v>
      </c>
      <c r="L32" s="923">
        <v>4.95</v>
      </c>
      <c r="M32" s="923">
        <v>4.95</v>
      </c>
      <c r="N32" s="923">
        <v>4.9400000000000004</v>
      </c>
    </row>
    <row r="33" spans="1:14" ht="12" customHeight="1">
      <c r="A33" s="141" t="s">
        <v>48</v>
      </c>
      <c r="B33" s="941">
        <v>0</v>
      </c>
      <c r="C33" s="923">
        <v>0</v>
      </c>
      <c r="D33" s="923">
        <v>0</v>
      </c>
      <c r="E33" s="923">
        <v>0</v>
      </c>
      <c r="F33" s="923">
        <v>0</v>
      </c>
      <c r="G33" s="923">
        <v>0</v>
      </c>
      <c r="H33" s="923">
        <v>0</v>
      </c>
      <c r="I33" s="923">
        <v>0</v>
      </c>
      <c r="J33" s="923">
        <v>0</v>
      </c>
      <c r="K33" s="923">
        <v>0</v>
      </c>
      <c r="L33" s="923">
        <v>0</v>
      </c>
      <c r="M33" s="923">
        <v>0</v>
      </c>
      <c r="N33" s="923">
        <v>0</v>
      </c>
    </row>
    <row r="34" spans="1:14" ht="12" customHeight="1" thickBot="1">
      <c r="A34" s="202" t="s">
        <v>49</v>
      </c>
      <c r="B34" s="940">
        <v>0</v>
      </c>
      <c r="C34" s="925">
        <v>0</v>
      </c>
      <c r="D34" s="925">
        <v>0</v>
      </c>
      <c r="E34" s="925">
        <v>0</v>
      </c>
      <c r="F34" s="925">
        <v>0</v>
      </c>
      <c r="G34" s="925">
        <v>0</v>
      </c>
      <c r="H34" s="925">
        <v>0</v>
      </c>
      <c r="I34" s="925">
        <v>0</v>
      </c>
      <c r="J34" s="925">
        <v>0</v>
      </c>
      <c r="K34" s="925">
        <v>0</v>
      </c>
      <c r="L34" s="925">
        <v>0</v>
      </c>
      <c r="M34" s="925">
        <v>0</v>
      </c>
      <c r="N34" s="925">
        <v>0</v>
      </c>
    </row>
    <row r="35" spans="1:14" ht="10" customHeight="1">
      <c r="A35" s="28" t="s">
        <v>238</v>
      </c>
      <c r="B35" s="935"/>
      <c r="C35" s="936"/>
      <c r="D35" s="936"/>
      <c r="E35" s="936"/>
      <c r="F35" s="936"/>
      <c r="G35" s="936"/>
      <c r="H35" s="936"/>
      <c r="I35" s="936"/>
      <c r="J35" s="936"/>
      <c r="K35" s="936"/>
      <c r="L35" s="936"/>
      <c r="M35" s="936"/>
      <c r="N35" s="936"/>
    </row>
    <row r="36" spans="1:14" ht="10" customHeight="1">
      <c r="A36" s="28" t="s">
        <v>192</v>
      </c>
      <c r="B36" s="936"/>
      <c r="C36" s="936"/>
      <c r="D36" s="936"/>
      <c r="E36" s="936"/>
      <c r="F36" s="936"/>
      <c r="G36" s="936"/>
      <c r="H36" s="936"/>
      <c r="I36" s="936"/>
      <c r="J36" s="936"/>
      <c r="K36" s="936"/>
      <c r="L36" s="936"/>
      <c r="M36" s="936"/>
      <c r="N36" s="936"/>
    </row>
    <row r="37" spans="1:14" ht="10" customHeight="1">
      <c r="A37" s="40" t="s">
        <v>261</v>
      </c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</row>
    <row r="38" spans="1:14" ht="13" customHeight="1">
      <c r="A38" s="31"/>
    </row>
    <row r="39" spans="1:14" ht="13" customHeight="1">
      <c r="A39" s="31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Hoja107">
    <tabColor theme="9" tint="0.59999389629810485"/>
  </sheetPr>
  <dimension ref="A1:N39"/>
  <sheetViews>
    <sheetView showGridLines="0" zoomScale="150" zoomScaleNormal="150" workbookViewId="0">
      <selection activeCell="B26" sqref="B26"/>
    </sheetView>
  </sheetViews>
  <sheetFormatPr baseColWidth="10" defaultColWidth="7" defaultRowHeight="13" customHeight="1"/>
  <cols>
    <col min="1" max="1" width="11.19921875" style="141" customWidth="1"/>
    <col min="2" max="14" width="8.3984375" style="141" customWidth="1"/>
    <col min="15" max="16384" width="7" style="141"/>
  </cols>
  <sheetData>
    <row r="1" spans="1:14" ht="17" customHeight="1">
      <c r="A1" s="943" t="s">
        <v>526</v>
      </c>
      <c r="B1" s="943"/>
      <c r="C1" s="944"/>
      <c r="D1" s="944"/>
      <c r="E1" s="944"/>
      <c r="F1" s="944"/>
      <c r="G1" s="944"/>
      <c r="H1" s="944"/>
      <c r="I1" s="944"/>
      <c r="J1" s="944"/>
      <c r="K1" s="944"/>
      <c r="L1" s="944"/>
      <c r="M1" s="944"/>
      <c r="N1" s="944"/>
    </row>
    <row r="2" spans="1:14" ht="13" customHeight="1">
      <c r="A2" s="927" t="s">
        <v>593</v>
      </c>
      <c r="B2" s="508"/>
      <c r="C2" s="189"/>
      <c r="D2" s="189"/>
      <c r="E2" s="189"/>
      <c r="F2" s="189"/>
      <c r="G2" s="193"/>
      <c r="H2" s="192"/>
      <c r="I2" s="189"/>
      <c r="J2" s="189"/>
      <c r="K2" s="189"/>
      <c r="L2" s="189"/>
      <c r="M2" s="189"/>
      <c r="N2" s="189"/>
    </row>
    <row r="3" spans="1:14" ht="4" customHeight="1" thickBot="1">
      <c r="A3" s="192"/>
      <c r="B3" s="189"/>
      <c r="C3" s="189"/>
      <c r="D3" s="189"/>
      <c r="E3" s="189"/>
      <c r="F3" s="189"/>
      <c r="G3" s="193"/>
      <c r="H3" s="192"/>
      <c r="I3" s="189"/>
      <c r="J3" s="189"/>
      <c r="K3" s="189"/>
      <c r="L3" s="189"/>
      <c r="M3" s="189"/>
      <c r="N3" s="189"/>
    </row>
    <row r="4" spans="1:14" ht="15" customHeight="1">
      <c r="A4" s="525" t="s">
        <v>18</v>
      </c>
      <c r="B4" s="934" t="s">
        <v>56</v>
      </c>
      <c r="C4" s="934" t="s">
        <v>57</v>
      </c>
      <c r="D4" s="934" t="s">
        <v>58</v>
      </c>
      <c r="E4" s="934" t="s">
        <v>59</v>
      </c>
      <c r="F4" s="934" t="s">
        <v>60</v>
      </c>
      <c r="G4" s="934" t="s">
        <v>61</v>
      </c>
      <c r="H4" s="934" t="s">
        <v>62</v>
      </c>
      <c r="I4" s="934" t="s">
        <v>63</v>
      </c>
      <c r="J4" s="934" t="s">
        <v>64</v>
      </c>
      <c r="K4" s="934" t="s">
        <v>65</v>
      </c>
      <c r="L4" s="934" t="s">
        <v>66</v>
      </c>
      <c r="M4" s="934" t="s">
        <v>67</v>
      </c>
      <c r="N4" s="934" t="s">
        <v>68</v>
      </c>
    </row>
    <row r="5" spans="1:14" ht="15" customHeight="1">
      <c r="A5" s="929" t="s">
        <v>114</v>
      </c>
      <c r="B5" s="930">
        <v>4.9400000000000004</v>
      </c>
      <c r="C5" s="930">
        <v>4.91</v>
      </c>
      <c r="D5" s="930">
        <v>4.97</v>
      </c>
      <c r="E5" s="930">
        <v>4.9800000000000004</v>
      </c>
      <c r="F5" s="930">
        <v>5.0199999999999996</v>
      </c>
      <c r="G5" s="930">
        <v>4.9800000000000004</v>
      </c>
      <c r="H5" s="930">
        <v>4.96</v>
      </c>
      <c r="I5" s="930">
        <v>4.95</v>
      </c>
      <c r="J5" s="930">
        <v>4.92</v>
      </c>
      <c r="K5" s="930">
        <v>4.8899999999999997</v>
      </c>
      <c r="L5" s="930">
        <v>4.8899999999999997</v>
      </c>
      <c r="M5" s="930">
        <v>4.87</v>
      </c>
      <c r="N5" s="930">
        <v>4.8</v>
      </c>
    </row>
    <row r="6" spans="1:14" ht="12" customHeight="1">
      <c r="A6" s="141" t="s">
        <v>21</v>
      </c>
      <c r="B6" s="939">
        <v>0</v>
      </c>
      <c r="C6" s="924">
        <v>0</v>
      </c>
      <c r="D6" s="924">
        <v>0</v>
      </c>
      <c r="E6" s="924">
        <v>0</v>
      </c>
      <c r="F6" s="924">
        <v>0</v>
      </c>
      <c r="G6" s="924">
        <v>0</v>
      </c>
      <c r="H6" s="924">
        <v>0</v>
      </c>
      <c r="I6" s="924">
        <v>0</v>
      </c>
      <c r="J6" s="924">
        <v>0</v>
      </c>
      <c r="K6" s="924">
        <v>0</v>
      </c>
      <c r="L6" s="924">
        <v>0</v>
      </c>
      <c r="M6" s="924">
        <v>0</v>
      </c>
      <c r="N6" s="924">
        <v>0</v>
      </c>
    </row>
    <row r="7" spans="1:14" ht="12" customHeight="1">
      <c r="A7" s="141" t="s">
        <v>22</v>
      </c>
      <c r="B7" s="939">
        <v>0</v>
      </c>
      <c r="C7" s="924">
        <v>0</v>
      </c>
      <c r="D7" s="924">
        <v>0</v>
      </c>
      <c r="E7" s="924">
        <v>0</v>
      </c>
      <c r="F7" s="924">
        <v>0</v>
      </c>
      <c r="G7" s="924">
        <v>0</v>
      </c>
      <c r="H7" s="924">
        <v>0</v>
      </c>
      <c r="I7" s="924">
        <v>0</v>
      </c>
      <c r="J7" s="924">
        <v>0</v>
      </c>
      <c r="K7" s="924">
        <v>0</v>
      </c>
      <c r="L7" s="924">
        <v>0</v>
      </c>
      <c r="M7" s="924">
        <v>0</v>
      </c>
      <c r="N7" s="924">
        <v>0</v>
      </c>
    </row>
    <row r="8" spans="1:14" ht="12" customHeight="1">
      <c r="A8" s="141" t="s">
        <v>23</v>
      </c>
      <c r="B8" s="939">
        <v>0</v>
      </c>
      <c r="C8" s="924">
        <v>0</v>
      </c>
      <c r="D8" s="924">
        <v>0</v>
      </c>
      <c r="E8" s="924">
        <v>0</v>
      </c>
      <c r="F8" s="924">
        <v>0</v>
      </c>
      <c r="G8" s="924">
        <v>0</v>
      </c>
      <c r="H8" s="924">
        <v>0</v>
      </c>
      <c r="I8" s="924">
        <v>0</v>
      </c>
      <c r="J8" s="924">
        <v>0</v>
      </c>
      <c r="K8" s="924">
        <v>0</v>
      </c>
      <c r="L8" s="924">
        <v>0</v>
      </c>
      <c r="M8" s="924">
        <v>0</v>
      </c>
      <c r="N8" s="924">
        <v>0</v>
      </c>
    </row>
    <row r="9" spans="1:14" ht="12" customHeight="1">
      <c r="A9" s="141" t="s">
        <v>24</v>
      </c>
      <c r="B9" s="939">
        <v>4.63</v>
      </c>
      <c r="C9" s="924">
        <v>4.6399999999999997</v>
      </c>
      <c r="D9" s="924">
        <v>0</v>
      </c>
      <c r="E9" s="924">
        <v>0</v>
      </c>
      <c r="F9" s="924">
        <v>4.62</v>
      </c>
      <c r="G9" s="924">
        <v>4.63</v>
      </c>
      <c r="H9" s="924">
        <v>4.6399999999999997</v>
      </c>
      <c r="I9" s="924">
        <v>4.63</v>
      </c>
      <c r="J9" s="924">
        <v>4.6399999999999997</v>
      </c>
      <c r="K9" s="924">
        <v>4.63</v>
      </c>
      <c r="L9" s="924">
        <v>4.62</v>
      </c>
      <c r="M9" s="924">
        <v>4.6100000000000003</v>
      </c>
      <c r="N9" s="924">
        <v>4.6100000000000003</v>
      </c>
    </row>
    <row r="10" spans="1:14" ht="12" customHeight="1">
      <c r="A10" s="141" t="s">
        <v>25</v>
      </c>
      <c r="B10" s="939">
        <v>0</v>
      </c>
      <c r="C10" s="924">
        <v>0</v>
      </c>
      <c r="D10" s="924">
        <v>0</v>
      </c>
      <c r="E10" s="924">
        <v>0</v>
      </c>
      <c r="F10" s="924">
        <v>0</v>
      </c>
      <c r="G10" s="924">
        <v>0</v>
      </c>
      <c r="H10" s="924">
        <v>0</v>
      </c>
      <c r="I10" s="924">
        <v>0</v>
      </c>
      <c r="J10" s="924">
        <v>0</v>
      </c>
      <c r="K10" s="924">
        <v>0</v>
      </c>
      <c r="L10" s="924">
        <v>0</v>
      </c>
      <c r="M10" s="924">
        <v>0</v>
      </c>
      <c r="N10" s="924">
        <v>0</v>
      </c>
    </row>
    <row r="11" spans="1:14" ht="12" customHeight="1">
      <c r="A11" s="141" t="s">
        <v>107</v>
      </c>
      <c r="B11" s="939">
        <v>0</v>
      </c>
      <c r="C11" s="924">
        <v>0</v>
      </c>
      <c r="D11" s="924">
        <v>0</v>
      </c>
      <c r="E11" s="924">
        <v>0</v>
      </c>
      <c r="F11" s="924">
        <v>0</v>
      </c>
      <c r="G11" s="924">
        <v>0</v>
      </c>
      <c r="H11" s="924">
        <v>0</v>
      </c>
      <c r="I11" s="924">
        <v>0</v>
      </c>
      <c r="J11" s="924">
        <v>0</v>
      </c>
      <c r="K11" s="924">
        <v>0</v>
      </c>
      <c r="L11" s="924">
        <v>0</v>
      </c>
      <c r="M11" s="924">
        <v>0</v>
      </c>
      <c r="N11" s="924">
        <v>0</v>
      </c>
    </row>
    <row r="12" spans="1:14" ht="12" customHeight="1">
      <c r="A12" s="141" t="s">
        <v>108</v>
      </c>
      <c r="B12" s="939">
        <v>0</v>
      </c>
      <c r="C12" s="924">
        <v>0</v>
      </c>
      <c r="D12" s="924">
        <v>0</v>
      </c>
      <c r="E12" s="924">
        <v>0</v>
      </c>
      <c r="F12" s="924">
        <v>0</v>
      </c>
      <c r="G12" s="924">
        <v>0</v>
      </c>
      <c r="H12" s="924">
        <v>0</v>
      </c>
      <c r="I12" s="924">
        <v>0</v>
      </c>
      <c r="J12" s="924">
        <v>0</v>
      </c>
      <c r="K12" s="924">
        <v>0</v>
      </c>
      <c r="L12" s="924">
        <v>0</v>
      </c>
      <c r="M12" s="924">
        <v>0</v>
      </c>
      <c r="N12" s="924">
        <v>0</v>
      </c>
    </row>
    <row r="13" spans="1:14" ht="12" customHeight="1">
      <c r="A13" s="141" t="s">
        <v>139</v>
      </c>
      <c r="B13" s="939">
        <v>0</v>
      </c>
      <c r="C13" s="924">
        <v>0</v>
      </c>
      <c r="D13" s="924">
        <v>0</v>
      </c>
      <c r="E13" s="924">
        <v>0</v>
      </c>
      <c r="F13" s="924">
        <v>0</v>
      </c>
      <c r="G13" s="924">
        <v>0</v>
      </c>
      <c r="H13" s="924">
        <v>0</v>
      </c>
      <c r="I13" s="924">
        <v>0</v>
      </c>
      <c r="J13" s="924">
        <v>0</v>
      </c>
      <c r="K13" s="924">
        <v>0</v>
      </c>
      <c r="L13" s="924">
        <v>0</v>
      </c>
      <c r="M13" s="924">
        <v>0</v>
      </c>
      <c r="N13" s="924">
        <v>0</v>
      </c>
    </row>
    <row r="14" spans="1:14" ht="12" customHeight="1">
      <c r="A14" s="141" t="s">
        <v>29</v>
      </c>
      <c r="B14" s="939">
        <v>0</v>
      </c>
      <c r="C14" s="924">
        <v>0</v>
      </c>
      <c r="D14" s="924">
        <v>0</v>
      </c>
      <c r="E14" s="924">
        <v>0</v>
      </c>
      <c r="F14" s="924">
        <v>0</v>
      </c>
      <c r="G14" s="924">
        <v>0</v>
      </c>
      <c r="H14" s="924">
        <v>0</v>
      </c>
      <c r="I14" s="924">
        <v>0</v>
      </c>
      <c r="J14" s="924">
        <v>0</v>
      </c>
      <c r="K14" s="924">
        <v>0</v>
      </c>
      <c r="L14" s="924">
        <v>0</v>
      </c>
      <c r="M14" s="924">
        <v>0</v>
      </c>
      <c r="N14" s="924">
        <v>0</v>
      </c>
    </row>
    <row r="15" spans="1:14" ht="12" customHeight="1">
      <c r="A15" s="141" t="s">
        <v>30</v>
      </c>
      <c r="B15" s="939">
        <v>4.09</v>
      </c>
      <c r="C15" s="924">
        <v>4.1100000000000003</v>
      </c>
      <c r="D15" s="924">
        <v>4.0999999999999996</v>
      </c>
      <c r="E15" s="924">
        <v>4.1100000000000003</v>
      </c>
      <c r="F15" s="924">
        <v>4.1100000000000003</v>
      </c>
      <c r="G15" s="924">
        <v>4.0999999999999996</v>
      </c>
      <c r="H15" s="924">
        <v>4.0999999999999996</v>
      </c>
      <c r="I15" s="924">
        <v>4.08</v>
      </c>
      <c r="J15" s="924">
        <v>4.07</v>
      </c>
      <c r="K15" s="924">
        <v>4.08</v>
      </c>
      <c r="L15" s="924">
        <v>4.07</v>
      </c>
      <c r="M15" s="924">
        <v>4.08</v>
      </c>
      <c r="N15" s="924">
        <v>4.0999999999999996</v>
      </c>
    </row>
    <row r="16" spans="1:14" ht="12" customHeight="1">
      <c r="A16" s="141" t="s">
        <v>31</v>
      </c>
      <c r="B16" s="939">
        <v>4.21</v>
      </c>
      <c r="C16" s="924">
        <v>4.22</v>
      </c>
      <c r="D16" s="924">
        <v>4.24</v>
      </c>
      <c r="E16" s="924">
        <v>4.2300000000000004</v>
      </c>
      <c r="F16" s="924">
        <v>4.22</v>
      </c>
      <c r="G16" s="924">
        <v>4.21</v>
      </c>
      <c r="H16" s="924">
        <v>4.2</v>
      </c>
      <c r="I16" s="924">
        <v>4.2</v>
      </c>
      <c r="J16" s="924">
        <v>4.1900000000000004</v>
      </c>
      <c r="K16" s="924">
        <v>4.2</v>
      </c>
      <c r="L16" s="924">
        <v>4.21</v>
      </c>
      <c r="M16" s="924">
        <v>4.2</v>
      </c>
      <c r="N16" s="924">
        <v>4.22</v>
      </c>
    </row>
    <row r="17" spans="1:14" ht="12" customHeight="1">
      <c r="A17" s="141" t="s">
        <v>32</v>
      </c>
      <c r="B17" s="939">
        <v>0</v>
      </c>
      <c r="C17" s="924">
        <v>0</v>
      </c>
      <c r="D17" s="924">
        <v>0</v>
      </c>
      <c r="E17" s="924">
        <v>0</v>
      </c>
      <c r="F17" s="924">
        <v>0</v>
      </c>
      <c r="G17" s="924">
        <v>0</v>
      </c>
      <c r="H17" s="924">
        <v>0</v>
      </c>
      <c r="I17" s="924">
        <v>0</v>
      </c>
      <c r="J17" s="924">
        <v>0</v>
      </c>
      <c r="K17" s="924">
        <v>0</v>
      </c>
      <c r="L17" s="924">
        <v>0</v>
      </c>
      <c r="M17" s="924">
        <v>0</v>
      </c>
      <c r="N17" s="924">
        <v>0</v>
      </c>
    </row>
    <row r="18" spans="1:14" ht="12" customHeight="1">
      <c r="A18" s="141" t="s">
        <v>33</v>
      </c>
      <c r="B18" s="939">
        <v>4.79</v>
      </c>
      <c r="C18" s="924">
        <v>4.82</v>
      </c>
      <c r="D18" s="924">
        <v>4.83</v>
      </c>
      <c r="E18" s="924">
        <v>4.8099999999999996</v>
      </c>
      <c r="F18" s="924">
        <v>4.8099999999999996</v>
      </c>
      <c r="G18" s="924">
        <v>4.8</v>
      </c>
      <c r="H18" s="924">
        <v>4.79</v>
      </c>
      <c r="I18" s="924">
        <v>4.79</v>
      </c>
      <c r="J18" s="924">
        <v>4.78</v>
      </c>
      <c r="K18" s="924">
        <v>4.7699999999999996</v>
      </c>
      <c r="L18" s="924">
        <v>4.76</v>
      </c>
      <c r="M18" s="924">
        <v>4.7699999999999996</v>
      </c>
      <c r="N18" s="924">
        <v>4.75</v>
      </c>
    </row>
    <row r="19" spans="1:14" ht="12" customHeight="1">
      <c r="A19" s="141" t="s">
        <v>34</v>
      </c>
      <c r="B19" s="939">
        <v>4.72</v>
      </c>
      <c r="C19" s="924">
        <v>4.76</v>
      </c>
      <c r="D19" s="924">
        <v>4.7699999999999996</v>
      </c>
      <c r="E19" s="924">
        <v>4.75</v>
      </c>
      <c r="F19" s="924">
        <v>4.74</v>
      </c>
      <c r="G19" s="924">
        <v>4.7300000000000004</v>
      </c>
      <c r="H19" s="924">
        <v>4.72</v>
      </c>
      <c r="I19" s="924">
        <v>4.72</v>
      </c>
      <c r="J19" s="924">
        <v>4.71</v>
      </c>
      <c r="K19" s="924">
        <v>4.7</v>
      </c>
      <c r="L19" s="924">
        <v>4.71</v>
      </c>
      <c r="M19" s="924">
        <v>4.7</v>
      </c>
      <c r="N19" s="924">
        <v>4.68</v>
      </c>
    </row>
    <row r="20" spans="1:14" ht="12" customHeight="1">
      <c r="A20" s="141" t="s">
        <v>35</v>
      </c>
      <c r="B20" s="939">
        <v>4.96</v>
      </c>
      <c r="C20" s="924">
        <v>4.95</v>
      </c>
      <c r="D20" s="924">
        <v>4.99</v>
      </c>
      <c r="E20" s="924">
        <v>4.9800000000000004</v>
      </c>
      <c r="F20" s="924">
        <v>4.99</v>
      </c>
      <c r="G20" s="924">
        <v>4.97</v>
      </c>
      <c r="H20" s="924">
        <v>4.95</v>
      </c>
      <c r="I20" s="924">
        <v>4.95</v>
      </c>
      <c r="J20" s="924">
        <v>4.9400000000000004</v>
      </c>
      <c r="K20" s="924">
        <v>4.95</v>
      </c>
      <c r="L20" s="924">
        <v>4.96</v>
      </c>
      <c r="M20" s="924">
        <v>4.96</v>
      </c>
      <c r="N20" s="924">
        <v>4.96</v>
      </c>
    </row>
    <row r="21" spans="1:14" ht="12" customHeight="1">
      <c r="A21" s="141" t="s">
        <v>36</v>
      </c>
      <c r="B21" s="939">
        <v>4.49</v>
      </c>
      <c r="C21" s="924">
        <v>4.4800000000000004</v>
      </c>
      <c r="D21" s="924">
        <v>4.49</v>
      </c>
      <c r="E21" s="924">
        <v>4.5</v>
      </c>
      <c r="F21" s="924">
        <v>4.51</v>
      </c>
      <c r="G21" s="924">
        <v>4.49</v>
      </c>
      <c r="H21" s="924">
        <v>4.4800000000000004</v>
      </c>
      <c r="I21" s="924">
        <v>4.4800000000000004</v>
      </c>
      <c r="J21" s="924">
        <v>4.4800000000000004</v>
      </c>
      <c r="K21" s="924">
        <v>4.47</v>
      </c>
      <c r="L21" s="924">
        <v>4.49</v>
      </c>
      <c r="M21" s="924">
        <v>4.4800000000000004</v>
      </c>
      <c r="N21" s="924">
        <v>4.5</v>
      </c>
    </row>
    <row r="22" spans="1:14" ht="12" customHeight="1">
      <c r="A22" s="141" t="s">
        <v>37</v>
      </c>
      <c r="B22" s="939">
        <v>4.9800000000000004</v>
      </c>
      <c r="C22" s="924">
        <v>4.97</v>
      </c>
      <c r="D22" s="924">
        <v>4.9800000000000004</v>
      </c>
      <c r="E22" s="924">
        <v>5</v>
      </c>
      <c r="F22" s="924">
        <v>4.99</v>
      </c>
      <c r="G22" s="924">
        <v>4.9800000000000004</v>
      </c>
      <c r="H22" s="924">
        <v>4.97</v>
      </c>
      <c r="I22" s="924">
        <v>4.97</v>
      </c>
      <c r="J22" s="924">
        <v>4.96</v>
      </c>
      <c r="K22" s="924">
        <v>4.97</v>
      </c>
      <c r="L22" s="924">
        <v>4.97</v>
      </c>
      <c r="M22" s="924">
        <v>4.96</v>
      </c>
      <c r="N22" s="924">
        <v>4.97</v>
      </c>
    </row>
    <row r="23" spans="1:14" ht="12" customHeight="1">
      <c r="A23" s="141" t="s">
        <v>38</v>
      </c>
      <c r="B23" s="939">
        <v>4.6900000000000004</v>
      </c>
      <c r="C23" s="924">
        <v>4.6500000000000004</v>
      </c>
      <c r="D23" s="924">
        <v>4.67</v>
      </c>
      <c r="E23" s="924">
        <v>4.7</v>
      </c>
      <c r="F23" s="924">
        <v>4.71</v>
      </c>
      <c r="G23" s="924">
        <v>4.7</v>
      </c>
      <c r="H23" s="924">
        <v>4.71</v>
      </c>
      <c r="I23" s="924">
        <v>4.71</v>
      </c>
      <c r="J23" s="924">
        <v>4.7</v>
      </c>
      <c r="K23" s="924">
        <v>4.7</v>
      </c>
      <c r="L23" s="924">
        <v>4.6900000000000004</v>
      </c>
      <c r="M23" s="924">
        <v>4.68</v>
      </c>
      <c r="N23" s="924">
        <v>4.67</v>
      </c>
    </row>
    <row r="24" spans="1:14" ht="12" customHeight="1">
      <c r="A24" s="141" t="s">
        <v>39</v>
      </c>
      <c r="B24" s="939">
        <v>4.93</v>
      </c>
      <c r="C24" s="924">
        <v>4.8899999999999997</v>
      </c>
      <c r="D24" s="924">
        <v>4.9000000000000004</v>
      </c>
      <c r="E24" s="924">
        <v>4.95</v>
      </c>
      <c r="F24" s="924">
        <v>4.9400000000000004</v>
      </c>
      <c r="G24" s="924">
        <v>4.92</v>
      </c>
      <c r="H24" s="924">
        <v>4.93</v>
      </c>
      <c r="I24" s="924">
        <v>4.92</v>
      </c>
      <c r="J24" s="924">
        <v>4.92</v>
      </c>
      <c r="K24" s="924">
        <v>4.92</v>
      </c>
      <c r="L24" s="924">
        <v>4.93</v>
      </c>
      <c r="M24" s="924">
        <v>4.9400000000000004</v>
      </c>
      <c r="N24" s="924">
        <v>4.95</v>
      </c>
    </row>
    <row r="25" spans="1:14" ht="12" customHeight="1">
      <c r="A25" s="141" t="s">
        <v>40</v>
      </c>
      <c r="B25" s="939">
        <v>4.5599999999999996</v>
      </c>
      <c r="C25" s="924">
        <v>4.5599999999999996</v>
      </c>
      <c r="D25" s="924">
        <v>4.5599999999999996</v>
      </c>
      <c r="E25" s="924">
        <v>4.5999999999999996</v>
      </c>
      <c r="F25" s="924">
        <v>4.59</v>
      </c>
      <c r="G25" s="924">
        <v>4.57</v>
      </c>
      <c r="H25" s="924">
        <v>4.5599999999999996</v>
      </c>
      <c r="I25" s="924">
        <v>4.5599999999999996</v>
      </c>
      <c r="J25" s="924">
        <v>4.55</v>
      </c>
      <c r="K25" s="924">
        <v>4.54</v>
      </c>
      <c r="L25" s="924">
        <v>4.55</v>
      </c>
      <c r="M25" s="924">
        <v>4.54</v>
      </c>
      <c r="N25" s="924">
        <v>4.53</v>
      </c>
    </row>
    <row r="26" spans="1:14" ht="12" customHeight="1">
      <c r="A26" s="141" t="s">
        <v>41</v>
      </c>
      <c r="B26" s="939">
        <v>3.87</v>
      </c>
      <c r="C26" s="924">
        <v>3.88</v>
      </c>
      <c r="D26" s="924">
        <v>3.87</v>
      </c>
      <c r="E26" s="924">
        <v>3.89</v>
      </c>
      <c r="F26" s="924">
        <v>3.88</v>
      </c>
      <c r="G26" s="924">
        <v>3.87</v>
      </c>
      <c r="H26" s="924">
        <v>3.86</v>
      </c>
      <c r="I26" s="924">
        <v>3.86</v>
      </c>
      <c r="J26" s="924">
        <v>3.86</v>
      </c>
      <c r="K26" s="924">
        <v>3.87</v>
      </c>
      <c r="L26" s="924">
        <v>3.87</v>
      </c>
      <c r="M26" s="924">
        <v>3.86</v>
      </c>
      <c r="N26" s="924">
        <v>3.87</v>
      </c>
    </row>
    <row r="27" spans="1:14" ht="12" customHeight="1">
      <c r="A27" s="141" t="s">
        <v>111</v>
      </c>
      <c r="B27" s="939">
        <v>3.88</v>
      </c>
      <c r="C27" s="924">
        <v>3.89</v>
      </c>
      <c r="D27" s="924">
        <v>3.88</v>
      </c>
      <c r="E27" s="924">
        <v>3.9</v>
      </c>
      <c r="F27" s="924">
        <v>3.89</v>
      </c>
      <c r="G27" s="924">
        <v>3.87</v>
      </c>
      <c r="H27" s="924">
        <v>3.86</v>
      </c>
      <c r="I27" s="924">
        <v>3.86</v>
      </c>
      <c r="J27" s="924">
        <v>3.86</v>
      </c>
      <c r="K27" s="924">
        <v>3.87</v>
      </c>
      <c r="L27" s="924">
        <v>3.88</v>
      </c>
      <c r="M27" s="924">
        <v>3.88</v>
      </c>
      <c r="N27" s="924">
        <v>3.89</v>
      </c>
    </row>
    <row r="28" spans="1:14" ht="12" customHeight="1">
      <c r="A28" s="141" t="s">
        <v>112</v>
      </c>
      <c r="B28" s="939">
        <v>3.86</v>
      </c>
      <c r="C28" s="924">
        <v>3.85</v>
      </c>
      <c r="D28" s="924">
        <v>3.86</v>
      </c>
      <c r="E28" s="924">
        <v>3.88</v>
      </c>
      <c r="F28" s="924">
        <v>3.87</v>
      </c>
      <c r="G28" s="924">
        <v>3.88</v>
      </c>
      <c r="H28" s="924">
        <v>3.87</v>
      </c>
      <c r="I28" s="924">
        <v>3.87</v>
      </c>
      <c r="J28" s="924">
        <v>3.87</v>
      </c>
      <c r="K28" s="924">
        <v>3.86</v>
      </c>
      <c r="L28" s="924">
        <v>3.86</v>
      </c>
      <c r="M28" s="924">
        <v>3.76</v>
      </c>
      <c r="N28" s="924">
        <v>3.76</v>
      </c>
    </row>
    <row r="29" spans="1:14" ht="12" customHeight="1">
      <c r="A29" s="141" t="s">
        <v>44</v>
      </c>
      <c r="B29" s="939">
        <v>4.46</v>
      </c>
      <c r="C29" s="924">
        <v>4.5199999999999996</v>
      </c>
      <c r="D29" s="924">
        <v>4.51</v>
      </c>
      <c r="E29" s="924">
        <v>4.53</v>
      </c>
      <c r="F29" s="924">
        <v>4.5199999999999996</v>
      </c>
      <c r="G29" s="924">
        <v>4.42</v>
      </c>
      <c r="H29" s="924">
        <v>4.4000000000000004</v>
      </c>
      <c r="I29" s="924">
        <v>4.41</v>
      </c>
      <c r="J29" s="924">
        <v>4.42</v>
      </c>
      <c r="K29" s="924">
        <v>4.43</v>
      </c>
      <c r="L29" s="924">
        <v>4.4400000000000004</v>
      </c>
      <c r="M29" s="924">
        <v>4.45</v>
      </c>
      <c r="N29" s="924">
        <v>4.45</v>
      </c>
    </row>
    <row r="30" spans="1:14" ht="12" customHeight="1">
      <c r="A30" s="141" t="s">
        <v>45</v>
      </c>
      <c r="B30" s="939">
        <v>5.38</v>
      </c>
      <c r="C30" s="924">
        <v>5.4</v>
      </c>
      <c r="D30" s="924">
        <v>5.42</v>
      </c>
      <c r="E30" s="924">
        <v>5.4</v>
      </c>
      <c r="F30" s="924">
        <v>5.39</v>
      </c>
      <c r="G30" s="924">
        <v>5.39</v>
      </c>
      <c r="H30" s="924">
        <v>5.4</v>
      </c>
      <c r="I30" s="924">
        <v>5.39</v>
      </c>
      <c r="J30" s="924">
        <v>5.37</v>
      </c>
      <c r="K30" s="924">
        <v>5.36</v>
      </c>
      <c r="L30" s="924">
        <v>5.35</v>
      </c>
      <c r="M30" s="924">
        <v>5.34</v>
      </c>
      <c r="N30" s="924">
        <v>5.35</v>
      </c>
    </row>
    <row r="31" spans="1:14" ht="12" customHeight="1">
      <c r="A31" s="141" t="s">
        <v>46</v>
      </c>
      <c r="B31" s="941">
        <v>0</v>
      </c>
      <c r="C31" s="923">
        <v>0</v>
      </c>
      <c r="D31" s="923">
        <v>0</v>
      </c>
      <c r="E31" s="923">
        <v>0</v>
      </c>
      <c r="F31" s="923">
        <v>0</v>
      </c>
      <c r="G31" s="923">
        <v>0</v>
      </c>
      <c r="H31" s="923">
        <v>0</v>
      </c>
      <c r="I31" s="923">
        <v>0</v>
      </c>
      <c r="J31" s="923">
        <v>0</v>
      </c>
      <c r="K31" s="923">
        <v>0</v>
      </c>
      <c r="L31" s="923">
        <v>0</v>
      </c>
      <c r="M31" s="923">
        <v>0</v>
      </c>
      <c r="N31" s="923">
        <v>0</v>
      </c>
    </row>
    <row r="32" spans="1:14" ht="12" customHeight="1">
      <c r="A32" s="141" t="s">
        <v>47</v>
      </c>
      <c r="B32" s="941">
        <v>0</v>
      </c>
      <c r="C32" s="923">
        <v>0</v>
      </c>
      <c r="D32" s="923">
        <v>0</v>
      </c>
      <c r="E32" s="923">
        <v>0</v>
      </c>
      <c r="F32" s="923">
        <v>0</v>
      </c>
      <c r="G32" s="923">
        <v>0</v>
      </c>
      <c r="H32" s="923">
        <v>0</v>
      </c>
      <c r="I32" s="923">
        <v>0</v>
      </c>
      <c r="J32" s="923">
        <v>0</v>
      </c>
      <c r="K32" s="923">
        <v>0</v>
      </c>
      <c r="L32" s="923">
        <v>0</v>
      </c>
      <c r="M32" s="923">
        <v>0</v>
      </c>
      <c r="N32" s="923">
        <v>0</v>
      </c>
    </row>
    <row r="33" spans="1:14" ht="12" customHeight="1">
      <c r="A33" s="141" t="s">
        <v>48</v>
      </c>
      <c r="B33" s="941">
        <v>0</v>
      </c>
      <c r="C33" s="923">
        <v>0</v>
      </c>
      <c r="D33" s="923">
        <v>0</v>
      </c>
      <c r="E33" s="923">
        <v>0</v>
      </c>
      <c r="F33" s="923">
        <v>0</v>
      </c>
      <c r="G33" s="923">
        <v>0</v>
      </c>
      <c r="H33" s="923">
        <v>0</v>
      </c>
      <c r="I33" s="923">
        <v>0</v>
      </c>
      <c r="J33" s="923">
        <v>0</v>
      </c>
      <c r="K33" s="923">
        <v>0</v>
      </c>
      <c r="L33" s="923">
        <v>0</v>
      </c>
      <c r="M33" s="923">
        <v>0</v>
      </c>
      <c r="N33" s="923">
        <v>0</v>
      </c>
    </row>
    <row r="34" spans="1:14" ht="12" customHeight="1" thickBot="1">
      <c r="A34" s="202" t="s">
        <v>49</v>
      </c>
      <c r="B34" s="940">
        <v>0</v>
      </c>
      <c r="C34" s="925">
        <v>0</v>
      </c>
      <c r="D34" s="925">
        <v>0</v>
      </c>
      <c r="E34" s="925">
        <v>0</v>
      </c>
      <c r="F34" s="925">
        <v>0</v>
      </c>
      <c r="G34" s="925">
        <v>0</v>
      </c>
      <c r="H34" s="925">
        <v>0</v>
      </c>
      <c r="I34" s="925">
        <v>0</v>
      </c>
      <c r="J34" s="925">
        <v>0</v>
      </c>
      <c r="K34" s="925">
        <v>0</v>
      </c>
      <c r="L34" s="925">
        <v>0</v>
      </c>
      <c r="M34" s="925">
        <v>0</v>
      </c>
      <c r="N34" s="925">
        <v>0</v>
      </c>
    </row>
    <row r="35" spans="1:14" ht="10" customHeight="1">
      <c r="A35" s="28" t="s">
        <v>238</v>
      </c>
      <c r="B35" s="935"/>
      <c r="C35" s="936"/>
      <c r="D35" s="936"/>
      <c r="E35" s="936"/>
      <c r="F35" s="936"/>
      <c r="G35" s="936"/>
      <c r="H35" s="936"/>
      <c r="I35" s="936"/>
      <c r="J35" s="936"/>
      <c r="K35" s="936"/>
      <c r="L35" s="936"/>
      <c r="M35" s="936"/>
      <c r="N35" s="936"/>
    </row>
    <row r="36" spans="1:14" ht="10" customHeight="1">
      <c r="A36" s="28" t="s">
        <v>192</v>
      </c>
      <c r="B36" s="936"/>
      <c r="C36" s="936"/>
      <c r="D36" s="936"/>
      <c r="E36" s="936"/>
      <c r="F36" s="936"/>
      <c r="G36" s="936"/>
      <c r="H36" s="936"/>
      <c r="I36" s="936"/>
      <c r="J36" s="936"/>
      <c r="K36" s="936"/>
      <c r="L36" s="936"/>
      <c r="M36" s="936"/>
      <c r="N36" s="936"/>
    </row>
    <row r="37" spans="1:14" ht="10" customHeight="1">
      <c r="A37" s="40" t="s">
        <v>261</v>
      </c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</row>
    <row r="38" spans="1:14" ht="13" customHeight="1">
      <c r="A38" s="31"/>
    </row>
    <row r="39" spans="1:14" ht="13" customHeight="1">
      <c r="A39" s="31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Hoja108">
    <tabColor theme="9" tint="0.59999389629810485"/>
  </sheetPr>
  <dimension ref="A1:N39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141" customWidth="1"/>
    <col min="2" max="14" width="8.3984375" style="141" customWidth="1"/>
    <col min="15" max="16384" width="7" style="141"/>
  </cols>
  <sheetData>
    <row r="1" spans="1:14" ht="17" customHeight="1">
      <c r="A1" s="943" t="s">
        <v>527</v>
      </c>
      <c r="B1" s="943"/>
      <c r="C1" s="944"/>
      <c r="D1" s="944"/>
      <c r="E1" s="944"/>
      <c r="F1" s="944"/>
      <c r="G1" s="944"/>
      <c r="H1" s="944"/>
      <c r="I1" s="944"/>
      <c r="J1" s="944"/>
      <c r="K1" s="944"/>
      <c r="L1" s="944"/>
      <c r="M1" s="944"/>
      <c r="N1" s="944"/>
    </row>
    <row r="2" spans="1:14" ht="13" customHeight="1">
      <c r="A2" s="927" t="s">
        <v>593</v>
      </c>
      <c r="B2" s="508"/>
      <c r="C2" s="189"/>
      <c r="D2" s="189"/>
      <c r="E2" s="189"/>
      <c r="F2" s="189"/>
      <c r="G2" s="193"/>
      <c r="H2" s="192"/>
      <c r="I2" s="189"/>
      <c r="J2" s="189"/>
      <c r="K2" s="189"/>
      <c r="L2" s="189"/>
      <c r="M2" s="189"/>
      <c r="N2" s="189"/>
    </row>
    <row r="3" spans="1:14" ht="4" customHeight="1" thickBot="1">
      <c r="A3" s="192"/>
      <c r="B3" s="189"/>
      <c r="C3" s="189"/>
      <c r="D3" s="189"/>
      <c r="E3" s="189"/>
      <c r="F3" s="189"/>
      <c r="G3" s="193"/>
      <c r="H3" s="192"/>
      <c r="I3" s="189"/>
      <c r="J3" s="189"/>
      <c r="K3" s="189"/>
      <c r="L3" s="189"/>
      <c r="M3" s="189"/>
      <c r="N3" s="189"/>
    </row>
    <row r="4" spans="1:14" ht="15" customHeight="1">
      <c r="A4" s="525" t="s">
        <v>18</v>
      </c>
      <c r="B4" s="934" t="s">
        <v>56</v>
      </c>
      <c r="C4" s="934" t="s">
        <v>57</v>
      </c>
      <c r="D4" s="934" t="s">
        <v>58</v>
      </c>
      <c r="E4" s="934" t="s">
        <v>59</v>
      </c>
      <c r="F4" s="934" t="s">
        <v>60</v>
      </c>
      <c r="G4" s="934" t="s">
        <v>61</v>
      </c>
      <c r="H4" s="934" t="s">
        <v>62</v>
      </c>
      <c r="I4" s="934" t="s">
        <v>63</v>
      </c>
      <c r="J4" s="934" t="s">
        <v>64</v>
      </c>
      <c r="K4" s="934" t="s">
        <v>65</v>
      </c>
      <c r="L4" s="934" t="s">
        <v>66</v>
      </c>
      <c r="M4" s="934" t="s">
        <v>67</v>
      </c>
      <c r="N4" s="934" t="s">
        <v>68</v>
      </c>
    </row>
    <row r="5" spans="1:14" ht="15" customHeight="1">
      <c r="A5" s="929" t="s">
        <v>114</v>
      </c>
      <c r="B5" s="930">
        <v>4.2699999999999996</v>
      </c>
      <c r="C5" s="930">
        <v>4.2699999999999996</v>
      </c>
      <c r="D5" s="930">
        <v>4.3</v>
      </c>
      <c r="E5" s="930">
        <v>4.29</v>
      </c>
      <c r="F5" s="930">
        <v>4.33</v>
      </c>
      <c r="G5" s="930">
        <v>4.3099999999999996</v>
      </c>
      <c r="H5" s="930">
        <v>4.29</v>
      </c>
      <c r="I5" s="930">
        <v>4.26</v>
      </c>
      <c r="J5" s="930">
        <v>4.25</v>
      </c>
      <c r="K5" s="930">
        <v>4.25</v>
      </c>
      <c r="L5" s="930">
        <v>4.22</v>
      </c>
      <c r="M5" s="930">
        <v>4.21</v>
      </c>
      <c r="N5" s="930">
        <v>4.22</v>
      </c>
    </row>
    <row r="6" spans="1:14" ht="12" customHeight="1">
      <c r="A6" s="141" t="s">
        <v>21</v>
      </c>
      <c r="B6" s="939">
        <v>0</v>
      </c>
      <c r="C6" s="924">
        <v>0</v>
      </c>
      <c r="D6" s="924">
        <v>0</v>
      </c>
      <c r="E6" s="924">
        <v>0</v>
      </c>
      <c r="F6" s="924">
        <v>0</v>
      </c>
      <c r="G6" s="924">
        <v>0</v>
      </c>
      <c r="H6" s="924">
        <v>0</v>
      </c>
      <c r="I6" s="924">
        <v>0</v>
      </c>
      <c r="J6" s="924">
        <v>0</v>
      </c>
      <c r="K6" s="924">
        <v>0</v>
      </c>
      <c r="L6" s="924">
        <v>0</v>
      </c>
      <c r="M6" s="924">
        <v>0</v>
      </c>
      <c r="N6" s="924">
        <v>0</v>
      </c>
    </row>
    <row r="7" spans="1:14" ht="12" customHeight="1">
      <c r="A7" s="141" t="s">
        <v>22</v>
      </c>
      <c r="B7" s="939">
        <v>0</v>
      </c>
      <c r="C7" s="924">
        <v>0</v>
      </c>
      <c r="D7" s="924">
        <v>0</v>
      </c>
      <c r="E7" s="924">
        <v>0</v>
      </c>
      <c r="F7" s="924">
        <v>0</v>
      </c>
      <c r="G7" s="924">
        <v>0</v>
      </c>
      <c r="H7" s="924">
        <v>0</v>
      </c>
      <c r="I7" s="924">
        <v>0</v>
      </c>
      <c r="J7" s="924">
        <v>0</v>
      </c>
      <c r="K7" s="924">
        <v>0</v>
      </c>
      <c r="L7" s="924">
        <v>0</v>
      </c>
      <c r="M7" s="924">
        <v>0</v>
      </c>
      <c r="N7" s="924">
        <v>0</v>
      </c>
    </row>
    <row r="8" spans="1:14" ht="12" customHeight="1">
      <c r="A8" s="141" t="s">
        <v>23</v>
      </c>
      <c r="B8" s="939">
        <v>0</v>
      </c>
      <c r="C8" s="924">
        <v>0</v>
      </c>
      <c r="D8" s="924">
        <v>0</v>
      </c>
      <c r="E8" s="924">
        <v>0</v>
      </c>
      <c r="F8" s="924">
        <v>0</v>
      </c>
      <c r="G8" s="924">
        <v>0</v>
      </c>
      <c r="H8" s="924">
        <v>0</v>
      </c>
      <c r="I8" s="924">
        <v>0</v>
      </c>
      <c r="J8" s="924">
        <v>0</v>
      </c>
      <c r="K8" s="924">
        <v>0</v>
      </c>
      <c r="L8" s="924">
        <v>0</v>
      </c>
      <c r="M8" s="924">
        <v>0</v>
      </c>
      <c r="N8" s="924">
        <v>0</v>
      </c>
    </row>
    <row r="9" spans="1:14" ht="12" customHeight="1">
      <c r="A9" s="141" t="s">
        <v>24</v>
      </c>
      <c r="B9" s="939">
        <v>0</v>
      </c>
      <c r="C9" s="924">
        <v>0</v>
      </c>
      <c r="D9" s="924">
        <v>0</v>
      </c>
      <c r="E9" s="924">
        <v>0</v>
      </c>
      <c r="F9" s="924">
        <v>0</v>
      </c>
      <c r="G9" s="924">
        <v>0</v>
      </c>
      <c r="H9" s="924">
        <v>0</v>
      </c>
      <c r="I9" s="924">
        <v>0</v>
      </c>
      <c r="J9" s="924">
        <v>0</v>
      </c>
      <c r="K9" s="924">
        <v>0</v>
      </c>
      <c r="L9" s="924">
        <v>0</v>
      </c>
      <c r="M9" s="924">
        <v>0</v>
      </c>
      <c r="N9" s="924">
        <v>0</v>
      </c>
    </row>
    <row r="10" spans="1:14" ht="12" customHeight="1">
      <c r="A10" s="141" t="s">
        <v>25</v>
      </c>
      <c r="B10" s="939">
        <v>0</v>
      </c>
      <c r="C10" s="924">
        <v>0</v>
      </c>
      <c r="D10" s="924">
        <v>0</v>
      </c>
      <c r="E10" s="924">
        <v>0</v>
      </c>
      <c r="F10" s="924">
        <v>0</v>
      </c>
      <c r="G10" s="924">
        <v>0</v>
      </c>
      <c r="H10" s="924">
        <v>0</v>
      </c>
      <c r="I10" s="924">
        <v>0</v>
      </c>
      <c r="J10" s="924">
        <v>0</v>
      </c>
      <c r="K10" s="924">
        <v>0</v>
      </c>
      <c r="L10" s="924">
        <v>0</v>
      </c>
      <c r="M10" s="924">
        <v>0</v>
      </c>
      <c r="N10" s="924">
        <v>0</v>
      </c>
    </row>
    <row r="11" spans="1:14" ht="12" customHeight="1">
      <c r="A11" s="141" t="s">
        <v>107</v>
      </c>
      <c r="B11" s="939">
        <v>0</v>
      </c>
      <c r="C11" s="924">
        <v>0</v>
      </c>
      <c r="D11" s="924">
        <v>0</v>
      </c>
      <c r="E11" s="924">
        <v>0</v>
      </c>
      <c r="F11" s="924">
        <v>0</v>
      </c>
      <c r="G11" s="924">
        <v>0</v>
      </c>
      <c r="H11" s="924">
        <v>0</v>
      </c>
      <c r="I11" s="924">
        <v>0</v>
      </c>
      <c r="J11" s="924">
        <v>0</v>
      </c>
      <c r="K11" s="924">
        <v>0</v>
      </c>
      <c r="L11" s="924">
        <v>0</v>
      </c>
      <c r="M11" s="924">
        <v>0</v>
      </c>
      <c r="N11" s="924">
        <v>0</v>
      </c>
    </row>
    <row r="12" spans="1:14" ht="12" customHeight="1">
      <c r="A12" s="141" t="s">
        <v>108</v>
      </c>
      <c r="B12" s="939">
        <v>0</v>
      </c>
      <c r="C12" s="924">
        <v>0</v>
      </c>
      <c r="D12" s="924">
        <v>0</v>
      </c>
      <c r="E12" s="924">
        <v>0</v>
      </c>
      <c r="F12" s="924">
        <v>0</v>
      </c>
      <c r="G12" s="924">
        <v>0</v>
      </c>
      <c r="H12" s="924">
        <v>0</v>
      </c>
      <c r="I12" s="924">
        <v>0</v>
      </c>
      <c r="J12" s="924">
        <v>0</v>
      </c>
      <c r="K12" s="924">
        <v>0</v>
      </c>
      <c r="L12" s="924">
        <v>0</v>
      </c>
      <c r="M12" s="924">
        <v>0</v>
      </c>
      <c r="N12" s="924">
        <v>0</v>
      </c>
    </row>
    <row r="13" spans="1:14" ht="12" customHeight="1">
      <c r="A13" s="141" t="s">
        <v>139</v>
      </c>
      <c r="B13" s="939">
        <v>0</v>
      </c>
      <c r="C13" s="924">
        <v>0</v>
      </c>
      <c r="D13" s="924">
        <v>0</v>
      </c>
      <c r="E13" s="924">
        <v>0</v>
      </c>
      <c r="F13" s="924">
        <v>0</v>
      </c>
      <c r="G13" s="924">
        <v>0</v>
      </c>
      <c r="H13" s="924">
        <v>0</v>
      </c>
      <c r="I13" s="924">
        <v>0</v>
      </c>
      <c r="J13" s="924">
        <v>0</v>
      </c>
      <c r="K13" s="924">
        <v>0</v>
      </c>
      <c r="L13" s="924">
        <v>0</v>
      </c>
      <c r="M13" s="924">
        <v>0</v>
      </c>
      <c r="N13" s="924">
        <v>0</v>
      </c>
    </row>
    <row r="14" spans="1:14" ht="12" customHeight="1">
      <c r="A14" s="141" t="s">
        <v>29</v>
      </c>
      <c r="B14" s="939">
        <v>0</v>
      </c>
      <c r="C14" s="924">
        <v>0</v>
      </c>
      <c r="D14" s="924">
        <v>0</v>
      </c>
      <c r="E14" s="924">
        <v>0</v>
      </c>
      <c r="F14" s="924">
        <v>0</v>
      </c>
      <c r="G14" s="924">
        <v>0</v>
      </c>
      <c r="H14" s="924">
        <v>0</v>
      </c>
      <c r="I14" s="924">
        <v>0</v>
      </c>
      <c r="J14" s="924">
        <v>0</v>
      </c>
      <c r="K14" s="924">
        <v>0</v>
      </c>
      <c r="L14" s="924">
        <v>0</v>
      </c>
      <c r="M14" s="924">
        <v>0</v>
      </c>
      <c r="N14" s="924">
        <v>0</v>
      </c>
    </row>
    <row r="15" spans="1:14" ht="12" customHeight="1">
      <c r="A15" s="141" t="s">
        <v>30</v>
      </c>
      <c r="B15" s="939">
        <v>0</v>
      </c>
      <c r="C15" s="924">
        <v>0</v>
      </c>
      <c r="D15" s="924">
        <v>0</v>
      </c>
      <c r="E15" s="924">
        <v>0</v>
      </c>
      <c r="F15" s="924">
        <v>0</v>
      </c>
      <c r="G15" s="924">
        <v>0</v>
      </c>
      <c r="H15" s="924">
        <v>0</v>
      </c>
      <c r="I15" s="924">
        <v>0</v>
      </c>
      <c r="J15" s="924">
        <v>0</v>
      </c>
      <c r="K15" s="924">
        <v>0</v>
      </c>
      <c r="L15" s="924">
        <v>0</v>
      </c>
      <c r="M15" s="924">
        <v>0</v>
      </c>
      <c r="N15" s="924">
        <v>0</v>
      </c>
    </row>
    <row r="16" spans="1:14" ht="12" customHeight="1">
      <c r="A16" s="141" t="s">
        <v>31</v>
      </c>
      <c r="B16" s="939">
        <v>3.81</v>
      </c>
      <c r="C16" s="924">
        <v>3.78</v>
      </c>
      <c r="D16" s="924">
        <v>3.79</v>
      </c>
      <c r="E16" s="924">
        <v>3.82</v>
      </c>
      <c r="F16" s="924">
        <v>3.81</v>
      </c>
      <c r="G16" s="924">
        <v>3.82</v>
      </c>
      <c r="H16" s="924">
        <v>3.8</v>
      </c>
      <c r="I16" s="924">
        <v>3.81</v>
      </c>
      <c r="J16" s="924">
        <v>3.8</v>
      </c>
      <c r="K16" s="924">
        <v>3.81</v>
      </c>
      <c r="L16" s="924">
        <v>3.81</v>
      </c>
      <c r="M16" s="924">
        <v>3.8</v>
      </c>
      <c r="N16" s="924">
        <v>3.81</v>
      </c>
    </row>
    <row r="17" spans="1:14" ht="12" customHeight="1">
      <c r="A17" s="141" t="s">
        <v>32</v>
      </c>
      <c r="B17" s="939">
        <v>0</v>
      </c>
      <c r="C17" s="924">
        <v>0</v>
      </c>
      <c r="D17" s="924">
        <v>0</v>
      </c>
      <c r="E17" s="924">
        <v>0</v>
      </c>
      <c r="F17" s="924">
        <v>0</v>
      </c>
      <c r="G17" s="924">
        <v>0</v>
      </c>
      <c r="H17" s="924">
        <v>0</v>
      </c>
      <c r="I17" s="924">
        <v>0</v>
      </c>
      <c r="J17" s="924">
        <v>0</v>
      </c>
      <c r="K17" s="924">
        <v>0</v>
      </c>
      <c r="L17" s="924">
        <v>0</v>
      </c>
      <c r="M17" s="924">
        <v>0</v>
      </c>
      <c r="N17" s="924">
        <v>0</v>
      </c>
    </row>
    <row r="18" spans="1:14" ht="12" customHeight="1">
      <c r="A18" s="141" t="s">
        <v>33</v>
      </c>
      <c r="B18" s="939">
        <v>0</v>
      </c>
      <c r="C18" s="924">
        <v>0</v>
      </c>
      <c r="D18" s="924">
        <v>0</v>
      </c>
      <c r="E18" s="924">
        <v>0</v>
      </c>
      <c r="F18" s="924">
        <v>0</v>
      </c>
      <c r="G18" s="924">
        <v>0</v>
      </c>
      <c r="H18" s="924">
        <v>0</v>
      </c>
      <c r="I18" s="924">
        <v>0</v>
      </c>
      <c r="J18" s="924">
        <v>0</v>
      </c>
      <c r="K18" s="924">
        <v>0</v>
      </c>
      <c r="L18" s="924">
        <v>0</v>
      </c>
      <c r="M18" s="924">
        <v>0</v>
      </c>
      <c r="N18" s="924">
        <v>0</v>
      </c>
    </row>
    <row r="19" spans="1:14" ht="12" customHeight="1">
      <c r="A19" s="141" t="s">
        <v>34</v>
      </c>
      <c r="B19" s="939">
        <v>3.87</v>
      </c>
      <c r="C19" s="924">
        <v>3.91</v>
      </c>
      <c r="D19" s="924">
        <v>3.92</v>
      </c>
      <c r="E19" s="924">
        <v>3.91</v>
      </c>
      <c r="F19" s="924">
        <v>3.9</v>
      </c>
      <c r="G19" s="924">
        <v>3.89</v>
      </c>
      <c r="H19" s="924">
        <v>3.87</v>
      </c>
      <c r="I19" s="924">
        <v>3.86</v>
      </c>
      <c r="J19" s="924">
        <v>3.85</v>
      </c>
      <c r="K19" s="924">
        <v>3.85</v>
      </c>
      <c r="L19" s="924">
        <v>3.86</v>
      </c>
      <c r="M19" s="924">
        <v>3.86</v>
      </c>
      <c r="N19" s="924">
        <v>3.85</v>
      </c>
    </row>
    <row r="20" spans="1:14" ht="12" customHeight="1">
      <c r="A20" s="141" t="s">
        <v>35</v>
      </c>
      <c r="B20" s="939">
        <v>3.9</v>
      </c>
      <c r="C20" s="924">
        <v>3.92</v>
      </c>
      <c r="D20" s="924">
        <v>3.93</v>
      </c>
      <c r="E20" s="924">
        <v>3.94</v>
      </c>
      <c r="F20" s="924">
        <v>3.93</v>
      </c>
      <c r="G20" s="924">
        <v>3.92</v>
      </c>
      <c r="H20" s="924">
        <v>3.9</v>
      </c>
      <c r="I20" s="924">
        <v>3.9</v>
      </c>
      <c r="J20" s="924">
        <v>3.88</v>
      </c>
      <c r="K20" s="924">
        <v>3.89</v>
      </c>
      <c r="L20" s="924">
        <v>3.89</v>
      </c>
      <c r="M20" s="924">
        <v>3.88</v>
      </c>
      <c r="N20" s="924">
        <v>3.88</v>
      </c>
    </row>
    <row r="21" spans="1:14" ht="12" customHeight="1">
      <c r="A21" s="141" t="s">
        <v>36</v>
      </c>
      <c r="B21" s="939">
        <v>3.92</v>
      </c>
      <c r="C21" s="924">
        <v>3.95</v>
      </c>
      <c r="D21" s="924">
        <v>3.94</v>
      </c>
      <c r="E21" s="924">
        <v>3.92</v>
      </c>
      <c r="F21" s="924">
        <v>3.94</v>
      </c>
      <c r="G21" s="924">
        <v>3.93</v>
      </c>
      <c r="H21" s="924">
        <v>3.92</v>
      </c>
      <c r="I21" s="924">
        <v>3.91</v>
      </c>
      <c r="J21" s="924">
        <v>3.9</v>
      </c>
      <c r="K21" s="924">
        <v>3.91</v>
      </c>
      <c r="L21" s="924">
        <v>3.91</v>
      </c>
      <c r="M21" s="924">
        <v>3.9</v>
      </c>
      <c r="N21" s="924">
        <v>3.89</v>
      </c>
    </row>
    <row r="22" spans="1:14" ht="12" customHeight="1">
      <c r="A22" s="141" t="s">
        <v>37</v>
      </c>
      <c r="B22" s="939">
        <v>4.5599999999999996</v>
      </c>
      <c r="C22" s="924">
        <v>4.5199999999999996</v>
      </c>
      <c r="D22" s="924">
        <v>4.54</v>
      </c>
      <c r="E22" s="924">
        <v>4.5599999999999996</v>
      </c>
      <c r="F22" s="924">
        <v>4.5599999999999996</v>
      </c>
      <c r="G22" s="924">
        <v>4.57</v>
      </c>
      <c r="H22" s="924">
        <v>4.55</v>
      </c>
      <c r="I22" s="924">
        <v>4.5599999999999996</v>
      </c>
      <c r="J22" s="924">
        <v>4.57</v>
      </c>
      <c r="K22" s="924">
        <v>4.57</v>
      </c>
      <c r="L22" s="924">
        <v>4.57</v>
      </c>
      <c r="M22" s="924">
        <v>4.57</v>
      </c>
      <c r="N22" s="924">
        <v>4.59</v>
      </c>
    </row>
    <row r="23" spans="1:14" ht="12" customHeight="1">
      <c r="A23" s="141" t="s">
        <v>38</v>
      </c>
      <c r="B23" s="939">
        <v>4.12</v>
      </c>
      <c r="C23" s="924">
        <v>4.0999999999999996</v>
      </c>
      <c r="D23" s="924">
        <v>4.1100000000000003</v>
      </c>
      <c r="E23" s="924">
        <v>4.13</v>
      </c>
      <c r="F23" s="924">
        <v>4.12</v>
      </c>
      <c r="G23" s="924">
        <v>4.1100000000000003</v>
      </c>
      <c r="H23" s="924">
        <v>4.0999999999999996</v>
      </c>
      <c r="I23" s="924">
        <v>4.1100000000000003</v>
      </c>
      <c r="J23" s="924">
        <v>4.12</v>
      </c>
      <c r="K23" s="924">
        <v>4.13</v>
      </c>
      <c r="L23" s="924">
        <v>4.1399999999999997</v>
      </c>
      <c r="M23" s="924">
        <v>4.1500000000000004</v>
      </c>
      <c r="N23" s="924">
        <v>4.1500000000000004</v>
      </c>
    </row>
    <row r="24" spans="1:14" ht="12" customHeight="1">
      <c r="A24" s="141" t="s">
        <v>39</v>
      </c>
      <c r="B24" s="939">
        <v>4.17</v>
      </c>
      <c r="C24" s="924">
        <v>4.16</v>
      </c>
      <c r="D24" s="924">
        <v>4.1500000000000004</v>
      </c>
      <c r="E24" s="924">
        <v>4.17</v>
      </c>
      <c r="F24" s="924">
        <v>4.1900000000000004</v>
      </c>
      <c r="G24" s="924">
        <v>4.18</v>
      </c>
      <c r="H24" s="924">
        <v>4.18</v>
      </c>
      <c r="I24" s="924">
        <v>4.18</v>
      </c>
      <c r="J24" s="924">
        <v>4.18</v>
      </c>
      <c r="K24" s="924">
        <v>4.17</v>
      </c>
      <c r="L24" s="924">
        <v>4.17</v>
      </c>
      <c r="M24" s="924">
        <v>4.17</v>
      </c>
      <c r="N24" s="924">
        <v>4.18</v>
      </c>
    </row>
    <row r="25" spans="1:14" ht="12" customHeight="1">
      <c r="A25" s="141" t="s">
        <v>40</v>
      </c>
      <c r="B25" s="939">
        <v>4.1900000000000004</v>
      </c>
      <c r="C25" s="924">
        <v>4.17</v>
      </c>
      <c r="D25" s="924">
        <v>4.1900000000000004</v>
      </c>
      <c r="E25" s="924">
        <v>4.21</v>
      </c>
      <c r="F25" s="924">
        <v>4.2</v>
      </c>
      <c r="G25" s="924">
        <v>4.21</v>
      </c>
      <c r="H25" s="924">
        <v>4.2</v>
      </c>
      <c r="I25" s="924">
        <v>4.1900000000000004</v>
      </c>
      <c r="J25" s="924">
        <v>4.18</v>
      </c>
      <c r="K25" s="924">
        <v>4.18</v>
      </c>
      <c r="L25" s="924">
        <v>4.1900000000000004</v>
      </c>
      <c r="M25" s="924">
        <v>4.18</v>
      </c>
      <c r="N25" s="924">
        <v>4.17</v>
      </c>
    </row>
    <row r="26" spans="1:14" ht="12" customHeight="1">
      <c r="A26" s="141" t="s">
        <v>41</v>
      </c>
      <c r="B26" s="939">
        <v>3.78</v>
      </c>
      <c r="C26" s="924">
        <v>3.81</v>
      </c>
      <c r="D26" s="924">
        <v>3.76</v>
      </c>
      <c r="E26" s="924">
        <v>3.77</v>
      </c>
      <c r="F26" s="924">
        <v>3.8</v>
      </c>
      <c r="G26" s="924">
        <v>3.81</v>
      </c>
      <c r="H26" s="924">
        <v>3.81</v>
      </c>
      <c r="I26" s="924">
        <v>3.78</v>
      </c>
      <c r="J26" s="924">
        <v>3.76</v>
      </c>
      <c r="K26" s="924">
        <v>3.76</v>
      </c>
      <c r="L26" s="924">
        <v>3.77</v>
      </c>
      <c r="M26" s="924">
        <v>3.77</v>
      </c>
      <c r="N26" s="924">
        <v>3.76</v>
      </c>
    </row>
    <row r="27" spans="1:14" ht="12" customHeight="1">
      <c r="A27" s="141" t="s">
        <v>111</v>
      </c>
      <c r="B27" s="939">
        <v>3.79</v>
      </c>
      <c r="C27" s="924">
        <v>3.8</v>
      </c>
      <c r="D27" s="924">
        <v>3.78</v>
      </c>
      <c r="E27" s="924">
        <v>3.79</v>
      </c>
      <c r="F27" s="924">
        <v>3.82</v>
      </c>
      <c r="G27" s="924">
        <v>3.82</v>
      </c>
      <c r="H27" s="924">
        <v>3.82</v>
      </c>
      <c r="I27" s="924">
        <v>3.79</v>
      </c>
      <c r="J27" s="924">
        <v>3.78</v>
      </c>
      <c r="K27" s="924">
        <v>3.78</v>
      </c>
      <c r="L27" s="924">
        <v>3.78</v>
      </c>
      <c r="M27" s="924">
        <v>3.77</v>
      </c>
      <c r="N27" s="924">
        <v>3.76</v>
      </c>
    </row>
    <row r="28" spans="1:14" ht="12" customHeight="1">
      <c r="A28" s="141" t="s">
        <v>112</v>
      </c>
      <c r="B28" s="939">
        <v>3.77</v>
      </c>
      <c r="C28" s="924">
        <v>3.82</v>
      </c>
      <c r="D28" s="924">
        <v>3.75</v>
      </c>
      <c r="E28" s="924">
        <v>3.76</v>
      </c>
      <c r="F28" s="924">
        <v>3.79</v>
      </c>
      <c r="G28" s="924">
        <v>3.8</v>
      </c>
      <c r="H28" s="924">
        <v>3.8</v>
      </c>
      <c r="I28" s="924">
        <v>3.77</v>
      </c>
      <c r="J28" s="924">
        <v>3.75</v>
      </c>
      <c r="K28" s="924">
        <v>3.75</v>
      </c>
      <c r="L28" s="924">
        <v>3.76</v>
      </c>
      <c r="M28" s="924">
        <v>3.75</v>
      </c>
      <c r="N28" s="924">
        <v>3.75</v>
      </c>
    </row>
    <row r="29" spans="1:14" ht="12" customHeight="1">
      <c r="A29" s="141" t="s">
        <v>44</v>
      </c>
      <c r="B29" s="939">
        <v>3.96</v>
      </c>
      <c r="C29" s="924">
        <v>4</v>
      </c>
      <c r="D29" s="924">
        <v>3.98</v>
      </c>
      <c r="E29" s="924">
        <v>4</v>
      </c>
      <c r="F29" s="924">
        <v>3.99</v>
      </c>
      <c r="G29" s="924">
        <v>3.98</v>
      </c>
      <c r="H29" s="924">
        <v>3.96</v>
      </c>
      <c r="I29" s="924">
        <v>3.94</v>
      </c>
      <c r="J29" s="924">
        <v>3.94</v>
      </c>
      <c r="K29" s="924">
        <v>3.93</v>
      </c>
      <c r="L29" s="924">
        <v>3.93</v>
      </c>
      <c r="M29" s="924">
        <v>3.93</v>
      </c>
      <c r="N29" s="924">
        <v>3.94</v>
      </c>
    </row>
    <row r="30" spans="1:14" ht="12" customHeight="1">
      <c r="A30" s="184" t="s">
        <v>141</v>
      </c>
      <c r="B30" s="939">
        <v>4.6100000000000003</v>
      </c>
      <c r="C30" s="924">
        <v>4.62</v>
      </c>
      <c r="D30" s="924">
        <v>4.63</v>
      </c>
      <c r="E30" s="924">
        <v>4.62</v>
      </c>
      <c r="F30" s="924">
        <v>4.63</v>
      </c>
      <c r="G30" s="924">
        <v>4.62</v>
      </c>
      <c r="H30" s="924">
        <v>4.5999999999999996</v>
      </c>
      <c r="I30" s="924">
        <v>4.6100000000000003</v>
      </c>
      <c r="J30" s="924">
        <v>4.59</v>
      </c>
      <c r="K30" s="924">
        <v>4.5999999999999996</v>
      </c>
      <c r="L30" s="924">
        <v>4.58</v>
      </c>
      <c r="M30" s="924">
        <v>4.59</v>
      </c>
      <c r="N30" s="924">
        <v>4.58</v>
      </c>
    </row>
    <row r="31" spans="1:14" ht="12" customHeight="1">
      <c r="A31" s="141" t="s">
        <v>46</v>
      </c>
      <c r="B31" s="939">
        <v>0</v>
      </c>
      <c r="C31" s="924">
        <v>0</v>
      </c>
      <c r="D31" s="924">
        <v>0</v>
      </c>
      <c r="E31" s="924">
        <v>0</v>
      </c>
      <c r="F31" s="924">
        <v>0</v>
      </c>
      <c r="G31" s="924">
        <v>0</v>
      </c>
      <c r="H31" s="924">
        <v>0</v>
      </c>
      <c r="I31" s="924">
        <v>0</v>
      </c>
      <c r="J31" s="924">
        <v>0</v>
      </c>
      <c r="K31" s="924">
        <v>0</v>
      </c>
      <c r="L31" s="924">
        <v>0</v>
      </c>
      <c r="M31" s="924">
        <v>0</v>
      </c>
      <c r="N31" s="924">
        <v>0</v>
      </c>
    </row>
    <row r="32" spans="1:14" ht="12" customHeight="1">
      <c r="A32" s="141" t="s">
        <v>47</v>
      </c>
      <c r="B32" s="939">
        <v>0</v>
      </c>
      <c r="C32" s="924">
        <v>0</v>
      </c>
      <c r="D32" s="924">
        <v>0</v>
      </c>
      <c r="E32" s="924">
        <v>0</v>
      </c>
      <c r="F32" s="924">
        <v>0</v>
      </c>
      <c r="G32" s="924">
        <v>0</v>
      </c>
      <c r="H32" s="924">
        <v>0</v>
      </c>
      <c r="I32" s="924">
        <v>0</v>
      </c>
      <c r="J32" s="924">
        <v>0</v>
      </c>
      <c r="K32" s="924">
        <v>0</v>
      </c>
      <c r="L32" s="924">
        <v>0</v>
      </c>
      <c r="M32" s="924">
        <v>0</v>
      </c>
      <c r="N32" s="924">
        <v>0</v>
      </c>
    </row>
    <row r="33" spans="1:14" ht="12" customHeight="1">
      <c r="A33" s="141" t="s">
        <v>48</v>
      </c>
      <c r="B33" s="939">
        <v>0</v>
      </c>
      <c r="C33" s="924">
        <v>0</v>
      </c>
      <c r="D33" s="924">
        <v>0</v>
      </c>
      <c r="E33" s="924">
        <v>0</v>
      </c>
      <c r="F33" s="924">
        <v>0</v>
      </c>
      <c r="G33" s="924">
        <v>0</v>
      </c>
      <c r="H33" s="924">
        <v>0</v>
      </c>
      <c r="I33" s="924">
        <v>0</v>
      </c>
      <c r="J33" s="924">
        <v>0</v>
      </c>
      <c r="K33" s="924">
        <v>0</v>
      </c>
      <c r="L33" s="924">
        <v>0</v>
      </c>
      <c r="M33" s="924">
        <v>0</v>
      </c>
      <c r="N33" s="924">
        <v>0</v>
      </c>
    </row>
    <row r="34" spans="1:14" ht="12" customHeight="1" thickBot="1">
      <c r="A34" s="202" t="s">
        <v>49</v>
      </c>
      <c r="B34" s="940">
        <v>0</v>
      </c>
      <c r="C34" s="925">
        <v>0</v>
      </c>
      <c r="D34" s="925">
        <v>0</v>
      </c>
      <c r="E34" s="925">
        <v>0</v>
      </c>
      <c r="F34" s="925">
        <v>0</v>
      </c>
      <c r="G34" s="925">
        <v>0</v>
      </c>
      <c r="H34" s="925">
        <v>0</v>
      </c>
      <c r="I34" s="925">
        <v>0</v>
      </c>
      <c r="J34" s="925">
        <v>0</v>
      </c>
      <c r="K34" s="925">
        <v>0</v>
      </c>
      <c r="L34" s="925">
        <v>0</v>
      </c>
      <c r="M34" s="925">
        <v>0</v>
      </c>
      <c r="N34" s="925">
        <v>0</v>
      </c>
    </row>
    <row r="35" spans="1:14" ht="10" customHeight="1">
      <c r="A35" s="28" t="s">
        <v>238</v>
      </c>
      <c r="B35" s="935"/>
      <c r="C35" s="936"/>
      <c r="D35" s="936"/>
      <c r="E35" s="936"/>
      <c r="F35" s="936"/>
      <c r="G35" s="936"/>
      <c r="H35" s="936"/>
      <c r="I35" s="936"/>
      <c r="J35" s="936"/>
      <c r="K35" s="936"/>
      <c r="L35" s="936"/>
      <c r="M35" s="936"/>
      <c r="N35" s="936"/>
    </row>
    <row r="36" spans="1:14" ht="10" customHeight="1">
      <c r="A36" s="28" t="s">
        <v>192</v>
      </c>
      <c r="B36" s="936"/>
      <c r="C36" s="936"/>
      <c r="D36" s="936"/>
      <c r="E36" s="936"/>
      <c r="F36" s="936"/>
      <c r="G36" s="936"/>
      <c r="H36" s="936"/>
      <c r="I36" s="936"/>
      <c r="J36" s="936"/>
      <c r="K36" s="936"/>
      <c r="L36" s="936"/>
      <c r="M36" s="936"/>
      <c r="N36" s="936"/>
    </row>
    <row r="37" spans="1:14" ht="10" customHeight="1">
      <c r="A37" s="40" t="s">
        <v>261</v>
      </c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</row>
    <row r="38" spans="1:14" ht="13" customHeight="1">
      <c r="A38" s="31"/>
    </row>
    <row r="39" spans="1:14" ht="13" customHeight="1">
      <c r="A39" s="31"/>
    </row>
  </sheetData>
  <printOptions horizontalCentered="1" verticalCentered="1" gridLinesSet="0"/>
  <pageMargins left="0" right="0" top="0" bottom="0" header="0" footer="0"/>
  <pageSetup paperSize="9" orientation="landscape" horizontalDpi="180" verticalDpi="180"/>
  <headerFooter scaleWithDoc="0"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Hoja109">
    <tabColor theme="9" tint="0.59999389629810485"/>
  </sheetPr>
  <dimension ref="A1:N39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141" customWidth="1"/>
    <col min="2" max="14" width="8.3984375" style="141" customWidth="1"/>
    <col min="15" max="16384" width="7" style="141"/>
  </cols>
  <sheetData>
    <row r="1" spans="1:14" ht="17" customHeight="1">
      <c r="A1" s="943" t="s">
        <v>528</v>
      </c>
      <c r="B1" s="943"/>
      <c r="C1" s="944"/>
      <c r="D1" s="944"/>
      <c r="E1" s="944"/>
      <c r="F1" s="944"/>
      <c r="G1" s="944"/>
      <c r="H1" s="944"/>
      <c r="I1" s="944"/>
      <c r="J1" s="944"/>
      <c r="K1" s="944"/>
      <c r="L1" s="944"/>
      <c r="M1" s="944"/>
      <c r="N1" s="944"/>
    </row>
    <row r="2" spans="1:14" ht="13" customHeight="1">
      <c r="A2" s="927" t="s">
        <v>593</v>
      </c>
      <c r="B2" s="508"/>
      <c r="C2" s="189"/>
      <c r="D2" s="189"/>
      <c r="E2" s="189"/>
      <c r="F2" s="189"/>
      <c r="G2" s="193"/>
      <c r="H2" s="192"/>
      <c r="I2" s="189"/>
      <c r="J2" s="189"/>
      <c r="K2" s="189"/>
      <c r="L2" s="189"/>
      <c r="M2" s="189"/>
      <c r="N2" s="189"/>
    </row>
    <row r="3" spans="1:14" ht="4" customHeight="1" thickBot="1">
      <c r="A3" s="192"/>
      <c r="B3" s="189"/>
      <c r="C3" s="189"/>
      <c r="D3" s="189"/>
      <c r="E3" s="189"/>
      <c r="F3" s="189"/>
      <c r="G3" s="193"/>
      <c r="H3" s="192"/>
      <c r="I3" s="189"/>
      <c r="J3" s="189"/>
      <c r="K3" s="189"/>
      <c r="L3" s="189"/>
      <c r="M3" s="189"/>
      <c r="N3" s="189"/>
    </row>
    <row r="4" spans="1:14" ht="15" customHeight="1">
      <c r="A4" s="525" t="s">
        <v>18</v>
      </c>
      <c r="B4" s="934" t="s">
        <v>56</v>
      </c>
      <c r="C4" s="934" t="s">
        <v>57</v>
      </c>
      <c r="D4" s="934" t="s">
        <v>58</v>
      </c>
      <c r="E4" s="934" t="s">
        <v>59</v>
      </c>
      <c r="F4" s="934" t="s">
        <v>60</v>
      </c>
      <c r="G4" s="934" t="s">
        <v>61</v>
      </c>
      <c r="H4" s="934" t="s">
        <v>62</v>
      </c>
      <c r="I4" s="934" t="s">
        <v>63</v>
      </c>
      <c r="J4" s="934" t="s">
        <v>64</v>
      </c>
      <c r="K4" s="934" t="s">
        <v>65</v>
      </c>
      <c r="L4" s="934" t="s">
        <v>66</v>
      </c>
      <c r="M4" s="934" t="s">
        <v>67</v>
      </c>
      <c r="N4" s="934" t="s">
        <v>68</v>
      </c>
    </row>
    <row r="5" spans="1:14" ht="15" customHeight="1">
      <c r="A5" s="929" t="s">
        <v>114</v>
      </c>
      <c r="B5" s="930">
        <v>4.1399999999999997</v>
      </c>
      <c r="C5" s="930">
        <v>4.0599999999999996</v>
      </c>
      <c r="D5" s="930">
        <v>4.08</v>
      </c>
      <c r="E5" s="930">
        <v>4.0999999999999996</v>
      </c>
      <c r="F5" s="930">
        <v>4.12</v>
      </c>
      <c r="G5" s="930">
        <v>4.1500000000000004</v>
      </c>
      <c r="H5" s="930">
        <v>4.17</v>
      </c>
      <c r="I5" s="930">
        <v>4.21</v>
      </c>
      <c r="J5" s="930">
        <v>4.1900000000000004</v>
      </c>
      <c r="K5" s="930">
        <v>4.17</v>
      </c>
      <c r="L5" s="930">
        <v>4.16</v>
      </c>
      <c r="M5" s="930">
        <v>4.1500000000000004</v>
      </c>
      <c r="N5" s="930">
        <v>4.13</v>
      </c>
    </row>
    <row r="6" spans="1:14" ht="12" customHeight="1">
      <c r="A6" s="141" t="s">
        <v>21</v>
      </c>
      <c r="B6" s="939">
        <v>4.13</v>
      </c>
      <c r="C6" s="924">
        <v>4.01</v>
      </c>
      <c r="D6" s="924">
        <v>4.05</v>
      </c>
      <c r="E6" s="924">
        <v>4.0599999999999996</v>
      </c>
      <c r="F6" s="924">
        <v>4.0999999999999996</v>
      </c>
      <c r="G6" s="924">
        <v>4.13</v>
      </c>
      <c r="H6" s="924">
        <v>4.1500000000000004</v>
      </c>
      <c r="I6" s="924">
        <v>4.18</v>
      </c>
      <c r="J6" s="924">
        <v>4.17</v>
      </c>
      <c r="K6" s="924">
        <v>4.17</v>
      </c>
      <c r="L6" s="924">
        <v>4.17</v>
      </c>
      <c r="M6" s="924">
        <v>4.18</v>
      </c>
      <c r="N6" s="924">
        <v>4.16</v>
      </c>
    </row>
    <row r="7" spans="1:14" ht="12" customHeight="1">
      <c r="A7" s="141" t="s">
        <v>22</v>
      </c>
      <c r="B7" s="939">
        <v>4.1100000000000003</v>
      </c>
      <c r="C7" s="924">
        <v>4.03</v>
      </c>
      <c r="D7" s="924">
        <v>4.0599999999999996</v>
      </c>
      <c r="E7" s="924">
        <v>4.07</v>
      </c>
      <c r="F7" s="924">
        <v>4.09</v>
      </c>
      <c r="G7" s="924">
        <v>4.12</v>
      </c>
      <c r="H7" s="924">
        <v>4.13</v>
      </c>
      <c r="I7" s="924">
        <v>4.1500000000000004</v>
      </c>
      <c r="J7" s="924">
        <v>4.1399999999999997</v>
      </c>
      <c r="K7" s="924">
        <v>4.13</v>
      </c>
      <c r="L7" s="924">
        <v>4.1399999999999997</v>
      </c>
      <c r="M7" s="924">
        <v>4.1500000000000004</v>
      </c>
      <c r="N7" s="924">
        <v>4.1399999999999997</v>
      </c>
    </row>
    <row r="8" spans="1:14" ht="12" customHeight="1">
      <c r="A8" s="141" t="s">
        <v>23</v>
      </c>
      <c r="B8" s="939">
        <v>4.1100000000000003</v>
      </c>
      <c r="C8" s="924">
        <v>4.05</v>
      </c>
      <c r="D8" s="924">
        <v>4.07</v>
      </c>
      <c r="E8" s="924">
        <v>4.08</v>
      </c>
      <c r="F8" s="924">
        <v>4.0999999999999996</v>
      </c>
      <c r="G8" s="924">
        <v>4.12</v>
      </c>
      <c r="H8" s="924">
        <v>4.1399999999999997</v>
      </c>
      <c r="I8" s="924">
        <v>4.16</v>
      </c>
      <c r="J8" s="924">
        <v>4.1500000000000004</v>
      </c>
      <c r="K8" s="924">
        <v>4.1399999999999997</v>
      </c>
      <c r="L8" s="924">
        <v>4.12</v>
      </c>
      <c r="M8" s="924">
        <v>4.12</v>
      </c>
      <c r="N8" s="924">
        <v>4.12</v>
      </c>
    </row>
    <row r="9" spans="1:14" ht="12" customHeight="1">
      <c r="A9" s="141" t="s">
        <v>24</v>
      </c>
      <c r="B9" s="939">
        <v>4.1399999999999997</v>
      </c>
      <c r="C9" s="924">
        <v>4.07</v>
      </c>
      <c r="D9" s="924">
        <v>4.09</v>
      </c>
      <c r="E9" s="924">
        <v>4.12</v>
      </c>
      <c r="F9" s="924">
        <v>4.1399999999999997</v>
      </c>
      <c r="G9" s="924">
        <v>4.1500000000000004</v>
      </c>
      <c r="H9" s="924">
        <v>4.16</v>
      </c>
      <c r="I9" s="924">
        <v>4.1900000000000004</v>
      </c>
      <c r="J9" s="924">
        <v>4.17</v>
      </c>
      <c r="K9" s="924">
        <v>4.1500000000000004</v>
      </c>
      <c r="L9" s="924">
        <v>4.1399999999999997</v>
      </c>
      <c r="M9" s="924">
        <v>4.13</v>
      </c>
      <c r="N9" s="924">
        <v>4.12</v>
      </c>
    </row>
    <row r="10" spans="1:14" ht="12" customHeight="1">
      <c r="A10" s="141" t="s">
        <v>25</v>
      </c>
      <c r="B10" s="939">
        <v>4.16</v>
      </c>
      <c r="C10" s="924">
        <v>4.1100000000000003</v>
      </c>
      <c r="D10" s="924">
        <v>4.1399999999999997</v>
      </c>
      <c r="E10" s="924">
        <v>4.1500000000000004</v>
      </c>
      <c r="F10" s="924">
        <v>4.1500000000000004</v>
      </c>
      <c r="G10" s="924">
        <v>4.16</v>
      </c>
      <c r="H10" s="924">
        <v>4.16</v>
      </c>
      <c r="I10" s="924">
        <v>4.17</v>
      </c>
      <c r="J10" s="924">
        <v>4.17</v>
      </c>
      <c r="K10" s="924">
        <v>4.17</v>
      </c>
      <c r="L10" s="924">
        <v>4.17</v>
      </c>
      <c r="M10" s="924">
        <v>4.17</v>
      </c>
      <c r="N10" s="924">
        <v>4.1900000000000004</v>
      </c>
    </row>
    <row r="11" spans="1:14" ht="12" customHeight="1">
      <c r="A11" s="141" t="s">
        <v>107</v>
      </c>
      <c r="B11" s="939">
        <v>4.1500000000000004</v>
      </c>
      <c r="C11" s="924">
        <v>4.0999999999999996</v>
      </c>
      <c r="D11" s="924">
        <v>4.12</v>
      </c>
      <c r="E11" s="924">
        <v>4.1399999999999997</v>
      </c>
      <c r="F11" s="924">
        <v>4.1500000000000004</v>
      </c>
      <c r="G11" s="924">
        <v>4.16</v>
      </c>
      <c r="H11" s="924">
        <v>4.1500000000000004</v>
      </c>
      <c r="I11" s="924">
        <v>4.16</v>
      </c>
      <c r="J11" s="924">
        <v>4.16</v>
      </c>
      <c r="K11" s="924">
        <v>4.16</v>
      </c>
      <c r="L11" s="924">
        <v>4.1500000000000004</v>
      </c>
      <c r="M11" s="924">
        <v>4.16</v>
      </c>
      <c r="N11" s="924">
        <v>4.18</v>
      </c>
    </row>
    <row r="12" spans="1:14" ht="12" customHeight="1">
      <c r="A12" s="141" t="s">
        <v>108</v>
      </c>
      <c r="B12" s="939">
        <v>4.17</v>
      </c>
      <c r="C12" s="924">
        <v>4.12</v>
      </c>
      <c r="D12" s="924">
        <v>4.1500000000000004</v>
      </c>
      <c r="E12" s="924">
        <v>4.1500000000000004</v>
      </c>
      <c r="F12" s="924">
        <v>4.1500000000000004</v>
      </c>
      <c r="G12" s="924">
        <v>4.16</v>
      </c>
      <c r="H12" s="924">
        <v>4.16</v>
      </c>
      <c r="I12" s="924">
        <v>4.17</v>
      </c>
      <c r="J12" s="924">
        <v>4.17</v>
      </c>
      <c r="K12" s="924">
        <v>4.18</v>
      </c>
      <c r="L12" s="924">
        <v>4.1900000000000004</v>
      </c>
      <c r="M12" s="924">
        <v>4.1900000000000004</v>
      </c>
      <c r="N12" s="924">
        <v>4.21</v>
      </c>
    </row>
    <row r="13" spans="1:14" ht="12" customHeight="1">
      <c r="A13" s="141" t="s">
        <v>139</v>
      </c>
      <c r="B13" s="939">
        <v>4.18</v>
      </c>
      <c r="C13" s="924">
        <v>4.1500000000000004</v>
      </c>
      <c r="D13" s="924">
        <v>4.17</v>
      </c>
      <c r="E13" s="924">
        <v>4.18</v>
      </c>
      <c r="F13" s="924">
        <v>4.18</v>
      </c>
      <c r="G13" s="924">
        <v>4.18</v>
      </c>
      <c r="H13" s="924">
        <v>4.1900000000000004</v>
      </c>
      <c r="I13" s="924">
        <v>4.21</v>
      </c>
      <c r="J13" s="924">
        <v>4.2</v>
      </c>
      <c r="K13" s="924">
        <v>4.1900000000000004</v>
      </c>
      <c r="L13" s="924">
        <v>4.2</v>
      </c>
      <c r="M13" s="924">
        <v>4.18</v>
      </c>
      <c r="N13" s="924">
        <v>4.17</v>
      </c>
    </row>
    <row r="14" spans="1:14" ht="12" customHeight="1">
      <c r="A14" s="141" t="s">
        <v>29</v>
      </c>
      <c r="B14" s="939">
        <v>4.1100000000000003</v>
      </c>
      <c r="C14" s="924">
        <v>4.0199999999999996</v>
      </c>
      <c r="D14" s="924">
        <v>4.07</v>
      </c>
      <c r="E14" s="924">
        <v>4.09</v>
      </c>
      <c r="F14" s="924">
        <v>4.0999999999999996</v>
      </c>
      <c r="G14" s="924">
        <v>4.12</v>
      </c>
      <c r="H14" s="924">
        <v>4.12</v>
      </c>
      <c r="I14" s="924">
        <v>4.1500000000000004</v>
      </c>
      <c r="J14" s="924">
        <v>4.1500000000000004</v>
      </c>
      <c r="K14" s="924">
        <v>4.1500000000000004</v>
      </c>
      <c r="L14" s="924">
        <v>4.16</v>
      </c>
      <c r="M14" s="924">
        <v>4.1500000000000004</v>
      </c>
      <c r="N14" s="924">
        <v>4.18</v>
      </c>
    </row>
    <row r="15" spans="1:14" ht="12" customHeight="1">
      <c r="A15" s="141" t="s">
        <v>30</v>
      </c>
      <c r="B15" s="939">
        <v>4.13</v>
      </c>
      <c r="C15" s="924">
        <v>4.03</v>
      </c>
      <c r="D15" s="924">
        <v>4.08</v>
      </c>
      <c r="E15" s="924">
        <v>4.0999999999999996</v>
      </c>
      <c r="F15" s="924">
        <v>4.1100000000000003</v>
      </c>
      <c r="G15" s="924">
        <v>4.13</v>
      </c>
      <c r="H15" s="924">
        <v>4.1500000000000004</v>
      </c>
      <c r="I15" s="924">
        <v>4.18</v>
      </c>
      <c r="J15" s="924">
        <v>4.16</v>
      </c>
      <c r="K15" s="924">
        <v>4.1500000000000004</v>
      </c>
      <c r="L15" s="924">
        <v>4.16</v>
      </c>
      <c r="M15" s="924">
        <v>4.1500000000000004</v>
      </c>
      <c r="N15" s="924">
        <v>4.1399999999999997</v>
      </c>
    </row>
    <row r="16" spans="1:14" ht="12" customHeight="1">
      <c r="A16" s="141" t="s">
        <v>31</v>
      </c>
      <c r="B16" s="939">
        <v>4.13</v>
      </c>
      <c r="C16" s="924">
        <v>4.05</v>
      </c>
      <c r="D16" s="924">
        <v>4.09</v>
      </c>
      <c r="E16" s="924">
        <v>4.1100000000000003</v>
      </c>
      <c r="F16" s="924">
        <v>4.13</v>
      </c>
      <c r="G16" s="924">
        <v>4.1399999999999997</v>
      </c>
      <c r="H16" s="924">
        <v>4.16</v>
      </c>
      <c r="I16" s="924">
        <v>4.21</v>
      </c>
      <c r="J16" s="924">
        <v>4.18</v>
      </c>
      <c r="K16" s="924">
        <v>4.16</v>
      </c>
      <c r="L16" s="924">
        <v>4.1399999999999997</v>
      </c>
      <c r="M16" s="924">
        <v>4.12</v>
      </c>
      <c r="N16" s="924">
        <v>4.0999999999999996</v>
      </c>
    </row>
    <row r="17" spans="1:14" ht="12" customHeight="1">
      <c r="A17" s="141" t="s">
        <v>32</v>
      </c>
      <c r="B17" s="939">
        <v>4.13</v>
      </c>
      <c r="C17" s="924">
        <v>4.05</v>
      </c>
      <c r="D17" s="924">
        <v>4.0599999999999996</v>
      </c>
      <c r="E17" s="924">
        <v>4.08</v>
      </c>
      <c r="F17" s="924">
        <v>4.0999999999999996</v>
      </c>
      <c r="G17" s="924">
        <v>4.13</v>
      </c>
      <c r="H17" s="924">
        <v>4.16</v>
      </c>
      <c r="I17" s="924">
        <v>4.21</v>
      </c>
      <c r="J17" s="924">
        <v>4.2</v>
      </c>
      <c r="K17" s="924">
        <v>4.18</v>
      </c>
      <c r="L17" s="924">
        <v>4.17</v>
      </c>
      <c r="M17" s="924">
        <v>4.1500000000000004</v>
      </c>
      <c r="N17" s="924">
        <v>4.12</v>
      </c>
    </row>
    <row r="18" spans="1:14" ht="12" customHeight="1">
      <c r="A18" s="141" t="s">
        <v>33</v>
      </c>
      <c r="B18" s="939">
        <v>4.21</v>
      </c>
      <c r="C18" s="924">
        <v>4.1399999999999997</v>
      </c>
      <c r="D18" s="924">
        <v>4.17</v>
      </c>
      <c r="E18" s="924">
        <v>4.17</v>
      </c>
      <c r="F18" s="924">
        <v>4.1900000000000004</v>
      </c>
      <c r="G18" s="924">
        <v>4.21</v>
      </c>
      <c r="H18" s="924">
        <v>4.21</v>
      </c>
      <c r="I18" s="924">
        <v>4.24</v>
      </c>
      <c r="J18" s="924">
        <v>4.24</v>
      </c>
      <c r="K18" s="924">
        <v>4.24</v>
      </c>
      <c r="L18" s="924">
        <v>4.25</v>
      </c>
      <c r="M18" s="924">
        <v>4.24</v>
      </c>
      <c r="N18" s="924">
        <v>4.24</v>
      </c>
    </row>
    <row r="19" spans="1:14" ht="12" customHeight="1">
      <c r="A19" s="141" t="s">
        <v>34</v>
      </c>
      <c r="B19" s="939">
        <v>4.21</v>
      </c>
      <c r="C19" s="924">
        <v>4.0999999999999996</v>
      </c>
      <c r="D19" s="924">
        <v>4.17</v>
      </c>
      <c r="E19" s="924">
        <v>4.17</v>
      </c>
      <c r="F19" s="924">
        <v>4.18</v>
      </c>
      <c r="G19" s="924">
        <v>4.2</v>
      </c>
      <c r="H19" s="924">
        <v>4.2</v>
      </c>
      <c r="I19" s="924">
        <v>4.24</v>
      </c>
      <c r="J19" s="924">
        <v>4.24</v>
      </c>
      <c r="K19" s="924">
        <v>4.24</v>
      </c>
      <c r="L19" s="924">
        <v>4.24</v>
      </c>
      <c r="M19" s="924">
        <v>4.25</v>
      </c>
      <c r="N19" s="924">
        <v>4.2699999999999996</v>
      </c>
    </row>
    <row r="20" spans="1:14" ht="12" customHeight="1">
      <c r="A20" s="141" t="s">
        <v>35</v>
      </c>
      <c r="B20" s="939">
        <v>4.38</v>
      </c>
      <c r="C20" s="924">
        <v>4.16</v>
      </c>
      <c r="D20" s="924">
        <v>4.18</v>
      </c>
      <c r="E20" s="924">
        <v>4.1900000000000004</v>
      </c>
      <c r="F20" s="924">
        <v>4.21</v>
      </c>
      <c r="G20" s="924">
        <v>4.2300000000000004</v>
      </c>
      <c r="H20" s="924">
        <v>4.24</v>
      </c>
      <c r="I20" s="924">
        <v>4.25</v>
      </c>
      <c r="J20" s="924">
        <v>4.25</v>
      </c>
      <c r="K20" s="924">
        <v>4.24</v>
      </c>
      <c r="L20" s="924">
        <v>4.25</v>
      </c>
      <c r="M20" s="924">
        <v>5.24</v>
      </c>
      <c r="N20" s="924">
        <v>5.23</v>
      </c>
    </row>
    <row r="21" spans="1:14" ht="12" customHeight="1">
      <c r="A21" s="141" t="s">
        <v>36</v>
      </c>
      <c r="B21" s="939">
        <v>4.1500000000000004</v>
      </c>
      <c r="C21" s="924">
        <v>4.03</v>
      </c>
      <c r="D21" s="924">
        <v>4.12</v>
      </c>
      <c r="E21" s="924">
        <v>4.13</v>
      </c>
      <c r="F21" s="924">
        <v>4.13</v>
      </c>
      <c r="G21" s="924">
        <v>4.1500000000000004</v>
      </c>
      <c r="H21" s="924">
        <v>4.1500000000000004</v>
      </c>
      <c r="I21" s="924">
        <v>4.16</v>
      </c>
      <c r="J21" s="924">
        <v>4.16</v>
      </c>
      <c r="K21" s="924">
        <v>4.17</v>
      </c>
      <c r="L21" s="924">
        <v>4.18</v>
      </c>
      <c r="M21" s="924">
        <v>4.18</v>
      </c>
      <c r="N21" s="924">
        <v>4.2</v>
      </c>
    </row>
    <row r="22" spans="1:14" ht="12" customHeight="1">
      <c r="A22" s="141" t="s">
        <v>37</v>
      </c>
      <c r="B22" s="939">
        <v>4.16</v>
      </c>
      <c r="C22" s="924">
        <v>4.07</v>
      </c>
      <c r="D22" s="924">
        <v>4.09</v>
      </c>
      <c r="E22" s="924">
        <v>4.0999999999999996</v>
      </c>
      <c r="F22" s="924">
        <v>4.13</v>
      </c>
      <c r="G22" s="924">
        <v>4.16</v>
      </c>
      <c r="H22" s="924">
        <v>4.18</v>
      </c>
      <c r="I22" s="924">
        <v>4.22</v>
      </c>
      <c r="J22" s="924">
        <v>4.2</v>
      </c>
      <c r="K22" s="924">
        <v>4.18</v>
      </c>
      <c r="L22" s="924">
        <v>4.2</v>
      </c>
      <c r="M22" s="924">
        <v>4.1900000000000004</v>
      </c>
      <c r="N22" s="924">
        <v>4.1900000000000004</v>
      </c>
    </row>
    <row r="23" spans="1:14" ht="12" customHeight="1">
      <c r="A23" s="141" t="s">
        <v>38</v>
      </c>
      <c r="B23" s="939">
        <v>4.0999999999999996</v>
      </c>
      <c r="C23" s="924">
        <v>4.04</v>
      </c>
      <c r="D23" s="924">
        <v>4.0599999999999996</v>
      </c>
      <c r="E23" s="924">
        <v>4.07</v>
      </c>
      <c r="F23" s="924">
        <v>4.08</v>
      </c>
      <c r="G23" s="924">
        <v>4.0999999999999996</v>
      </c>
      <c r="H23" s="924">
        <v>4.1100000000000003</v>
      </c>
      <c r="I23" s="924">
        <v>4.1399999999999997</v>
      </c>
      <c r="J23" s="924">
        <v>4.13</v>
      </c>
      <c r="K23" s="924">
        <v>4.12</v>
      </c>
      <c r="L23" s="924">
        <v>4.13</v>
      </c>
      <c r="M23" s="924">
        <v>4.12</v>
      </c>
      <c r="N23" s="924">
        <v>4.12</v>
      </c>
    </row>
    <row r="24" spans="1:14" ht="12" customHeight="1">
      <c r="A24" s="141" t="s">
        <v>39</v>
      </c>
      <c r="B24" s="939">
        <v>4.12</v>
      </c>
      <c r="C24" s="924">
        <v>4.0599999999999996</v>
      </c>
      <c r="D24" s="924">
        <v>4.08</v>
      </c>
      <c r="E24" s="924">
        <v>4.08</v>
      </c>
      <c r="F24" s="924">
        <v>4.0999999999999996</v>
      </c>
      <c r="G24" s="924">
        <v>4.12</v>
      </c>
      <c r="H24" s="924">
        <v>4.13</v>
      </c>
      <c r="I24" s="924">
        <v>4.1500000000000004</v>
      </c>
      <c r="J24" s="924">
        <v>4.1399999999999997</v>
      </c>
      <c r="K24" s="924">
        <v>4.13</v>
      </c>
      <c r="L24" s="924">
        <v>4.1500000000000004</v>
      </c>
      <c r="M24" s="924">
        <v>4.1399999999999997</v>
      </c>
      <c r="N24" s="924">
        <v>4.13</v>
      </c>
    </row>
    <row r="25" spans="1:14" ht="12" customHeight="1">
      <c r="A25" s="141" t="s">
        <v>40</v>
      </c>
      <c r="B25" s="939">
        <v>4.18</v>
      </c>
      <c r="C25" s="924">
        <v>4.1500000000000004</v>
      </c>
      <c r="D25" s="924">
        <v>4.16</v>
      </c>
      <c r="E25" s="924">
        <v>4.1500000000000004</v>
      </c>
      <c r="F25" s="924">
        <v>4.1500000000000004</v>
      </c>
      <c r="G25" s="924">
        <v>4.16</v>
      </c>
      <c r="H25" s="924">
        <v>4.16</v>
      </c>
      <c r="I25" s="924">
        <v>4.1900000000000004</v>
      </c>
      <c r="J25" s="924">
        <v>4.1900000000000004</v>
      </c>
      <c r="K25" s="924">
        <v>4.1900000000000004</v>
      </c>
      <c r="L25" s="924">
        <v>4.22</v>
      </c>
      <c r="M25" s="924">
        <v>4.2300000000000004</v>
      </c>
      <c r="N25" s="924">
        <v>4.24</v>
      </c>
    </row>
    <row r="26" spans="1:14" ht="12" customHeight="1">
      <c r="A26" s="141" t="s">
        <v>41</v>
      </c>
      <c r="B26" s="939">
        <v>4.16</v>
      </c>
      <c r="C26" s="924">
        <v>4.0599999999999996</v>
      </c>
      <c r="D26" s="924">
        <v>4.13</v>
      </c>
      <c r="E26" s="924">
        <v>4.1399999999999997</v>
      </c>
      <c r="F26" s="924">
        <v>4.1399999999999997</v>
      </c>
      <c r="G26" s="924">
        <v>4.16</v>
      </c>
      <c r="H26" s="924">
        <v>4.16</v>
      </c>
      <c r="I26" s="924">
        <v>4.1900000000000004</v>
      </c>
      <c r="J26" s="924">
        <v>4.1900000000000004</v>
      </c>
      <c r="K26" s="924">
        <v>4.1900000000000004</v>
      </c>
      <c r="L26" s="924">
        <v>4.18</v>
      </c>
      <c r="M26" s="924">
        <v>4.18</v>
      </c>
      <c r="N26" s="924">
        <v>4.2</v>
      </c>
    </row>
    <row r="27" spans="1:14" ht="12" customHeight="1">
      <c r="A27" s="141" t="s">
        <v>111</v>
      </c>
      <c r="B27" s="939">
        <v>4.1500000000000004</v>
      </c>
      <c r="C27" s="924">
        <v>4.05</v>
      </c>
      <c r="D27" s="924">
        <v>4.12</v>
      </c>
      <c r="E27" s="924">
        <v>4.13</v>
      </c>
      <c r="F27" s="924">
        <v>4.1399999999999997</v>
      </c>
      <c r="G27" s="924">
        <v>4.16</v>
      </c>
      <c r="H27" s="924">
        <v>4.16</v>
      </c>
      <c r="I27" s="924">
        <v>4.1900000000000004</v>
      </c>
      <c r="J27" s="924">
        <v>4.18</v>
      </c>
      <c r="K27" s="924">
        <v>4.18</v>
      </c>
      <c r="L27" s="924">
        <v>4.18</v>
      </c>
      <c r="M27" s="924">
        <v>4.18</v>
      </c>
      <c r="N27" s="924">
        <v>4.2</v>
      </c>
    </row>
    <row r="28" spans="1:14" ht="12" customHeight="1">
      <c r="A28" s="141" t="s">
        <v>112</v>
      </c>
      <c r="B28" s="939">
        <v>4.17</v>
      </c>
      <c r="C28" s="924">
        <v>4.07</v>
      </c>
      <c r="D28" s="924">
        <v>4.1399999999999997</v>
      </c>
      <c r="E28" s="924">
        <v>4.1500000000000004</v>
      </c>
      <c r="F28" s="924">
        <v>4.1500000000000004</v>
      </c>
      <c r="G28" s="924">
        <v>4.17</v>
      </c>
      <c r="H28" s="924">
        <v>4.17</v>
      </c>
      <c r="I28" s="924">
        <v>4.2</v>
      </c>
      <c r="J28" s="924">
        <v>4.2</v>
      </c>
      <c r="K28" s="924">
        <v>4.2</v>
      </c>
      <c r="L28" s="924">
        <v>4.1900000000000004</v>
      </c>
      <c r="M28" s="924">
        <v>4.18</v>
      </c>
      <c r="N28" s="924">
        <v>4.2</v>
      </c>
    </row>
    <row r="29" spans="1:14" ht="12" customHeight="1">
      <c r="A29" s="141" t="s">
        <v>44</v>
      </c>
      <c r="B29" s="939">
        <v>4.21</v>
      </c>
      <c r="C29" s="924">
        <v>4.0999999999999996</v>
      </c>
      <c r="D29" s="924">
        <v>4.17</v>
      </c>
      <c r="E29" s="924">
        <v>4.18</v>
      </c>
      <c r="F29" s="924">
        <v>4.1900000000000004</v>
      </c>
      <c r="G29" s="924">
        <v>4.22</v>
      </c>
      <c r="H29" s="924">
        <v>4.2300000000000004</v>
      </c>
      <c r="I29" s="924">
        <v>4.25</v>
      </c>
      <c r="J29" s="924">
        <v>4.2300000000000004</v>
      </c>
      <c r="K29" s="924">
        <v>4.2300000000000004</v>
      </c>
      <c r="L29" s="924">
        <v>4.22</v>
      </c>
      <c r="M29" s="924">
        <v>4.22</v>
      </c>
      <c r="N29" s="924">
        <v>4.25</v>
      </c>
    </row>
    <row r="30" spans="1:14" ht="12" customHeight="1">
      <c r="A30" s="141" t="s">
        <v>45</v>
      </c>
      <c r="B30" s="939">
        <v>4.2300000000000004</v>
      </c>
      <c r="C30" s="924">
        <v>4.09</v>
      </c>
      <c r="D30" s="924">
        <v>4.1399999999999997</v>
      </c>
      <c r="E30" s="924">
        <v>4.1500000000000004</v>
      </c>
      <c r="F30" s="924">
        <v>4.1500000000000004</v>
      </c>
      <c r="G30" s="924">
        <v>4.21</v>
      </c>
      <c r="H30" s="924">
        <v>4.22</v>
      </c>
      <c r="I30" s="924">
        <v>4.26</v>
      </c>
      <c r="J30" s="924">
        <v>4.28</v>
      </c>
      <c r="K30" s="924">
        <v>4.2699999999999996</v>
      </c>
      <c r="L30" s="924">
        <v>4.26</v>
      </c>
      <c r="M30" s="924">
        <v>4.28</v>
      </c>
      <c r="N30" s="924">
        <v>4.41</v>
      </c>
    </row>
    <row r="31" spans="1:14" ht="12" customHeight="1">
      <c r="A31" s="141" t="s">
        <v>46</v>
      </c>
      <c r="B31" s="939">
        <v>4.26</v>
      </c>
      <c r="C31" s="924">
        <v>4.18</v>
      </c>
      <c r="D31" s="924">
        <v>4.2</v>
      </c>
      <c r="E31" s="924">
        <v>4.22</v>
      </c>
      <c r="F31" s="924">
        <v>4.25</v>
      </c>
      <c r="G31" s="924">
        <v>4.2699999999999996</v>
      </c>
      <c r="H31" s="924">
        <v>4.29</v>
      </c>
      <c r="I31" s="924">
        <v>4.32</v>
      </c>
      <c r="J31" s="924">
        <v>4.29</v>
      </c>
      <c r="K31" s="924">
        <v>4.28</v>
      </c>
      <c r="L31" s="924">
        <v>4.29</v>
      </c>
      <c r="M31" s="924">
        <v>4.28</v>
      </c>
      <c r="N31" s="924">
        <v>4.26</v>
      </c>
    </row>
    <row r="32" spans="1:14" ht="12" customHeight="1">
      <c r="A32" s="141" t="s">
        <v>47</v>
      </c>
      <c r="B32" s="939">
        <v>4.26</v>
      </c>
      <c r="C32" s="924">
        <v>4.2</v>
      </c>
      <c r="D32" s="924">
        <v>4.2300000000000004</v>
      </c>
      <c r="E32" s="924">
        <v>4.22</v>
      </c>
      <c r="F32" s="924">
        <v>4.24</v>
      </c>
      <c r="G32" s="924">
        <v>4.26</v>
      </c>
      <c r="H32" s="924">
        <v>4.28</v>
      </c>
      <c r="I32" s="924">
        <v>4.3099999999999996</v>
      </c>
      <c r="J32" s="924">
        <v>4.29</v>
      </c>
      <c r="K32" s="924">
        <v>4.2699999999999996</v>
      </c>
      <c r="L32" s="924">
        <v>4.2699999999999996</v>
      </c>
      <c r="M32" s="924">
        <v>4.26</v>
      </c>
      <c r="N32" s="924">
        <v>4.25</v>
      </c>
    </row>
    <row r="33" spans="1:14" ht="12" customHeight="1">
      <c r="A33" s="141" t="s">
        <v>48</v>
      </c>
      <c r="B33" s="939">
        <v>4.1900000000000004</v>
      </c>
      <c r="C33" s="924">
        <v>4</v>
      </c>
      <c r="D33" s="924">
        <v>4.1500000000000004</v>
      </c>
      <c r="E33" s="924">
        <v>4.16</v>
      </c>
      <c r="F33" s="924">
        <v>4.18</v>
      </c>
      <c r="G33" s="924">
        <v>4.2</v>
      </c>
      <c r="H33" s="924">
        <v>4.22</v>
      </c>
      <c r="I33" s="924">
        <v>4.25</v>
      </c>
      <c r="J33" s="924">
        <v>4.2300000000000004</v>
      </c>
      <c r="K33" s="924">
        <v>4.22</v>
      </c>
      <c r="L33" s="924">
        <v>4.2300000000000004</v>
      </c>
      <c r="M33" s="924">
        <v>4.2300000000000004</v>
      </c>
      <c r="N33" s="924">
        <v>4.25</v>
      </c>
    </row>
    <row r="34" spans="1:14" ht="12" customHeight="1" thickBot="1">
      <c r="A34" s="202" t="s">
        <v>49</v>
      </c>
      <c r="B34" s="940">
        <v>4.1500000000000004</v>
      </c>
      <c r="C34" s="925">
        <v>4.05</v>
      </c>
      <c r="D34" s="925">
        <v>4.0999999999999996</v>
      </c>
      <c r="E34" s="925">
        <v>4.12</v>
      </c>
      <c r="F34" s="925">
        <v>4.1399999999999997</v>
      </c>
      <c r="G34" s="925">
        <v>4.16</v>
      </c>
      <c r="H34" s="925">
        <v>4.18</v>
      </c>
      <c r="I34" s="925">
        <v>4.2</v>
      </c>
      <c r="J34" s="925">
        <v>4.18</v>
      </c>
      <c r="K34" s="925">
        <v>4.17</v>
      </c>
      <c r="L34" s="925">
        <v>4.16</v>
      </c>
      <c r="M34" s="925">
        <v>4.1500000000000004</v>
      </c>
      <c r="N34" s="925">
        <v>4.1399999999999997</v>
      </c>
    </row>
    <row r="35" spans="1:14" ht="10" customHeight="1">
      <c r="A35" s="28" t="s">
        <v>238</v>
      </c>
      <c r="B35" s="935"/>
      <c r="C35" s="936"/>
      <c r="D35" s="936"/>
      <c r="E35" s="936"/>
      <c r="F35" s="936"/>
      <c r="G35" s="936"/>
      <c r="H35" s="936"/>
      <c r="I35" s="936"/>
      <c r="J35" s="936"/>
      <c r="K35" s="936"/>
      <c r="L35" s="936"/>
      <c r="M35" s="936"/>
      <c r="N35" s="936"/>
    </row>
    <row r="36" spans="1:14" ht="10" customHeight="1">
      <c r="A36" s="28" t="s">
        <v>192</v>
      </c>
      <c r="B36" s="936"/>
      <c r="C36" s="936"/>
      <c r="D36" s="936"/>
      <c r="E36" s="936"/>
      <c r="F36" s="936"/>
      <c r="G36" s="936"/>
      <c r="H36" s="936"/>
      <c r="I36" s="936"/>
      <c r="J36" s="936"/>
      <c r="K36" s="936"/>
      <c r="L36" s="936"/>
      <c r="M36" s="936"/>
      <c r="N36" s="936"/>
    </row>
    <row r="37" spans="1:14" ht="10" customHeight="1">
      <c r="A37" s="40" t="s">
        <v>261</v>
      </c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</row>
    <row r="38" spans="1:14" ht="13" customHeight="1">
      <c r="A38" s="31"/>
    </row>
    <row r="39" spans="1:14" ht="13" customHeight="1">
      <c r="A39" s="31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Hoja110">
    <tabColor theme="9" tint="0.59999389629810485"/>
  </sheetPr>
  <dimension ref="A1:N90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141" customWidth="1"/>
    <col min="2" max="14" width="8.3984375" style="141" customWidth="1"/>
    <col min="15" max="16384" width="7" style="141"/>
  </cols>
  <sheetData>
    <row r="1" spans="1:14" ht="17" customHeight="1">
      <c r="A1" s="943" t="s">
        <v>529</v>
      </c>
      <c r="B1" s="943"/>
      <c r="C1" s="944"/>
      <c r="D1" s="944"/>
      <c r="E1" s="944"/>
      <c r="F1" s="944"/>
      <c r="G1" s="944"/>
      <c r="H1" s="944"/>
      <c r="I1" s="944"/>
      <c r="J1" s="944"/>
      <c r="K1" s="944"/>
      <c r="L1" s="944"/>
      <c r="M1" s="944"/>
      <c r="N1" s="944"/>
    </row>
    <row r="2" spans="1:14" ht="13" customHeight="1">
      <c r="A2" s="927" t="s">
        <v>592</v>
      </c>
      <c r="B2" s="508"/>
      <c r="C2" s="189"/>
      <c r="D2" s="189"/>
      <c r="E2" s="189"/>
      <c r="F2" s="189"/>
      <c r="G2" s="193"/>
      <c r="H2" s="192"/>
      <c r="I2" s="189"/>
      <c r="J2" s="189"/>
      <c r="K2" s="189"/>
      <c r="L2" s="189"/>
      <c r="M2" s="189"/>
      <c r="N2" s="189"/>
    </row>
    <row r="3" spans="1:14" ht="4" customHeight="1" thickBot="1">
      <c r="A3" s="192"/>
      <c r="B3" s="189"/>
      <c r="C3" s="189"/>
      <c r="D3" s="189"/>
      <c r="E3" s="189"/>
      <c r="F3" s="189"/>
      <c r="G3" s="193"/>
      <c r="H3" s="192"/>
      <c r="I3" s="189"/>
      <c r="J3" s="189"/>
      <c r="K3" s="189"/>
      <c r="L3" s="189"/>
      <c r="M3" s="189"/>
      <c r="N3" s="189"/>
    </row>
    <row r="4" spans="1:14" ht="15" customHeight="1">
      <c r="A4" s="525" t="s">
        <v>18</v>
      </c>
      <c r="B4" s="934" t="s">
        <v>56</v>
      </c>
      <c r="C4" s="934" t="s">
        <v>57</v>
      </c>
      <c r="D4" s="934" t="s">
        <v>58</v>
      </c>
      <c r="E4" s="934" t="s">
        <v>59</v>
      </c>
      <c r="F4" s="934" t="s">
        <v>60</v>
      </c>
      <c r="G4" s="934" t="s">
        <v>61</v>
      </c>
      <c r="H4" s="934" t="s">
        <v>62</v>
      </c>
      <c r="I4" s="934" t="s">
        <v>63</v>
      </c>
      <c r="J4" s="934" t="s">
        <v>64</v>
      </c>
      <c r="K4" s="934" t="s">
        <v>65</v>
      </c>
      <c r="L4" s="934" t="s">
        <v>66</v>
      </c>
      <c r="M4" s="934" t="s">
        <v>67</v>
      </c>
      <c r="N4" s="934" t="s">
        <v>68</v>
      </c>
    </row>
    <row r="5" spans="1:14" ht="15" customHeight="1">
      <c r="A5" s="929" t="s">
        <v>114</v>
      </c>
      <c r="B5" s="930">
        <v>1.34</v>
      </c>
      <c r="C5" s="930">
        <v>1.32</v>
      </c>
      <c r="D5" s="930">
        <v>1.32</v>
      </c>
      <c r="E5" s="930">
        <v>1.33</v>
      </c>
      <c r="F5" s="930">
        <v>1.34</v>
      </c>
      <c r="G5" s="930">
        <v>1.35</v>
      </c>
      <c r="H5" s="930">
        <v>1.35</v>
      </c>
      <c r="I5" s="930">
        <v>1.34</v>
      </c>
      <c r="J5" s="930">
        <v>1.34</v>
      </c>
      <c r="K5" s="930">
        <v>1.34</v>
      </c>
      <c r="L5" s="930">
        <v>1.34</v>
      </c>
      <c r="M5" s="930">
        <v>1.34</v>
      </c>
      <c r="N5" s="930">
        <v>1.35</v>
      </c>
    </row>
    <row r="6" spans="1:14" ht="12" customHeight="1">
      <c r="A6" s="141" t="s">
        <v>21</v>
      </c>
      <c r="B6" s="939">
        <v>2</v>
      </c>
      <c r="C6" s="924">
        <v>2</v>
      </c>
      <c r="D6" s="924">
        <v>2</v>
      </c>
      <c r="E6" s="924">
        <v>2</v>
      </c>
      <c r="F6" s="924">
        <v>2</v>
      </c>
      <c r="G6" s="924">
        <v>2</v>
      </c>
      <c r="H6" s="924">
        <v>2</v>
      </c>
      <c r="I6" s="924">
        <v>2</v>
      </c>
      <c r="J6" s="924">
        <v>2</v>
      </c>
      <c r="K6" s="924">
        <v>2</v>
      </c>
      <c r="L6" s="924">
        <v>2</v>
      </c>
      <c r="M6" s="924">
        <v>2</v>
      </c>
      <c r="N6" s="924">
        <v>2</v>
      </c>
    </row>
    <row r="7" spans="1:14" ht="12" customHeight="1">
      <c r="A7" s="141" t="s">
        <v>22</v>
      </c>
      <c r="B7" s="939">
        <v>1.79</v>
      </c>
      <c r="C7" s="924">
        <v>1.71</v>
      </c>
      <c r="D7" s="924">
        <v>1.71</v>
      </c>
      <c r="E7" s="924">
        <v>1.71</v>
      </c>
      <c r="F7" s="924">
        <v>1.81</v>
      </c>
      <c r="G7" s="924">
        <v>1.81</v>
      </c>
      <c r="H7" s="924">
        <v>1.81</v>
      </c>
      <c r="I7" s="924">
        <v>1.81</v>
      </c>
      <c r="J7" s="924">
        <v>1.81</v>
      </c>
      <c r="K7" s="924">
        <v>1.81</v>
      </c>
      <c r="L7" s="924">
        <v>1.83</v>
      </c>
      <c r="M7" s="924">
        <v>1.83</v>
      </c>
      <c r="N7" s="924">
        <v>1.83</v>
      </c>
    </row>
    <row r="8" spans="1:14" ht="12" customHeight="1">
      <c r="A8" s="141" t="s">
        <v>23</v>
      </c>
      <c r="B8" s="939">
        <v>1.32</v>
      </c>
      <c r="C8" s="924">
        <v>1.32</v>
      </c>
      <c r="D8" s="924">
        <v>1.32</v>
      </c>
      <c r="E8" s="924">
        <v>1.32</v>
      </c>
      <c r="F8" s="924">
        <v>1.32</v>
      </c>
      <c r="G8" s="924">
        <v>1.32</v>
      </c>
      <c r="H8" s="924">
        <v>1.32</v>
      </c>
      <c r="I8" s="924">
        <v>1.32</v>
      </c>
      <c r="J8" s="924">
        <v>1.32</v>
      </c>
      <c r="K8" s="924">
        <v>1.33</v>
      </c>
      <c r="L8" s="924">
        <v>1.33</v>
      </c>
      <c r="M8" s="924">
        <v>1.33</v>
      </c>
      <c r="N8" s="924">
        <v>1.33</v>
      </c>
    </row>
    <row r="9" spans="1:14" ht="12" customHeight="1">
      <c r="A9" s="141" t="s">
        <v>24</v>
      </c>
      <c r="B9" s="939">
        <v>1.24</v>
      </c>
      <c r="C9" s="924">
        <v>1.19</v>
      </c>
      <c r="D9" s="924">
        <v>1.19</v>
      </c>
      <c r="E9" s="924">
        <v>1.2</v>
      </c>
      <c r="F9" s="924">
        <v>1.22</v>
      </c>
      <c r="G9" s="924">
        <v>1.22</v>
      </c>
      <c r="H9" s="924">
        <v>1.26</v>
      </c>
      <c r="I9" s="924">
        <v>1.26</v>
      </c>
      <c r="J9" s="924">
        <v>1.26</v>
      </c>
      <c r="K9" s="924">
        <v>1.26</v>
      </c>
      <c r="L9" s="924">
        <v>1.26</v>
      </c>
      <c r="M9" s="924">
        <v>1.26</v>
      </c>
      <c r="N9" s="924">
        <v>1.26</v>
      </c>
    </row>
    <row r="10" spans="1:14" ht="12" customHeight="1">
      <c r="A10" s="141" t="s">
        <v>25</v>
      </c>
      <c r="B10" s="939">
        <v>1.27</v>
      </c>
      <c r="C10" s="924">
        <v>1.27</v>
      </c>
      <c r="D10" s="924">
        <v>1.27</v>
      </c>
      <c r="E10" s="924">
        <v>1.27</v>
      </c>
      <c r="F10" s="924">
        <v>1.27</v>
      </c>
      <c r="G10" s="924">
        <v>1.27</v>
      </c>
      <c r="H10" s="924">
        <v>1.27</v>
      </c>
      <c r="I10" s="924">
        <v>1.27</v>
      </c>
      <c r="J10" s="924">
        <v>1.27</v>
      </c>
      <c r="K10" s="924">
        <v>1.27</v>
      </c>
      <c r="L10" s="924">
        <v>1.27</v>
      </c>
      <c r="M10" s="924">
        <v>1.27</v>
      </c>
      <c r="N10" s="924">
        <v>1.27</v>
      </c>
    </row>
    <row r="11" spans="1:14" ht="12" customHeight="1">
      <c r="A11" s="141" t="s">
        <v>107</v>
      </c>
      <c r="B11" s="939">
        <v>1.27</v>
      </c>
      <c r="C11" s="924">
        <v>1.27</v>
      </c>
      <c r="D11" s="924">
        <v>1.27</v>
      </c>
      <c r="E11" s="924">
        <v>1.27</v>
      </c>
      <c r="F11" s="924">
        <v>1.27</v>
      </c>
      <c r="G11" s="924">
        <v>1.27</v>
      </c>
      <c r="H11" s="924">
        <v>1.27</v>
      </c>
      <c r="I11" s="924">
        <v>1.27</v>
      </c>
      <c r="J11" s="924">
        <v>1.27</v>
      </c>
      <c r="K11" s="924">
        <v>1.28</v>
      </c>
      <c r="L11" s="924">
        <v>1.28</v>
      </c>
      <c r="M11" s="924">
        <v>1.28</v>
      </c>
      <c r="N11" s="924">
        <v>1.28</v>
      </c>
    </row>
    <row r="12" spans="1:14" ht="12" customHeight="1">
      <c r="A12" s="141" t="s">
        <v>108</v>
      </c>
      <c r="B12" s="939">
        <v>1.26</v>
      </c>
      <c r="C12" s="924">
        <v>1.26</v>
      </c>
      <c r="D12" s="924">
        <v>1.26</v>
      </c>
      <c r="E12" s="924">
        <v>1.26</v>
      </c>
      <c r="F12" s="924">
        <v>1.26</v>
      </c>
      <c r="G12" s="924">
        <v>1.26</v>
      </c>
      <c r="H12" s="924">
        <v>1.26</v>
      </c>
      <c r="I12" s="924">
        <v>1.26</v>
      </c>
      <c r="J12" s="924">
        <v>1.26</v>
      </c>
      <c r="K12" s="924">
        <v>1.26</v>
      </c>
      <c r="L12" s="924">
        <v>1.26</v>
      </c>
      <c r="M12" s="924">
        <v>1.26</v>
      </c>
      <c r="N12" s="924">
        <v>1.26</v>
      </c>
    </row>
    <row r="13" spans="1:14" ht="12" customHeight="1">
      <c r="A13" s="141" t="s">
        <v>139</v>
      </c>
      <c r="B13" s="939">
        <v>1.33</v>
      </c>
      <c r="C13" s="924">
        <v>1.33</v>
      </c>
      <c r="D13" s="924">
        <v>1.33</v>
      </c>
      <c r="E13" s="924">
        <v>1.33</v>
      </c>
      <c r="F13" s="924">
        <v>1.33</v>
      </c>
      <c r="G13" s="924">
        <v>1.33</v>
      </c>
      <c r="H13" s="924">
        <v>1.33</v>
      </c>
      <c r="I13" s="924">
        <v>1.33</v>
      </c>
      <c r="J13" s="924">
        <v>1.33</v>
      </c>
      <c r="K13" s="924">
        <v>1.33</v>
      </c>
      <c r="L13" s="924">
        <v>1.33</v>
      </c>
      <c r="M13" s="924">
        <v>1.33</v>
      </c>
      <c r="N13" s="924">
        <v>1.33</v>
      </c>
    </row>
    <row r="14" spans="1:14" ht="12" customHeight="1">
      <c r="A14" s="141" t="s">
        <v>29</v>
      </c>
      <c r="B14" s="939">
        <v>1.33</v>
      </c>
      <c r="C14" s="924">
        <v>1.29</v>
      </c>
      <c r="D14" s="924">
        <v>1.29</v>
      </c>
      <c r="E14" s="924">
        <v>1.3</v>
      </c>
      <c r="F14" s="924">
        <v>1.32</v>
      </c>
      <c r="G14" s="924">
        <v>1.32</v>
      </c>
      <c r="H14" s="924">
        <v>1.33</v>
      </c>
      <c r="I14" s="924">
        <v>1.34</v>
      </c>
      <c r="J14" s="924">
        <v>1.34</v>
      </c>
      <c r="K14" s="924">
        <v>1.34</v>
      </c>
      <c r="L14" s="924">
        <v>1.35</v>
      </c>
      <c r="M14" s="924">
        <v>1.35</v>
      </c>
      <c r="N14" s="924">
        <v>1.35</v>
      </c>
    </row>
    <row r="15" spans="1:14" ht="12" customHeight="1">
      <c r="A15" s="141" t="s">
        <v>30</v>
      </c>
      <c r="B15" s="939">
        <v>1.3</v>
      </c>
      <c r="C15" s="924">
        <v>1.25</v>
      </c>
      <c r="D15" s="924">
        <v>1.25</v>
      </c>
      <c r="E15" s="924">
        <v>1.26</v>
      </c>
      <c r="F15" s="924">
        <v>1.26</v>
      </c>
      <c r="G15" s="924">
        <v>1.32</v>
      </c>
      <c r="H15" s="924">
        <v>1.32</v>
      </c>
      <c r="I15" s="924">
        <v>1.32</v>
      </c>
      <c r="J15" s="924">
        <v>1.32</v>
      </c>
      <c r="K15" s="924">
        <v>1.32</v>
      </c>
      <c r="L15" s="924">
        <v>1.32</v>
      </c>
      <c r="M15" s="924">
        <v>1.32</v>
      </c>
      <c r="N15" s="924">
        <v>1.32</v>
      </c>
    </row>
    <row r="16" spans="1:14" ht="12" customHeight="1">
      <c r="A16" s="141" t="s">
        <v>31</v>
      </c>
      <c r="B16" s="939">
        <v>1.43</v>
      </c>
      <c r="C16" s="924">
        <v>1.42</v>
      </c>
      <c r="D16" s="924">
        <v>1.43</v>
      </c>
      <c r="E16" s="924">
        <v>1.43</v>
      </c>
      <c r="F16" s="924">
        <v>1.43</v>
      </c>
      <c r="G16" s="924">
        <v>1.43</v>
      </c>
      <c r="H16" s="924">
        <v>1.43</v>
      </c>
      <c r="I16" s="924">
        <v>1.43</v>
      </c>
      <c r="J16" s="924">
        <v>1.43</v>
      </c>
      <c r="K16" s="924">
        <v>1.43</v>
      </c>
      <c r="L16" s="924">
        <v>1.43</v>
      </c>
      <c r="M16" s="924">
        <v>1.44</v>
      </c>
      <c r="N16" s="924">
        <v>1.45</v>
      </c>
    </row>
    <row r="17" spans="1:14" ht="12" customHeight="1">
      <c r="A17" s="141" t="s">
        <v>32</v>
      </c>
      <c r="B17" s="939">
        <v>1.3</v>
      </c>
      <c r="C17" s="924">
        <v>1.28</v>
      </c>
      <c r="D17" s="924">
        <v>1.28</v>
      </c>
      <c r="E17" s="924">
        <v>1.28</v>
      </c>
      <c r="F17" s="924">
        <v>1.29</v>
      </c>
      <c r="G17" s="924">
        <v>1.29</v>
      </c>
      <c r="H17" s="924">
        <v>1.3</v>
      </c>
      <c r="I17" s="924">
        <v>1.3</v>
      </c>
      <c r="J17" s="924">
        <v>1.32</v>
      </c>
      <c r="K17" s="924">
        <v>1.32</v>
      </c>
      <c r="L17" s="924">
        <v>1.32</v>
      </c>
      <c r="M17" s="924">
        <v>1.32</v>
      </c>
      <c r="N17" s="924">
        <v>1.32</v>
      </c>
    </row>
    <row r="18" spans="1:14" ht="12" customHeight="1">
      <c r="A18" s="141" t="s">
        <v>33</v>
      </c>
      <c r="B18" s="939">
        <v>1.53</v>
      </c>
      <c r="C18" s="924">
        <v>1.52</v>
      </c>
      <c r="D18" s="924">
        <v>1.52</v>
      </c>
      <c r="E18" s="924">
        <v>1.53</v>
      </c>
      <c r="F18" s="924">
        <v>1.53</v>
      </c>
      <c r="G18" s="924">
        <v>1.53</v>
      </c>
      <c r="H18" s="924">
        <v>1.53</v>
      </c>
      <c r="I18" s="924">
        <v>1.53</v>
      </c>
      <c r="J18" s="924">
        <v>1.53</v>
      </c>
      <c r="K18" s="924">
        <v>1.53</v>
      </c>
      <c r="L18" s="924">
        <v>1.53</v>
      </c>
      <c r="M18" s="924">
        <v>1.53</v>
      </c>
      <c r="N18" s="924">
        <v>1.53</v>
      </c>
    </row>
    <row r="19" spans="1:14" ht="12" customHeight="1">
      <c r="A19" s="141" t="s">
        <v>34</v>
      </c>
      <c r="B19" s="939">
        <v>1.51</v>
      </c>
      <c r="C19" s="924">
        <v>1.5</v>
      </c>
      <c r="D19" s="924">
        <v>1.5</v>
      </c>
      <c r="E19" s="924">
        <v>1.5</v>
      </c>
      <c r="F19" s="924">
        <v>1.5</v>
      </c>
      <c r="G19" s="924">
        <v>1.5</v>
      </c>
      <c r="H19" s="924">
        <v>1.5</v>
      </c>
      <c r="I19" s="924">
        <v>1.5</v>
      </c>
      <c r="J19" s="924">
        <v>1.5</v>
      </c>
      <c r="K19" s="924">
        <v>1.5</v>
      </c>
      <c r="L19" s="924">
        <v>1.52</v>
      </c>
      <c r="M19" s="924">
        <v>1.52</v>
      </c>
      <c r="N19" s="924">
        <v>1.52</v>
      </c>
    </row>
    <row r="20" spans="1:14" ht="12" customHeight="1">
      <c r="A20" s="141" t="s">
        <v>35</v>
      </c>
      <c r="B20" s="939">
        <v>1.35</v>
      </c>
      <c r="C20" s="924">
        <v>1.32</v>
      </c>
      <c r="D20" s="924">
        <v>1.32</v>
      </c>
      <c r="E20" s="924">
        <v>1.33</v>
      </c>
      <c r="F20" s="924">
        <v>1.34</v>
      </c>
      <c r="G20" s="924">
        <v>1.34</v>
      </c>
      <c r="H20" s="924">
        <v>1.35</v>
      </c>
      <c r="I20" s="924">
        <v>1.35</v>
      </c>
      <c r="J20" s="924">
        <v>1.36</v>
      </c>
      <c r="K20" s="924">
        <v>1.36</v>
      </c>
      <c r="L20" s="924">
        <v>1.36</v>
      </c>
      <c r="M20" s="924">
        <v>1.36</v>
      </c>
      <c r="N20" s="924">
        <v>1.37</v>
      </c>
    </row>
    <row r="21" spans="1:14" ht="12" customHeight="1">
      <c r="A21" s="141" t="s">
        <v>36</v>
      </c>
      <c r="B21" s="939">
        <v>1.26</v>
      </c>
      <c r="C21" s="924">
        <v>1.24</v>
      </c>
      <c r="D21" s="924">
        <v>1.24</v>
      </c>
      <c r="E21" s="924">
        <v>1.24</v>
      </c>
      <c r="F21" s="924">
        <v>1.24</v>
      </c>
      <c r="G21" s="924">
        <v>1.24</v>
      </c>
      <c r="H21" s="924">
        <v>1.24</v>
      </c>
      <c r="I21" s="924">
        <v>1.27</v>
      </c>
      <c r="J21" s="924">
        <v>1.27</v>
      </c>
      <c r="K21" s="924">
        <v>1.27</v>
      </c>
      <c r="L21" s="924">
        <v>1.27</v>
      </c>
      <c r="M21" s="924">
        <v>1.27</v>
      </c>
      <c r="N21" s="924">
        <v>1.27</v>
      </c>
    </row>
    <row r="22" spans="1:14" ht="12" customHeight="1">
      <c r="A22" s="141" t="s">
        <v>37</v>
      </c>
      <c r="B22" s="939">
        <v>1.25</v>
      </c>
      <c r="C22" s="924">
        <v>1.25</v>
      </c>
      <c r="D22" s="924">
        <v>1.25</v>
      </c>
      <c r="E22" s="924">
        <v>1.25</v>
      </c>
      <c r="F22" s="924">
        <v>1.25</v>
      </c>
      <c r="G22" s="924">
        <v>1.25</v>
      </c>
      <c r="H22" s="924">
        <v>1.25</v>
      </c>
      <c r="I22" s="924">
        <v>1.24</v>
      </c>
      <c r="J22" s="924">
        <v>1.25</v>
      </c>
      <c r="K22" s="924">
        <v>1.26</v>
      </c>
      <c r="L22" s="924">
        <v>1.26</v>
      </c>
      <c r="M22" s="924">
        <v>1.26</v>
      </c>
      <c r="N22" s="924">
        <v>1.26</v>
      </c>
    </row>
    <row r="23" spans="1:14" ht="12" customHeight="1">
      <c r="A23" s="141" t="s">
        <v>38</v>
      </c>
      <c r="B23" s="939">
        <v>1.37</v>
      </c>
      <c r="C23" s="924">
        <v>1.38</v>
      </c>
      <c r="D23" s="924">
        <v>1.38</v>
      </c>
      <c r="E23" s="924">
        <v>1.38</v>
      </c>
      <c r="F23" s="924">
        <v>1.38</v>
      </c>
      <c r="G23" s="924">
        <v>1.38</v>
      </c>
      <c r="H23" s="924">
        <v>1.38</v>
      </c>
      <c r="I23" s="924">
        <v>1.36</v>
      </c>
      <c r="J23" s="924">
        <v>1.36</v>
      </c>
      <c r="K23" s="924">
        <v>1.36</v>
      </c>
      <c r="L23" s="924">
        <v>1.36</v>
      </c>
      <c r="M23" s="924">
        <v>1.36</v>
      </c>
      <c r="N23" s="924">
        <v>1.36</v>
      </c>
    </row>
    <row r="24" spans="1:14" ht="12" customHeight="1">
      <c r="A24" s="141" t="s">
        <v>39</v>
      </c>
      <c r="B24" s="939">
        <v>1.25</v>
      </c>
      <c r="C24" s="924">
        <v>1.23</v>
      </c>
      <c r="D24" s="924">
        <v>1.23</v>
      </c>
      <c r="E24" s="924">
        <v>1.25</v>
      </c>
      <c r="F24" s="924">
        <v>1.25</v>
      </c>
      <c r="G24" s="924">
        <v>1.25</v>
      </c>
      <c r="H24" s="924">
        <v>1.25</v>
      </c>
      <c r="I24" s="924">
        <v>1.25</v>
      </c>
      <c r="J24" s="924">
        <v>1.25</v>
      </c>
      <c r="K24" s="924">
        <v>1.25</v>
      </c>
      <c r="L24" s="924">
        <v>1.27</v>
      </c>
      <c r="M24" s="924">
        <v>1.27</v>
      </c>
      <c r="N24" s="924">
        <v>1.28</v>
      </c>
    </row>
    <row r="25" spans="1:14" ht="12" customHeight="1">
      <c r="A25" s="141" t="s">
        <v>40</v>
      </c>
      <c r="B25" s="939">
        <v>1.56</v>
      </c>
      <c r="C25" s="924">
        <v>1.54</v>
      </c>
      <c r="D25" s="924">
        <v>1.54</v>
      </c>
      <c r="E25" s="924">
        <v>1.54</v>
      </c>
      <c r="F25" s="924">
        <v>1.56</v>
      </c>
      <c r="G25" s="924">
        <v>1.56</v>
      </c>
      <c r="H25" s="924">
        <v>1.56</v>
      </c>
      <c r="I25" s="924">
        <v>1.56</v>
      </c>
      <c r="J25" s="924">
        <v>1.56</v>
      </c>
      <c r="K25" s="924">
        <v>1.56</v>
      </c>
      <c r="L25" s="924">
        <v>1.57</v>
      </c>
      <c r="M25" s="924">
        <v>1.57</v>
      </c>
      <c r="N25" s="924">
        <v>1.57</v>
      </c>
    </row>
    <row r="26" spans="1:14" ht="12" customHeight="1">
      <c r="A26" s="141" t="s">
        <v>41</v>
      </c>
      <c r="B26" s="939">
        <v>1.37</v>
      </c>
      <c r="C26" s="924">
        <v>1.37</v>
      </c>
      <c r="D26" s="924">
        <v>1.37</v>
      </c>
      <c r="E26" s="924">
        <v>1.37</v>
      </c>
      <c r="F26" s="924">
        <v>1.37</v>
      </c>
      <c r="G26" s="924">
        <v>1.37</v>
      </c>
      <c r="H26" s="924">
        <v>1.37</v>
      </c>
      <c r="I26" s="924">
        <v>1.37</v>
      </c>
      <c r="J26" s="924">
        <v>1.37</v>
      </c>
      <c r="K26" s="924">
        <v>1.37</v>
      </c>
      <c r="L26" s="924">
        <v>1.37</v>
      </c>
      <c r="M26" s="924">
        <v>1.37</v>
      </c>
      <c r="N26" s="924">
        <v>1.36</v>
      </c>
    </row>
    <row r="27" spans="1:14" ht="12" customHeight="1">
      <c r="A27" s="141" t="s">
        <v>111</v>
      </c>
      <c r="B27" s="939">
        <v>1.37</v>
      </c>
      <c r="C27" s="924">
        <v>1.37</v>
      </c>
      <c r="D27" s="924">
        <v>1.37</v>
      </c>
      <c r="E27" s="924">
        <v>1.37</v>
      </c>
      <c r="F27" s="924">
        <v>1.37</v>
      </c>
      <c r="G27" s="924">
        <v>1.37</v>
      </c>
      <c r="H27" s="924">
        <v>1.37</v>
      </c>
      <c r="I27" s="924">
        <v>1.37</v>
      </c>
      <c r="J27" s="924">
        <v>1.37</v>
      </c>
      <c r="K27" s="924">
        <v>1.37</v>
      </c>
      <c r="L27" s="924">
        <v>1.37</v>
      </c>
      <c r="M27" s="924">
        <v>1.37</v>
      </c>
      <c r="N27" s="924">
        <v>1.37</v>
      </c>
    </row>
    <row r="28" spans="1:14" ht="12" customHeight="1">
      <c r="A28" s="141" t="s">
        <v>112</v>
      </c>
      <c r="B28" s="939">
        <v>1.36</v>
      </c>
      <c r="C28" s="924">
        <v>1.36</v>
      </c>
      <c r="D28" s="924">
        <v>1.36</v>
      </c>
      <c r="E28" s="924">
        <v>1.36</v>
      </c>
      <c r="F28" s="924">
        <v>1.36</v>
      </c>
      <c r="G28" s="924">
        <v>1.36</v>
      </c>
      <c r="H28" s="924">
        <v>1.36</v>
      </c>
      <c r="I28" s="924">
        <v>1.36</v>
      </c>
      <c r="J28" s="924">
        <v>1.36</v>
      </c>
      <c r="K28" s="924">
        <v>1.36</v>
      </c>
      <c r="L28" s="924">
        <v>1.36</v>
      </c>
      <c r="M28" s="924">
        <v>1.36</v>
      </c>
      <c r="N28" s="924">
        <v>1.36</v>
      </c>
    </row>
    <row r="29" spans="1:14" ht="12" customHeight="1">
      <c r="A29" s="141" t="s">
        <v>44</v>
      </c>
      <c r="B29" s="939">
        <v>1.39</v>
      </c>
      <c r="C29" s="924">
        <v>1.4</v>
      </c>
      <c r="D29" s="924">
        <v>1.4</v>
      </c>
      <c r="E29" s="924">
        <v>1.4</v>
      </c>
      <c r="F29" s="924">
        <v>1.38</v>
      </c>
      <c r="G29" s="924">
        <v>1.38</v>
      </c>
      <c r="H29" s="924">
        <v>1.38</v>
      </c>
      <c r="I29" s="924">
        <v>1.38</v>
      </c>
      <c r="J29" s="924">
        <v>1.38</v>
      </c>
      <c r="K29" s="924">
        <v>1.39</v>
      </c>
      <c r="L29" s="924">
        <v>1.41</v>
      </c>
      <c r="M29" s="924">
        <v>1.41</v>
      </c>
      <c r="N29" s="924">
        <v>1.41</v>
      </c>
    </row>
    <row r="30" spans="1:14" ht="12" customHeight="1">
      <c r="A30" s="141" t="s">
        <v>45</v>
      </c>
      <c r="B30" s="939">
        <v>1.24</v>
      </c>
      <c r="C30" s="924">
        <v>1.2</v>
      </c>
      <c r="D30" s="924">
        <v>1.2</v>
      </c>
      <c r="E30" s="924">
        <v>1.2</v>
      </c>
      <c r="F30" s="924">
        <v>1.2</v>
      </c>
      <c r="G30" s="924">
        <v>1.27</v>
      </c>
      <c r="H30" s="924">
        <v>1.27</v>
      </c>
      <c r="I30" s="924">
        <v>1.27</v>
      </c>
      <c r="J30" s="924">
        <v>1.27</v>
      </c>
      <c r="K30" s="924">
        <v>1.27</v>
      </c>
      <c r="L30" s="924">
        <v>1.27</v>
      </c>
      <c r="M30" s="924">
        <v>1.27</v>
      </c>
      <c r="N30" s="924">
        <v>1.27</v>
      </c>
    </row>
    <row r="31" spans="1:14" ht="12" customHeight="1">
      <c r="A31" s="141" t="s">
        <v>46</v>
      </c>
      <c r="B31" s="939">
        <v>1.35</v>
      </c>
      <c r="C31" s="924">
        <v>1.35</v>
      </c>
      <c r="D31" s="924">
        <v>1.35</v>
      </c>
      <c r="E31" s="924">
        <v>1.35</v>
      </c>
      <c r="F31" s="924">
        <v>1.35</v>
      </c>
      <c r="G31" s="924">
        <v>1.35</v>
      </c>
      <c r="H31" s="924">
        <v>1.35</v>
      </c>
      <c r="I31" s="924">
        <v>1.35</v>
      </c>
      <c r="J31" s="924">
        <v>1.35</v>
      </c>
      <c r="K31" s="924">
        <v>1.35</v>
      </c>
      <c r="L31" s="924">
        <v>1.35</v>
      </c>
      <c r="M31" s="924">
        <v>1.35</v>
      </c>
      <c r="N31" s="924">
        <v>1.35</v>
      </c>
    </row>
    <row r="32" spans="1:14" ht="12" customHeight="1">
      <c r="A32" s="141" t="s">
        <v>47</v>
      </c>
      <c r="B32" s="939">
        <v>1.91</v>
      </c>
      <c r="C32" s="924">
        <v>1.9</v>
      </c>
      <c r="D32" s="924">
        <v>1.9</v>
      </c>
      <c r="E32" s="924">
        <v>1.9</v>
      </c>
      <c r="F32" s="924">
        <v>1.91</v>
      </c>
      <c r="G32" s="924">
        <v>1.91</v>
      </c>
      <c r="H32" s="924">
        <v>1.91</v>
      </c>
      <c r="I32" s="924">
        <v>1.91</v>
      </c>
      <c r="J32" s="924">
        <v>1.91</v>
      </c>
      <c r="K32" s="924">
        <v>1.91</v>
      </c>
      <c r="L32" s="924">
        <v>1.91</v>
      </c>
      <c r="M32" s="924">
        <v>1.91</v>
      </c>
      <c r="N32" s="924">
        <v>1.91</v>
      </c>
    </row>
    <row r="33" spans="1:14" ht="12" customHeight="1">
      <c r="A33" s="141" t="s">
        <v>48</v>
      </c>
      <c r="B33" s="939">
        <v>1.58</v>
      </c>
      <c r="C33" s="924">
        <v>1.58</v>
      </c>
      <c r="D33" s="924">
        <v>1.58</v>
      </c>
      <c r="E33" s="924">
        <v>1.58</v>
      </c>
      <c r="F33" s="924">
        <v>1.58</v>
      </c>
      <c r="G33" s="924">
        <v>1.58</v>
      </c>
      <c r="H33" s="924">
        <v>1.58</v>
      </c>
      <c r="I33" s="924">
        <v>1.58</v>
      </c>
      <c r="J33" s="924">
        <v>1.58</v>
      </c>
      <c r="K33" s="924">
        <v>1.58</v>
      </c>
      <c r="L33" s="924">
        <v>1.58</v>
      </c>
      <c r="M33" s="924">
        <v>1.58</v>
      </c>
      <c r="N33" s="924">
        <v>1.58</v>
      </c>
    </row>
    <row r="34" spans="1:14" ht="12" customHeight="1" thickBot="1">
      <c r="A34" s="202" t="s">
        <v>49</v>
      </c>
      <c r="B34" s="940">
        <v>1.59</v>
      </c>
      <c r="C34" s="925">
        <v>1.58</v>
      </c>
      <c r="D34" s="925">
        <v>1.58</v>
      </c>
      <c r="E34" s="925">
        <v>1.59</v>
      </c>
      <c r="F34" s="925">
        <v>1.6</v>
      </c>
      <c r="G34" s="925">
        <v>1.6</v>
      </c>
      <c r="H34" s="925">
        <v>1.6</v>
      </c>
      <c r="I34" s="925">
        <v>1.6</v>
      </c>
      <c r="J34" s="925">
        <v>1.6</v>
      </c>
      <c r="K34" s="925">
        <v>1.6</v>
      </c>
      <c r="L34" s="925">
        <v>1.63</v>
      </c>
      <c r="M34" s="925">
        <v>1.53</v>
      </c>
      <c r="N34" s="925">
        <v>1.53</v>
      </c>
    </row>
    <row r="35" spans="1:14" ht="10" customHeight="1">
      <c r="A35" s="28" t="s">
        <v>238</v>
      </c>
      <c r="B35" s="935"/>
      <c r="C35" s="936"/>
      <c r="D35" s="936"/>
      <c r="E35" s="936"/>
      <c r="F35" s="936"/>
      <c r="G35" s="936"/>
      <c r="H35" s="936"/>
      <c r="I35" s="936"/>
      <c r="J35" s="936"/>
      <c r="K35" s="936"/>
      <c r="L35" s="936"/>
      <c r="M35" s="936"/>
      <c r="N35" s="936"/>
    </row>
    <row r="36" spans="1:14" ht="10" customHeight="1">
      <c r="A36" s="28" t="s">
        <v>192</v>
      </c>
      <c r="B36" s="936"/>
      <c r="C36" s="936"/>
      <c r="D36" s="936"/>
      <c r="E36" s="936"/>
      <c r="F36" s="936"/>
      <c r="G36" s="936"/>
      <c r="H36" s="936"/>
      <c r="I36" s="936"/>
      <c r="J36" s="936"/>
      <c r="K36" s="936"/>
      <c r="L36" s="936"/>
      <c r="M36" s="915"/>
      <c r="N36" s="915"/>
    </row>
    <row r="37" spans="1:14" ht="10" customHeight="1">
      <c r="A37" s="40" t="s">
        <v>261</v>
      </c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</row>
    <row r="38" spans="1:14" ht="13" customHeight="1">
      <c r="A38" s="31"/>
    </row>
    <row r="39" spans="1:14" ht="13" customHeight="1">
      <c r="A39" s="31"/>
    </row>
    <row r="53" spans="1:14" ht="13" customHeight="1">
      <c r="A53" s="187" t="s">
        <v>268</v>
      </c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</row>
    <row r="54" spans="1:14" ht="13" customHeight="1">
      <c r="A54" s="187" t="s">
        <v>589</v>
      </c>
      <c r="B54" s="189"/>
      <c r="C54" s="189"/>
      <c r="D54" s="189"/>
      <c r="E54" s="189"/>
      <c r="F54" s="189"/>
      <c r="G54" s="193"/>
      <c r="H54" s="192"/>
      <c r="I54" s="189"/>
      <c r="J54" s="189"/>
      <c r="K54" s="189"/>
      <c r="L54" s="189"/>
      <c r="M54" s="189"/>
      <c r="N54" s="189"/>
    </row>
    <row r="55" spans="1:14" ht="13" customHeight="1" thickBot="1">
      <c r="A55" s="192"/>
      <c r="B55" s="189"/>
      <c r="C55" s="189"/>
      <c r="D55" s="189"/>
      <c r="E55" s="189"/>
      <c r="F55" s="189"/>
      <c r="G55" s="193"/>
      <c r="H55" s="192"/>
      <c r="I55" s="189"/>
      <c r="J55" s="189"/>
      <c r="K55" s="189"/>
      <c r="L55" s="189"/>
      <c r="M55" s="189"/>
      <c r="N55" s="189"/>
    </row>
    <row r="56" spans="1:14" ht="13" customHeight="1">
      <c r="A56" s="196" t="s">
        <v>18</v>
      </c>
      <c r="B56" s="143" t="s">
        <v>140</v>
      </c>
      <c r="C56" s="197" t="s">
        <v>88</v>
      </c>
      <c r="D56" s="197" t="s">
        <v>89</v>
      </c>
      <c r="E56" s="197" t="s">
        <v>90</v>
      </c>
      <c r="F56" s="197" t="s">
        <v>91</v>
      </c>
      <c r="G56" s="197" t="s">
        <v>92</v>
      </c>
      <c r="H56" s="197" t="s">
        <v>93</v>
      </c>
      <c r="I56" s="197" t="s">
        <v>94</v>
      </c>
      <c r="J56" s="197" t="s">
        <v>95</v>
      </c>
      <c r="K56" s="197" t="s">
        <v>96</v>
      </c>
      <c r="L56" s="197" t="s">
        <v>97</v>
      </c>
      <c r="M56" s="197" t="s">
        <v>98</v>
      </c>
      <c r="N56" s="197" t="s">
        <v>99</v>
      </c>
    </row>
    <row r="57" spans="1:14" ht="13" customHeight="1">
      <c r="A57" s="198" t="s">
        <v>114</v>
      </c>
      <c r="B57" s="199">
        <v>1.3</v>
      </c>
      <c r="C57" s="199">
        <v>1.28</v>
      </c>
      <c r="D57" s="199">
        <v>1.28</v>
      </c>
      <c r="E57" s="199">
        <v>1.29</v>
      </c>
      <c r="F57" s="199">
        <v>1.3</v>
      </c>
      <c r="G57" s="199">
        <v>1.31</v>
      </c>
      <c r="H57" s="199">
        <v>1.31</v>
      </c>
      <c r="I57" s="199">
        <v>1.3</v>
      </c>
      <c r="J57" s="199">
        <v>1.3</v>
      </c>
      <c r="K57" s="199">
        <v>1.3</v>
      </c>
      <c r="L57" s="199">
        <v>1.3</v>
      </c>
      <c r="M57" s="199">
        <v>1.3</v>
      </c>
      <c r="N57" s="199">
        <v>1.31</v>
      </c>
    </row>
    <row r="58" spans="1:14" ht="13" customHeight="1">
      <c r="A58" s="141" t="s">
        <v>21</v>
      </c>
      <c r="B58" s="201">
        <v>1.94</v>
      </c>
      <c r="C58" s="201">
        <v>1.94</v>
      </c>
      <c r="D58" s="201">
        <v>1.94</v>
      </c>
      <c r="E58" s="201">
        <v>1.94</v>
      </c>
      <c r="F58" s="201">
        <v>1.94</v>
      </c>
      <c r="G58" s="201">
        <v>1.94</v>
      </c>
      <c r="H58" s="201">
        <v>1.94</v>
      </c>
      <c r="I58" s="201">
        <v>1.94</v>
      </c>
      <c r="J58" s="201">
        <v>1.94</v>
      </c>
      <c r="K58" s="201">
        <v>1.94</v>
      </c>
      <c r="L58" s="201">
        <v>1.94</v>
      </c>
      <c r="M58" s="201">
        <v>1.94</v>
      </c>
      <c r="N58" s="201">
        <v>1.94</v>
      </c>
    </row>
    <row r="59" spans="1:14" ht="13" customHeight="1">
      <c r="A59" s="141" t="s">
        <v>22</v>
      </c>
      <c r="B59" s="201">
        <v>1.74</v>
      </c>
      <c r="C59" s="201">
        <v>1.66</v>
      </c>
      <c r="D59" s="201">
        <v>1.66</v>
      </c>
      <c r="E59" s="201">
        <v>1.66</v>
      </c>
      <c r="F59" s="201">
        <v>1.76</v>
      </c>
      <c r="G59" s="201">
        <v>1.76</v>
      </c>
      <c r="H59" s="201">
        <v>1.76</v>
      </c>
      <c r="I59" s="201">
        <v>1.76</v>
      </c>
      <c r="J59" s="201">
        <v>1.76</v>
      </c>
      <c r="K59" s="201">
        <v>1.76</v>
      </c>
      <c r="L59" s="201">
        <v>1.78</v>
      </c>
      <c r="M59" s="201">
        <v>1.78</v>
      </c>
      <c r="N59" s="201">
        <v>1.78</v>
      </c>
    </row>
    <row r="60" spans="1:14" ht="13" customHeight="1">
      <c r="A60" s="141" t="s">
        <v>23</v>
      </c>
      <c r="B60" s="201">
        <v>1.29</v>
      </c>
      <c r="C60" s="201">
        <v>1.28</v>
      </c>
      <c r="D60" s="201">
        <v>1.28</v>
      </c>
      <c r="E60" s="201">
        <v>1.28</v>
      </c>
      <c r="F60" s="201">
        <v>1.28</v>
      </c>
      <c r="G60" s="201">
        <v>1.28</v>
      </c>
      <c r="H60" s="201">
        <v>1.28</v>
      </c>
      <c r="I60" s="201">
        <v>1.28</v>
      </c>
      <c r="J60" s="201">
        <v>1.28</v>
      </c>
      <c r="K60" s="201">
        <v>1.29</v>
      </c>
      <c r="L60" s="201">
        <v>1.29</v>
      </c>
      <c r="M60" s="201">
        <v>1.29</v>
      </c>
      <c r="N60" s="201">
        <v>1.29</v>
      </c>
    </row>
    <row r="61" spans="1:14" ht="13" customHeight="1">
      <c r="A61" s="141" t="s">
        <v>24</v>
      </c>
      <c r="B61" s="201">
        <v>1.2</v>
      </c>
      <c r="C61" s="201">
        <v>1.1599999999999999</v>
      </c>
      <c r="D61" s="201">
        <v>1.1599999999999999</v>
      </c>
      <c r="E61" s="201">
        <v>1.17</v>
      </c>
      <c r="F61" s="201">
        <v>1.18</v>
      </c>
      <c r="G61" s="201">
        <v>1.18</v>
      </c>
      <c r="H61" s="201">
        <v>1.22</v>
      </c>
      <c r="I61" s="201">
        <v>1.22</v>
      </c>
      <c r="J61" s="201">
        <v>1.22</v>
      </c>
      <c r="K61" s="201">
        <v>1.22</v>
      </c>
      <c r="L61" s="201">
        <v>1.22</v>
      </c>
      <c r="M61" s="201">
        <v>1.22</v>
      </c>
      <c r="N61" s="201">
        <v>1.22</v>
      </c>
    </row>
    <row r="62" spans="1:14" ht="13" customHeight="1">
      <c r="A62" s="141" t="s">
        <v>25</v>
      </c>
      <c r="B62" s="201">
        <v>1.23</v>
      </c>
      <c r="C62" s="201">
        <v>1.23</v>
      </c>
      <c r="D62" s="201">
        <v>1.23</v>
      </c>
      <c r="E62" s="201">
        <v>1.23</v>
      </c>
      <c r="F62" s="201">
        <v>1.23</v>
      </c>
      <c r="G62" s="201">
        <v>1.23</v>
      </c>
      <c r="H62" s="201">
        <v>1.23</v>
      </c>
      <c r="I62" s="201">
        <v>1.23</v>
      </c>
      <c r="J62" s="201">
        <v>1.23</v>
      </c>
      <c r="K62" s="201">
        <v>1.24</v>
      </c>
      <c r="L62" s="201">
        <v>1.24</v>
      </c>
      <c r="M62" s="201">
        <v>1.24</v>
      </c>
      <c r="N62" s="201">
        <v>1.24</v>
      </c>
    </row>
    <row r="63" spans="1:14" ht="13" customHeight="1">
      <c r="A63" s="141" t="s">
        <v>107</v>
      </c>
      <c r="B63" s="201">
        <v>1.24</v>
      </c>
      <c r="C63" s="201">
        <v>1.23</v>
      </c>
      <c r="D63" s="201">
        <v>1.23</v>
      </c>
      <c r="E63" s="201">
        <v>1.23</v>
      </c>
      <c r="F63" s="201">
        <v>1.23</v>
      </c>
      <c r="G63" s="201">
        <v>1.23</v>
      </c>
      <c r="H63" s="201">
        <v>1.23</v>
      </c>
      <c r="I63" s="201">
        <v>1.23</v>
      </c>
      <c r="J63" s="201">
        <v>1.23</v>
      </c>
      <c r="K63" s="201">
        <v>1.24</v>
      </c>
      <c r="L63" s="201">
        <v>1.24</v>
      </c>
      <c r="M63" s="201">
        <v>1.24</v>
      </c>
      <c r="N63" s="201">
        <v>1.24</v>
      </c>
    </row>
    <row r="64" spans="1:14" ht="13" customHeight="1">
      <c r="A64" s="141" t="s">
        <v>108</v>
      </c>
      <c r="B64" s="201">
        <v>1.22</v>
      </c>
      <c r="C64" s="201">
        <v>1.22</v>
      </c>
      <c r="D64" s="201">
        <v>1.22</v>
      </c>
      <c r="E64" s="201">
        <v>1.22</v>
      </c>
      <c r="F64" s="201">
        <v>1.22</v>
      </c>
      <c r="G64" s="201">
        <v>1.22</v>
      </c>
      <c r="H64" s="201">
        <v>1.22</v>
      </c>
      <c r="I64" s="201">
        <v>1.22</v>
      </c>
      <c r="J64" s="201">
        <v>1.23</v>
      </c>
      <c r="K64" s="201">
        <v>1.22</v>
      </c>
      <c r="L64" s="201">
        <v>1.22</v>
      </c>
      <c r="M64" s="201">
        <v>1.22</v>
      </c>
      <c r="N64" s="201">
        <v>1.22</v>
      </c>
    </row>
    <row r="65" spans="1:14" ht="13" customHeight="1">
      <c r="A65" s="141" t="s">
        <v>139</v>
      </c>
      <c r="B65" s="201">
        <v>1.29</v>
      </c>
      <c r="C65" s="201">
        <v>1.29</v>
      </c>
      <c r="D65" s="201">
        <v>1.29</v>
      </c>
      <c r="E65" s="201">
        <v>1.29</v>
      </c>
      <c r="F65" s="201">
        <v>1.29</v>
      </c>
      <c r="G65" s="201">
        <v>1.29</v>
      </c>
      <c r="H65" s="201">
        <v>1.29</v>
      </c>
      <c r="I65" s="201">
        <v>1.29</v>
      </c>
      <c r="J65" s="201">
        <v>1.29</v>
      </c>
      <c r="K65" s="201">
        <v>1.29</v>
      </c>
      <c r="L65" s="201">
        <v>1.29</v>
      </c>
      <c r="M65" s="201">
        <v>1.29</v>
      </c>
      <c r="N65" s="201">
        <v>1.29</v>
      </c>
    </row>
    <row r="66" spans="1:14" ht="13" customHeight="1">
      <c r="A66" s="141" t="s">
        <v>29</v>
      </c>
      <c r="B66" s="201">
        <v>1.29</v>
      </c>
      <c r="C66" s="201">
        <v>1.25</v>
      </c>
      <c r="D66" s="201">
        <v>1.25</v>
      </c>
      <c r="E66" s="201">
        <v>1.26</v>
      </c>
      <c r="F66" s="201">
        <v>1.28</v>
      </c>
      <c r="G66" s="201">
        <v>1.28</v>
      </c>
      <c r="H66" s="201">
        <v>1.29</v>
      </c>
      <c r="I66" s="201">
        <v>1.3</v>
      </c>
      <c r="J66" s="201">
        <v>1.3</v>
      </c>
      <c r="K66" s="201">
        <v>1.3</v>
      </c>
      <c r="L66" s="201">
        <v>1.31</v>
      </c>
      <c r="M66" s="201">
        <v>1.31</v>
      </c>
      <c r="N66" s="201">
        <v>1.31</v>
      </c>
    </row>
    <row r="67" spans="1:14" ht="13" customHeight="1">
      <c r="A67" s="141" t="s">
        <v>30</v>
      </c>
      <c r="B67" s="201">
        <v>1.26</v>
      </c>
      <c r="C67" s="201">
        <v>1.21</v>
      </c>
      <c r="D67" s="201">
        <v>1.21</v>
      </c>
      <c r="E67" s="201">
        <v>1.22</v>
      </c>
      <c r="F67" s="201">
        <v>1.22</v>
      </c>
      <c r="G67" s="201">
        <v>1.28</v>
      </c>
      <c r="H67" s="201">
        <v>1.28</v>
      </c>
      <c r="I67" s="201">
        <v>1.28</v>
      </c>
      <c r="J67" s="201">
        <v>1.28</v>
      </c>
      <c r="K67" s="201">
        <v>1.28</v>
      </c>
      <c r="L67" s="201">
        <v>1.28</v>
      </c>
      <c r="M67" s="201">
        <v>1.28</v>
      </c>
      <c r="N67" s="201">
        <v>1.28</v>
      </c>
    </row>
    <row r="68" spans="1:14" ht="13" customHeight="1">
      <c r="A68" s="141" t="s">
        <v>31</v>
      </c>
      <c r="B68" s="201">
        <v>1.39</v>
      </c>
      <c r="C68" s="201">
        <v>1.38</v>
      </c>
      <c r="D68" s="201">
        <v>1.39</v>
      </c>
      <c r="E68" s="201">
        <v>1.39</v>
      </c>
      <c r="F68" s="201">
        <v>1.39</v>
      </c>
      <c r="G68" s="201">
        <v>1.39</v>
      </c>
      <c r="H68" s="201">
        <v>1.39</v>
      </c>
      <c r="I68" s="201">
        <v>1.39</v>
      </c>
      <c r="J68" s="201">
        <v>1.39</v>
      </c>
      <c r="K68" s="201">
        <v>1.39</v>
      </c>
      <c r="L68" s="201">
        <v>1.39</v>
      </c>
      <c r="M68" s="201">
        <v>1.4</v>
      </c>
      <c r="N68" s="201">
        <v>1.41</v>
      </c>
    </row>
    <row r="69" spans="1:14" ht="13" customHeight="1">
      <c r="A69" s="141" t="s">
        <v>32</v>
      </c>
      <c r="B69" s="201">
        <v>1.26</v>
      </c>
      <c r="C69" s="201">
        <v>1.24</v>
      </c>
      <c r="D69" s="201">
        <v>1.24</v>
      </c>
      <c r="E69" s="201">
        <v>1.24</v>
      </c>
      <c r="F69" s="201">
        <v>1.25</v>
      </c>
      <c r="G69" s="201">
        <v>1.25</v>
      </c>
      <c r="H69" s="201">
        <v>1.26</v>
      </c>
      <c r="I69" s="201">
        <v>1.26</v>
      </c>
      <c r="J69" s="201">
        <v>1.28</v>
      </c>
      <c r="K69" s="201">
        <v>1.28</v>
      </c>
      <c r="L69" s="201">
        <v>1.28</v>
      </c>
      <c r="M69" s="201">
        <v>1.28</v>
      </c>
      <c r="N69" s="201">
        <v>1.28</v>
      </c>
    </row>
    <row r="70" spans="1:14" ht="13" customHeight="1">
      <c r="A70" s="141" t="s">
        <v>33</v>
      </c>
      <c r="B70" s="201">
        <v>1.48</v>
      </c>
      <c r="C70" s="201">
        <v>1.48</v>
      </c>
      <c r="D70" s="201">
        <v>1.48</v>
      </c>
      <c r="E70" s="201">
        <v>1.49</v>
      </c>
      <c r="F70" s="201">
        <v>1.49</v>
      </c>
      <c r="G70" s="201">
        <v>1.49</v>
      </c>
      <c r="H70" s="201">
        <v>1.49</v>
      </c>
      <c r="I70" s="201">
        <v>1.49</v>
      </c>
      <c r="J70" s="201">
        <v>1.49</v>
      </c>
      <c r="K70" s="201">
        <v>1.49</v>
      </c>
      <c r="L70" s="201">
        <v>1.49</v>
      </c>
      <c r="M70" s="201">
        <v>1.49</v>
      </c>
      <c r="N70" s="201">
        <v>1.49</v>
      </c>
    </row>
    <row r="71" spans="1:14" ht="13" customHeight="1">
      <c r="A71" s="141" t="s">
        <v>34</v>
      </c>
      <c r="B71" s="201">
        <v>1.46</v>
      </c>
      <c r="C71" s="201">
        <v>1.46</v>
      </c>
      <c r="D71" s="201">
        <v>1.46</v>
      </c>
      <c r="E71" s="201">
        <v>1.46</v>
      </c>
      <c r="F71" s="201">
        <v>1.46</v>
      </c>
      <c r="G71" s="201">
        <v>1.46</v>
      </c>
      <c r="H71" s="201">
        <v>1.46</v>
      </c>
      <c r="I71" s="201">
        <v>1.46</v>
      </c>
      <c r="J71" s="201">
        <v>1.46</v>
      </c>
      <c r="K71" s="201">
        <v>1.46</v>
      </c>
      <c r="L71" s="201">
        <v>1.48</v>
      </c>
      <c r="M71" s="201">
        <v>1.48</v>
      </c>
      <c r="N71" s="201">
        <v>1.48</v>
      </c>
    </row>
    <row r="72" spans="1:14" ht="13" customHeight="1">
      <c r="A72" s="141" t="s">
        <v>35</v>
      </c>
      <c r="B72" s="201">
        <v>1.31</v>
      </c>
      <c r="C72" s="201">
        <v>1.28</v>
      </c>
      <c r="D72" s="201">
        <v>1.28</v>
      </c>
      <c r="E72" s="201">
        <v>1.29</v>
      </c>
      <c r="F72" s="201">
        <v>1.3</v>
      </c>
      <c r="G72" s="201">
        <v>1.3</v>
      </c>
      <c r="H72" s="201">
        <v>1.31</v>
      </c>
      <c r="I72" s="201">
        <v>1.31</v>
      </c>
      <c r="J72" s="201">
        <v>1.32</v>
      </c>
      <c r="K72" s="201">
        <v>1.32</v>
      </c>
      <c r="L72" s="201">
        <v>1.32</v>
      </c>
      <c r="M72" s="201">
        <v>1.32</v>
      </c>
      <c r="N72" s="201">
        <v>1.33</v>
      </c>
    </row>
    <row r="73" spans="1:14" ht="13" customHeight="1">
      <c r="A73" s="141" t="s">
        <v>36</v>
      </c>
      <c r="B73" s="201">
        <v>1.22</v>
      </c>
      <c r="C73" s="201">
        <v>1.2</v>
      </c>
      <c r="D73" s="201">
        <v>1.2</v>
      </c>
      <c r="E73" s="201">
        <v>1.2</v>
      </c>
      <c r="F73" s="201">
        <v>1.2</v>
      </c>
      <c r="G73" s="201">
        <v>1.2</v>
      </c>
      <c r="H73" s="201">
        <v>1.2</v>
      </c>
      <c r="I73" s="201">
        <v>1.23</v>
      </c>
      <c r="J73" s="201">
        <v>1.23</v>
      </c>
      <c r="K73" s="201">
        <v>1.23</v>
      </c>
      <c r="L73" s="201">
        <v>1.23</v>
      </c>
      <c r="M73" s="201">
        <v>1.23</v>
      </c>
      <c r="N73" s="201">
        <v>1.23</v>
      </c>
    </row>
    <row r="74" spans="1:14" ht="13" customHeight="1">
      <c r="A74" s="141" t="s">
        <v>37</v>
      </c>
      <c r="B74" s="201">
        <v>1.22</v>
      </c>
      <c r="C74" s="201">
        <v>1.21</v>
      </c>
      <c r="D74" s="201">
        <v>1.21</v>
      </c>
      <c r="E74" s="201">
        <v>1.21</v>
      </c>
      <c r="F74" s="201">
        <v>1.21</v>
      </c>
      <c r="G74" s="201">
        <v>1.21</v>
      </c>
      <c r="H74" s="201">
        <v>1.21</v>
      </c>
      <c r="I74" s="201">
        <v>1.2</v>
      </c>
      <c r="J74" s="201">
        <v>1.21</v>
      </c>
      <c r="K74" s="201">
        <v>1.22</v>
      </c>
      <c r="L74" s="201">
        <v>1.22</v>
      </c>
      <c r="M74" s="201">
        <v>1.22</v>
      </c>
      <c r="N74" s="201">
        <v>1.23</v>
      </c>
    </row>
    <row r="75" spans="1:14" ht="13" customHeight="1">
      <c r="A75" s="141" t="s">
        <v>38</v>
      </c>
      <c r="B75" s="201">
        <v>1.33</v>
      </c>
      <c r="C75" s="201">
        <v>1.34</v>
      </c>
      <c r="D75" s="201">
        <v>1.34</v>
      </c>
      <c r="E75" s="201">
        <v>1.34</v>
      </c>
      <c r="F75" s="201">
        <v>1.34</v>
      </c>
      <c r="G75" s="201">
        <v>1.34</v>
      </c>
      <c r="H75" s="201">
        <v>1.34</v>
      </c>
      <c r="I75" s="201">
        <v>1.32</v>
      </c>
      <c r="J75" s="201">
        <v>1.32</v>
      </c>
      <c r="K75" s="201">
        <v>1.32</v>
      </c>
      <c r="L75" s="201">
        <v>1.32</v>
      </c>
      <c r="M75" s="201">
        <v>1.32</v>
      </c>
      <c r="N75" s="201">
        <v>1.32</v>
      </c>
    </row>
    <row r="76" spans="1:14" ht="13" customHeight="1">
      <c r="A76" s="141" t="s">
        <v>39</v>
      </c>
      <c r="B76" s="201">
        <v>1.22</v>
      </c>
      <c r="C76" s="201">
        <v>1.19</v>
      </c>
      <c r="D76" s="201">
        <v>1.19</v>
      </c>
      <c r="E76" s="201">
        <v>1.21</v>
      </c>
      <c r="F76" s="201">
        <v>1.21</v>
      </c>
      <c r="G76" s="201">
        <v>1.21</v>
      </c>
      <c r="H76" s="201">
        <v>1.21</v>
      </c>
      <c r="I76" s="201">
        <v>1.21</v>
      </c>
      <c r="J76" s="201">
        <v>1.22</v>
      </c>
      <c r="K76" s="201">
        <v>1.21</v>
      </c>
      <c r="L76" s="201">
        <v>1.23</v>
      </c>
      <c r="M76" s="201">
        <v>1.23</v>
      </c>
      <c r="N76" s="201">
        <v>1.24</v>
      </c>
    </row>
    <row r="77" spans="1:14" ht="13" customHeight="1">
      <c r="A77" s="141" t="s">
        <v>40</v>
      </c>
      <c r="B77" s="201">
        <v>1.51</v>
      </c>
      <c r="C77" s="201">
        <v>1.5</v>
      </c>
      <c r="D77" s="201">
        <v>1.5</v>
      </c>
      <c r="E77" s="201">
        <v>1.5</v>
      </c>
      <c r="F77" s="201">
        <v>1.51</v>
      </c>
      <c r="G77" s="201">
        <v>1.51</v>
      </c>
      <c r="H77" s="201">
        <v>1.51</v>
      </c>
      <c r="I77" s="201">
        <v>1.52</v>
      </c>
      <c r="J77" s="201">
        <v>1.51</v>
      </c>
      <c r="K77" s="201">
        <v>1.51</v>
      </c>
      <c r="L77" s="201">
        <v>1.52</v>
      </c>
      <c r="M77" s="201">
        <v>1.52</v>
      </c>
      <c r="N77" s="201">
        <v>1.53</v>
      </c>
    </row>
    <row r="78" spans="1:14" ht="13" customHeight="1">
      <c r="A78" s="141" t="s">
        <v>41</v>
      </c>
      <c r="B78" s="201">
        <v>1.33</v>
      </c>
      <c r="C78" s="200">
        <v>1.33</v>
      </c>
      <c r="D78" s="200">
        <v>1.33</v>
      </c>
      <c r="E78" s="200">
        <v>1.33</v>
      </c>
      <c r="F78" s="200">
        <v>1.33</v>
      </c>
      <c r="G78" s="200">
        <v>1.33</v>
      </c>
      <c r="H78" s="200">
        <v>1.33</v>
      </c>
      <c r="I78" s="200">
        <v>1.33</v>
      </c>
      <c r="J78" s="200">
        <v>1.33</v>
      </c>
      <c r="K78" s="200">
        <v>1.33</v>
      </c>
      <c r="L78" s="200">
        <v>1.33</v>
      </c>
      <c r="M78" s="200">
        <v>1.33</v>
      </c>
      <c r="N78" s="200">
        <v>1.32</v>
      </c>
    </row>
    <row r="79" spans="1:14" ht="13" customHeight="1">
      <c r="A79" s="141" t="s">
        <v>111</v>
      </c>
      <c r="B79" s="201">
        <v>1.33</v>
      </c>
      <c r="C79" s="201">
        <v>1.33</v>
      </c>
      <c r="D79" s="201">
        <v>1.33</v>
      </c>
      <c r="E79" s="201">
        <v>1.33</v>
      </c>
      <c r="F79" s="201">
        <v>1.33</v>
      </c>
      <c r="G79" s="201">
        <v>1.33</v>
      </c>
      <c r="H79" s="201">
        <v>1.33</v>
      </c>
      <c r="I79" s="201">
        <v>1.33</v>
      </c>
      <c r="J79" s="201">
        <v>1.33</v>
      </c>
      <c r="K79" s="201">
        <v>1.33</v>
      </c>
      <c r="L79" s="201">
        <v>1.33</v>
      </c>
      <c r="M79" s="201">
        <v>1.33</v>
      </c>
      <c r="N79" s="201">
        <v>1.33</v>
      </c>
    </row>
    <row r="80" spans="1:14" ht="13" customHeight="1">
      <c r="A80" s="141" t="s">
        <v>112</v>
      </c>
      <c r="B80" s="201">
        <v>1.32</v>
      </c>
      <c r="C80" s="201">
        <v>1.32</v>
      </c>
      <c r="D80" s="201">
        <v>1.32</v>
      </c>
      <c r="E80" s="201">
        <v>1.32</v>
      </c>
      <c r="F80" s="201">
        <v>1.32</v>
      </c>
      <c r="G80" s="201">
        <v>1.32</v>
      </c>
      <c r="H80" s="201">
        <v>1.32</v>
      </c>
      <c r="I80" s="201">
        <v>1.32</v>
      </c>
      <c r="J80" s="201">
        <v>1.32</v>
      </c>
      <c r="K80" s="201">
        <v>1.32</v>
      </c>
      <c r="L80" s="201">
        <v>1.32</v>
      </c>
      <c r="M80" s="201">
        <v>1.32</v>
      </c>
      <c r="N80" s="201">
        <v>1.32</v>
      </c>
    </row>
    <row r="81" spans="1:14" ht="13" customHeight="1">
      <c r="A81" s="141" t="s">
        <v>44</v>
      </c>
      <c r="B81" s="201">
        <v>1.35</v>
      </c>
      <c r="C81" s="201">
        <v>1.36</v>
      </c>
      <c r="D81" s="201">
        <v>1.36</v>
      </c>
      <c r="E81" s="201">
        <v>1.36</v>
      </c>
      <c r="F81" s="201">
        <v>1.34</v>
      </c>
      <c r="G81" s="201">
        <v>1.34</v>
      </c>
      <c r="H81" s="201">
        <v>1.34</v>
      </c>
      <c r="I81" s="201">
        <v>1.34</v>
      </c>
      <c r="J81" s="201">
        <v>1.34</v>
      </c>
      <c r="K81" s="201">
        <v>1.35</v>
      </c>
      <c r="L81" s="201">
        <v>1.37</v>
      </c>
      <c r="M81" s="201">
        <v>1.37</v>
      </c>
      <c r="N81" s="201">
        <v>1.37</v>
      </c>
    </row>
    <row r="82" spans="1:14" ht="13" customHeight="1">
      <c r="A82" s="141" t="s">
        <v>45</v>
      </c>
      <c r="B82" s="201">
        <v>1.2</v>
      </c>
      <c r="C82" s="201">
        <v>1.17</v>
      </c>
      <c r="D82" s="201">
        <v>1.17</v>
      </c>
      <c r="E82" s="201">
        <v>1.17</v>
      </c>
      <c r="F82" s="201">
        <v>1.17</v>
      </c>
      <c r="G82" s="201">
        <v>1.23</v>
      </c>
      <c r="H82" s="201">
        <v>1.23</v>
      </c>
      <c r="I82" s="201">
        <v>1.23</v>
      </c>
      <c r="J82" s="201">
        <v>1.23</v>
      </c>
      <c r="K82" s="201">
        <v>1.23</v>
      </c>
      <c r="L82" s="201">
        <v>1.23</v>
      </c>
      <c r="M82" s="201">
        <v>1.23</v>
      </c>
      <c r="N82" s="201">
        <v>1.24</v>
      </c>
    </row>
    <row r="83" spans="1:14" ht="13" customHeight="1">
      <c r="A83" s="141" t="s">
        <v>46</v>
      </c>
      <c r="B83" s="201">
        <v>1.31</v>
      </c>
      <c r="C83" s="201">
        <v>1.31</v>
      </c>
      <c r="D83" s="201">
        <v>1.31</v>
      </c>
      <c r="E83" s="201">
        <v>1.31</v>
      </c>
      <c r="F83" s="201">
        <v>1.31</v>
      </c>
      <c r="G83" s="201">
        <v>1.31</v>
      </c>
      <c r="H83" s="201">
        <v>1.31</v>
      </c>
      <c r="I83" s="201">
        <v>1.31</v>
      </c>
      <c r="J83" s="201">
        <v>1.31</v>
      </c>
      <c r="K83" s="201">
        <v>1.31</v>
      </c>
      <c r="L83" s="201">
        <v>1.31</v>
      </c>
      <c r="M83" s="201">
        <v>1.31</v>
      </c>
      <c r="N83" s="201">
        <v>1.31</v>
      </c>
    </row>
    <row r="84" spans="1:14" ht="13" customHeight="1">
      <c r="A84" s="141" t="s">
        <v>47</v>
      </c>
      <c r="B84" s="201">
        <v>1.85</v>
      </c>
      <c r="C84" s="201">
        <v>1.84</v>
      </c>
      <c r="D84" s="201">
        <v>1.84</v>
      </c>
      <c r="E84" s="201">
        <v>1.84</v>
      </c>
      <c r="F84" s="201">
        <v>1.85</v>
      </c>
      <c r="G84" s="201">
        <v>1.85</v>
      </c>
      <c r="H84" s="201">
        <v>1.85</v>
      </c>
      <c r="I84" s="201">
        <v>1.85</v>
      </c>
      <c r="J84" s="201">
        <v>1.85</v>
      </c>
      <c r="K84" s="201">
        <v>1.85</v>
      </c>
      <c r="L84" s="201">
        <v>1.85</v>
      </c>
      <c r="M84" s="201">
        <v>1.85</v>
      </c>
      <c r="N84" s="201">
        <v>1.85</v>
      </c>
    </row>
    <row r="85" spans="1:14" ht="13" customHeight="1">
      <c r="A85" s="141" t="s">
        <v>48</v>
      </c>
      <c r="B85" s="201">
        <v>1.53</v>
      </c>
      <c r="C85" s="201">
        <v>1.53</v>
      </c>
      <c r="D85" s="201">
        <v>1.53</v>
      </c>
      <c r="E85" s="201">
        <v>1.53</v>
      </c>
      <c r="F85" s="201">
        <v>1.53</v>
      </c>
      <c r="G85" s="201">
        <v>1.53</v>
      </c>
      <c r="H85" s="201">
        <v>1.53</v>
      </c>
      <c r="I85" s="201">
        <v>1.53</v>
      </c>
      <c r="J85" s="201">
        <v>1.53</v>
      </c>
      <c r="K85" s="201">
        <v>1.53</v>
      </c>
      <c r="L85" s="201">
        <v>1.53</v>
      </c>
      <c r="M85" s="201">
        <v>1.54</v>
      </c>
      <c r="N85" s="201">
        <v>1.53</v>
      </c>
    </row>
    <row r="86" spans="1:14" ht="13" customHeight="1" thickBot="1">
      <c r="A86" s="202" t="s">
        <v>49</v>
      </c>
      <c r="B86" s="207">
        <v>1.54</v>
      </c>
      <c r="C86" s="203">
        <v>1.53</v>
      </c>
      <c r="D86" s="203">
        <v>1.53</v>
      </c>
      <c r="E86" s="203">
        <v>1.54</v>
      </c>
      <c r="F86" s="203">
        <v>1.55</v>
      </c>
      <c r="G86" s="203">
        <v>1.55</v>
      </c>
      <c r="H86" s="203">
        <v>1.55</v>
      </c>
      <c r="I86" s="203">
        <v>1.55</v>
      </c>
      <c r="J86" s="203">
        <v>1.55</v>
      </c>
      <c r="K86" s="203">
        <v>1.55</v>
      </c>
      <c r="L86" s="203">
        <v>1.58</v>
      </c>
      <c r="M86" s="203">
        <v>1.49</v>
      </c>
      <c r="N86" s="207">
        <v>1.49</v>
      </c>
    </row>
    <row r="87" spans="1:14" ht="13" customHeight="1">
      <c r="A87" s="10" t="s">
        <v>229</v>
      </c>
      <c r="B87" s="204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</row>
    <row r="88" spans="1:14" ht="13" customHeight="1">
      <c r="A88" s="10" t="s">
        <v>192</v>
      </c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208"/>
      <c r="N88" s="208"/>
    </row>
    <row r="89" spans="1:14" ht="13" customHeight="1">
      <c r="A89" s="12" t="s">
        <v>261</v>
      </c>
    </row>
    <row r="90" spans="1:14" ht="13" customHeight="1">
      <c r="A90" s="31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Hoja111">
    <tabColor theme="9" tint="0.59999389629810485"/>
  </sheetPr>
  <dimension ref="A1:N91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141" customWidth="1"/>
    <col min="2" max="14" width="8.3984375" style="141" customWidth="1"/>
    <col min="15" max="16384" width="7" style="141"/>
  </cols>
  <sheetData>
    <row r="1" spans="1:14" ht="17" customHeight="1">
      <c r="A1" s="943" t="s">
        <v>573</v>
      </c>
      <c r="B1" s="943"/>
      <c r="C1" s="944"/>
      <c r="D1" s="944"/>
      <c r="E1" s="944"/>
      <c r="F1" s="944"/>
      <c r="G1" s="944"/>
      <c r="H1" s="944"/>
      <c r="I1" s="944"/>
      <c r="J1" s="944"/>
      <c r="K1" s="944"/>
      <c r="L1" s="944"/>
      <c r="M1" s="944"/>
      <c r="N1" s="944"/>
    </row>
    <row r="2" spans="1:14" ht="13" customHeight="1">
      <c r="A2" s="1054" t="s">
        <v>590</v>
      </c>
      <c r="B2" s="508"/>
      <c r="C2" s="189"/>
      <c r="D2" s="189"/>
      <c r="E2" s="189"/>
      <c r="F2" s="189"/>
      <c r="G2" s="193"/>
      <c r="H2" s="192"/>
      <c r="I2" s="189"/>
      <c r="J2" s="189"/>
      <c r="K2" s="189"/>
      <c r="L2" s="189"/>
      <c r="M2" s="189"/>
      <c r="N2" s="189"/>
    </row>
    <row r="3" spans="1:14" ht="4" customHeight="1" thickBot="1">
      <c r="A3" s="192"/>
      <c r="B3" s="189"/>
      <c r="C3" s="189"/>
      <c r="D3" s="189"/>
      <c r="E3" s="189"/>
      <c r="F3" s="189"/>
      <c r="G3" s="193"/>
      <c r="H3" s="192"/>
      <c r="I3" s="189"/>
      <c r="J3" s="189"/>
      <c r="K3" s="189"/>
      <c r="L3" s="189"/>
      <c r="M3" s="189"/>
      <c r="N3" s="189"/>
    </row>
    <row r="4" spans="1:14" ht="15" customHeight="1">
      <c r="A4" s="934" t="s">
        <v>142</v>
      </c>
      <c r="B4" s="934" t="s">
        <v>56</v>
      </c>
      <c r="C4" s="934" t="s">
        <v>57</v>
      </c>
      <c r="D4" s="934" t="s">
        <v>58</v>
      </c>
      <c r="E4" s="934" t="s">
        <v>59</v>
      </c>
      <c r="F4" s="934" t="s">
        <v>60</v>
      </c>
      <c r="G4" s="934" t="s">
        <v>61</v>
      </c>
      <c r="H4" s="934" t="s">
        <v>62</v>
      </c>
      <c r="I4" s="934" t="s">
        <v>63</v>
      </c>
      <c r="J4" s="934" t="s">
        <v>64</v>
      </c>
      <c r="K4" s="934" t="s">
        <v>65</v>
      </c>
      <c r="L4" s="934" t="s">
        <v>66</v>
      </c>
      <c r="M4" s="934" t="s">
        <v>67</v>
      </c>
      <c r="N4" s="934" t="s">
        <v>68</v>
      </c>
    </row>
    <row r="5" spans="1:14" ht="15" customHeight="1">
      <c r="A5" s="929" t="s">
        <v>114</v>
      </c>
      <c r="B5" s="930">
        <v>6.6280601515788611</v>
      </c>
      <c r="C5" s="930">
        <v>6.6610547523047012</v>
      </c>
      <c r="D5" s="930">
        <v>6.6070264225290476</v>
      </c>
      <c r="E5" s="930">
        <v>6.5923170002653704</v>
      </c>
      <c r="F5" s="930">
        <v>6.0748037547705627</v>
      </c>
      <c r="G5" s="930">
        <v>6.5106440822140339</v>
      </c>
      <c r="H5" s="930">
        <v>6.9702447308989992</v>
      </c>
      <c r="I5" s="930">
        <v>6.2363913312577361</v>
      </c>
      <c r="J5" s="930">
        <v>6.0839810209234155</v>
      </c>
      <c r="K5" s="930">
        <v>6.4366297405589643</v>
      </c>
      <c r="L5" s="930">
        <v>6.8221398144332799</v>
      </c>
      <c r="M5" s="930">
        <v>6.6728896669805069</v>
      </c>
      <c r="N5" s="930">
        <v>6.5689408070718818</v>
      </c>
    </row>
    <row r="6" spans="1:14" ht="12" customHeight="1">
      <c r="A6" s="141" t="s">
        <v>21</v>
      </c>
      <c r="B6" s="939">
        <v>0</v>
      </c>
      <c r="C6" s="924">
        <v>0</v>
      </c>
      <c r="D6" s="924">
        <v>0</v>
      </c>
      <c r="E6" s="924">
        <v>0</v>
      </c>
      <c r="F6" s="924">
        <v>0</v>
      </c>
      <c r="G6" s="924">
        <v>0</v>
      </c>
      <c r="H6" s="924">
        <v>0</v>
      </c>
      <c r="I6" s="924">
        <v>0</v>
      </c>
      <c r="J6" s="924">
        <v>0</v>
      </c>
      <c r="K6" s="924">
        <v>0</v>
      </c>
      <c r="L6" s="924">
        <v>0</v>
      </c>
      <c r="M6" s="924">
        <v>0</v>
      </c>
      <c r="N6" s="924">
        <v>0</v>
      </c>
    </row>
    <row r="7" spans="1:14" ht="12" customHeight="1">
      <c r="A7" s="141" t="s">
        <v>22</v>
      </c>
      <c r="B7" s="939">
        <v>5.8170940253590171</v>
      </c>
      <c r="C7" s="924">
        <v>0</v>
      </c>
      <c r="D7" s="924">
        <v>0</v>
      </c>
      <c r="E7" s="924">
        <v>0</v>
      </c>
      <c r="F7" s="924">
        <v>5.8000000000000007</v>
      </c>
      <c r="G7" s="924">
        <v>5.8499999999999988</v>
      </c>
      <c r="H7" s="924">
        <v>0</v>
      </c>
      <c r="I7" s="924">
        <v>0</v>
      </c>
      <c r="J7" s="924">
        <v>0</v>
      </c>
      <c r="K7" s="924">
        <v>0</v>
      </c>
      <c r="L7" s="924">
        <v>0</v>
      </c>
      <c r="M7" s="924">
        <v>0</v>
      </c>
      <c r="N7" s="924">
        <v>0</v>
      </c>
    </row>
    <row r="8" spans="1:14" ht="12" customHeight="1">
      <c r="A8" s="141" t="s">
        <v>23</v>
      </c>
      <c r="B8" s="939">
        <v>0</v>
      </c>
      <c r="C8" s="924">
        <v>0</v>
      </c>
      <c r="D8" s="924">
        <v>0</v>
      </c>
      <c r="E8" s="924">
        <v>0</v>
      </c>
      <c r="F8" s="924">
        <v>0</v>
      </c>
      <c r="G8" s="924">
        <v>0</v>
      </c>
      <c r="H8" s="924">
        <v>0</v>
      </c>
      <c r="I8" s="924">
        <v>0</v>
      </c>
      <c r="J8" s="924">
        <v>0</v>
      </c>
      <c r="K8" s="924">
        <v>0</v>
      </c>
      <c r="L8" s="924">
        <v>0</v>
      </c>
      <c r="M8" s="924">
        <v>0</v>
      </c>
      <c r="N8" s="924">
        <v>0</v>
      </c>
    </row>
    <row r="9" spans="1:14" ht="12" customHeight="1">
      <c r="A9" s="141" t="s">
        <v>24</v>
      </c>
      <c r="B9" s="939">
        <v>5.9618945457574446</v>
      </c>
      <c r="C9" s="924">
        <v>0</v>
      </c>
      <c r="D9" s="924">
        <v>0</v>
      </c>
      <c r="E9" s="924">
        <v>0</v>
      </c>
      <c r="F9" s="924">
        <v>5.9999999999999991</v>
      </c>
      <c r="G9" s="928">
        <v>5.9799999999999995</v>
      </c>
      <c r="H9" s="928">
        <v>5.9700000000000006</v>
      </c>
      <c r="I9" s="928">
        <v>5.9812000000000003</v>
      </c>
      <c r="J9" s="928">
        <v>5.9699999999999989</v>
      </c>
      <c r="K9" s="924">
        <v>0</v>
      </c>
      <c r="L9" s="928">
        <v>5.96</v>
      </c>
      <c r="M9" s="928">
        <v>5.95</v>
      </c>
      <c r="N9" s="928">
        <v>5.94</v>
      </c>
    </row>
    <row r="10" spans="1:14" ht="12" customHeight="1">
      <c r="A10" s="141" t="s">
        <v>25</v>
      </c>
      <c r="B10" s="939">
        <v>0</v>
      </c>
      <c r="C10" s="924">
        <v>0</v>
      </c>
      <c r="D10" s="924">
        <v>0</v>
      </c>
      <c r="E10" s="924">
        <v>0</v>
      </c>
      <c r="F10" s="924">
        <v>0</v>
      </c>
      <c r="G10" s="924">
        <v>0</v>
      </c>
      <c r="H10" s="924">
        <v>0</v>
      </c>
      <c r="I10" s="924">
        <v>0</v>
      </c>
      <c r="J10" s="924">
        <v>0</v>
      </c>
      <c r="K10" s="924">
        <v>0</v>
      </c>
      <c r="L10" s="924">
        <v>0</v>
      </c>
      <c r="M10" s="924">
        <v>0</v>
      </c>
      <c r="N10" s="924">
        <v>0</v>
      </c>
    </row>
    <row r="11" spans="1:14" ht="12" customHeight="1">
      <c r="A11" s="141" t="s">
        <v>107</v>
      </c>
      <c r="B11" s="939">
        <v>0</v>
      </c>
      <c r="C11" s="924">
        <v>0</v>
      </c>
      <c r="D11" s="924">
        <v>0</v>
      </c>
      <c r="E11" s="924">
        <v>0</v>
      </c>
      <c r="F11" s="924">
        <v>0</v>
      </c>
      <c r="G11" s="924">
        <v>0</v>
      </c>
      <c r="H11" s="924">
        <v>0</v>
      </c>
      <c r="I11" s="924">
        <v>0</v>
      </c>
      <c r="J11" s="924">
        <v>0</v>
      </c>
      <c r="K11" s="924">
        <v>0</v>
      </c>
      <c r="L11" s="924">
        <v>0</v>
      </c>
      <c r="M11" s="924">
        <v>0</v>
      </c>
      <c r="N11" s="924">
        <v>0</v>
      </c>
    </row>
    <row r="12" spans="1:14" ht="12" customHeight="1">
      <c r="A12" s="141" t="s">
        <v>108</v>
      </c>
      <c r="B12" s="939">
        <v>0</v>
      </c>
      <c r="C12" s="924">
        <v>0</v>
      </c>
      <c r="D12" s="924">
        <v>0</v>
      </c>
      <c r="E12" s="924">
        <v>0</v>
      </c>
      <c r="F12" s="924">
        <v>0</v>
      </c>
      <c r="G12" s="924">
        <v>0</v>
      </c>
      <c r="H12" s="924">
        <v>0</v>
      </c>
      <c r="I12" s="924">
        <v>0</v>
      </c>
      <c r="J12" s="924">
        <v>0</v>
      </c>
      <c r="K12" s="924">
        <v>0</v>
      </c>
      <c r="L12" s="924">
        <v>0</v>
      </c>
      <c r="M12" s="924">
        <v>0</v>
      </c>
      <c r="N12" s="924">
        <v>0</v>
      </c>
    </row>
    <row r="13" spans="1:14" ht="12" customHeight="1">
      <c r="A13" s="141" t="s">
        <v>139</v>
      </c>
      <c r="B13" s="939">
        <v>0</v>
      </c>
      <c r="C13" s="924">
        <v>0</v>
      </c>
      <c r="D13" s="924">
        <v>0</v>
      </c>
      <c r="E13" s="924">
        <v>0</v>
      </c>
      <c r="F13" s="924">
        <v>0</v>
      </c>
      <c r="G13" s="924">
        <v>0</v>
      </c>
      <c r="H13" s="924">
        <v>0</v>
      </c>
      <c r="I13" s="924">
        <v>0</v>
      </c>
      <c r="J13" s="924">
        <v>0</v>
      </c>
      <c r="K13" s="924">
        <v>0</v>
      </c>
      <c r="L13" s="924">
        <v>0</v>
      </c>
      <c r="M13" s="924">
        <v>0</v>
      </c>
      <c r="N13" s="924">
        <v>0</v>
      </c>
    </row>
    <row r="14" spans="1:14" ht="12" customHeight="1">
      <c r="A14" s="141" t="s">
        <v>29</v>
      </c>
      <c r="B14" s="939">
        <v>0</v>
      </c>
      <c r="C14" s="924">
        <v>0</v>
      </c>
      <c r="D14" s="924">
        <v>0</v>
      </c>
      <c r="E14" s="924">
        <v>0</v>
      </c>
      <c r="F14" s="924">
        <v>0</v>
      </c>
      <c r="G14" s="924">
        <v>0</v>
      </c>
      <c r="H14" s="924">
        <v>0</v>
      </c>
      <c r="I14" s="924">
        <v>0</v>
      </c>
      <c r="J14" s="924">
        <v>0</v>
      </c>
      <c r="K14" s="924">
        <v>0</v>
      </c>
      <c r="L14" s="924">
        <v>0</v>
      </c>
      <c r="M14" s="924">
        <v>0</v>
      </c>
      <c r="N14" s="924">
        <v>0</v>
      </c>
    </row>
    <row r="15" spans="1:14" ht="12" customHeight="1">
      <c r="A15" s="141" t="s">
        <v>30</v>
      </c>
      <c r="B15" s="939">
        <v>0</v>
      </c>
      <c r="C15" s="924">
        <v>0</v>
      </c>
      <c r="D15" s="924">
        <v>0</v>
      </c>
      <c r="E15" s="924">
        <v>0</v>
      </c>
      <c r="F15" s="924">
        <v>0</v>
      </c>
      <c r="G15" s="924">
        <v>0</v>
      </c>
      <c r="H15" s="924">
        <v>0</v>
      </c>
      <c r="I15" s="924">
        <v>0</v>
      </c>
      <c r="J15" s="924">
        <v>0</v>
      </c>
      <c r="K15" s="924">
        <v>0</v>
      </c>
      <c r="L15" s="924">
        <v>0</v>
      </c>
      <c r="M15" s="924">
        <v>0</v>
      </c>
      <c r="N15" s="924">
        <v>0</v>
      </c>
    </row>
    <row r="16" spans="1:14" ht="12" customHeight="1">
      <c r="A16" s="141" t="s">
        <v>31</v>
      </c>
      <c r="B16" s="939">
        <v>6.3707008674534329</v>
      </c>
      <c r="C16" s="924">
        <v>0</v>
      </c>
      <c r="D16" s="924">
        <v>6.2999999999999989</v>
      </c>
      <c r="E16" s="924">
        <v>0</v>
      </c>
      <c r="F16" s="924">
        <v>6.3499999999999988</v>
      </c>
      <c r="G16" s="924">
        <v>6.3800000000000008</v>
      </c>
      <c r="H16" s="924">
        <v>6.3900000000000006</v>
      </c>
      <c r="I16" s="924">
        <v>6.41</v>
      </c>
      <c r="J16" s="924">
        <v>0</v>
      </c>
      <c r="K16" s="924">
        <v>0</v>
      </c>
      <c r="L16" s="924">
        <v>0</v>
      </c>
      <c r="M16" s="924">
        <v>0</v>
      </c>
      <c r="N16" s="924">
        <v>0</v>
      </c>
    </row>
    <row r="17" spans="1:14" ht="12" customHeight="1">
      <c r="A17" s="141" t="s">
        <v>32</v>
      </c>
      <c r="B17" s="939">
        <v>0</v>
      </c>
      <c r="C17" s="924">
        <v>0</v>
      </c>
      <c r="D17" s="924">
        <v>0</v>
      </c>
      <c r="E17" s="924">
        <v>0</v>
      </c>
      <c r="F17" s="924">
        <v>0</v>
      </c>
      <c r="G17" s="924">
        <v>0</v>
      </c>
      <c r="H17" s="924">
        <v>0</v>
      </c>
      <c r="I17" s="924">
        <v>0</v>
      </c>
      <c r="J17" s="924">
        <v>0</v>
      </c>
      <c r="K17" s="924">
        <v>0</v>
      </c>
      <c r="L17" s="924">
        <v>0</v>
      </c>
      <c r="M17" s="924">
        <v>0</v>
      </c>
      <c r="N17" s="924">
        <v>0</v>
      </c>
    </row>
    <row r="18" spans="1:14" ht="12" customHeight="1">
      <c r="A18" s="141" t="s">
        <v>33</v>
      </c>
      <c r="B18" s="939">
        <v>5.7469634906500451</v>
      </c>
      <c r="C18" s="924">
        <v>4.12</v>
      </c>
      <c r="D18" s="924">
        <v>6.18</v>
      </c>
      <c r="E18" s="924">
        <v>6.1700000000000008</v>
      </c>
      <c r="F18" s="924">
        <v>6.2299999999999995</v>
      </c>
      <c r="G18" s="924">
        <v>6.17</v>
      </c>
      <c r="H18" s="924">
        <v>6.1999999999999993</v>
      </c>
      <c r="I18" s="924">
        <v>6.22</v>
      </c>
      <c r="J18" s="924">
        <v>6.2099999999999991</v>
      </c>
      <c r="K18" s="924">
        <v>6.22</v>
      </c>
      <c r="L18" s="924">
        <v>6.23</v>
      </c>
      <c r="M18" s="924">
        <v>6.21</v>
      </c>
      <c r="N18" s="924">
        <v>6.22</v>
      </c>
    </row>
    <row r="19" spans="1:14" ht="12" customHeight="1">
      <c r="A19" s="141" t="s">
        <v>34</v>
      </c>
      <c r="B19" s="939">
        <v>6.1169590711475141</v>
      </c>
      <c r="C19" s="924">
        <v>0</v>
      </c>
      <c r="D19" s="924">
        <v>0</v>
      </c>
      <c r="E19" s="924">
        <v>0</v>
      </c>
      <c r="F19" s="924">
        <v>0</v>
      </c>
      <c r="G19" s="924">
        <v>0</v>
      </c>
      <c r="H19" s="924">
        <v>0</v>
      </c>
      <c r="I19" s="924">
        <v>0</v>
      </c>
      <c r="J19" s="924">
        <v>0</v>
      </c>
      <c r="K19" s="924">
        <v>0</v>
      </c>
      <c r="L19" s="924">
        <v>5.8500000000000005</v>
      </c>
      <c r="M19" s="924">
        <v>6.18</v>
      </c>
      <c r="N19" s="924">
        <v>6.169999999999999</v>
      </c>
    </row>
    <row r="20" spans="1:14" ht="12" customHeight="1">
      <c r="A20" s="141" t="s">
        <v>35</v>
      </c>
      <c r="B20" s="939">
        <v>6.9361801032981605</v>
      </c>
      <c r="C20" s="924">
        <v>0</v>
      </c>
      <c r="D20" s="924">
        <v>0</v>
      </c>
      <c r="E20" s="924">
        <v>0</v>
      </c>
      <c r="F20" s="924">
        <v>0</v>
      </c>
      <c r="G20" s="924">
        <v>0</v>
      </c>
      <c r="H20" s="924">
        <v>0</v>
      </c>
      <c r="I20" s="924">
        <v>0</v>
      </c>
      <c r="J20" s="924">
        <v>0</v>
      </c>
      <c r="K20" s="924">
        <v>0</v>
      </c>
      <c r="L20" s="924">
        <v>7.0399999999999983</v>
      </c>
      <c r="M20" s="924">
        <v>7.0500000000000007</v>
      </c>
      <c r="N20" s="924">
        <v>5.05</v>
      </c>
    </row>
    <row r="21" spans="1:14" ht="12" customHeight="1">
      <c r="A21" s="141" t="s">
        <v>36</v>
      </c>
      <c r="B21" s="939">
        <v>7.1493418799673361</v>
      </c>
      <c r="C21" s="924">
        <v>0</v>
      </c>
      <c r="D21" s="924">
        <v>7.1499999999999995</v>
      </c>
      <c r="E21" s="924">
        <v>7.16</v>
      </c>
      <c r="F21" s="924">
        <v>7.1500000000000012</v>
      </c>
      <c r="G21" s="924">
        <v>7.1300000000000017</v>
      </c>
      <c r="H21" s="924">
        <v>7.1500000000000012</v>
      </c>
      <c r="I21" s="924">
        <v>0</v>
      </c>
      <c r="J21" s="924">
        <v>0</v>
      </c>
      <c r="K21" s="924">
        <v>7.16</v>
      </c>
      <c r="L21" s="924">
        <v>7.17</v>
      </c>
      <c r="M21" s="924">
        <v>7.1800000000000015</v>
      </c>
      <c r="N21" s="924">
        <v>7.1740000000000004</v>
      </c>
    </row>
    <row r="22" spans="1:14" ht="12" customHeight="1">
      <c r="A22" s="141" t="s">
        <v>37</v>
      </c>
      <c r="B22" s="939">
        <v>7.7114739233891063</v>
      </c>
      <c r="C22" s="924">
        <v>7.71</v>
      </c>
      <c r="D22" s="924">
        <v>7.6999999999999993</v>
      </c>
      <c r="E22" s="924">
        <v>7.7199999999999989</v>
      </c>
      <c r="F22" s="924">
        <v>0</v>
      </c>
      <c r="G22" s="924">
        <v>0</v>
      </c>
      <c r="H22" s="924">
        <v>0</v>
      </c>
      <c r="I22" s="924">
        <v>0</v>
      </c>
      <c r="J22" s="924">
        <v>0</v>
      </c>
      <c r="K22" s="924">
        <v>0</v>
      </c>
      <c r="L22" s="924">
        <v>0</v>
      </c>
      <c r="M22" s="924">
        <v>0</v>
      </c>
      <c r="N22" s="924">
        <v>7.7200000000000006</v>
      </c>
    </row>
    <row r="23" spans="1:14" ht="12" customHeight="1">
      <c r="A23" s="141" t="s">
        <v>38</v>
      </c>
      <c r="B23" s="939">
        <v>6.8224366737910644</v>
      </c>
      <c r="C23" s="924">
        <v>6.65</v>
      </c>
      <c r="D23" s="924">
        <v>6.8</v>
      </c>
      <c r="E23" s="924">
        <v>6.82</v>
      </c>
      <c r="F23" s="924">
        <v>6.839999999999999</v>
      </c>
      <c r="G23" s="924">
        <v>0</v>
      </c>
      <c r="H23" s="924">
        <v>0</v>
      </c>
      <c r="I23" s="924">
        <v>0</v>
      </c>
      <c r="J23" s="924">
        <v>6.8499999999999988</v>
      </c>
      <c r="K23" s="924">
        <v>6.879999999999999</v>
      </c>
      <c r="L23" s="924">
        <v>6.8499999999999988</v>
      </c>
      <c r="M23" s="924">
        <v>6.839999999999999</v>
      </c>
      <c r="N23" s="924">
        <v>6.73</v>
      </c>
    </row>
    <row r="24" spans="1:14" ht="12" customHeight="1">
      <c r="A24" s="141" t="s">
        <v>39</v>
      </c>
      <c r="B24" s="939">
        <v>6.9896828160111344</v>
      </c>
      <c r="C24" s="924">
        <v>0</v>
      </c>
      <c r="D24" s="924">
        <v>0</v>
      </c>
      <c r="E24" s="924">
        <v>0</v>
      </c>
      <c r="F24" s="924">
        <v>0</v>
      </c>
      <c r="G24" s="924">
        <v>0</v>
      </c>
      <c r="H24" s="924">
        <v>0</v>
      </c>
      <c r="I24" s="924">
        <v>0</v>
      </c>
      <c r="J24" s="924">
        <v>0</v>
      </c>
      <c r="K24" s="924">
        <v>0</v>
      </c>
      <c r="L24" s="924">
        <v>7.2</v>
      </c>
      <c r="M24" s="924">
        <v>6.8</v>
      </c>
      <c r="N24" s="924">
        <v>0</v>
      </c>
    </row>
    <row r="25" spans="1:14" ht="12" customHeight="1">
      <c r="A25" s="141" t="s">
        <v>40</v>
      </c>
      <c r="B25" s="939">
        <v>5.8908371210156734</v>
      </c>
      <c r="C25" s="924">
        <v>5.8499999999999988</v>
      </c>
      <c r="D25" s="924">
        <v>5.86</v>
      </c>
      <c r="E25" s="924">
        <v>5.87</v>
      </c>
      <c r="F25" s="924">
        <v>5.9000000000000012</v>
      </c>
      <c r="G25" s="924">
        <v>5.8800000000000008</v>
      </c>
      <c r="H25" s="924">
        <v>5.9</v>
      </c>
      <c r="I25" s="924">
        <v>0</v>
      </c>
      <c r="J25" s="924">
        <v>5.9099999999999993</v>
      </c>
      <c r="K25" s="924">
        <v>5.93</v>
      </c>
      <c r="L25" s="924">
        <v>5.95</v>
      </c>
      <c r="M25" s="924">
        <v>5.93</v>
      </c>
      <c r="N25" s="924">
        <v>5.919999999999999</v>
      </c>
    </row>
    <row r="26" spans="1:14" ht="12" customHeight="1">
      <c r="A26" s="141" t="s">
        <v>41</v>
      </c>
      <c r="B26" s="939">
        <v>5.6865498098684455</v>
      </c>
      <c r="C26" s="924">
        <v>5.5895030250648228</v>
      </c>
      <c r="D26" s="924">
        <v>5.6162219172144754</v>
      </c>
      <c r="E26" s="924">
        <v>5.6379878775834653</v>
      </c>
      <c r="F26" s="924">
        <v>5.6336856223175964</v>
      </c>
      <c r="G26" s="924">
        <v>5.66</v>
      </c>
      <c r="H26" s="924">
        <v>0</v>
      </c>
      <c r="I26" s="924">
        <v>0</v>
      </c>
      <c r="J26" s="924">
        <v>0</v>
      </c>
      <c r="K26" s="924">
        <v>0</v>
      </c>
      <c r="L26" s="924">
        <v>0</v>
      </c>
      <c r="M26" s="924">
        <v>5.9099999999999993</v>
      </c>
      <c r="N26" s="924">
        <v>5.9000000000000012</v>
      </c>
    </row>
    <row r="27" spans="1:14" ht="12" customHeight="1">
      <c r="A27" s="141" t="s">
        <v>111</v>
      </c>
      <c r="B27" s="939">
        <v>5.7057748086892115</v>
      </c>
      <c r="C27" s="924">
        <v>5.6</v>
      </c>
      <c r="D27" s="924">
        <v>5.6199999999999992</v>
      </c>
      <c r="E27" s="924">
        <v>5.6400000000000006</v>
      </c>
      <c r="F27" s="924">
        <v>5.629999999999999</v>
      </c>
      <c r="G27" s="924">
        <v>0</v>
      </c>
      <c r="H27" s="924">
        <v>0</v>
      </c>
      <c r="I27" s="924">
        <v>0</v>
      </c>
      <c r="J27" s="924">
        <v>0</v>
      </c>
      <c r="K27" s="924">
        <v>0</v>
      </c>
      <c r="L27" s="924">
        <v>0</v>
      </c>
      <c r="M27" s="924">
        <v>5.9099999999999993</v>
      </c>
      <c r="N27" s="924">
        <v>5.9000000000000012</v>
      </c>
    </row>
    <row r="28" spans="1:14" ht="12" customHeight="1">
      <c r="A28" s="141" t="s">
        <v>112</v>
      </c>
      <c r="B28" s="939">
        <v>5.6068840804401123</v>
      </c>
      <c r="C28" s="924">
        <v>5.580000000000001</v>
      </c>
      <c r="D28" s="924">
        <v>5.6</v>
      </c>
      <c r="E28" s="924">
        <v>5.63</v>
      </c>
      <c r="F28" s="924">
        <v>5.65</v>
      </c>
      <c r="G28" s="924">
        <v>5.66</v>
      </c>
      <c r="H28" s="924">
        <v>0</v>
      </c>
      <c r="I28" s="924">
        <v>0</v>
      </c>
      <c r="J28" s="924">
        <v>0</v>
      </c>
      <c r="K28" s="924">
        <v>0</v>
      </c>
      <c r="L28" s="924">
        <v>0</v>
      </c>
      <c r="M28" s="924">
        <v>0</v>
      </c>
      <c r="N28" s="924">
        <v>0</v>
      </c>
    </row>
    <row r="29" spans="1:14" ht="12" customHeight="1">
      <c r="A29" s="141" t="s">
        <v>44</v>
      </c>
      <c r="B29" s="939">
        <v>6.5425122801894391</v>
      </c>
      <c r="C29" s="924">
        <v>6.6</v>
      </c>
      <c r="D29" s="924">
        <v>6.580000000000001</v>
      </c>
      <c r="E29" s="924">
        <v>6.6000000000000005</v>
      </c>
      <c r="F29" s="924">
        <v>0</v>
      </c>
      <c r="G29" s="924">
        <v>0</v>
      </c>
      <c r="H29" s="924">
        <v>0</v>
      </c>
      <c r="I29" s="924">
        <v>0</v>
      </c>
      <c r="J29" s="924">
        <v>0</v>
      </c>
      <c r="K29" s="924">
        <v>0</v>
      </c>
      <c r="L29" s="924">
        <v>0</v>
      </c>
      <c r="M29" s="924">
        <v>6.5000000000000009</v>
      </c>
      <c r="N29" s="924">
        <v>6.52</v>
      </c>
    </row>
    <row r="30" spans="1:14" ht="12" customHeight="1">
      <c r="A30" s="141" t="s">
        <v>45</v>
      </c>
      <c r="B30" s="939">
        <v>6.6494938430852271</v>
      </c>
      <c r="C30" s="923">
        <v>6.5318399999999999</v>
      </c>
      <c r="D30" s="928">
        <v>6.555352000000001</v>
      </c>
      <c r="E30" s="928">
        <v>6.5825680000000002</v>
      </c>
      <c r="F30" s="924">
        <v>0</v>
      </c>
      <c r="G30" s="924">
        <v>0</v>
      </c>
      <c r="H30" s="924">
        <v>0</v>
      </c>
      <c r="I30" s="924">
        <v>0</v>
      </c>
      <c r="J30" s="924">
        <v>0</v>
      </c>
      <c r="K30" s="924">
        <v>0</v>
      </c>
      <c r="L30" s="924">
        <v>0</v>
      </c>
      <c r="M30" s="928">
        <v>6.7058719999999994</v>
      </c>
      <c r="N30" s="928">
        <v>6.7161920000000004</v>
      </c>
    </row>
    <row r="31" spans="1:14" ht="12" customHeight="1">
      <c r="A31" s="141" t="s">
        <v>46</v>
      </c>
      <c r="B31" s="941">
        <v>0</v>
      </c>
      <c r="C31" s="923">
        <v>0</v>
      </c>
      <c r="D31" s="923">
        <v>0</v>
      </c>
      <c r="E31" s="923">
        <v>0</v>
      </c>
      <c r="F31" s="923">
        <v>0</v>
      </c>
      <c r="G31" s="923">
        <v>0</v>
      </c>
      <c r="H31" s="923">
        <v>0</v>
      </c>
      <c r="I31" s="923">
        <v>0</v>
      </c>
      <c r="J31" s="923">
        <v>0</v>
      </c>
      <c r="K31" s="923">
        <v>0</v>
      </c>
      <c r="L31" s="923">
        <v>0</v>
      </c>
      <c r="M31" s="923">
        <v>0</v>
      </c>
      <c r="N31" s="923">
        <v>0</v>
      </c>
    </row>
    <row r="32" spans="1:14" ht="12" customHeight="1">
      <c r="A32" s="141" t="s">
        <v>47</v>
      </c>
      <c r="B32" s="941">
        <v>0</v>
      </c>
      <c r="C32" s="923">
        <v>0</v>
      </c>
      <c r="D32" s="923">
        <v>0</v>
      </c>
      <c r="E32" s="923">
        <v>0</v>
      </c>
      <c r="F32" s="923">
        <v>0</v>
      </c>
      <c r="G32" s="923">
        <v>0</v>
      </c>
      <c r="H32" s="923">
        <v>0</v>
      </c>
      <c r="I32" s="923">
        <v>0</v>
      </c>
      <c r="J32" s="923">
        <v>0</v>
      </c>
      <c r="K32" s="923">
        <v>0</v>
      </c>
      <c r="L32" s="923">
        <v>0</v>
      </c>
      <c r="M32" s="923">
        <v>0</v>
      </c>
      <c r="N32" s="923">
        <v>0</v>
      </c>
    </row>
    <row r="33" spans="1:14" ht="12" customHeight="1">
      <c r="A33" s="141" t="s">
        <v>48</v>
      </c>
      <c r="B33" s="941">
        <v>0</v>
      </c>
      <c r="C33" s="923">
        <v>0</v>
      </c>
      <c r="D33" s="923">
        <v>0</v>
      </c>
      <c r="E33" s="923">
        <v>0</v>
      </c>
      <c r="F33" s="923">
        <v>0</v>
      </c>
      <c r="G33" s="923">
        <v>0</v>
      </c>
      <c r="H33" s="923">
        <v>0</v>
      </c>
      <c r="I33" s="923">
        <v>0</v>
      </c>
      <c r="J33" s="923">
        <v>0</v>
      </c>
      <c r="K33" s="923">
        <v>0</v>
      </c>
      <c r="L33" s="923">
        <v>0</v>
      </c>
      <c r="M33" s="923">
        <v>0</v>
      </c>
      <c r="N33" s="923">
        <v>0</v>
      </c>
    </row>
    <row r="34" spans="1:14" ht="12" customHeight="1" thickBot="1">
      <c r="A34" s="202" t="s">
        <v>49</v>
      </c>
      <c r="B34" s="940">
        <v>0</v>
      </c>
      <c r="C34" s="925">
        <v>0</v>
      </c>
      <c r="D34" s="925">
        <v>0</v>
      </c>
      <c r="E34" s="925">
        <v>0</v>
      </c>
      <c r="F34" s="925">
        <v>0</v>
      </c>
      <c r="G34" s="925">
        <v>0</v>
      </c>
      <c r="H34" s="925">
        <v>0</v>
      </c>
      <c r="I34" s="925">
        <v>0</v>
      </c>
      <c r="J34" s="925">
        <v>0</v>
      </c>
      <c r="K34" s="925">
        <v>0</v>
      </c>
      <c r="L34" s="925">
        <v>0</v>
      </c>
      <c r="M34" s="925">
        <v>0</v>
      </c>
      <c r="N34" s="925">
        <v>0</v>
      </c>
    </row>
    <row r="35" spans="1:14" ht="10" customHeight="1">
      <c r="A35" s="28" t="s">
        <v>570</v>
      </c>
      <c r="B35" s="935"/>
      <c r="C35" s="936"/>
      <c r="D35" s="936"/>
      <c r="E35" s="936"/>
      <c r="F35" s="936"/>
      <c r="G35" s="936"/>
      <c r="H35" s="936"/>
      <c r="I35" s="936"/>
      <c r="J35" s="936"/>
      <c r="K35" s="936"/>
      <c r="L35" s="936"/>
      <c r="M35" s="936"/>
      <c r="N35" s="936"/>
    </row>
    <row r="36" spans="1:14" ht="10" customHeight="1">
      <c r="A36" s="28" t="s">
        <v>192</v>
      </c>
      <c r="B36" s="936"/>
      <c r="C36" s="936"/>
      <c r="D36" s="936"/>
      <c r="E36" s="936"/>
      <c r="F36" s="936"/>
      <c r="G36" s="936"/>
      <c r="H36" s="936"/>
      <c r="I36" s="936"/>
      <c r="J36" s="936"/>
      <c r="K36" s="936"/>
      <c r="L36" s="936"/>
      <c r="M36" s="936"/>
      <c r="N36" s="936"/>
    </row>
    <row r="37" spans="1:14" ht="10" customHeight="1">
      <c r="A37" s="40" t="s">
        <v>571</v>
      </c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</row>
    <row r="38" spans="1:14" ht="13" customHeight="1">
      <c r="A38" s="31"/>
    </row>
    <row r="39" spans="1:14" ht="13" customHeight="1">
      <c r="A39" s="31"/>
    </row>
    <row r="55" spans="1:14" ht="13" customHeight="1">
      <c r="A55" s="141" t="s">
        <v>572</v>
      </c>
    </row>
    <row r="56" spans="1:14" ht="13" customHeight="1">
      <c r="A56" s="141" t="s">
        <v>591</v>
      </c>
    </row>
    <row r="58" spans="1:14" ht="13" customHeight="1">
      <c r="A58" s="141" t="s">
        <v>142</v>
      </c>
      <c r="B58" s="141" t="s">
        <v>140</v>
      </c>
      <c r="C58" s="141" t="s">
        <v>88</v>
      </c>
      <c r="D58" s="141" t="s">
        <v>89</v>
      </c>
      <c r="E58" s="141" t="s">
        <v>90</v>
      </c>
      <c r="F58" s="141" t="s">
        <v>91</v>
      </c>
      <c r="G58" s="141" t="s">
        <v>92</v>
      </c>
      <c r="H58" s="141" t="s">
        <v>93</v>
      </c>
      <c r="I58" s="141" t="s">
        <v>94</v>
      </c>
      <c r="J58" s="141" t="s">
        <v>95</v>
      </c>
      <c r="K58" s="141" t="s">
        <v>96</v>
      </c>
      <c r="L58" s="141" t="s">
        <v>97</v>
      </c>
      <c r="M58" s="141" t="s">
        <v>98</v>
      </c>
      <c r="N58" s="141" t="s">
        <v>99</v>
      </c>
    </row>
    <row r="59" spans="1:14" ht="13" customHeight="1">
      <c r="A59" s="141" t="s">
        <v>114</v>
      </c>
      <c r="B59" s="141">
        <v>14.631479363308744</v>
      </c>
      <c r="C59" s="141">
        <v>14.704315126500443</v>
      </c>
      <c r="D59" s="141">
        <v>14.585047290351097</v>
      </c>
      <c r="E59" s="141">
        <v>14.552576159526204</v>
      </c>
      <c r="F59" s="141">
        <v>13.410162814063051</v>
      </c>
      <c r="G59" s="141">
        <v>14.372282742194335</v>
      </c>
      <c r="H59" s="141">
        <v>15.386853710593817</v>
      </c>
      <c r="I59" s="141">
        <v>13.766868280922154</v>
      </c>
      <c r="J59" s="141">
        <v>13.430421679742638</v>
      </c>
      <c r="K59" s="141">
        <v>14.208895674523099</v>
      </c>
      <c r="L59" s="141">
        <v>15.05991129013969</v>
      </c>
      <c r="M59" s="141">
        <v>14.730440765961383</v>
      </c>
      <c r="N59" s="141">
        <v>14.500973084043888</v>
      </c>
    </row>
    <row r="60" spans="1:14" ht="13" customHeight="1">
      <c r="A60" s="141" t="s">
        <v>21</v>
      </c>
      <c r="B60" s="141">
        <v>0</v>
      </c>
      <c r="C60" s="141">
        <v>0</v>
      </c>
      <c r="D60" s="141">
        <v>0</v>
      </c>
      <c r="E60" s="141">
        <v>0</v>
      </c>
      <c r="F60" s="141">
        <v>0</v>
      </c>
      <c r="G60" s="141">
        <v>0</v>
      </c>
      <c r="H60" s="141">
        <v>0</v>
      </c>
      <c r="I60" s="141">
        <v>0</v>
      </c>
      <c r="J60" s="141">
        <v>0</v>
      </c>
      <c r="K60" s="141">
        <v>0</v>
      </c>
      <c r="L60" s="141">
        <v>0</v>
      </c>
      <c r="M60" s="141">
        <v>0</v>
      </c>
      <c r="N60" s="141">
        <v>0</v>
      </c>
    </row>
    <row r="61" spans="1:14" ht="13" customHeight="1">
      <c r="A61" s="141" t="s">
        <v>22</v>
      </c>
      <c r="B61" s="141">
        <v>12.84126716414794</v>
      </c>
      <c r="C61" s="141">
        <v>0</v>
      </c>
      <c r="D61" s="141">
        <v>0</v>
      </c>
      <c r="E61" s="141">
        <v>0</v>
      </c>
      <c r="F61" s="141">
        <v>12.803532008830024</v>
      </c>
      <c r="G61" s="141">
        <v>12.913907284768209</v>
      </c>
      <c r="H61" s="141">
        <v>0</v>
      </c>
      <c r="I61" s="141">
        <v>0</v>
      </c>
      <c r="J61" s="141">
        <v>0</v>
      </c>
      <c r="K61" s="141">
        <v>0</v>
      </c>
      <c r="L61" s="141">
        <v>0</v>
      </c>
      <c r="M61" s="141">
        <v>0</v>
      </c>
      <c r="N61" s="141">
        <v>0</v>
      </c>
    </row>
    <row r="62" spans="1:14" ht="13" customHeight="1">
      <c r="A62" s="141" t="s">
        <v>23</v>
      </c>
      <c r="B62" s="141">
        <v>0</v>
      </c>
      <c r="C62" s="141">
        <v>0</v>
      </c>
      <c r="D62" s="141">
        <v>0</v>
      </c>
      <c r="E62" s="141">
        <v>0</v>
      </c>
      <c r="F62" s="141">
        <v>0</v>
      </c>
      <c r="G62" s="141">
        <v>0</v>
      </c>
      <c r="H62" s="141">
        <v>0</v>
      </c>
      <c r="I62" s="141">
        <v>0</v>
      </c>
      <c r="J62" s="141">
        <v>0</v>
      </c>
      <c r="K62" s="141">
        <v>0</v>
      </c>
      <c r="L62" s="141">
        <v>0</v>
      </c>
      <c r="M62" s="141">
        <v>0</v>
      </c>
      <c r="N62" s="141">
        <v>0</v>
      </c>
    </row>
    <row r="63" spans="1:14" ht="13" customHeight="1">
      <c r="A63" s="141" t="s">
        <v>24</v>
      </c>
      <c r="B63" s="141">
        <v>13.16091511204734</v>
      </c>
      <c r="C63" s="141">
        <v>0</v>
      </c>
      <c r="D63" s="141">
        <v>0</v>
      </c>
      <c r="E63" s="141">
        <v>0</v>
      </c>
      <c r="F63" s="141">
        <v>13.24503311258278</v>
      </c>
      <c r="G63" s="141">
        <v>13.200883002207505</v>
      </c>
      <c r="H63" s="141">
        <v>13.178807947019868</v>
      </c>
      <c r="I63" s="141">
        <v>13.203532008830022</v>
      </c>
      <c r="J63" s="141">
        <v>13.178807947019864</v>
      </c>
      <c r="K63" s="141">
        <v>0</v>
      </c>
      <c r="L63" s="141">
        <v>13.156732891832229</v>
      </c>
      <c r="M63" s="141">
        <v>13.134657836644591</v>
      </c>
      <c r="N63" s="141">
        <v>13.112582781456954</v>
      </c>
    </row>
    <row r="64" spans="1:14" ht="13" customHeight="1">
      <c r="A64" s="141" t="s">
        <v>25</v>
      </c>
      <c r="B64" s="141">
        <v>0</v>
      </c>
      <c r="C64" s="141">
        <v>0</v>
      </c>
      <c r="D64" s="141">
        <v>0</v>
      </c>
      <c r="E64" s="141">
        <v>0</v>
      </c>
      <c r="F64" s="141">
        <v>0</v>
      </c>
      <c r="G64" s="141">
        <v>0</v>
      </c>
      <c r="H64" s="141">
        <v>0</v>
      </c>
      <c r="I64" s="141">
        <v>0</v>
      </c>
      <c r="J64" s="141">
        <v>0</v>
      </c>
      <c r="K64" s="141">
        <v>0</v>
      </c>
      <c r="L64" s="141">
        <v>0</v>
      </c>
      <c r="M64" s="141">
        <v>0</v>
      </c>
      <c r="N64" s="141">
        <v>0</v>
      </c>
    </row>
    <row r="65" spans="1:14" ht="13" customHeight="1">
      <c r="A65" s="141" t="s">
        <v>107</v>
      </c>
      <c r="B65" s="141">
        <v>0</v>
      </c>
      <c r="C65" s="141">
        <v>0</v>
      </c>
      <c r="D65" s="141">
        <v>0</v>
      </c>
      <c r="E65" s="141">
        <v>0</v>
      </c>
      <c r="F65" s="141">
        <v>0</v>
      </c>
      <c r="G65" s="141">
        <v>0</v>
      </c>
      <c r="H65" s="141">
        <v>0</v>
      </c>
      <c r="I65" s="141">
        <v>0</v>
      </c>
      <c r="J65" s="141">
        <v>0</v>
      </c>
      <c r="K65" s="141">
        <v>0</v>
      </c>
      <c r="L65" s="141">
        <v>0</v>
      </c>
      <c r="M65" s="141">
        <v>0</v>
      </c>
      <c r="N65" s="141">
        <v>0</v>
      </c>
    </row>
    <row r="66" spans="1:14" ht="13" customHeight="1">
      <c r="A66" s="141" t="s">
        <v>108</v>
      </c>
      <c r="B66" s="141">
        <v>0</v>
      </c>
      <c r="C66" s="141">
        <v>0</v>
      </c>
      <c r="D66" s="141">
        <v>0</v>
      </c>
      <c r="E66" s="141">
        <v>0</v>
      </c>
      <c r="F66" s="141">
        <v>0</v>
      </c>
      <c r="G66" s="141">
        <v>0</v>
      </c>
      <c r="H66" s="141">
        <v>0</v>
      </c>
      <c r="I66" s="141">
        <v>0</v>
      </c>
      <c r="J66" s="141">
        <v>0</v>
      </c>
      <c r="K66" s="141">
        <v>0</v>
      </c>
      <c r="L66" s="141">
        <v>0</v>
      </c>
      <c r="M66" s="141">
        <v>0</v>
      </c>
      <c r="N66" s="141">
        <v>0</v>
      </c>
    </row>
    <row r="67" spans="1:14" ht="13" customHeight="1">
      <c r="A67" s="141" t="s">
        <v>139</v>
      </c>
      <c r="B67" s="141">
        <v>0</v>
      </c>
      <c r="C67" s="141">
        <v>0</v>
      </c>
      <c r="D67" s="141">
        <v>0</v>
      </c>
      <c r="E67" s="141">
        <v>0</v>
      </c>
      <c r="F67" s="141">
        <v>0</v>
      </c>
      <c r="G67" s="141">
        <v>0</v>
      </c>
      <c r="H67" s="141">
        <v>0</v>
      </c>
      <c r="I67" s="141">
        <v>0</v>
      </c>
      <c r="J67" s="141">
        <v>0</v>
      </c>
      <c r="K67" s="141">
        <v>0</v>
      </c>
      <c r="L67" s="141">
        <v>0</v>
      </c>
      <c r="M67" s="141">
        <v>0</v>
      </c>
      <c r="N67" s="141">
        <v>0</v>
      </c>
    </row>
    <row r="68" spans="1:14" ht="13" customHeight="1">
      <c r="A68" s="141" t="s">
        <v>29</v>
      </c>
      <c r="B68" s="141">
        <v>0</v>
      </c>
      <c r="C68" s="141">
        <v>0</v>
      </c>
      <c r="D68" s="141">
        <v>0</v>
      </c>
      <c r="E68" s="141">
        <v>0</v>
      </c>
      <c r="F68" s="141">
        <v>0</v>
      </c>
      <c r="G68" s="141">
        <v>0</v>
      </c>
      <c r="H68" s="141">
        <v>0</v>
      </c>
      <c r="I68" s="141">
        <v>0</v>
      </c>
      <c r="J68" s="141">
        <v>0</v>
      </c>
      <c r="K68" s="141">
        <v>0</v>
      </c>
      <c r="L68" s="141">
        <v>0</v>
      </c>
      <c r="M68" s="141">
        <v>0</v>
      </c>
      <c r="N68" s="141">
        <v>0</v>
      </c>
    </row>
    <row r="69" spans="1:14" ht="13" customHeight="1">
      <c r="A69" s="141" t="s">
        <v>30</v>
      </c>
      <c r="B69" s="141">
        <v>0</v>
      </c>
      <c r="C69" s="141">
        <v>0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</row>
    <row r="70" spans="1:14" ht="13" customHeight="1">
      <c r="A70" s="141" t="s">
        <v>31</v>
      </c>
      <c r="B70" s="141">
        <v>14.063357323296762</v>
      </c>
      <c r="C70" s="141">
        <v>0</v>
      </c>
      <c r="D70" s="141">
        <v>13.907284768211918</v>
      </c>
      <c r="E70" s="141">
        <v>0</v>
      </c>
      <c r="F70" s="141">
        <v>14.017660044150107</v>
      </c>
      <c r="G70" s="141">
        <v>14.083885209713026</v>
      </c>
      <c r="H70" s="141">
        <v>14.105960264900663</v>
      </c>
      <c r="I70" s="141">
        <v>14.150110375275938</v>
      </c>
      <c r="J70" s="141">
        <v>0</v>
      </c>
      <c r="K70" s="141">
        <v>0</v>
      </c>
      <c r="L70" s="141">
        <v>0</v>
      </c>
      <c r="M70" s="141">
        <v>0</v>
      </c>
      <c r="N70" s="141">
        <v>0</v>
      </c>
    </row>
    <row r="71" spans="1:14" ht="13" customHeight="1">
      <c r="A71" s="141" t="s">
        <v>32</v>
      </c>
      <c r="B71" s="141">
        <v>0</v>
      </c>
      <c r="C71" s="141">
        <v>0</v>
      </c>
      <c r="D71" s="141">
        <v>0</v>
      </c>
      <c r="E71" s="141">
        <v>0</v>
      </c>
      <c r="F71" s="141">
        <v>0</v>
      </c>
      <c r="G71" s="141">
        <v>0</v>
      </c>
      <c r="H71" s="141">
        <v>0</v>
      </c>
      <c r="I71" s="141">
        <v>0</v>
      </c>
      <c r="J71" s="141">
        <v>0</v>
      </c>
      <c r="K71" s="141">
        <v>0</v>
      </c>
      <c r="L71" s="141">
        <v>0</v>
      </c>
      <c r="M71" s="141">
        <v>0</v>
      </c>
      <c r="N71" s="141">
        <v>0</v>
      </c>
    </row>
    <row r="72" spans="1:14" ht="13" customHeight="1">
      <c r="A72" s="141" t="s">
        <v>33</v>
      </c>
      <c r="B72" s="141">
        <v>12.686453621744029</v>
      </c>
      <c r="C72" s="141">
        <v>9.0949227373068435</v>
      </c>
      <c r="D72" s="141">
        <v>13.642384105960264</v>
      </c>
      <c r="E72" s="141">
        <v>13.620309050772628</v>
      </c>
      <c r="F72" s="141">
        <v>13.752759381898453</v>
      </c>
      <c r="G72" s="141">
        <v>13.620309050772626</v>
      </c>
      <c r="H72" s="141">
        <v>13.68653421633554</v>
      </c>
      <c r="I72" s="141">
        <v>13.730684326710817</v>
      </c>
      <c r="J72" s="141">
        <v>13.708609271523176</v>
      </c>
      <c r="K72" s="141">
        <v>13.730684326710817</v>
      </c>
      <c r="L72" s="141">
        <v>13.752759381898455</v>
      </c>
      <c r="M72" s="141">
        <v>13.708609271523178</v>
      </c>
      <c r="N72" s="141">
        <v>13.730684326710815</v>
      </c>
    </row>
    <row r="73" spans="1:14" ht="13" customHeight="1">
      <c r="A73" s="141" t="s">
        <v>34</v>
      </c>
      <c r="B73" s="141">
        <v>13.503220907610405</v>
      </c>
      <c r="C73" s="141">
        <v>0</v>
      </c>
      <c r="D73" s="141">
        <v>0</v>
      </c>
      <c r="E73" s="141">
        <v>0</v>
      </c>
      <c r="F73" s="141">
        <v>0</v>
      </c>
      <c r="G73" s="141">
        <v>0</v>
      </c>
      <c r="H73" s="141">
        <v>0</v>
      </c>
      <c r="I73" s="141">
        <v>0</v>
      </c>
      <c r="J73" s="141">
        <v>0</v>
      </c>
      <c r="K73" s="141">
        <v>0</v>
      </c>
      <c r="L73" s="141">
        <v>12.913907284768213</v>
      </c>
      <c r="M73" s="141">
        <v>13.642384105960264</v>
      </c>
      <c r="N73" s="141">
        <v>13.620309050772624</v>
      </c>
    </row>
    <row r="74" spans="1:14" ht="13" customHeight="1">
      <c r="A74" s="141" t="s">
        <v>35</v>
      </c>
      <c r="B74" s="141">
        <v>15.311655857170331</v>
      </c>
      <c r="C74" s="141">
        <v>0</v>
      </c>
      <c r="D74" s="141">
        <v>0</v>
      </c>
      <c r="E74" s="141">
        <v>0</v>
      </c>
      <c r="F74" s="141">
        <v>0</v>
      </c>
      <c r="G74" s="141">
        <v>0</v>
      </c>
      <c r="H74" s="141">
        <v>0</v>
      </c>
      <c r="I74" s="141">
        <v>0</v>
      </c>
      <c r="J74" s="141">
        <v>0</v>
      </c>
      <c r="K74" s="141">
        <v>0</v>
      </c>
      <c r="L74" s="141">
        <v>15.540838852097126</v>
      </c>
      <c r="M74" s="141">
        <v>15.56291390728477</v>
      </c>
      <c r="N74" s="141">
        <v>11.147902869757173</v>
      </c>
    </row>
    <row r="75" spans="1:14" ht="13" customHeight="1">
      <c r="A75" s="141" t="s">
        <v>36</v>
      </c>
      <c r="B75" s="141">
        <v>15.782211655557033</v>
      </c>
      <c r="C75" s="141">
        <v>0</v>
      </c>
      <c r="D75" s="141">
        <v>15.783664459161146</v>
      </c>
      <c r="E75" s="141">
        <v>15.805739514348785</v>
      </c>
      <c r="F75" s="141">
        <v>15.78366445916115</v>
      </c>
      <c r="G75" s="141">
        <v>15.739514348785875</v>
      </c>
      <c r="H75" s="141">
        <v>15.78366445916115</v>
      </c>
      <c r="I75" s="141">
        <v>0</v>
      </c>
      <c r="J75" s="141">
        <v>0</v>
      </c>
      <c r="K75" s="141">
        <v>15.805739514348785</v>
      </c>
      <c r="L75" s="141">
        <v>15.827814569536423</v>
      </c>
      <c r="M75" s="141">
        <v>15.849889624724064</v>
      </c>
      <c r="N75" s="141">
        <v>15.83664459161148</v>
      </c>
    </row>
    <row r="76" spans="1:14" ht="13" customHeight="1">
      <c r="A76" s="141" t="s">
        <v>37</v>
      </c>
      <c r="B76" s="141">
        <v>17.02312124368456</v>
      </c>
      <c r="C76" s="141">
        <v>17.019867549668874</v>
      </c>
      <c r="D76" s="141">
        <v>16.997792494481235</v>
      </c>
      <c r="E76" s="141">
        <v>17.041942604856509</v>
      </c>
      <c r="F76" s="141">
        <v>0</v>
      </c>
      <c r="G76" s="141">
        <v>0</v>
      </c>
      <c r="H76" s="141">
        <v>0</v>
      </c>
      <c r="I76" s="141">
        <v>0</v>
      </c>
      <c r="J76" s="141">
        <v>0</v>
      </c>
      <c r="K76" s="141">
        <v>0</v>
      </c>
      <c r="L76" s="141">
        <v>0</v>
      </c>
      <c r="M76" s="141">
        <v>0</v>
      </c>
      <c r="N76" s="141">
        <v>17.041942604856512</v>
      </c>
    </row>
    <row r="77" spans="1:14" ht="13" customHeight="1">
      <c r="A77" s="141" t="s">
        <v>38</v>
      </c>
      <c r="B77" s="141">
        <v>15.060566608810296</v>
      </c>
      <c r="C77" s="141">
        <v>14.67991169977925</v>
      </c>
      <c r="D77" s="141">
        <v>15.011037527593817</v>
      </c>
      <c r="E77" s="141">
        <v>15.055187637969095</v>
      </c>
      <c r="F77" s="141">
        <v>15.099337748344368</v>
      </c>
      <c r="G77" s="141">
        <v>0</v>
      </c>
      <c r="H77" s="141">
        <v>0</v>
      </c>
      <c r="I77" s="141">
        <v>0</v>
      </c>
      <c r="J77" s="141">
        <v>15.121412803532007</v>
      </c>
      <c r="K77" s="141">
        <v>15.18763796909492</v>
      </c>
      <c r="L77" s="141">
        <v>15.121412803532007</v>
      </c>
      <c r="M77" s="141">
        <v>15.099337748344368</v>
      </c>
      <c r="N77" s="141">
        <v>14.856512141280353</v>
      </c>
    </row>
    <row r="78" spans="1:14" ht="13" customHeight="1">
      <c r="A78" s="141" t="s">
        <v>39</v>
      </c>
      <c r="B78" s="141">
        <v>15.429763390753056</v>
      </c>
      <c r="C78" s="141">
        <v>0</v>
      </c>
      <c r="D78" s="141">
        <v>0</v>
      </c>
      <c r="E78" s="141">
        <v>0</v>
      </c>
      <c r="F78" s="141">
        <v>0</v>
      </c>
      <c r="G78" s="141">
        <v>0</v>
      </c>
      <c r="H78" s="141">
        <v>0</v>
      </c>
      <c r="I78" s="141">
        <v>0</v>
      </c>
      <c r="J78" s="141">
        <v>0</v>
      </c>
      <c r="K78" s="141">
        <v>0</v>
      </c>
      <c r="L78" s="141">
        <v>15.894039735099337</v>
      </c>
      <c r="M78" s="141">
        <v>15.011037527593817</v>
      </c>
      <c r="N78" s="141">
        <v>0</v>
      </c>
    </row>
    <row r="79" spans="1:14" ht="13" customHeight="1">
      <c r="A79" s="141" t="s">
        <v>40</v>
      </c>
      <c r="B79" s="141">
        <v>13.004055454780735</v>
      </c>
      <c r="C79" s="141">
        <v>12.913907284768209</v>
      </c>
      <c r="D79" s="141">
        <v>12.935982339955851</v>
      </c>
      <c r="E79" s="141">
        <v>12.958057395143488</v>
      </c>
      <c r="F79" s="141">
        <v>13.024282560706403</v>
      </c>
      <c r="G79" s="141">
        <v>12.980132450331126</v>
      </c>
      <c r="H79" s="141">
        <v>13.024282560706402</v>
      </c>
      <c r="I79" s="141">
        <v>0</v>
      </c>
      <c r="J79" s="141">
        <v>13.046357615894038</v>
      </c>
      <c r="K79" s="141">
        <v>13.090507726269315</v>
      </c>
      <c r="L79" s="141">
        <v>13.134657836644591</v>
      </c>
      <c r="M79" s="141">
        <v>13.090507726269315</v>
      </c>
      <c r="N79" s="141">
        <v>13.068432671081675</v>
      </c>
    </row>
    <row r="80" spans="1:14" ht="13" customHeight="1">
      <c r="A80" s="141" t="s">
        <v>41</v>
      </c>
      <c r="B80" s="141">
        <v>12.553090088009814</v>
      </c>
      <c r="C80" s="141">
        <v>12.338858774977533</v>
      </c>
      <c r="D80" s="141">
        <v>12.397840876853147</v>
      </c>
      <c r="E80" s="141">
        <v>12.445889354488886</v>
      </c>
      <c r="F80" s="141">
        <v>12.43639210224635</v>
      </c>
      <c r="G80" s="141">
        <v>12.494481236203089</v>
      </c>
      <c r="H80" s="141">
        <v>0</v>
      </c>
      <c r="I80" s="141">
        <v>0</v>
      </c>
      <c r="J80" s="141">
        <v>0</v>
      </c>
      <c r="K80" s="141">
        <v>0</v>
      </c>
      <c r="L80" s="141">
        <v>0</v>
      </c>
      <c r="M80" s="141">
        <v>13.046357615894038</v>
      </c>
      <c r="N80" s="141">
        <v>13.024282560706403</v>
      </c>
    </row>
    <row r="81" spans="1:14" ht="13" customHeight="1">
      <c r="A81" s="141" t="s">
        <v>111</v>
      </c>
      <c r="B81" s="141">
        <v>12.595529379004882</v>
      </c>
      <c r="C81" s="141">
        <v>12.362030905077262</v>
      </c>
      <c r="D81" s="141">
        <v>12.406181015452537</v>
      </c>
      <c r="E81" s="141">
        <v>12.450331125827816</v>
      </c>
      <c r="F81" s="141">
        <v>12.428256070640174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13.046357615894038</v>
      </c>
      <c r="N81" s="141">
        <v>13.024282560706403</v>
      </c>
    </row>
    <row r="82" spans="1:14" ht="13" customHeight="1">
      <c r="A82" s="141" t="s">
        <v>112</v>
      </c>
      <c r="B82" s="141">
        <v>12.377227550640423</v>
      </c>
      <c r="C82" s="141">
        <v>12.317880794701988</v>
      </c>
      <c r="D82" s="141">
        <v>12.362030905077262</v>
      </c>
      <c r="E82" s="141">
        <v>12.428256070640176</v>
      </c>
      <c r="F82" s="141">
        <v>12.472406181015453</v>
      </c>
      <c r="G82" s="141">
        <v>12.494481236203089</v>
      </c>
      <c r="H82" s="141">
        <v>0</v>
      </c>
      <c r="I82" s="141">
        <v>0</v>
      </c>
      <c r="J82" s="141">
        <v>0</v>
      </c>
      <c r="K82" s="141">
        <v>0</v>
      </c>
      <c r="L82" s="141">
        <v>0</v>
      </c>
      <c r="M82" s="141">
        <v>0</v>
      </c>
      <c r="N82" s="141">
        <v>0</v>
      </c>
    </row>
    <row r="83" spans="1:14" ht="13" customHeight="1">
      <c r="A83" s="141" t="s">
        <v>44</v>
      </c>
      <c r="B83" s="141">
        <v>14.4426319650981</v>
      </c>
      <c r="C83" s="141">
        <v>14.569536423841058</v>
      </c>
      <c r="D83" s="141">
        <v>14.525386313465786</v>
      </c>
      <c r="E83" s="141">
        <v>14.569536423841061</v>
      </c>
      <c r="F83" s="141">
        <v>0</v>
      </c>
      <c r="G83" s="141">
        <v>0</v>
      </c>
      <c r="H83" s="141">
        <v>0</v>
      </c>
      <c r="I83" s="141">
        <v>0</v>
      </c>
      <c r="J83" s="141">
        <v>0</v>
      </c>
      <c r="K83" s="141">
        <v>0</v>
      </c>
      <c r="L83" s="141">
        <v>0</v>
      </c>
      <c r="M83" s="141">
        <v>14.348785871964681</v>
      </c>
      <c r="N83" s="141">
        <v>14.392935982339955</v>
      </c>
    </row>
    <row r="84" spans="1:14" ht="13" customHeight="1">
      <c r="A84" s="141" t="s">
        <v>45</v>
      </c>
      <c r="B84" s="141">
        <v>14.678794355596526</v>
      </c>
      <c r="C84" s="141">
        <v>14.419072847682118</v>
      </c>
      <c r="D84" s="141">
        <v>14.470975717439295</v>
      </c>
      <c r="E84" s="141">
        <v>14.531055187637969</v>
      </c>
      <c r="F84" s="141">
        <v>0</v>
      </c>
      <c r="G84" s="141">
        <v>0</v>
      </c>
      <c r="H84" s="141">
        <v>0</v>
      </c>
      <c r="I84" s="141">
        <v>0</v>
      </c>
      <c r="J84" s="141">
        <v>0</v>
      </c>
      <c r="K84" s="141">
        <v>0</v>
      </c>
      <c r="L84" s="141">
        <v>0</v>
      </c>
      <c r="M84" s="141">
        <v>14.803249448123619</v>
      </c>
      <c r="N84" s="141">
        <v>14.826030905077262</v>
      </c>
    </row>
    <row r="85" spans="1:14" ht="13" customHeight="1">
      <c r="A85" s="141" t="s">
        <v>46</v>
      </c>
      <c r="B85" s="141">
        <v>0</v>
      </c>
      <c r="C85" s="141">
        <v>0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0</v>
      </c>
      <c r="M85" s="141">
        <v>0</v>
      </c>
      <c r="N85" s="141">
        <v>0</v>
      </c>
    </row>
    <row r="86" spans="1:14" ht="13" customHeight="1">
      <c r="A86" s="141" t="s">
        <v>47</v>
      </c>
      <c r="B86" s="141">
        <v>0</v>
      </c>
      <c r="C86" s="141">
        <v>0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0</v>
      </c>
      <c r="N86" s="141">
        <v>0</v>
      </c>
    </row>
    <row r="87" spans="1:14" ht="13" customHeight="1">
      <c r="A87" s="141" t="s">
        <v>48</v>
      </c>
      <c r="B87" s="141">
        <v>0</v>
      </c>
      <c r="C87" s="141">
        <v>0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</row>
    <row r="88" spans="1:14" ht="13" customHeight="1">
      <c r="A88" s="141" t="s">
        <v>49</v>
      </c>
      <c r="B88" s="141">
        <v>0</v>
      </c>
      <c r="C88" s="141">
        <v>0</v>
      </c>
      <c r="D88" s="141">
        <v>0</v>
      </c>
      <c r="E88" s="141">
        <v>0</v>
      </c>
      <c r="F88" s="141">
        <v>0</v>
      </c>
      <c r="G88" s="141">
        <v>0</v>
      </c>
      <c r="H88" s="141">
        <v>0</v>
      </c>
      <c r="I88" s="141">
        <v>0</v>
      </c>
      <c r="J88" s="141">
        <v>0</v>
      </c>
      <c r="K88" s="141">
        <v>0</v>
      </c>
      <c r="L88" s="141">
        <v>0</v>
      </c>
      <c r="M88" s="141">
        <v>0</v>
      </c>
      <c r="N88" s="141">
        <v>0</v>
      </c>
    </row>
    <row r="89" spans="1:14" ht="13" customHeight="1">
      <c r="A89" s="141" t="s">
        <v>570</v>
      </c>
    </row>
    <row r="90" spans="1:14" ht="13" customHeight="1">
      <c r="A90" s="141" t="s">
        <v>192</v>
      </c>
    </row>
    <row r="91" spans="1:14" ht="13" customHeight="1">
      <c r="A91" s="141" t="s">
        <v>571</v>
      </c>
    </row>
  </sheetData>
  <printOptions horizontalCentered="1" verticalCentered="1" gridLinesSet="0"/>
  <pageMargins left="0" right="0" top="0" bottom="0" header="0" footer="0"/>
  <pageSetup paperSize="9" orientation="landscape" horizontalDpi="180" verticalDpi="180"/>
  <headerFooter scaleWithDoc="0"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Hoja112">
    <tabColor theme="9" tint="0.59999389629810485"/>
  </sheetPr>
  <dimension ref="A1:N92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141" customWidth="1"/>
    <col min="2" max="14" width="8.3984375" style="141" customWidth="1"/>
    <col min="15" max="16384" width="7" style="141"/>
  </cols>
  <sheetData>
    <row r="1" spans="1:14" ht="17" customHeight="1">
      <c r="A1" s="943" t="s">
        <v>530</v>
      </c>
      <c r="B1" s="943"/>
      <c r="C1" s="944"/>
      <c r="D1" s="944"/>
      <c r="E1" s="944"/>
      <c r="F1" s="944"/>
      <c r="G1" s="944"/>
      <c r="H1" s="944"/>
      <c r="I1" s="944"/>
      <c r="J1" s="944"/>
      <c r="K1" s="944"/>
      <c r="L1" s="944"/>
      <c r="M1" s="944"/>
      <c r="N1" s="944"/>
    </row>
    <row r="2" spans="1:14" ht="13" customHeight="1">
      <c r="A2" s="1054" t="s">
        <v>588</v>
      </c>
      <c r="B2" s="508"/>
      <c r="C2" s="189"/>
      <c r="D2" s="189"/>
      <c r="E2" s="189"/>
      <c r="F2" s="189"/>
      <c r="G2" s="193"/>
      <c r="H2" s="192"/>
      <c r="I2" s="189"/>
      <c r="J2" s="189"/>
      <c r="K2" s="189"/>
      <c r="L2" s="189"/>
      <c r="M2" s="189"/>
      <c r="N2" s="189"/>
    </row>
    <row r="3" spans="1:14" ht="4" customHeight="1" thickBot="1">
      <c r="A3" s="193"/>
      <c r="B3" s="194"/>
      <c r="C3" s="195"/>
      <c r="D3" s="194"/>
      <c r="E3" s="194"/>
      <c r="F3" s="194"/>
      <c r="G3" s="194"/>
      <c r="H3" s="194"/>
      <c r="I3" s="194"/>
      <c r="J3" s="192"/>
      <c r="K3" s="192"/>
      <c r="L3" s="192"/>
      <c r="M3" s="192"/>
      <c r="N3" s="192"/>
    </row>
    <row r="4" spans="1:14" ht="15" customHeight="1">
      <c r="A4" s="525" t="s">
        <v>18</v>
      </c>
      <c r="B4" s="934" t="s">
        <v>56</v>
      </c>
      <c r="C4" s="934" t="s">
        <v>57</v>
      </c>
      <c r="D4" s="934" t="s">
        <v>58</v>
      </c>
      <c r="E4" s="934" t="s">
        <v>59</v>
      </c>
      <c r="F4" s="934" t="s">
        <v>60</v>
      </c>
      <c r="G4" s="934" t="s">
        <v>61</v>
      </c>
      <c r="H4" s="934" t="s">
        <v>62</v>
      </c>
      <c r="I4" s="934" t="s">
        <v>63</v>
      </c>
      <c r="J4" s="934" t="s">
        <v>64</v>
      </c>
      <c r="K4" s="934" t="s">
        <v>65</v>
      </c>
      <c r="L4" s="934" t="s">
        <v>66</v>
      </c>
      <c r="M4" s="934" t="s">
        <v>67</v>
      </c>
      <c r="N4" s="934" t="s">
        <v>68</v>
      </c>
    </row>
    <row r="5" spans="1:14" ht="15" customHeight="1">
      <c r="A5" s="929" t="s">
        <v>114</v>
      </c>
      <c r="B5" s="930">
        <v>3.13</v>
      </c>
      <c r="C5" s="930">
        <v>2.99</v>
      </c>
      <c r="D5" s="930">
        <v>3.11</v>
      </c>
      <c r="E5" s="930">
        <v>3.18</v>
      </c>
      <c r="F5" s="930">
        <v>2.68</v>
      </c>
      <c r="G5" s="930">
        <v>2.65</v>
      </c>
      <c r="H5" s="930">
        <v>2.64</v>
      </c>
      <c r="I5" s="930">
        <v>2.83</v>
      </c>
      <c r="J5" s="931">
        <v>0</v>
      </c>
      <c r="K5" s="931">
        <v>3.2</v>
      </c>
      <c r="L5" s="930">
        <v>2.69</v>
      </c>
      <c r="M5" s="930">
        <v>3.2</v>
      </c>
      <c r="N5" s="930">
        <v>3.19</v>
      </c>
    </row>
    <row r="6" spans="1:14" ht="12" customHeight="1">
      <c r="A6" s="141" t="s">
        <v>21</v>
      </c>
      <c r="B6" s="939">
        <v>0</v>
      </c>
      <c r="C6" s="924">
        <v>0</v>
      </c>
      <c r="D6" s="924">
        <v>0</v>
      </c>
      <c r="E6" s="924">
        <v>0</v>
      </c>
      <c r="F6" s="924">
        <v>0</v>
      </c>
      <c r="G6" s="924">
        <v>0</v>
      </c>
      <c r="H6" s="924">
        <v>0</v>
      </c>
      <c r="I6" s="924">
        <v>0</v>
      </c>
      <c r="J6" s="924">
        <v>0</v>
      </c>
      <c r="K6" s="924">
        <v>0</v>
      </c>
      <c r="L6" s="924">
        <v>0</v>
      </c>
      <c r="M6" s="924">
        <v>0</v>
      </c>
      <c r="N6" s="924">
        <v>0</v>
      </c>
    </row>
    <row r="7" spans="1:14" ht="12" customHeight="1">
      <c r="A7" s="141" t="s">
        <v>22</v>
      </c>
      <c r="B7" s="939">
        <v>0</v>
      </c>
      <c r="C7" s="924">
        <v>0</v>
      </c>
      <c r="D7" s="924">
        <v>0</v>
      </c>
      <c r="E7" s="924">
        <v>0</v>
      </c>
      <c r="F7" s="924">
        <v>0</v>
      </c>
      <c r="G7" s="924">
        <v>0</v>
      </c>
      <c r="H7" s="924">
        <v>0</v>
      </c>
      <c r="I7" s="924">
        <v>0</v>
      </c>
      <c r="J7" s="924">
        <v>0</v>
      </c>
      <c r="K7" s="924">
        <v>0</v>
      </c>
      <c r="L7" s="924">
        <v>0</v>
      </c>
      <c r="M7" s="924">
        <v>0</v>
      </c>
      <c r="N7" s="924">
        <v>0</v>
      </c>
    </row>
    <row r="8" spans="1:14" ht="12" customHeight="1">
      <c r="A8" s="141" t="s">
        <v>23</v>
      </c>
      <c r="B8" s="939">
        <v>0</v>
      </c>
      <c r="C8" s="924">
        <v>0</v>
      </c>
      <c r="D8" s="924">
        <v>0</v>
      </c>
      <c r="E8" s="924">
        <v>0</v>
      </c>
      <c r="F8" s="924">
        <v>0</v>
      </c>
      <c r="G8" s="924">
        <v>0</v>
      </c>
      <c r="H8" s="924">
        <v>0</v>
      </c>
      <c r="I8" s="924">
        <v>0</v>
      </c>
      <c r="J8" s="924">
        <v>0</v>
      </c>
      <c r="K8" s="924">
        <v>0</v>
      </c>
      <c r="L8" s="924">
        <v>0</v>
      </c>
      <c r="M8" s="924">
        <v>0</v>
      </c>
      <c r="N8" s="924">
        <v>0</v>
      </c>
    </row>
    <row r="9" spans="1:14" ht="12" customHeight="1">
      <c r="A9" s="141" t="s">
        <v>24</v>
      </c>
      <c r="B9" s="939">
        <v>0</v>
      </c>
      <c r="C9" s="924">
        <v>0</v>
      </c>
      <c r="D9" s="924">
        <v>0</v>
      </c>
      <c r="E9" s="924">
        <v>0</v>
      </c>
      <c r="F9" s="924">
        <v>0</v>
      </c>
      <c r="G9" s="924">
        <v>0</v>
      </c>
      <c r="H9" s="924">
        <v>0</v>
      </c>
      <c r="I9" s="924">
        <v>0</v>
      </c>
      <c r="J9" s="924">
        <v>0</v>
      </c>
      <c r="K9" s="924">
        <v>0</v>
      </c>
      <c r="L9" s="924">
        <v>0</v>
      </c>
      <c r="M9" s="924">
        <v>0</v>
      </c>
      <c r="N9" s="924">
        <v>0</v>
      </c>
    </row>
    <row r="10" spans="1:14" ht="12" customHeight="1">
      <c r="A10" s="141" t="s">
        <v>25</v>
      </c>
      <c r="B10" s="939">
        <v>0</v>
      </c>
      <c r="C10" s="924">
        <v>0</v>
      </c>
      <c r="D10" s="924">
        <v>0</v>
      </c>
      <c r="E10" s="924">
        <v>0</v>
      </c>
      <c r="F10" s="924">
        <v>0</v>
      </c>
      <c r="G10" s="924">
        <v>0</v>
      </c>
      <c r="H10" s="924">
        <v>0</v>
      </c>
      <c r="I10" s="924">
        <v>0</v>
      </c>
      <c r="J10" s="924">
        <v>0</v>
      </c>
      <c r="K10" s="924">
        <v>0</v>
      </c>
      <c r="L10" s="924">
        <v>0</v>
      </c>
      <c r="M10" s="924">
        <v>0</v>
      </c>
      <c r="N10" s="924">
        <v>0</v>
      </c>
    </row>
    <row r="11" spans="1:14" ht="12" customHeight="1">
      <c r="A11" s="141" t="s">
        <v>107</v>
      </c>
      <c r="B11" s="939">
        <v>0</v>
      </c>
      <c r="C11" s="924">
        <v>0</v>
      </c>
      <c r="D11" s="924">
        <v>0</v>
      </c>
      <c r="E11" s="924">
        <v>0</v>
      </c>
      <c r="F11" s="924">
        <v>0</v>
      </c>
      <c r="G11" s="924">
        <v>0</v>
      </c>
      <c r="H11" s="924">
        <v>0</v>
      </c>
      <c r="I11" s="924">
        <v>0</v>
      </c>
      <c r="J11" s="924">
        <v>0</v>
      </c>
      <c r="K11" s="924">
        <v>0</v>
      </c>
      <c r="L11" s="924">
        <v>0</v>
      </c>
      <c r="M11" s="924">
        <v>0</v>
      </c>
      <c r="N11" s="924">
        <v>0</v>
      </c>
    </row>
    <row r="12" spans="1:14" ht="12" customHeight="1">
      <c r="A12" s="141" t="s">
        <v>108</v>
      </c>
      <c r="B12" s="939">
        <v>0</v>
      </c>
      <c r="C12" s="924">
        <v>0</v>
      </c>
      <c r="D12" s="924">
        <v>0</v>
      </c>
      <c r="E12" s="924">
        <v>0</v>
      </c>
      <c r="F12" s="924">
        <v>0</v>
      </c>
      <c r="G12" s="924">
        <v>0</v>
      </c>
      <c r="H12" s="924">
        <v>0</v>
      </c>
      <c r="I12" s="924">
        <v>0</v>
      </c>
      <c r="J12" s="924">
        <v>0</v>
      </c>
      <c r="K12" s="924">
        <v>0</v>
      </c>
      <c r="L12" s="924">
        <v>0</v>
      </c>
      <c r="M12" s="924">
        <v>0</v>
      </c>
      <c r="N12" s="924">
        <v>0</v>
      </c>
    </row>
    <row r="13" spans="1:14" ht="12" customHeight="1">
      <c r="A13" s="141" t="s">
        <v>139</v>
      </c>
      <c r="B13" s="939">
        <v>0</v>
      </c>
      <c r="C13" s="924">
        <v>0</v>
      </c>
      <c r="D13" s="924">
        <v>0</v>
      </c>
      <c r="E13" s="924">
        <v>0</v>
      </c>
      <c r="F13" s="924">
        <v>0</v>
      </c>
      <c r="G13" s="924">
        <v>0</v>
      </c>
      <c r="H13" s="924">
        <v>0</v>
      </c>
      <c r="I13" s="924">
        <v>0</v>
      </c>
      <c r="J13" s="924">
        <v>0</v>
      </c>
      <c r="K13" s="924">
        <v>0</v>
      </c>
      <c r="L13" s="924">
        <v>0</v>
      </c>
      <c r="M13" s="924">
        <v>0</v>
      </c>
      <c r="N13" s="924">
        <v>0</v>
      </c>
    </row>
    <row r="14" spans="1:14" ht="12" customHeight="1">
      <c r="A14" s="141" t="s">
        <v>29</v>
      </c>
      <c r="B14" s="939">
        <v>0</v>
      </c>
      <c r="C14" s="924">
        <v>0</v>
      </c>
      <c r="D14" s="924">
        <v>0</v>
      </c>
      <c r="E14" s="924">
        <v>0</v>
      </c>
      <c r="F14" s="924">
        <v>0</v>
      </c>
      <c r="G14" s="924">
        <v>0</v>
      </c>
      <c r="H14" s="924">
        <v>0</v>
      </c>
      <c r="I14" s="924">
        <v>0</v>
      </c>
      <c r="J14" s="924">
        <v>0</v>
      </c>
      <c r="K14" s="924">
        <v>0</v>
      </c>
      <c r="L14" s="924">
        <v>0</v>
      </c>
      <c r="M14" s="924">
        <v>0</v>
      </c>
      <c r="N14" s="924">
        <v>0</v>
      </c>
    </row>
    <row r="15" spans="1:14" ht="12" customHeight="1">
      <c r="A15" s="141" t="s">
        <v>30</v>
      </c>
      <c r="B15" s="939">
        <v>0</v>
      </c>
      <c r="C15" s="924">
        <v>0</v>
      </c>
      <c r="D15" s="924">
        <v>0</v>
      </c>
      <c r="E15" s="924">
        <v>0</v>
      </c>
      <c r="F15" s="924">
        <v>0</v>
      </c>
      <c r="G15" s="924">
        <v>0</v>
      </c>
      <c r="H15" s="924">
        <v>0</v>
      </c>
      <c r="I15" s="924">
        <v>0</v>
      </c>
      <c r="J15" s="924">
        <v>0</v>
      </c>
      <c r="K15" s="924">
        <v>0</v>
      </c>
      <c r="L15" s="924">
        <v>0</v>
      </c>
      <c r="M15" s="924">
        <v>0</v>
      </c>
      <c r="N15" s="924">
        <v>0</v>
      </c>
    </row>
    <row r="16" spans="1:14" ht="12" customHeight="1">
      <c r="A16" s="141" t="s">
        <v>31</v>
      </c>
      <c r="B16" s="939">
        <v>2.83</v>
      </c>
      <c r="C16" s="924">
        <v>0</v>
      </c>
      <c r="D16" s="924">
        <v>0</v>
      </c>
      <c r="E16" s="924">
        <v>0</v>
      </c>
      <c r="F16" s="924">
        <v>2.82</v>
      </c>
      <c r="G16" s="924">
        <v>2.83</v>
      </c>
      <c r="H16" s="924">
        <v>2.83</v>
      </c>
      <c r="I16" s="924">
        <v>2.83</v>
      </c>
      <c r="J16" s="924">
        <v>0</v>
      </c>
      <c r="K16" s="924">
        <v>0</v>
      </c>
      <c r="L16" s="924">
        <v>0</v>
      </c>
      <c r="M16" s="924">
        <v>0</v>
      </c>
      <c r="N16" s="924">
        <v>0</v>
      </c>
    </row>
    <row r="17" spans="1:14" ht="12" customHeight="1">
      <c r="A17" s="141" t="s">
        <v>32</v>
      </c>
      <c r="B17" s="939">
        <v>0</v>
      </c>
      <c r="C17" s="924">
        <v>0</v>
      </c>
      <c r="D17" s="924">
        <v>0</v>
      </c>
      <c r="E17" s="924">
        <v>0</v>
      </c>
      <c r="F17" s="924">
        <v>0</v>
      </c>
      <c r="G17" s="924">
        <v>0</v>
      </c>
      <c r="H17" s="924">
        <v>0</v>
      </c>
      <c r="I17" s="924">
        <v>0</v>
      </c>
      <c r="J17" s="924">
        <v>0</v>
      </c>
      <c r="K17" s="924">
        <v>0</v>
      </c>
      <c r="L17" s="924">
        <v>0</v>
      </c>
      <c r="M17" s="924">
        <v>0</v>
      </c>
      <c r="N17" s="924">
        <v>0</v>
      </c>
    </row>
    <row r="18" spans="1:14" ht="12" customHeight="1">
      <c r="A18" s="141" t="s">
        <v>33</v>
      </c>
      <c r="B18" s="939">
        <v>0</v>
      </c>
      <c r="C18" s="924">
        <v>0</v>
      </c>
      <c r="D18" s="924">
        <v>0</v>
      </c>
      <c r="E18" s="924">
        <v>0</v>
      </c>
      <c r="F18" s="924">
        <v>0</v>
      </c>
      <c r="G18" s="924">
        <v>0</v>
      </c>
      <c r="H18" s="924">
        <v>0</v>
      </c>
      <c r="I18" s="924">
        <v>0</v>
      </c>
      <c r="J18" s="924">
        <v>0</v>
      </c>
      <c r="K18" s="924">
        <v>0</v>
      </c>
      <c r="L18" s="924">
        <v>0</v>
      </c>
      <c r="M18" s="924">
        <v>0</v>
      </c>
      <c r="N18" s="924">
        <v>0</v>
      </c>
    </row>
    <row r="19" spans="1:14" ht="12" customHeight="1">
      <c r="A19" s="141" t="s">
        <v>34</v>
      </c>
      <c r="B19" s="939">
        <v>2.61</v>
      </c>
      <c r="C19" s="924">
        <v>0</v>
      </c>
      <c r="D19" s="924">
        <v>0</v>
      </c>
      <c r="E19" s="924">
        <v>0</v>
      </c>
      <c r="F19" s="924">
        <v>0</v>
      </c>
      <c r="G19" s="924">
        <v>0</v>
      </c>
      <c r="H19" s="924">
        <v>0</v>
      </c>
      <c r="I19" s="924">
        <v>0</v>
      </c>
      <c r="J19" s="924">
        <v>0</v>
      </c>
      <c r="K19" s="924">
        <v>0</v>
      </c>
      <c r="L19" s="924">
        <v>2.6</v>
      </c>
      <c r="M19" s="924">
        <v>2.62</v>
      </c>
      <c r="N19" s="924">
        <v>2.6</v>
      </c>
    </row>
    <row r="20" spans="1:14" ht="12" customHeight="1">
      <c r="A20" s="141" t="s">
        <v>35</v>
      </c>
      <c r="B20" s="939">
        <v>2.84</v>
      </c>
      <c r="C20" s="924">
        <v>0</v>
      </c>
      <c r="D20" s="924">
        <v>0</v>
      </c>
      <c r="E20" s="924">
        <v>0</v>
      </c>
      <c r="F20" s="924">
        <v>0</v>
      </c>
      <c r="G20" s="924">
        <v>0</v>
      </c>
      <c r="H20" s="924">
        <v>0</v>
      </c>
      <c r="I20" s="924">
        <v>0</v>
      </c>
      <c r="J20" s="924">
        <v>0</v>
      </c>
      <c r="K20" s="924">
        <v>0</v>
      </c>
      <c r="L20" s="924">
        <v>2.68</v>
      </c>
      <c r="M20" s="924">
        <v>3</v>
      </c>
      <c r="N20" s="924">
        <v>3.01</v>
      </c>
    </row>
    <row r="21" spans="1:14" ht="12" customHeight="1">
      <c r="A21" s="141" t="s">
        <v>36</v>
      </c>
      <c r="B21" s="939">
        <v>2.6</v>
      </c>
      <c r="C21" s="924">
        <v>0</v>
      </c>
      <c r="D21" s="924">
        <v>2.56</v>
      </c>
      <c r="E21" s="924">
        <v>2.56</v>
      </c>
      <c r="F21" s="924">
        <v>2.57</v>
      </c>
      <c r="G21" s="924">
        <v>2.58</v>
      </c>
      <c r="H21" s="924">
        <v>2.6</v>
      </c>
      <c r="I21" s="924">
        <v>0</v>
      </c>
      <c r="J21" s="924">
        <v>0</v>
      </c>
      <c r="K21" s="924">
        <v>0</v>
      </c>
      <c r="L21" s="924">
        <v>0</v>
      </c>
      <c r="M21" s="924">
        <v>3.01</v>
      </c>
      <c r="N21" s="924">
        <v>3</v>
      </c>
    </row>
    <row r="22" spans="1:14" ht="12" customHeight="1">
      <c r="A22" s="141" t="s">
        <v>37</v>
      </c>
      <c r="B22" s="939">
        <v>3.24</v>
      </c>
      <c r="C22" s="924">
        <v>3.22</v>
      </c>
      <c r="D22" s="924">
        <v>3.2</v>
      </c>
      <c r="E22" s="924">
        <v>3.22</v>
      </c>
      <c r="F22" s="924">
        <v>0</v>
      </c>
      <c r="G22" s="924">
        <v>0</v>
      </c>
      <c r="H22" s="924">
        <v>0</v>
      </c>
      <c r="I22" s="924">
        <v>0</v>
      </c>
      <c r="J22" s="924">
        <v>0</v>
      </c>
      <c r="K22" s="924">
        <v>0</v>
      </c>
      <c r="L22" s="924">
        <v>0</v>
      </c>
      <c r="M22" s="924">
        <v>0</v>
      </c>
      <c r="N22" s="924">
        <v>3.35</v>
      </c>
    </row>
    <row r="23" spans="1:14" ht="12" customHeight="1">
      <c r="A23" s="141" t="s">
        <v>38</v>
      </c>
      <c r="B23" s="939">
        <v>3.14</v>
      </c>
      <c r="C23" s="924">
        <v>0</v>
      </c>
      <c r="D23" s="924">
        <v>0</v>
      </c>
      <c r="E23" s="924">
        <v>0</v>
      </c>
      <c r="F23" s="924">
        <v>0</v>
      </c>
      <c r="G23" s="924">
        <v>0</v>
      </c>
      <c r="H23" s="924">
        <v>0</v>
      </c>
      <c r="I23" s="924">
        <v>0</v>
      </c>
      <c r="J23" s="924">
        <v>0</v>
      </c>
      <c r="K23" s="924">
        <v>3.2</v>
      </c>
      <c r="L23" s="924">
        <v>3.15</v>
      </c>
      <c r="M23" s="924">
        <v>3.14</v>
      </c>
      <c r="N23" s="924">
        <v>3.13</v>
      </c>
    </row>
    <row r="24" spans="1:14" ht="12" customHeight="1">
      <c r="A24" s="141" t="s">
        <v>39</v>
      </c>
      <c r="B24" s="939">
        <v>0</v>
      </c>
      <c r="C24" s="924">
        <v>0</v>
      </c>
      <c r="D24" s="924">
        <v>0</v>
      </c>
      <c r="E24" s="924">
        <v>0</v>
      </c>
      <c r="F24" s="924">
        <v>0</v>
      </c>
      <c r="G24" s="924">
        <v>0</v>
      </c>
      <c r="H24" s="924">
        <v>0</v>
      </c>
      <c r="I24" s="924">
        <v>0</v>
      </c>
      <c r="J24" s="924">
        <v>0</v>
      </c>
      <c r="K24" s="924">
        <v>0</v>
      </c>
      <c r="L24" s="924">
        <v>0</v>
      </c>
      <c r="M24" s="924">
        <v>0</v>
      </c>
      <c r="N24" s="924">
        <v>0</v>
      </c>
    </row>
    <row r="25" spans="1:14" ht="12" customHeight="1">
      <c r="A25" s="141" t="s">
        <v>40</v>
      </c>
      <c r="B25" s="939">
        <v>2.65</v>
      </c>
      <c r="C25" s="924">
        <v>2.65</v>
      </c>
      <c r="D25" s="924">
        <v>2.66</v>
      </c>
      <c r="E25" s="924">
        <v>2.65</v>
      </c>
      <c r="F25" s="924">
        <v>2.64</v>
      </c>
      <c r="G25" s="924">
        <v>2.63</v>
      </c>
      <c r="H25" s="924">
        <v>2.65</v>
      </c>
      <c r="I25" s="924">
        <v>0</v>
      </c>
      <c r="J25" s="924">
        <v>0</v>
      </c>
      <c r="K25" s="924">
        <v>0</v>
      </c>
      <c r="L25" s="924">
        <v>0</v>
      </c>
      <c r="M25" s="924">
        <v>2.66</v>
      </c>
      <c r="N25" s="924">
        <v>2.65</v>
      </c>
    </row>
    <row r="26" spans="1:14" ht="12" customHeight="1">
      <c r="A26" s="141" t="s">
        <v>41</v>
      </c>
      <c r="B26" s="939">
        <v>2.69</v>
      </c>
      <c r="C26" s="924">
        <v>2.72</v>
      </c>
      <c r="D26" s="924">
        <v>2.69</v>
      </c>
      <c r="E26" s="924">
        <v>2.68</v>
      </c>
      <c r="F26" s="924">
        <v>2.68</v>
      </c>
      <c r="G26" s="924">
        <v>2.7</v>
      </c>
      <c r="H26" s="924">
        <v>0</v>
      </c>
      <c r="I26" s="924">
        <v>0</v>
      </c>
      <c r="J26" s="924">
        <v>0</v>
      </c>
      <c r="K26" s="924">
        <v>0</v>
      </c>
      <c r="L26" s="924">
        <v>0</v>
      </c>
      <c r="M26" s="924">
        <v>2.68</v>
      </c>
      <c r="N26" s="924">
        <v>2.68</v>
      </c>
    </row>
    <row r="27" spans="1:14" ht="12" customHeight="1">
      <c r="A27" s="141" t="s">
        <v>111</v>
      </c>
      <c r="B27" s="939">
        <v>2.68</v>
      </c>
      <c r="C27" s="924">
        <v>2.7</v>
      </c>
      <c r="D27" s="924">
        <v>2.69</v>
      </c>
      <c r="E27" s="924">
        <v>2.67</v>
      </c>
      <c r="F27" s="924">
        <v>2.68</v>
      </c>
      <c r="G27" s="924">
        <v>2.69</v>
      </c>
      <c r="H27" s="924">
        <v>0</v>
      </c>
      <c r="I27" s="924">
        <v>0</v>
      </c>
      <c r="J27" s="924">
        <v>0</v>
      </c>
      <c r="K27" s="924">
        <v>0</v>
      </c>
      <c r="L27" s="924">
        <v>0</v>
      </c>
      <c r="M27" s="924">
        <v>2.68</v>
      </c>
      <c r="N27" s="924">
        <v>2.68</v>
      </c>
    </row>
    <row r="28" spans="1:14" ht="12" customHeight="1">
      <c r="A28" s="141" t="s">
        <v>112</v>
      </c>
      <c r="B28" s="939">
        <v>2.71</v>
      </c>
      <c r="C28" s="924">
        <v>2.72</v>
      </c>
      <c r="D28" s="924">
        <v>2.7</v>
      </c>
      <c r="E28" s="924">
        <v>2.69</v>
      </c>
      <c r="F28" s="924">
        <v>2.7</v>
      </c>
      <c r="G28" s="924">
        <v>2.7</v>
      </c>
      <c r="H28" s="924">
        <v>0</v>
      </c>
      <c r="I28" s="924">
        <v>0</v>
      </c>
      <c r="J28" s="924">
        <v>0</v>
      </c>
      <c r="K28" s="924">
        <v>0</v>
      </c>
      <c r="L28" s="924">
        <v>0</v>
      </c>
      <c r="M28" s="924">
        <v>0</v>
      </c>
      <c r="N28" s="924">
        <v>0</v>
      </c>
    </row>
    <row r="29" spans="1:14" ht="12" customHeight="1">
      <c r="A29" s="141" t="s">
        <v>44</v>
      </c>
      <c r="B29" s="939">
        <v>2.96</v>
      </c>
      <c r="C29" s="924">
        <v>2.95</v>
      </c>
      <c r="D29" s="924">
        <v>2.96</v>
      </c>
      <c r="E29" s="924">
        <v>2.95</v>
      </c>
      <c r="F29" s="924">
        <v>0</v>
      </c>
      <c r="G29" s="924">
        <v>0</v>
      </c>
      <c r="H29" s="924">
        <v>0</v>
      </c>
      <c r="I29" s="924">
        <v>0</v>
      </c>
      <c r="J29" s="924">
        <v>0</v>
      </c>
      <c r="K29" s="924">
        <v>0</v>
      </c>
      <c r="L29" s="924">
        <v>0</v>
      </c>
      <c r="M29" s="924">
        <v>0</v>
      </c>
      <c r="N29" s="924">
        <v>3</v>
      </c>
    </row>
    <row r="30" spans="1:14" ht="12" customHeight="1">
      <c r="A30" s="141" t="s">
        <v>45</v>
      </c>
      <c r="B30" s="939">
        <v>3.25</v>
      </c>
      <c r="C30" s="924">
        <v>0</v>
      </c>
      <c r="D30" s="924">
        <v>3.23</v>
      </c>
      <c r="E30" s="924">
        <v>3.25</v>
      </c>
      <c r="F30" s="924">
        <v>0</v>
      </c>
      <c r="G30" s="924">
        <v>0</v>
      </c>
      <c r="H30" s="924">
        <v>0</v>
      </c>
      <c r="I30" s="924">
        <v>0</v>
      </c>
      <c r="J30" s="924">
        <v>0</v>
      </c>
      <c r="K30" s="924">
        <v>0</v>
      </c>
      <c r="L30" s="924">
        <v>0</v>
      </c>
      <c r="M30" s="924">
        <v>3.25</v>
      </c>
      <c r="N30" s="924">
        <v>3.3</v>
      </c>
    </row>
    <row r="31" spans="1:14" ht="12" customHeight="1">
      <c r="A31" s="141" t="s">
        <v>46</v>
      </c>
      <c r="B31" s="939">
        <v>0</v>
      </c>
      <c r="C31" s="924">
        <v>0</v>
      </c>
      <c r="D31" s="924">
        <v>0</v>
      </c>
      <c r="E31" s="924">
        <v>0</v>
      </c>
      <c r="F31" s="924">
        <v>0</v>
      </c>
      <c r="G31" s="924">
        <v>0</v>
      </c>
      <c r="H31" s="924">
        <v>0</v>
      </c>
      <c r="I31" s="924">
        <v>0</v>
      </c>
      <c r="J31" s="924">
        <v>0</v>
      </c>
      <c r="K31" s="924">
        <v>0</v>
      </c>
      <c r="L31" s="924">
        <v>0</v>
      </c>
      <c r="M31" s="924">
        <v>0</v>
      </c>
      <c r="N31" s="924">
        <v>0</v>
      </c>
    </row>
    <row r="32" spans="1:14" ht="12" customHeight="1">
      <c r="A32" s="141" t="s">
        <v>47</v>
      </c>
      <c r="B32" s="941">
        <v>0</v>
      </c>
      <c r="C32" s="923">
        <v>0</v>
      </c>
      <c r="D32" s="923">
        <v>0</v>
      </c>
      <c r="E32" s="923">
        <v>0</v>
      </c>
      <c r="F32" s="923">
        <v>0</v>
      </c>
      <c r="G32" s="923">
        <v>0</v>
      </c>
      <c r="H32" s="923">
        <v>0</v>
      </c>
      <c r="I32" s="923">
        <v>0</v>
      </c>
      <c r="J32" s="923">
        <v>0</v>
      </c>
      <c r="K32" s="923">
        <v>0</v>
      </c>
      <c r="L32" s="923">
        <v>0</v>
      </c>
      <c r="M32" s="923">
        <v>0</v>
      </c>
      <c r="N32" s="923">
        <v>0</v>
      </c>
    </row>
    <row r="33" spans="1:14" ht="12" customHeight="1">
      <c r="A33" s="141" t="s">
        <v>48</v>
      </c>
      <c r="B33" s="941">
        <v>0</v>
      </c>
      <c r="C33" s="923">
        <v>0</v>
      </c>
      <c r="D33" s="923">
        <v>0</v>
      </c>
      <c r="E33" s="923">
        <v>0</v>
      </c>
      <c r="F33" s="923">
        <v>0</v>
      </c>
      <c r="G33" s="923">
        <v>0</v>
      </c>
      <c r="H33" s="923">
        <v>0</v>
      </c>
      <c r="I33" s="923">
        <v>0</v>
      </c>
      <c r="J33" s="923">
        <v>0</v>
      </c>
      <c r="K33" s="923">
        <v>0</v>
      </c>
      <c r="L33" s="923">
        <v>0</v>
      </c>
      <c r="M33" s="923">
        <v>0</v>
      </c>
      <c r="N33" s="923">
        <v>0</v>
      </c>
    </row>
    <row r="34" spans="1:14" ht="12" customHeight="1" thickBot="1">
      <c r="A34" s="202" t="s">
        <v>49</v>
      </c>
      <c r="B34" s="940">
        <v>0</v>
      </c>
      <c r="C34" s="925">
        <v>0</v>
      </c>
      <c r="D34" s="925">
        <v>0</v>
      </c>
      <c r="E34" s="925">
        <v>0</v>
      </c>
      <c r="F34" s="925">
        <v>0</v>
      </c>
      <c r="G34" s="925">
        <v>0</v>
      </c>
      <c r="H34" s="925">
        <v>0</v>
      </c>
      <c r="I34" s="925">
        <v>0</v>
      </c>
      <c r="J34" s="925">
        <v>0</v>
      </c>
      <c r="K34" s="925">
        <v>0</v>
      </c>
      <c r="L34" s="925">
        <v>0</v>
      </c>
      <c r="M34" s="925">
        <v>0</v>
      </c>
      <c r="N34" s="925">
        <v>0</v>
      </c>
    </row>
    <row r="35" spans="1:14" ht="10" customHeight="1">
      <c r="A35" s="28" t="s">
        <v>238</v>
      </c>
      <c r="B35" s="935"/>
      <c r="C35" s="936"/>
      <c r="D35" s="936"/>
      <c r="E35" s="936"/>
      <c r="F35" s="936"/>
      <c r="G35" s="936"/>
      <c r="H35" s="936"/>
      <c r="I35" s="936"/>
      <c r="J35" s="936"/>
      <c r="K35" s="936"/>
      <c r="L35" s="936"/>
      <c r="M35" s="936"/>
      <c r="N35" s="936"/>
    </row>
    <row r="36" spans="1:14" ht="10" customHeight="1">
      <c r="A36" s="28" t="s">
        <v>192</v>
      </c>
      <c r="B36" s="936"/>
      <c r="C36" s="936"/>
      <c r="D36" s="936"/>
      <c r="E36" s="936"/>
      <c r="F36" s="936"/>
      <c r="G36" s="936"/>
      <c r="H36" s="936"/>
      <c r="I36" s="936"/>
      <c r="J36" s="936"/>
      <c r="K36" s="936"/>
      <c r="L36" s="936"/>
      <c r="M36" s="936"/>
      <c r="N36" s="936"/>
    </row>
    <row r="37" spans="1:14" ht="10" customHeight="1">
      <c r="A37" s="40" t="s">
        <v>261</v>
      </c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</row>
    <row r="38" spans="1:14" ht="13" customHeight="1">
      <c r="A38" s="31"/>
    </row>
    <row r="39" spans="1:14" ht="13" customHeight="1">
      <c r="A39" s="31"/>
    </row>
    <row r="55" spans="1:14" ht="13" customHeight="1">
      <c r="A55" s="187" t="s">
        <v>342</v>
      </c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</row>
    <row r="56" spans="1:14" ht="13" customHeight="1">
      <c r="A56" s="187" t="s">
        <v>589</v>
      </c>
      <c r="B56" s="189"/>
      <c r="C56" s="189"/>
      <c r="D56" s="189"/>
      <c r="E56" s="189"/>
      <c r="F56" s="189"/>
      <c r="G56" s="193"/>
      <c r="H56" s="192"/>
      <c r="I56" s="189"/>
      <c r="J56" s="189"/>
      <c r="K56" s="189"/>
      <c r="L56" s="189"/>
      <c r="M56" s="189"/>
      <c r="N56" s="189"/>
    </row>
    <row r="57" spans="1:14" ht="13" customHeight="1" thickBot="1">
      <c r="A57" s="193"/>
      <c r="B57" s="194"/>
      <c r="C57" s="195"/>
      <c r="D57" s="194"/>
      <c r="E57" s="194"/>
      <c r="F57" s="194"/>
      <c r="G57" s="194"/>
      <c r="H57" s="194"/>
      <c r="I57" s="194"/>
      <c r="J57" s="192"/>
      <c r="K57" s="192"/>
      <c r="L57" s="192"/>
      <c r="M57" s="192"/>
      <c r="N57" s="192"/>
    </row>
    <row r="58" spans="1:14" ht="13" customHeight="1">
      <c r="A58" s="196" t="s">
        <v>18</v>
      </c>
      <c r="B58" s="143" t="s">
        <v>140</v>
      </c>
      <c r="C58" s="197" t="s">
        <v>88</v>
      </c>
      <c r="D58" s="197" t="s">
        <v>89</v>
      </c>
      <c r="E58" s="197" t="s">
        <v>90</v>
      </c>
      <c r="F58" s="197" t="s">
        <v>91</v>
      </c>
      <c r="G58" s="197" t="s">
        <v>92</v>
      </c>
      <c r="H58" s="197" t="s">
        <v>93</v>
      </c>
      <c r="I58" s="197" t="s">
        <v>94</v>
      </c>
      <c r="J58" s="197" t="s">
        <v>95</v>
      </c>
      <c r="K58" s="197" t="s">
        <v>96</v>
      </c>
      <c r="L58" s="197" t="s">
        <v>97</v>
      </c>
      <c r="M58" s="197" t="s">
        <v>98</v>
      </c>
      <c r="N58" s="197" t="s">
        <v>99</v>
      </c>
    </row>
    <row r="59" spans="1:14" ht="13" customHeight="1">
      <c r="A59" s="198" t="s">
        <v>114</v>
      </c>
      <c r="B59" s="199">
        <v>6.9</v>
      </c>
      <c r="C59" s="199">
        <v>6.6</v>
      </c>
      <c r="D59" s="199">
        <v>6.88</v>
      </c>
      <c r="E59" s="199">
        <v>7.02</v>
      </c>
      <c r="F59" s="199">
        <v>5.91</v>
      </c>
      <c r="G59" s="199">
        <v>5.84</v>
      </c>
      <c r="H59" s="199">
        <v>5.82</v>
      </c>
      <c r="I59" s="199">
        <v>6.25</v>
      </c>
      <c r="J59" s="205">
        <v>0</v>
      </c>
      <c r="K59" s="205">
        <v>7.06</v>
      </c>
      <c r="L59" s="199">
        <v>5.94</v>
      </c>
      <c r="M59" s="199">
        <v>7.07</v>
      </c>
      <c r="N59" s="199">
        <v>7.05</v>
      </c>
    </row>
    <row r="60" spans="1:14" ht="13" customHeight="1">
      <c r="A60" s="141" t="s">
        <v>21</v>
      </c>
      <c r="B60" s="200">
        <v>0</v>
      </c>
      <c r="C60" s="200">
        <v>0</v>
      </c>
      <c r="D60" s="200">
        <v>0</v>
      </c>
      <c r="E60" s="200">
        <v>0</v>
      </c>
      <c r="F60" s="200">
        <v>0</v>
      </c>
      <c r="G60" s="200">
        <v>0</v>
      </c>
      <c r="H60" s="200">
        <v>0</v>
      </c>
      <c r="I60" s="200">
        <v>0</v>
      </c>
      <c r="J60" s="200">
        <v>0</v>
      </c>
      <c r="K60" s="200">
        <v>0</v>
      </c>
      <c r="L60" s="200">
        <v>0</v>
      </c>
      <c r="M60" s="200">
        <v>0</v>
      </c>
      <c r="N60" s="200">
        <v>0</v>
      </c>
    </row>
    <row r="61" spans="1:14" ht="13" customHeight="1">
      <c r="A61" s="141" t="s">
        <v>22</v>
      </c>
      <c r="B61" s="200">
        <v>0</v>
      </c>
      <c r="C61" s="200">
        <v>0</v>
      </c>
      <c r="D61" s="200">
        <v>0</v>
      </c>
      <c r="E61" s="200">
        <v>0</v>
      </c>
      <c r="F61" s="200">
        <v>0</v>
      </c>
      <c r="G61" s="200">
        <v>0</v>
      </c>
      <c r="H61" s="200">
        <v>0</v>
      </c>
      <c r="I61" s="200">
        <v>0</v>
      </c>
      <c r="J61" s="200">
        <v>0</v>
      </c>
      <c r="K61" s="200">
        <v>0</v>
      </c>
      <c r="L61" s="200">
        <v>0</v>
      </c>
      <c r="M61" s="200">
        <v>0</v>
      </c>
      <c r="N61" s="200">
        <v>0</v>
      </c>
    </row>
    <row r="62" spans="1:14" ht="13" customHeight="1">
      <c r="A62" s="141" t="s">
        <v>23</v>
      </c>
      <c r="B62" s="200">
        <v>0</v>
      </c>
      <c r="C62" s="200">
        <v>0</v>
      </c>
      <c r="D62" s="200">
        <v>0</v>
      </c>
      <c r="E62" s="200">
        <v>0</v>
      </c>
      <c r="F62" s="200">
        <v>0</v>
      </c>
      <c r="G62" s="200">
        <v>0</v>
      </c>
      <c r="H62" s="200">
        <v>0</v>
      </c>
      <c r="I62" s="200">
        <v>0</v>
      </c>
      <c r="J62" s="200">
        <v>0</v>
      </c>
      <c r="K62" s="200">
        <v>0</v>
      </c>
      <c r="L62" s="200">
        <v>0</v>
      </c>
      <c r="M62" s="200">
        <v>0</v>
      </c>
      <c r="N62" s="200">
        <v>0</v>
      </c>
    </row>
    <row r="63" spans="1:14" ht="13" customHeight="1">
      <c r="A63" s="141" t="s">
        <v>24</v>
      </c>
      <c r="B63" s="200">
        <v>0</v>
      </c>
      <c r="C63" s="200">
        <v>0</v>
      </c>
      <c r="D63" s="200">
        <v>0</v>
      </c>
      <c r="E63" s="200">
        <v>0</v>
      </c>
      <c r="F63" s="200">
        <v>0</v>
      </c>
      <c r="G63" s="200">
        <v>0</v>
      </c>
      <c r="H63" s="200">
        <v>0</v>
      </c>
      <c r="I63" s="200">
        <v>0</v>
      </c>
      <c r="J63" s="200">
        <v>0</v>
      </c>
      <c r="K63" s="200">
        <v>0</v>
      </c>
      <c r="L63" s="200">
        <v>0</v>
      </c>
      <c r="M63" s="200">
        <v>0</v>
      </c>
      <c r="N63" s="200">
        <v>0</v>
      </c>
    </row>
    <row r="64" spans="1:14" ht="13" customHeight="1">
      <c r="A64" s="141" t="s">
        <v>25</v>
      </c>
      <c r="B64" s="200">
        <v>0</v>
      </c>
      <c r="C64" s="200">
        <v>0</v>
      </c>
      <c r="D64" s="200">
        <v>0</v>
      </c>
      <c r="E64" s="200">
        <v>0</v>
      </c>
      <c r="F64" s="200">
        <v>0</v>
      </c>
      <c r="G64" s="200">
        <v>0</v>
      </c>
      <c r="H64" s="200">
        <v>0</v>
      </c>
      <c r="I64" s="200">
        <v>0</v>
      </c>
      <c r="J64" s="200">
        <v>0</v>
      </c>
      <c r="K64" s="200">
        <v>0</v>
      </c>
      <c r="L64" s="200">
        <v>0</v>
      </c>
      <c r="M64" s="200">
        <v>0</v>
      </c>
      <c r="N64" s="200">
        <v>0</v>
      </c>
    </row>
    <row r="65" spans="1:14" ht="13" customHeight="1">
      <c r="A65" s="141" t="s">
        <v>107</v>
      </c>
      <c r="B65" s="200">
        <v>0</v>
      </c>
      <c r="C65" s="200">
        <v>0</v>
      </c>
      <c r="D65" s="200">
        <v>0</v>
      </c>
      <c r="E65" s="200">
        <v>0</v>
      </c>
      <c r="F65" s="200">
        <v>0</v>
      </c>
      <c r="G65" s="200">
        <v>0</v>
      </c>
      <c r="H65" s="200">
        <v>0</v>
      </c>
      <c r="I65" s="200">
        <v>0</v>
      </c>
      <c r="J65" s="200">
        <v>0</v>
      </c>
      <c r="K65" s="200">
        <v>0</v>
      </c>
      <c r="L65" s="200">
        <v>0</v>
      </c>
      <c r="M65" s="200">
        <v>0</v>
      </c>
      <c r="N65" s="200">
        <v>0</v>
      </c>
    </row>
    <row r="66" spans="1:14" ht="13" customHeight="1">
      <c r="A66" s="141" t="s">
        <v>108</v>
      </c>
      <c r="B66" s="200">
        <v>0</v>
      </c>
      <c r="C66" s="200">
        <v>0</v>
      </c>
      <c r="D66" s="200">
        <v>0</v>
      </c>
      <c r="E66" s="200">
        <v>0</v>
      </c>
      <c r="F66" s="200">
        <v>0</v>
      </c>
      <c r="G66" s="200">
        <v>0</v>
      </c>
      <c r="H66" s="200">
        <v>0</v>
      </c>
      <c r="I66" s="200">
        <v>0</v>
      </c>
      <c r="J66" s="200">
        <v>0</v>
      </c>
      <c r="K66" s="200">
        <v>0</v>
      </c>
      <c r="L66" s="200">
        <v>0</v>
      </c>
      <c r="M66" s="200">
        <v>0</v>
      </c>
      <c r="N66" s="200">
        <v>0</v>
      </c>
    </row>
    <row r="67" spans="1:14" ht="13" customHeight="1">
      <c r="A67" s="141" t="s">
        <v>139</v>
      </c>
      <c r="B67" s="200">
        <v>0</v>
      </c>
      <c r="C67" s="200">
        <v>0</v>
      </c>
      <c r="D67" s="200">
        <v>0</v>
      </c>
      <c r="E67" s="200">
        <v>0</v>
      </c>
      <c r="F67" s="200">
        <v>0</v>
      </c>
      <c r="G67" s="200">
        <v>0</v>
      </c>
      <c r="H67" s="200">
        <v>0</v>
      </c>
      <c r="I67" s="200">
        <v>0</v>
      </c>
      <c r="J67" s="200">
        <v>0</v>
      </c>
      <c r="K67" s="200">
        <v>0</v>
      </c>
      <c r="L67" s="200">
        <v>0</v>
      </c>
      <c r="M67" s="200">
        <v>0</v>
      </c>
      <c r="N67" s="200">
        <v>0</v>
      </c>
    </row>
    <row r="68" spans="1:14" ht="13" customHeight="1">
      <c r="A68" s="141" t="s">
        <v>29</v>
      </c>
      <c r="B68" s="200">
        <v>0</v>
      </c>
      <c r="C68" s="200">
        <v>0</v>
      </c>
      <c r="D68" s="200">
        <v>0</v>
      </c>
      <c r="E68" s="200">
        <v>0</v>
      </c>
      <c r="F68" s="200">
        <v>0</v>
      </c>
      <c r="G68" s="200">
        <v>0</v>
      </c>
      <c r="H68" s="200">
        <v>0</v>
      </c>
      <c r="I68" s="200">
        <v>0</v>
      </c>
      <c r="J68" s="200">
        <v>0</v>
      </c>
      <c r="K68" s="200">
        <v>0</v>
      </c>
      <c r="L68" s="200">
        <v>0</v>
      </c>
      <c r="M68" s="200">
        <v>0</v>
      </c>
      <c r="N68" s="200">
        <v>0</v>
      </c>
    </row>
    <row r="69" spans="1:14" ht="13" customHeight="1">
      <c r="A69" s="141" t="s">
        <v>30</v>
      </c>
      <c r="B69" s="200">
        <v>0</v>
      </c>
      <c r="C69" s="200">
        <v>0</v>
      </c>
      <c r="D69" s="200">
        <v>0</v>
      </c>
      <c r="E69" s="200">
        <v>0</v>
      </c>
      <c r="F69" s="200">
        <v>0</v>
      </c>
      <c r="G69" s="200">
        <v>0</v>
      </c>
      <c r="H69" s="200">
        <v>0</v>
      </c>
      <c r="I69" s="200">
        <v>0</v>
      </c>
      <c r="J69" s="200">
        <v>0</v>
      </c>
      <c r="K69" s="200">
        <v>0</v>
      </c>
      <c r="L69" s="200">
        <v>0</v>
      </c>
      <c r="M69" s="200">
        <v>0</v>
      </c>
      <c r="N69" s="200">
        <v>0</v>
      </c>
    </row>
    <row r="70" spans="1:14" ht="13" customHeight="1">
      <c r="A70" s="141" t="s">
        <v>31</v>
      </c>
      <c r="B70" s="201">
        <v>6.24</v>
      </c>
      <c r="C70" s="200">
        <v>0</v>
      </c>
      <c r="D70" s="200">
        <v>0</v>
      </c>
      <c r="E70" s="200">
        <v>0</v>
      </c>
      <c r="F70" s="200">
        <v>6.23</v>
      </c>
      <c r="G70" s="200">
        <v>6.25</v>
      </c>
      <c r="H70" s="200">
        <v>6.26</v>
      </c>
      <c r="I70" s="200">
        <v>6.25</v>
      </c>
      <c r="J70" s="200">
        <v>0</v>
      </c>
      <c r="K70" s="200">
        <v>0</v>
      </c>
      <c r="L70" s="200">
        <v>0</v>
      </c>
      <c r="M70" s="200">
        <v>0</v>
      </c>
      <c r="N70" s="200">
        <v>0</v>
      </c>
    </row>
    <row r="71" spans="1:14" ht="13" customHeight="1">
      <c r="A71" s="141" t="s">
        <v>32</v>
      </c>
      <c r="B71" s="200">
        <v>0</v>
      </c>
      <c r="C71" s="200">
        <v>0</v>
      </c>
      <c r="D71" s="200">
        <v>0</v>
      </c>
      <c r="E71" s="200">
        <v>0</v>
      </c>
      <c r="F71" s="200">
        <v>0</v>
      </c>
      <c r="G71" s="200">
        <v>0</v>
      </c>
      <c r="H71" s="200">
        <v>0</v>
      </c>
      <c r="I71" s="200">
        <v>0</v>
      </c>
      <c r="J71" s="200">
        <v>0</v>
      </c>
      <c r="K71" s="200">
        <v>0</v>
      </c>
      <c r="L71" s="200">
        <v>0</v>
      </c>
      <c r="M71" s="200">
        <v>0</v>
      </c>
      <c r="N71" s="200">
        <v>0</v>
      </c>
    </row>
    <row r="72" spans="1:14" ht="13" customHeight="1">
      <c r="A72" s="141" t="s">
        <v>33</v>
      </c>
      <c r="B72" s="200">
        <v>0</v>
      </c>
      <c r="C72" s="200">
        <v>0</v>
      </c>
      <c r="D72" s="200">
        <v>0</v>
      </c>
      <c r="E72" s="200">
        <v>0</v>
      </c>
      <c r="F72" s="200">
        <v>0</v>
      </c>
      <c r="G72" s="200">
        <v>0</v>
      </c>
      <c r="H72" s="200">
        <v>0</v>
      </c>
      <c r="I72" s="200">
        <v>0</v>
      </c>
      <c r="J72" s="200">
        <v>0</v>
      </c>
      <c r="K72" s="200">
        <v>0</v>
      </c>
      <c r="L72" s="200">
        <v>0</v>
      </c>
      <c r="M72" s="200">
        <v>0</v>
      </c>
      <c r="N72" s="200">
        <v>0</v>
      </c>
    </row>
    <row r="73" spans="1:14" ht="13" customHeight="1">
      <c r="A73" s="141" t="s">
        <v>34</v>
      </c>
      <c r="B73" s="201">
        <v>5.76</v>
      </c>
      <c r="C73" s="200">
        <v>0</v>
      </c>
      <c r="D73" s="200">
        <v>0</v>
      </c>
      <c r="E73" s="200">
        <v>0</v>
      </c>
      <c r="F73" s="200">
        <v>0</v>
      </c>
      <c r="G73" s="200">
        <v>0</v>
      </c>
      <c r="H73" s="200">
        <v>0</v>
      </c>
      <c r="I73" s="200">
        <v>0</v>
      </c>
      <c r="J73" s="200">
        <v>0</v>
      </c>
      <c r="K73" s="200">
        <v>0</v>
      </c>
      <c r="L73" s="200">
        <v>5.74</v>
      </c>
      <c r="M73" s="200">
        <v>5.78</v>
      </c>
      <c r="N73" s="200">
        <v>5.74</v>
      </c>
    </row>
    <row r="74" spans="1:14" ht="13" customHeight="1">
      <c r="A74" s="141" t="s">
        <v>35</v>
      </c>
      <c r="B74" s="201">
        <v>6.27</v>
      </c>
      <c r="C74" s="200">
        <v>0</v>
      </c>
      <c r="D74" s="200">
        <v>0</v>
      </c>
      <c r="E74" s="200">
        <v>0</v>
      </c>
      <c r="F74" s="200">
        <v>0</v>
      </c>
      <c r="G74" s="200">
        <v>0</v>
      </c>
      <c r="H74" s="200">
        <v>0</v>
      </c>
      <c r="I74" s="200">
        <v>0</v>
      </c>
      <c r="J74" s="200">
        <v>0</v>
      </c>
      <c r="K74" s="200">
        <v>0</v>
      </c>
      <c r="L74" s="200">
        <v>5.92</v>
      </c>
      <c r="M74" s="200">
        <v>6.62</v>
      </c>
      <c r="N74" s="200">
        <v>6.64</v>
      </c>
    </row>
    <row r="75" spans="1:14" ht="13" customHeight="1">
      <c r="A75" s="141" t="s">
        <v>36</v>
      </c>
      <c r="B75" s="201">
        <v>5.74</v>
      </c>
      <c r="C75" s="201">
        <v>0</v>
      </c>
      <c r="D75" s="201">
        <v>5.65</v>
      </c>
      <c r="E75" s="201">
        <v>5.65</v>
      </c>
      <c r="F75" s="200">
        <v>5.67</v>
      </c>
      <c r="G75" s="200">
        <v>5.7</v>
      </c>
      <c r="H75" s="201">
        <v>5.74</v>
      </c>
      <c r="I75" s="200">
        <v>0</v>
      </c>
      <c r="J75" s="200">
        <v>0</v>
      </c>
      <c r="K75" s="200">
        <v>0</v>
      </c>
      <c r="L75" s="200">
        <v>0</v>
      </c>
      <c r="M75" s="200">
        <v>6.64</v>
      </c>
      <c r="N75" s="200">
        <v>6.62</v>
      </c>
    </row>
    <row r="76" spans="1:14" ht="13" customHeight="1">
      <c r="A76" s="141" t="s">
        <v>37</v>
      </c>
      <c r="B76" s="201">
        <v>7.15</v>
      </c>
      <c r="C76" s="201">
        <v>7.11</v>
      </c>
      <c r="D76" s="201">
        <v>7.06</v>
      </c>
      <c r="E76" s="201">
        <v>7.11</v>
      </c>
      <c r="F76" s="200">
        <v>0</v>
      </c>
      <c r="G76" s="200">
        <v>0</v>
      </c>
      <c r="H76" s="200">
        <v>0</v>
      </c>
      <c r="I76" s="200">
        <v>0</v>
      </c>
      <c r="J76" s="200">
        <v>0</v>
      </c>
      <c r="K76" s="200">
        <v>0</v>
      </c>
      <c r="L76" s="200">
        <v>0</v>
      </c>
      <c r="M76" s="200">
        <v>0</v>
      </c>
      <c r="N76" s="201">
        <v>7.4</v>
      </c>
    </row>
    <row r="77" spans="1:14" ht="13" customHeight="1">
      <c r="A77" s="141" t="s">
        <v>38</v>
      </c>
      <c r="B77" s="201">
        <v>6.94</v>
      </c>
      <c r="C77" s="200">
        <v>0</v>
      </c>
      <c r="D77" s="200">
        <v>0</v>
      </c>
      <c r="E77" s="200">
        <v>0</v>
      </c>
      <c r="F77" s="200">
        <v>0</v>
      </c>
      <c r="G77" s="200">
        <v>0</v>
      </c>
      <c r="H77" s="200">
        <v>0</v>
      </c>
      <c r="I77" s="200">
        <v>0</v>
      </c>
      <c r="J77" s="200">
        <v>0</v>
      </c>
      <c r="K77" s="200">
        <v>7.06</v>
      </c>
      <c r="L77" s="200">
        <v>6.95</v>
      </c>
      <c r="M77" s="200">
        <v>6.93</v>
      </c>
      <c r="N77" s="200">
        <v>6.91</v>
      </c>
    </row>
    <row r="78" spans="1:14" ht="13" customHeight="1">
      <c r="A78" s="141" t="s">
        <v>39</v>
      </c>
      <c r="B78" s="200">
        <v>0</v>
      </c>
      <c r="C78" s="200">
        <v>0</v>
      </c>
      <c r="D78" s="200">
        <v>0</v>
      </c>
      <c r="E78" s="200">
        <v>0</v>
      </c>
      <c r="F78" s="200">
        <v>0</v>
      </c>
      <c r="G78" s="200">
        <v>0</v>
      </c>
      <c r="H78" s="200">
        <v>0</v>
      </c>
      <c r="I78" s="200">
        <v>0</v>
      </c>
      <c r="J78" s="200">
        <v>0</v>
      </c>
      <c r="K78" s="200">
        <v>0</v>
      </c>
      <c r="L78" s="200">
        <v>0</v>
      </c>
      <c r="M78" s="200">
        <v>0</v>
      </c>
      <c r="N78" s="200">
        <v>0</v>
      </c>
    </row>
    <row r="79" spans="1:14" ht="13" customHeight="1">
      <c r="A79" s="141" t="s">
        <v>40</v>
      </c>
      <c r="B79" s="201">
        <v>5.84</v>
      </c>
      <c r="C79" s="201">
        <v>5.85</v>
      </c>
      <c r="D79" s="201">
        <v>5.87</v>
      </c>
      <c r="E79" s="201">
        <v>5.85</v>
      </c>
      <c r="F79" s="200">
        <v>5.83</v>
      </c>
      <c r="G79" s="201">
        <v>5.81</v>
      </c>
      <c r="H79" s="201">
        <v>5.85</v>
      </c>
      <c r="I79" s="200">
        <v>0</v>
      </c>
      <c r="J79" s="200">
        <v>0</v>
      </c>
      <c r="K79" s="200">
        <v>0</v>
      </c>
      <c r="L79" s="200">
        <v>0</v>
      </c>
      <c r="M79" s="200">
        <v>5.87</v>
      </c>
      <c r="N79" s="201">
        <v>5.85</v>
      </c>
    </row>
    <row r="80" spans="1:14" ht="13" customHeight="1">
      <c r="A80" s="141" t="s">
        <v>41</v>
      </c>
      <c r="B80" s="200">
        <v>5.94</v>
      </c>
      <c r="C80" s="200">
        <v>6</v>
      </c>
      <c r="D80" s="200">
        <v>5.95</v>
      </c>
      <c r="E80" s="200">
        <v>5.91</v>
      </c>
      <c r="F80" s="200">
        <v>5.92</v>
      </c>
      <c r="G80" s="200">
        <v>5.96</v>
      </c>
      <c r="H80" s="200">
        <v>0</v>
      </c>
      <c r="I80" s="200">
        <v>0</v>
      </c>
      <c r="J80" s="200">
        <v>0</v>
      </c>
      <c r="K80" s="200">
        <v>0</v>
      </c>
      <c r="L80" s="200">
        <v>0</v>
      </c>
      <c r="M80" s="200">
        <v>5.92</v>
      </c>
      <c r="N80" s="200">
        <v>5.92</v>
      </c>
    </row>
    <row r="81" spans="1:14" ht="13" customHeight="1">
      <c r="A81" s="141" t="s">
        <v>111</v>
      </c>
      <c r="B81" s="200">
        <v>5.92</v>
      </c>
      <c r="C81" s="200">
        <v>5.96</v>
      </c>
      <c r="D81" s="200">
        <v>5.94</v>
      </c>
      <c r="E81" s="200">
        <v>5.89</v>
      </c>
      <c r="F81" s="200">
        <v>5.92</v>
      </c>
      <c r="G81" s="200">
        <v>5.94</v>
      </c>
      <c r="H81" s="200">
        <v>0</v>
      </c>
      <c r="I81" s="200">
        <v>0</v>
      </c>
      <c r="J81" s="200">
        <v>0</v>
      </c>
      <c r="K81" s="200">
        <v>0</v>
      </c>
      <c r="L81" s="200">
        <v>0</v>
      </c>
      <c r="M81" s="200">
        <v>5.92</v>
      </c>
      <c r="N81" s="200">
        <v>5.92</v>
      </c>
    </row>
    <row r="82" spans="1:14" ht="13" customHeight="1">
      <c r="A82" s="141" t="s">
        <v>112</v>
      </c>
      <c r="B82" s="201">
        <v>5.97</v>
      </c>
      <c r="C82" s="200">
        <v>6</v>
      </c>
      <c r="D82" s="200">
        <v>5.96</v>
      </c>
      <c r="E82" s="200">
        <v>5.94</v>
      </c>
      <c r="F82" s="200">
        <v>5.96</v>
      </c>
      <c r="G82" s="200">
        <v>5.96</v>
      </c>
      <c r="H82" s="200">
        <v>0</v>
      </c>
      <c r="I82" s="200">
        <v>0</v>
      </c>
      <c r="J82" s="200">
        <v>0</v>
      </c>
      <c r="K82" s="200">
        <v>0</v>
      </c>
      <c r="L82" s="200">
        <v>0</v>
      </c>
      <c r="M82" s="200">
        <v>0</v>
      </c>
      <c r="N82" s="200">
        <v>0</v>
      </c>
    </row>
    <row r="83" spans="1:14" ht="13" customHeight="1">
      <c r="A83" s="141" t="s">
        <v>44</v>
      </c>
      <c r="B83" s="201">
        <v>6.53</v>
      </c>
      <c r="C83" s="200">
        <v>6.51</v>
      </c>
      <c r="D83" s="200">
        <v>6.53</v>
      </c>
      <c r="E83" s="200">
        <v>6.51</v>
      </c>
      <c r="F83" s="200">
        <v>0</v>
      </c>
      <c r="G83" s="200">
        <v>0</v>
      </c>
      <c r="H83" s="200">
        <v>0</v>
      </c>
      <c r="I83" s="200">
        <v>0</v>
      </c>
      <c r="J83" s="200">
        <v>0</v>
      </c>
      <c r="K83" s="200">
        <v>0</v>
      </c>
      <c r="L83" s="200">
        <v>0</v>
      </c>
      <c r="M83" s="200">
        <v>0</v>
      </c>
      <c r="N83" s="200">
        <v>6.62</v>
      </c>
    </row>
    <row r="84" spans="1:14" ht="13" customHeight="1">
      <c r="A84" s="141" t="s">
        <v>45</v>
      </c>
      <c r="B84" s="201">
        <v>7.18</v>
      </c>
      <c r="C84" s="200">
        <v>0</v>
      </c>
      <c r="D84" s="201">
        <v>7.13</v>
      </c>
      <c r="E84" s="201">
        <v>7.17</v>
      </c>
      <c r="F84" s="200">
        <v>0</v>
      </c>
      <c r="G84" s="200">
        <v>0</v>
      </c>
      <c r="H84" s="200">
        <v>0</v>
      </c>
      <c r="I84" s="200">
        <v>0</v>
      </c>
      <c r="J84" s="200">
        <v>0</v>
      </c>
      <c r="K84" s="200">
        <v>0</v>
      </c>
      <c r="L84" s="200">
        <v>0</v>
      </c>
      <c r="M84" s="201">
        <v>7.17</v>
      </c>
      <c r="N84" s="201">
        <v>7.28</v>
      </c>
    </row>
    <row r="85" spans="1:14" ht="13" customHeight="1">
      <c r="A85" s="141" t="s">
        <v>46</v>
      </c>
      <c r="B85" s="200">
        <v>0</v>
      </c>
      <c r="C85" s="200">
        <v>0</v>
      </c>
      <c r="D85" s="200">
        <v>0</v>
      </c>
      <c r="E85" s="200">
        <v>0</v>
      </c>
      <c r="F85" s="200">
        <v>0</v>
      </c>
      <c r="G85" s="200">
        <v>0</v>
      </c>
      <c r="H85" s="200">
        <v>0</v>
      </c>
      <c r="I85" s="200">
        <v>0</v>
      </c>
      <c r="J85" s="200">
        <v>0</v>
      </c>
      <c r="K85" s="200">
        <v>0</v>
      </c>
      <c r="L85" s="200">
        <v>0</v>
      </c>
      <c r="M85" s="200">
        <v>0</v>
      </c>
      <c r="N85" s="200">
        <v>0</v>
      </c>
    </row>
    <row r="86" spans="1:14" ht="13" customHeight="1">
      <c r="A86" s="141" t="s">
        <v>47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</row>
    <row r="87" spans="1:14" ht="13" customHeight="1">
      <c r="A87" s="141" t="s">
        <v>48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</row>
    <row r="88" spans="1:14" ht="13" customHeight="1" thickBot="1">
      <c r="A88" s="202" t="s">
        <v>49</v>
      </c>
      <c r="B88" s="203">
        <v>0</v>
      </c>
      <c r="C88" s="203">
        <v>0</v>
      </c>
      <c r="D88" s="203">
        <v>0</v>
      </c>
      <c r="E88" s="203">
        <v>0</v>
      </c>
      <c r="F88" s="203">
        <v>0</v>
      </c>
      <c r="G88" s="203">
        <v>0</v>
      </c>
      <c r="H88" s="203">
        <v>0</v>
      </c>
      <c r="I88" s="203">
        <v>0</v>
      </c>
      <c r="J88" s="203">
        <v>0</v>
      </c>
      <c r="K88" s="203">
        <v>0</v>
      </c>
      <c r="L88" s="203">
        <v>0</v>
      </c>
      <c r="M88" s="203">
        <v>0</v>
      </c>
      <c r="N88" s="203">
        <v>0</v>
      </c>
    </row>
    <row r="89" spans="1:14" ht="13" customHeight="1">
      <c r="A89" s="10" t="s">
        <v>229</v>
      </c>
      <c r="B89" s="204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</row>
    <row r="90" spans="1:14" ht="13" customHeight="1">
      <c r="A90" s="10" t="s">
        <v>192</v>
      </c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</row>
    <row r="91" spans="1:14" ht="13" customHeight="1">
      <c r="A91" s="12" t="s">
        <v>261</v>
      </c>
    </row>
    <row r="92" spans="1:14" ht="13" customHeight="1">
      <c r="A92" s="31"/>
    </row>
  </sheetData>
  <printOptions horizontalCentered="1" verticalCentered="1" gridLinesSet="0"/>
  <pageMargins left="0" right="0" top="0" bottom="0" header="0" footer="0"/>
  <pageSetup paperSize="9" orientation="landscape" horizontalDpi="180" verticalDpi="180"/>
  <headerFooter scaleWithDoc="0"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Hoja113">
    <tabColor theme="9" tint="0.59999389629810485"/>
  </sheetPr>
  <dimension ref="A1:N91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141" customWidth="1"/>
    <col min="2" max="14" width="8.3984375" style="141" customWidth="1"/>
    <col min="15" max="16384" width="7" style="141"/>
  </cols>
  <sheetData>
    <row r="1" spans="1:14" ht="17" customHeight="1">
      <c r="A1" s="943" t="s">
        <v>531</v>
      </c>
      <c r="B1" s="943"/>
      <c r="C1" s="944"/>
      <c r="D1" s="944"/>
      <c r="E1" s="944"/>
      <c r="F1" s="944"/>
      <c r="G1" s="944"/>
      <c r="H1" s="944"/>
      <c r="I1" s="944"/>
      <c r="J1" s="944"/>
      <c r="K1" s="944"/>
      <c r="L1" s="944"/>
      <c r="M1" s="944"/>
      <c r="N1" s="944"/>
    </row>
    <row r="2" spans="1:14" ht="13" customHeight="1">
      <c r="A2" s="927" t="s">
        <v>588</v>
      </c>
      <c r="B2" s="508"/>
      <c r="C2" s="189"/>
      <c r="D2" s="189"/>
      <c r="E2" s="189"/>
      <c r="F2" s="189"/>
      <c r="G2" s="193"/>
      <c r="H2" s="192"/>
      <c r="I2" s="189"/>
      <c r="J2" s="189"/>
      <c r="K2" s="189"/>
      <c r="L2" s="189"/>
      <c r="M2" s="189"/>
      <c r="N2" s="189"/>
    </row>
    <row r="3" spans="1:14" ht="4" customHeight="1" thickBot="1">
      <c r="A3" s="193"/>
      <c r="B3" s="194"/>
      <c r="C3" s="195"/>
      <c r="D3" s="194"/>
      <c r="E3" s="194"/>
      <c r="F3" s="194"/>
      <c r="G3" s="194"/>
      <c r="H3" s="194"/>
      <c r="I3" s="194"/>
      <c r="J3" s="192"/>
      <c r="K3" s="192"/>
      <c r="L3" s="192"/>
      <c r="M3" s="192"/>
      <c r="N3" s="192"/>
    </row>
    <row r="4" spans="1:14" ht="15" customHeight="1">
      <c r="A4" s="525" t="s">
        <v>18</v>
      </c>
      <c r="B4" s="934" t="s">
        <v>56</v>
      </c>
      <c r="C4" s="934" t="s">
        <v>57</v>
      </c>
      <c r="D4" s="934" t="s">
        <v>58</v>
      </c>
      <c r="E4" s="934" t="s">
        <v>59</v>
      </c>
      <c r="F4" s="934" t="s">
        <v>60</v>
      </c>
      <c r="G4" s="934" t="s">
        <v>61</v>
      </c>
      <c r="H4" s="934" t="s">
        <v>62</v>
      </c>
      <c r="I4" s="934" t="s">
        <v>63</v>
      </c>
      <c r="J4" s="934" t="s">
        <v>64</v>
      </c>
      <c r="K4" s="934" t="s">
        <v>65</v>
      </c>
      <c r="L4" s="934" t="s">
        <v>66</v>
      </c>
      <c r="M4" s="934" t="s">
        <v>67</v>
      </c>
      <c r="N4" s="934" t="s">
        <v>68</v>
      </c>
    </row>
    <row r="5" spans="1:14" ht="15" customHeight="1">
      <c r="A5" s="929" t="s">
        <v>114</v>
      </c>
      <c r="B5" s="930">
        <v>3.14</v>
      </c>
      <c r="C5" s="930">
        <v>3.03</v>
      </c>
      <c r="D5" s="930">
        <v>3.15</v>
      </c>
      <c r="E5" s="930">
        <v>3.14</v>
      </c>
      <c r="F5" s="930">
        <v>3.02</v>
      </c>
      <c r="G5" s="930">
        <v>3.26</v>
      </c>
      <c r="H5" s="930">
        <v>3.28</v>
      </c>
      <c r="I5" s="930">
        <v>3.32</v>
      </c>
      <c r="J5" s="930">
        <v>3.32</v>
      </c>
      <c r="K5" s="930">
        <v>3.26</v>
      </c>
      <c r="L5" s="930">
        <v>3.24</v>
      </c>
      <c r="M5" s="930">
        <v>3.04</v>
      </c>
      <c r="N5" s="930">
        <v>3.08</v>
      </c>
    </row>
    <row r="6" spans="1:14" ht="12" customHeight="1">
      <c r="A6" s="141" t="s">
        <v>21</v>
      </c>
      <c r="B6" s="939">
        <v>0</v>
      </c>
      <c r="C6" s="924">
        <v>0</v>
      </c>
      <c r="D6" s="924">
        <v>0</v>
      </c>
      <c r="E6" s="924">
        <v>0</v>
      </c>
      <c r="F6" s="924">
        <v>0</v>
      </c>
      <c r="G6" s="924">
        <v>0</v>
      </c>
      <c r="H6" s="924">
        <v>0</v>
      </c>
      <c r="I6" s="924">
        <v>0</v>
      </c>
      <c r="J6" s="924">
        <v>0</v>
      </c>
      <c r="K6" s="924">
        <v>0</v>
      </c>
      <c r="L6" s="924">
        <v>0</v>
      </c>
      <c r="M6" s="924">
        <v>0</v>
      </c>
      <c r="N6" s="924">
        <v>0</v>
      </c>
    </row>
    <row r="7" spans="1:14" ht="12" customHeight="1">
      <c r="A7" s="141" t="s">
        <v>22</v>
      </c>
      <c r="B7" s="939">
        <v>3.33</v>
      </c>
      <c r="C7" s="924">
        <v>0</v>
      </c>
      <c r="D7" s="924">
        <v>0</v>
      </c>
      <c r="E7" s="924">
        <v>0</v>
      </c>
      <c r="F7" s="924">
        <v>3.3</v>
      </c>
      <c r="G7" s="924">
        <v>3.32</v>
      </c>
      <c r="H7" s="924">
        <v>0</v>
      </c>
      <c r="I7" s="924">
        <v>0</v>
      </c>
      <c r="J7" s="924">
        <v>0</v>
      </c>
      <c r="K7" s="924">
        <v>0</v>
      </c>
      <c r="L7" s="924">
        <v>0</v>
      </c>
      <c r="M7" s="924">
        <v>3.35</v>
      </c>
      <c r="N7" s="924">
        <v>3.36</v>
      </c>
    </row>
    <row r="8" spans="1:14" ht="12" customHeight="1">
      <c r="A8" s="141" t="s">
        <v>23</v>
      </c>
      <c r="B8" s="939">
        <v>0</v>
      </c>
      <c r="C8" s="924">
        <v>0</v>
      </c>
      <c r="D8" s="924">
        <v>0</v>
      </c>
      <c r="E8" s="924">
        <v>0</v>
      </c>
      <c r="F8" s="924">
        <v>0</v>
      </c>
      <c r="G8" s="924">
        <v>0</v>
      </c>
      <c r="H8" s="924">
        <v>0</v>
      </c>
      <c r="I8" s="924">
        <v>0</v>
      </c>
      <c r="J8" s="924">
        <v>0</v>
      </c>
      <c r="K8" s="924">
        <v>0</v>
      </c>
      <c r="L8" s="924">
        <v>0</v>
      </c>
      <c r="M8" s="924">
        <v>0</v>
      </c>
      <c r="N8" s="924">
        <v>0</v>
      </c>
    </row>
    <row r="9" spans="1:14" ht="12" customHeight="1">
      <c r="A9" s="141" t="s">
        <v>24</v>
      </c>
      <c r="B9" s="939">
        <v>3.3</v>
      </c>
      <c r="C9" s="924">
        <v>3.26</v>
      </c>
      <c r="D9" s="924">
        <v>0</v>
      </c>
      <c r="E9" s="924">
        <v>0</v>
      </c>
      <c r="F9" s="924">
        <v>3.28</v>
      </c>
      <c r="G9" s="924">
        <v>3.29</v>
      </c>
      <c r="H9" s="924">
        <v>3.3</v>
      </c>
      <c r="I9" s="924">
        <v>3.3</v>
      </c>
      <c r="J9" s="924">
        <v>3.31</v>
      </c>
      <c r="K9" s="924">
        <v>3.32</v>
      </c>
      <c r="L9" s="924">
        <v>3.31</v>
      </c>
      <c r="M9" s="924">
        <v>3.33</v>
      </c>
      <c r="N9" s="924">
        <v>3.32</v>
      </c>
    </row>
    <row r="10" spans="1:14" ht="12" customHeight="1">
      <c r="A10" s="141" t="s">
        <v>25</v>
      </c>
      <c r="B10" s="939">
        <v>3.35</v>
      </c>
      <c r="C10" s="924">
        <v>3.32</v>
      </c>
      <c r="D10" s="924">
        <v>3.34</v>
      </c>
      <c r="E10" s="924">
        <v>3.34</v>
      </c>
      <c r="F10" s="924">
        <v>3.35</v>
      </c>
      <c r="G10" s="924">
        <v>3.34</v>
      </c>
      <c r="H10" s="924">
        <v>3.36</v>
      </c>
      <c r="I10" s="924">
        <v>3.35</v>
      </c>
      <c r="J10" s="924">
        <v>3.35</v>
      </c>
      <c r="K10" s="924">
        <v>3.37</v>
      </c>
      <c r="L10" s="924">
        <v>0</v>
      </c>
      <c r="M10" s="924">
        <v>0</v>
      </c>
      <c r="N10" s="924">
        <v>0</v>
      </c>
    </row>
    <row r="11" spans="1:14" ht="12" customHeight="1">
      <c r="A11" s="141" t="s">
        <v>107</v>
      </c>
      <c r="B11" s="939">
        <v>3.36</v>
      </c>
      <c r="C11" s="924">
        <v>3.32</v>
      </c>
      <c r="D11" s="924">
        <v>3.34</v>
      </c>
      <c r="E11" s="924">
        <v>3.34</v>
      </c>
      <c r="F11" s="924">
        <v>3.35</v>
      </c>
      <c r="G11" s="924">
        <v>3.34</v>
      </c>
      <c r="H11" s="924">
        <v>3.36</v>
      </c>
      <c r="I11" s="924">
        <v>3.36</v>
      </c>
      <c r="J11" s="924">
        <v>3.37</v>
      </c>
      <c r="K11" s="924">
        <v>3.38</v>
      </c>
      <c r="L11" s="924">
        <v>0</v>
      </c>
      <c r="M11" s="924">
        <v>0</v>
      </c>
      <c r="N11" s="924">
        <v>0</v>
      </c>
    </row>
    <row r="12" spans="1:14" ht="12" customHeight="1">
      <c r="A12" s="141" t="s">
        <v>108</v>
      </c>
      <c r="B12" s="939">
        <v>3.34</v>
      </c>
      <c r="C12" s="924">
        <v>0</v>
      </c>
      <c r="D12" s="924">
        <v>0</v>
      </c>
      <c r="E12" s="924">
        <v>0</v>
      </c>
      <c r="F12" s="924">
        <v>0</v>
      </c>
      <c r="G12" s="924">
        <v>0</v>
      </c>
      <c r="H12" s="924">
        <v>0</v>
      </c>
      <c r="I12" s="924">
        <v>3.35</v>
      </c>
      <c r="J12" s="924">
        <v>3.32</v>
      </c>
      <c r="K12" s="924">
        <v>3.35</v>
      </c>
      <c r="L12" s="924">
        <v>0</v>
      </c>
      <c r="M12" s="924">
        <v>0</v>
      </c>
      <c r="N12" s="924">
        <v>0</v>
      </c>
    </row>
    <row r="13" spans="1:14" ht="12" customHeight="1">
      <c r="A13" s="141" t="s">
        <v>139</v>
      </c>
      <c r="B13" s="939">
        <v>0</v>
      </c>
      <c r="C13" s="924">
        <v>0</v>
      </c>
      <c r="D13" s="924">
        <v>0</v>
      </c>
      <c r="E13" s="924">
        <v>0</v>
      </c>
      <c r="F13" s="924">
        <v>0</v>
      </c>
      <c r="G13" s="924">
        <v>0</v>
      </c>
      <c r="H13" s="924">
        <v>0</v>
      </c>
      <c r="I13" s="924">
        <v>0</v>
      </c>
      <c r="J13" s="924">
        <v>0</v>
      </c>
      <c r="K13" s="924">
        <v>0</v>
      </c>
      <c r="L13" s="924">
        <v>0</v>
      </c>
      <c r="M13" s="924">
        <v>0</v>
      </c>
      <c r="N13" s="924">
        <v>0</v>
      </c>
    </row>
    <row r="14" spans="1:14" ht="12" customHeight="1">
      <c r="A14" s="141" t="s">
        <v>29</v>
      </c>
      <c r="B14" s="939">
        <v>3.33</v>
      </c>
      <c r="C14" s="924">
        <v>0</v>
      </c>
      <c r="D14" s="924">
        <v>0</v>
      </c>
      <c r="E14" s="924">
        <v>0</v>
      </c>
      <c r="F14" s="924">
        <v>0</v>
      </c>
      <c r="G14" s="924">
        <v>3.3</v>
      </c>
      <c r="H14" s="924">
        <v>3.34</v>
      </c>
      <c r="I14" s="924">
        <v>3.35</v>
      </c>
      <c r="J14" s="924">
        <v>3.37</v>
      </c>
      <c r="K14" s="924">
        <v>0</v>
      </c>
      <c r="L14" s="924">
        <v>0</v>
      </c>
      <c r="M14" s="924">
        <v>0</v>
      </c>
      <c r="N14" s="924">
        <v>0</v>
      </c>
    </row>
    <row r="15" spans="1:14" ht="12" customHeight="1">
      <c r="A15" s="141" t="s">
        <v>30</v>
      </c>
      <c r="B15" s="939">
        <v>3.32</v>
      </c>
      <c r="C15" s="924">
        <v>3.3</v>
      </c>
      <c r="D15" s="924">
        <v>3.32</v>
      </c>
      <c r="E15" s="924">
        <v>3.33</v>
      </c>
      <c r="F15" s="924">
        <v>0</v>
      </c>
      <c r="G15" s="924">
        <v>0</v>
      </c>
      <c r="H15" s="924">
        <v>0</v>
      </c>
      <c r="I15" s="924">
        <v>0</v>
      </c>
      <c r="J15" s="924">
        <v>0</v>
      </c>
      <c r="K15" s="924">
        <v>0</v>
      </c>
      <c r="L15" s="924">
        <v>0</v>
      </c>
      <c r="M15" s="924">
        <v>0</v>
      </c>
      <c r="N15" s="924">
        <v>0</v>
      </c>
    </row>
    <row r="16" spans="1:14" ht="12" customHeight="1">
      <c r="A16" s="141" t="s">
        <v>31</v>
      </c>
      <c r="B16" s="939">
        <v>3.36</v>
      </c>
      <c r="C16" s="924">
        <v>3.42</v>
      </c>
      <c r="D16" s="924">
        <v>3.45</v>
      </c>
      <c r="E16" s="924">
        <v>0</v>
      </c>
      <c r="F16" s="924">
        <v>3.34</v>
      </c>
      <c r="G16" s="924">
        <v>3.35</v>
      </c>
      <c r="H16" s="924">
        <v>3.37</v>
      </c>
      <c r="I16" s="924">
        <v>3.37</v>
      </c>
      <c r="J16" s="924">
        <v>0</v>
      </c>
      <c r="K16" s="924">
        <v>0</v>
      </c>
      <c r="L16" s="924">
        <v>0</v>
      </c>
      <c r="M16" s="924">
        <v>0</v>
      </c>
      <c r="N16" s="924">
        <v>0</v>
      </c>
    </row>
    <row r="17" spans="1:14" ht="12" customHeight="1">
      <c r="A17" s="141" t="s">
        <v>32</v>
      </c>
      <c r="B17" s="939">
        <v>0</v>
      </c>
      <c r="C17" s="924">
        <v>0</v>
      </c>
      <c r="D17" s="924">
        <v>0</v>
      </c>
      <c r="E17" s="924">
        <v>0</v>
      </c>
      <c r="F17" s="924">
        <v>0</v>
      </c>
      <c r="G17" s="924">
        <v>0</v>
      </c>
      <c r="H17" s="924">
        <v>0</v>
      </c>
      <c r="I17" s="924">
        <v>0</v>
      </c>
      <c r="J17" s="924">
        <v>0</v>
      </c>
      <c r="K17" s="924">
        <v>0</v>
      </c>
      <c r="L17" s="924">
        <v>0</v>
      </c>
      <c r="M17" s="924">
        <v>0</v>
      </c>
      <c r="N17" s="924">
        <v>0</v>
      </c>
    </row>
    <row r="18" spans="1:14" ht="12" customHeight="1">
      <c r="A18" s="141" t="s">
        <v>33</v>
      </c>
      <c r="B18" s="939">
        <v>3.19</v>
      </c>
      <c r="C18" s="924">
        <v>3.1</v>
      </c>
      <c r="D18" s="924">
        <v>3.12</v>
      </c>
      <c r="E18" s="924">
        <v>3.12</v>
      </c>
      <c r="F18" s="924">
        <v>3.13</v>
      </c>
      <c r="G18" s="924">
        <v>3.15</v>
      </c>
      <c r="H18" s="924">
        <v>3.17</v>
      </c>
      <c r="I18" s="924">
        <v>3.17</v>
      </c>
      <c r="J18" s="924">
        <v>3.18</v>
      </c>
      <c r="K18" s="924">
        <v>3.2</v>
      </c>
      <c r="L18" s="924">
        <v>3.22</v>
      </c>
      <c r="M18" s="924">
        <v>3.21</v>
      </c>
      <c r="N18" s="924">
        <v>3.2</v>
      </c>
    </row>
    <row r="19" spans="1:14" ht="12" customHeight="1">
      <c r="A19" s="141" t="s">
        <v>34</v>
      </c>
      <c r="B19" s="939">
        <v>3.09</v>
      </c>
      <c r="C19" s="924">
        <v>3.08</v>
      </c>
      <c r="D19" s="924">
        <v>3.1</v>
      </c>
      <c r="E19" s="924">
        <v>3.11</v>
      </c>
      <c r="F19" s="924">
        <v>0</v>
      </c>
      <c r="G19" s="924">
        <v>0</v>
      </c>
      <c r="H19" s="924">
        <v>0</v>
      </c>
      <c r="I19" s="924">
        <v>0</v>
      </c>
      <c r="J19" s="924">
        <v>0</v>
      </c>
      <c r="K19" s="924">
        <v>0</v>
      </c>
      <c r="L19" s="924">
        <v>0</v>
      </c>
      <c r="M19" s="924">
        <v>0</v>
      </c>
      <c r="N19" s="924">
        <v>0</v>
      </c>
    </row>
    <row r="20" spans="1:14" ht="12" customHeight="1">
      <c r="A20" s="184" t="s">
        <v>35</v>
      </c>
      <c r="B20" s="939">
        <v>3.13</v>
      </c>
      <c r="C20" s="924">
        <v>3.12</v>
      </c>
      <c r="D20" s="924">
        <v>3.13</v>
      </c>
      <c r="E20" s="924">
        <v>3.14</v>
      </c>
      <c r="F20" s="924">
        <v>3.12</v>
      </c>
      <c r="G20" s="924">
        <v>0</v>
      </c>
      <c r="H20" s="924">
        <v>0</v>
      </c>
      <c r="I20" s="924">
        <v>0</v>
      </c>
      <c r="J20" s="924">
        <v>0</v>
      </c>
      <c r="K20" s="924">
        <v>0</v>
      </c>
      <c r="L20" s="924">
        <v>0</v>
      </c>
      <c r="M20" s="924">
        <v>0</v>
      </c>
      <c r="N20" s="924">
        <v>0</v>
      </c>
    </row>
    <row r="21" spans="1:14" ht="12" customHeight="1">
      <c r="A21" s="141" t="s">
        <v>36</v>
      </c>
      <c r="B21" s="939">
        <v>3.11</v>
      </c>
      <c r="C21" s="924">
        <v>0</v>
      </c>
      <c r="D21" s="924">
        <v>3.11</v>
      </c>
      <c r="E21" s="924">
        <v>3.1</v>
      </c>
      <c r="F21" s="924">
        <v>3.09</v>
      </c>
      <c r="G21" s="924">
        <v>0</v>
      </c>
      <c r="H21" s="924">
        <v>0</v>
      </c>
      <c r="I21" s="924">
        <v>0</v>
      </c>
      <c r="J21" s="924">
        <v>0</v>
      </c>
      <c r="K21" s="924">
        <v>0</v>
      </c>
      <c r="L21" s="924">
        <v>0</v>
      </c>
      <c r="M21" s="924">
        <v>0</v>
      </c>
      <c r="N21" s="924">
        <v>0</v>
      </c>
    </row>
    <row r="22" spans="1:14" ht="12" customHeight="1">
      <c r="A22" s="141" t="s">
        <v>37</v>
      </c>
      <c r="B22" s="939">
        <v>3.15</v>
      </c>
      <c r="C22" s="924">
        <v>3.1</v>
      </c>
      <c r="D22" s="924">
        <v>3.15</v>
      </c>
      <c r="E22" s="924">
        <v>3.16</v>
      </c>
      <c r="F22" s="924">
        <v>0</v>
      </c>
      <c r="G22" s="924">
        <v>0</v>
      </c>
      <c r="H22" s="924">
        <v>0</v>
      </c>
      <c r="I22" s="924">
        <v>0</v>
      </c>
      <c r="J22" s="924">
        <v>0</v>
      </c>
      <c r="K22" s="924">
        <v>0</v>
      </c>
      <c r="L22" s="924">
        <v>0</v>
      </c>
      <c r="M22" s="924">
        <v>0</v>
      </c>
      <c r="N22" s="924">
        <v>3.2</v>
      </c>
    </row>
    <row r="23" spans="1:14" ht="12" customHeight="1">
      <c r="A23" s="184" t="s">
        <v>143</v>
      </c>
      <c r="B23" s="939">
        <v>3.34</v>
      </c>
      <c r="C23" s="924">
        <v>0</v>
      </c>
      <c r="D23" s="924">
        <v>0</v>
      </c>
      <c r="E23" s="924">
        <v>0</v>
      </c>
      <c r="F23" s="924">
        <v>0</v>
      </c>
      <c r="G23" s="924">
        <v>0</v>
      </c>
      <c r="H23" s="924">
        <v>0</v>
      </c>
      <c r="I23" s="924">
        <v>0</v>
      </c>
      <c r="J23" s="924">
        <v>3.14</v>
      </c>
      <c r="K23" s="924">
        <v>3.5</v>
      </c>
      <c r="L23" s="924">
        <v>3.35</v>
      </c>
      <c r="M23" s="924">
        <v>3.34</v>
      </c>
      <c r="N23" s="924">
        <v>0</v>
      </c>
    </row>
    <row r="24" spans="1:14" ht="12" customHeight="1">
      <c r="A24" s="141" t="s">
        <v>39</v>
      </c>
      <c r="B24" s="939">
        <v>0</v>
      </c>
      <c r="C24" s="924">
        <v>0</v>
      </c>
      <c r="D24" s="924">
        <v>0</v>
      </c>
      <c r="E24" s="924">
        <v>0</v>
      </c>
      <c r="F24" s="924">
        <v>0</v>
      </c>
      <c r="G24" s="924">
        <v>0</v>
      </c>
      <c r="H24" s="924">
        <v>0</v>
      </c>
      <c r="I24" s="924">
        <v>0</v>
      </c>
      <c r="J24" s="924">
        <v>0</v>
      </c>
      <c r="K24" s="924">
        <v>0</v>
      </c>
      <c r="L24" s="924">
        <v>0</v>
      </c>
      <c r="M24" s="924">
        <v>0</v>
      </c>
      <c r="N24" s="924">
        <v>0</v>
      </c>
    </row>
    <row r="25" spans="1:14" ht="12" customHeight="1">
      <c r="A25" s="141" t="s">
        <v>40</v>
      </c>
      <c r="B25" s="939">
        <v>2.72</v>
      </c>
      <c r="C25" s="924">
        <v>2.7</v>
      </c>
      <c r="D25" s="924">
        <v>2.72</v>
      </c>
      <c r="E25" s="928">
        <v>2.73</v>
      </c>
      <c r="F25" s="924">
        <v>2.75</v>
      </c>
      <c r="G25" s="924">
        <v>2.74</v>
      </c>
      <c r="H25" s="924">
        <v>0</v>
      </c>
      <c r="I25" s="924">
        <v>0</v>
      </c>
      <c r="J25" s="924">
        <v>0</v>
      </c>
      <c r="K25" s="924">
        <v>0</v>
      </c>
      <c r="L25" s="924">
        <v>2.82</v>
      </c>
      <c r="M25" s="924">
        <v>2.8</v>
      </c>
      <c r="N25" s="924">
        <v>2.82</v>
      </c>
    </row>
    <row r="26" spans="1:14" ht="12" customHeight="1">
      <c r="A26" s="141" t="s">
        <v>41</v>
      </c>
      <c r="B26" s="939">
        <v>2.8</v>
      </c>
      <c r="C26" s="924">
        <v>2.78</v>
      </c>
      <c r="D26" s="924">
        <v>2.8</v>
      </c>
      <c r="E26" s="924">
        <v>2.79</v>
      </c>
      <c r="F26" s="924">
        <v>2.8</v>
      </c>
      <c r="G26" s="924">
        <v>2.81</v>
      </c>
      <c r="H26" s="924">
        <v>0</v>
      </c>
      <c r="I26" s="924">
        <v>0</v>
      </c>
      <c r="J26" s="924">
        <v>0</v>
      </c>
      <c r="K26" s="924">
        <v>0</v>
      </c>
      <c r="L26" s="924">
        <v>0</v>
      </c>
      <c r="M26" s="924">
        <v>2.83</v>
      </c>
      <c r="N26" s="924">
        <v>2.84</v>
      </c>
    </row>
    <row r="27" spans="1:14" ht="12" customHeight="1">
      <c r="A27" s="141" t="s">
        <v>111</v>
      </c>
      <c r="B27" s="939">
        <v>2.79</v>
      </c>
      <c r="C27" s="924">
        <v>2.78</v>
      </c>
      <c r="D27" s="924">
        <v>2.79</v>
      </c>
      <c r="E27" s="924">
        <v>2.78</v>
      </c>
      <c r="F27" s="924">
        <v>2.8</v>
      </c>
      <c r="G27" s="924">
        <v>2.81</v>
      </c>
      <c r="H27" s="924">
        <v>0</v>
      </c>
      <c r="I27" s="924">
        <v>0</v>
      </c>
      <c r="J27" s="924">
        <v>0</v>
      </c>
      <c r="K27" s="924">
        <v>0</v>
      </c>
      <c r="L27" s="924">
        <v>0</v>
      </c>
      <c r="M27" s="924">
        <v>2.83</v>
      </c>
      <c r="N27" s="924">
        <v>2.84</v>
      </c>
    </row>
    <row r="28" spans="1:14" ht="12" customHeight="1">
      <c r="A28" s="141" t="s">
        <v>112</v>
      </c>
      <c r="B28" s="939">
        <v>2.81</v>
      </c>
      <c r="C28" s="924">
        <v>2.8</v>
      </c>
      <c r="D28" s="924">
        <v>2.82</v>
      </c>
      <c r="E28" s="924">
        <v>2.81</v>
      </c>
      <c r="F28" s="924">
        <v>0</v>
      </c>
      <c r="G28" s="924">
        <v>0</v>
      </c>
      <c r="H28" s="924">
        <v>0</v>
      </c>
      <c r="I28" s="924">
        <v>0</v>
      </c>
      <c r="J28" s="924">
        <v>0</v>
      </c>
      <c r="K28" s="924">
        <v>0</v>
      </c>
      <c r="L28" s="924">
        <v>0</v>
      </c>
      <c r="M28" s="924">
        <v>0</v>
      </c>
      <c r="N28" s="924">
        <v>0</v>
      </c>
    </row>
    <row r="29" spans="1:14" ht="12" customHeight="1">
      <c r="A29" s="141" t="s">
        <v>44</v>
      </c>
      <c r="B29" s="939">
        <v>2.78</v>
      </c>
      <c r="C29" s="924">
        <v>2.85</v>
      </c>
      <c r="D29" s="924">
        <v>2.84</v>
      </c>
      <c r="E29" s="924">
        <v>2.85</v>
      </c>
      <c r="F29" s="924">
        <v>0</v>
      </c>
      <c r="G29" s="924">
        <v>0</v>
      </c>
      <c r="H29" s="924">
        <v>0</v>
      </c>
      <c r="I29" s="924">
        <v>0</v>
      </c>
      <c r="J29" s="924">
        <v>0</v>
      </c>
      <c r="K29" s="924">
        <v>0</v>
      </c>
      <c r="L29" s="924">
        <v>0</v>
      </c>
      <c r="M29" s="924">
        <v>0</v>
      </c>
      <c r="N29" s="924">
        <v>3</v>
      </c>
    </row>
    <row r="30" spans="1:14" ht="12" customHeight="1">
      <c r="A30" s="141" t="s">
        <v>45</v>
      </c>
      <c r="B30" s="939">
        <v>3.22</v>
      </c>
      <c r="C30" s="924">
        <v>0</v>
      </c>
      <c r="D30" s="924">
        <v>3.2</v>
      </c>
      <c r="E30" s="924">
        <v>3.25</v>
      </c>
      <c r="F30" s="924">
        <v>0</v>
      </c>
      <c r="G30" s="924">
        <v>0</v>
      </c>
      <c r="H30" s="924">
        <v>0</v>
      </c>
      <c r="I30" s="924">
        <v>0</v>
      </c>
      <c r="J30" s="924">
        <v>0</v>
      </c>
      <c r="K30" s="924">
        <v>0</v>
      </c>
      <c r="L30" s="924">
        <v>0</v>
      </c>
      <c r="M30" s="924">
        <v>3.21</v>
      </c>
      <c r="N30" s="924">
        <v>3.2</v>
      </c>
    </row>
    <row r="31" spans="1:14" ht="12" customHeight="1">
      <c r="A31" s="141" t="s">
        <v>46</v>
      </c>
      <c r="B31" s="939">
        <v>0</v>
      </c>
      <c r="C31" s="924">
        <v>0</v>
      </c>
      <c r="D31" s="924">
        <v>0</v>
      </c>
      <c r="E31" s="924">
        <v>0</v>
      </c>
      <c r="F31" s="924">
        <v>0</v>
      </c>
      <c r="G31" s="924">
        <v>0</v>
      </c>
      <c r="H31" s="924">
        <v>0</v>
      </c>
      <c r="I31" s="924">
        <v>0</v>
      </c>
      <c r="J31" s="924">
        <v>0</v>
      </c>
      <c r="K31" s="924">
        <v>0</v>
      </c>
      <c r="L31" s="924">
        <v>0</v>
      </c>
      <c r="M31" s="924">
        <v>0</v>
      </c>
      <c r="N31" s="924">
        <v>0</v>
      </c>
    </row>
    <row r="32" spans="1:14" ht="12" customHeight="1">
      <c r="A32" s="141" t="s">
        <v>47</v>
      </c>
      <c r="B32" s="939">
        <v>0</v>
      </c>
      <c r="C32" s="924">
        <v>0</v>
      </c>
      <c r="D32" s="924">
        <v>0</v>
      </c>
      <c r="E32" s="924">
        <v>0</v>
      </c>
      <c r="F32" s="924">
        <v>0</v>
      </c>
      <c r="G32" s="924">
        <v>0</v>
      </c>
      <c r="H32" s="924">
        <v>0</v>
      </c>
      <c r="I32" s="924">
        <v>0</v>
      </c>
      <c r="J32" s="924">
        <v>0</v>
      </c>
      <c r="K32" s="924">
        <v>0</v>
      </c>
      <c r="L32" s="924">
        <v>0</v>
      </c>
      <c r="M32" s="924">
        <v>0</v>
      </c>
      <c r="N32" s="924">
        <v>0</v>
      </c>
    </row>
    <row r="33" spans="1:14" ht="12" customHeight="1">
      <c r="A33" s="141" t="s">
        <v>48</v>
      </c>
      <c r="B33" s="939">
        <v>0</v>
      </c>
      <c r="C33" s="924">
        <v>0</v>
      </c>
      <c r="D33" s="924">
        <v>0</v>
      </c>
      <c r="E33" s="924">
        <v>0</v>
      </c>
      <c r="F33" s="924">
        <v>0</v>
      </c>
      <c r="G33" s="924">
        <v>0</v>
      </c>
      <c r="H33" s="924">
        <v>0</v>
      </c>
      <c r="I33" s="924">
        <v>0</v>
      </c>
      <c r="J33" s="924">
        <v>0</v>
      </c>
      <c r="K33" s="924">
        <v>0</v>
      </c>
      <c r="L33" s="924">
        <v>0</v>
      </c>
      <c r="M33" s="924">
        <v>0</v>
      </c>
      <c r="N33" s="924">
        <v>0</v>
      </c>
    </row>
    <row r="34" spans="1:14" ht="12" customHeight="1" thickBot="1">
      <c r="A34" s="202" t="s">
        <v>49</v>
      </c>
      <c r="B34" s="940">
        <v>0</v>
      </c>
      <c r="C34" s="925">
        <v>0</v>
      </c>
      <c r="D34" s="925">
        <v>0</v>
      </c>
      <c r="E34" s="925">
        <v>0</v>
      </c>
      <c r="F34" s="925">
        <v>0</v>
      </c>
      <c r="G34" s="925">
        <v>0</v>
      </c>
      <c r="H34" s="925">
        <v>0</v>
      </c>
      <c r="I34" s="925">
        <v>0</v>
      </c>
      <c r="J34" s="925">
        <v>0</v>
      </c>
      <c r="K34" s="925">
        <v>0</v>
      </c>
      <c r="L34" s="925">
        <v>0</v>
      </c>
      <c r="M34" s="925">
        <v>0</v>
      </c>
      <c r="N34" s="925">
        <v>0</v>
      </c>
    </row>
    <row r="35" spans="1:14" ht="10" customHeight="1">
      <c r="A35" s="28" t="s">
        <v>238</v>
      </c>
      <c r="B35" s="935"/>
      <c r="C35" s="936"/>
      <c r="D35" s="936"/>
      <c r="E35" s="936"/>
      <c r="F35" s="936"/>
      <c r="G35" s="936"/>
      <c r="H35" s="936"/>
      <c r="I35" s="936"/>
      <c r="J35" s="936"/>
      <c r="K35" s="936"/>
      <c r="L35" s="936"/>
      <c r="M35" s="936"/>
      <c r="N35" s="936"/>
    </row>
    <row r="36" spans="1:14" ht="10" customHeight="1">
      <c r="A36" s="28" t="s">
        <v>192</v>
      </c>
      <c r="B36" s="936"/>
      <c r="C36" s="936"/>
      <c r="D36" s="936"/>
      <c r="E36" s="936"/>
      <c r="F36" s="936"/>
      <c r="G36" s="936"/>
      <c r="H36" s="936"/>
      <c r="I36" s="936"/>
      <c r="J36" s="936"/>
      <c r="K36" s="936"/>
      <c r="L36" s="936"/>
      <c r="M36" s="936"/>
      <c r="N36" s="936"/>
    </row>
    <row r="37" spans="1:14" ht="10" customHeight="1">
      <c r="A37" s="40" t="s">
        <v>261</v>
      </c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</row>
    <row r="38" spans="1:14" ht="13" customHeight="1">
      <c r="A38" s="31"/>
    </row>
    <row r="39" spans="1:14" ht="13" customHeight="1">
      <c r="A39" s="31"/>
    </row>
    <row r="55" spans="1:14" ht="13" customHeight="1">
      <c r="A55" s="187" t="s">
        <v>260</v>
      </c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</row>
    <row r="56" spans="1:14" ht="13" customHeight="1">
      <c r="A56" s="187" t="s">
        <v>589</v>
      </c>
      <c r="B56" s="189"/>
      <c r="C56" s="189"/>
      <c r="D56" s="189"/>
      <c r="E56" s="189"/>
      <c r="F56" s="189"/>
      <c r="G56" s="193"/>
      <c r="H56" s="192"/>
      <c r="I56" s="189"/>
      <c r="J56" s="189"/>
      <c r="K56" s="189"/>
      <c r="L56" s="189"/>
      <c r="M56" s="189"/>
      <c r="N56" s="189"/>
    </row>
    <row r="57" spans="1:14" ht="13" customHeight="1" thickBot="1">
      <c r="A57" s="193"/>
      <c r="B57" s="194"/>
      <c r="C57" s="195"/>
      <c r="D57" s="194"/>
      <c r="E57" s="194"/>
      <c r="F57" s="194"/>
      <c r="G57" s="194"/>
      <c r="H57" s="194"/>
      <c r="I57" s="194"/>
      <c r="J57" s="192"/>
      <c r="K57" s="192"/>
      <c r="L57" s="192"/>
      <c r="M57" s="192"/>
      <c r="N57" s="192"/>
    </row>
    <row r="58" spans="1:14" ht="13" customHeight="1">
      <c r="A58" s="196" t="s">
        <v>18</v>
      </c>
      <c r="B58" s="143" t="s">
        <v>56</v>
      </c>
      <c r="C58" s="197" t="s">
        <v>88</v>
      </c>
      <c r="D58" s="197" t="s">
        <v>89</v>
      </c>
      <c r="E58" s="197" t="s">
        <v>90</v>
      </c>
      <c r="F58" s="197" t="s">
        <v>91</v>
      </c>
      <c r="G58" s="197" t="s">
        <v>92</v>
      </c>
      <c r="H58" s="197" t="s">
        <v>93</v>
      </c>
      <c r="I58" s="197" t="s">
        <v>94</v>
      </c>
      <c r="J58" s="197" t="s">
        <v>95</v>
      </c>
      <c r="K58" s="197" t="s">
        <v>96</v>
      </c>
      <c r="L58" s="197" t="s">
        <v>97</v>
      </c>
      <c r="M58" s="197" t="s">
        <v>98</v>
      </c>
      <c r="N58" s="197" t="s">
        <v>99</v>
      </c>
    </row>
    <row r="59" spans="1:14" ht="13" customHeight="1">
      <c r="A59" s="198" t="s">
        <v>114</v>
      </c>
      <c r="B59" s="199">
        <v>6.94</v>
      </c>
      <c r="C59" s="199">
        <v>6.7</v>
      </c>
      <c r="D59" s="199">
        <v>6.95</v>
      </c>
      <c r="E59" s="199">
        <v>6.94</v>
      </c>
      <c r="F59" s="199">
        <v>6.68</v>
      </c>
      <c r="G59" s="199">
        <v>7.21</v>
      </c>
      <c r="H59" s="199">
        <v>7.25</v>
      </c>
      <c r="I59" s="199">
        <v>7.33</v>
      </c>
      <c r="J59" s="199">
        <v>7.32</v>
      </c>
      <c r="K59" s="199">
        <v>7.2</v>
      </c>
      <c r="L59" s="199">
        <v>7.15</v>
      </c>
      <c r="M59" s="199">
        <v>6.71</v>
      </c>
      <c r="N59" s="199">
        <v>6.79</v>
      </c>
    </row>
    <row r="60" spans="1:14" ht="13" customHeight="1">
      <c r="A60" s="141" t="s">
        <v>21</v>
      </c>
      <c r="B60" s="200">
        <v>0</v>
      </c>
      <c r="C60" s="200">
        <v>0</v>
      </c>
      <c r="D60" s="200">
        <v>0</v>
      </c>
      <c r="E60" s="200">
        <v>0</v>
      </c>
      <c r="F60" s="200">
        <v>0</v>
      </c>
      <c r="G60" s="200">
        <v>0</v>
      </c>
      <c r="H60" s="200">
        <v>0</v>
      </c>
      <c r="I60" s="200">
        <v>0</v>
      </c>
      <c r="J60" s="200">
        <v>0</v>
      </c>
      <c r="K60" s="200">
        <v>0</v>
      </c>
      <c r="L60" s="200">
        <v>0</v>
      </c>
      <c r="M60" s="200">
        <v>0</v>
      </c>
      <c r="N60" s="200">
        <v>0</v>
      </c>
    </row>
    <row r="61" spans="1:14" ht="13" customHeight="1">
      <c r="A61" s="141" t="s">
        <v>22</v>
      </c>
      <c r="B61" s="200">
        <v>7.36</v>
      </c>
      <c r="C61" s="200">
        <v>0</v>
      </c>
      <c r="D61" s="200">
        <v>0</v>
      </c>
      <c r="E61" s="200">
        <v>0</v>
      </c>
      <c r="F61" s="200">
        <v>7.28</v>
      </c>
      <c r="G61" s="200">
        <v>7.33</v>
      </c>
      <c r="H61" s="200">
        <v>0</v>
      </c>
      <c r="I61" s="200">
        <v>0</v>
      </c>
      <c r="J61" s="200">
        <v>0</v>
      </c>
      <c r="K61" s="200">
        <v>0</v>
      </c>
      <c r="L61" s="200">
        <v>0</v>
      </c>
      <c r="M61" s="200">
        <v>7.4</v>
      </c>
      <c r="N61" s="200">
        <v>7.42</v>
      </c>
    </row>
    <row r="62" spans="1:14" ht="13" customHeight="1">
      <c r="A62" s="141" t="s">
        <v>23</v>
      </c>
      <c r="B62" s="200">
        <v>0</v>
      </c>
      <c r="C62" s="200">
        <v>0</v>
      </c>
      <c r="D62" s="200">
        <v>0</v>
      </c>
      <c r="E62" s="200">
        <v>0</v>
      </c>
      <c r="F62" s="200">
        <v>0</v>
      </c>
      <c r="G62" s="200">
        <v>0</v>
      </c>
      <c r="H62" s="200">
        <v>0</v>
      </c>
      <c r="I62" s="200">
        <v>0</v>
      </c>
      <c r="J62" s="200">
        <v>0</v>
      </c>
      <c r="K62" s="200">
        <v>0</v>
      </c>
      <c r="L62" s="200">
        <v>0</v>
      </c>
      <c r="M62" s="200">
        <v>0</v>
      </c>
      <c r="N62" s="200">
        <v>0</v>
      </c>
    </row>
    <row r="63" spans="1:14" ht="13" customHeight="1">
      <c r="A63" s="141" t="s">
        <v>24</v>
      </c>
      <c r="B63" s="201">
        <v>7.28</v>
      </c>
      <c r="C63" s="200">
        <v>7.2</v>
      </c>
      <c r="D63" s="200">
        <v>0</v>
      </c>
      <c r="E63" s="200">
        <v>0</v>
      </c>
      <c r="F63" s="200">
        <v>7.24</v>
      </c>
      <c r="G63" s="200">
        <v>7.26</v>
      </c>
      <c r="H63" s="200">
        <v>7.28</v>
      </c>
      <c r="I63" s="200">
        <v>7.29</v>
      </c>
      <c r="J63" s="200">
        <v>7.31</v>
      </c>
      <c r="K63" s="200">
        <v>7.33</v>
      </c>
      <c r="L63" s="200">
        <v>7.31</v>
      </c>
      <c r="M63" s="200">
        <v>7.36</v>
      </c>
      <c r="N63" s="200">
        <v>7.33</v>
      </c>
    </row>
    <row r="64" spans="1:14" ht="13" customHeight="1">
      <c r="A64" s="141" t="s">
        <v>25</v>
      </c>
      <c r="B64" s="201">
        <v>7.4</v>
      </c>
      <c r="C64" s="200">
        <v>7.33</v>
      </c>
      <c r="D64" s="200">
        <v>7.37</v>
      </c>
      <c r="E64" s="200">
        <v>7.37</v>
      </c>
      <c r="F64" s="200">
        <v>7.4</v>
      </c>
      <c r="G64" s="201">
        <v>7.38</v>
      </c>
      <c r="H64" s="201">
        <v>7.42</v>
      </c>
      <c r="I64" s="201">
        <v>7.41</v>
      </c>
      <c r="J64" s="201">
        <v>7.39</v>
      </c>
      <c r="K64" s="201">
        <v>7.45</v>
      </c>
      <c r="L64" s="200">
        <v>0</v>
      </c>
      <c r="M64" s="200">
        <v>0</v>
      </c>
      <c r="N64" s="200">
        <v>0</v>
      </c>
    </row>
    <row r="65" spans="1:14" ht="13" customHeight="1">
      <c r="A65" s="141" t="s">
        <v>107</v>
      </c>
      <c r="B65" s="201">
        <v>7.41</v>
      </c>
      <c r="C65" s="200">
        <v>7.33</v>
      </c>
      <c r="D65" s="200">
        <v>7.37</v>
      </c>
      <c r="E65" s="200">
        <v>7.37</v>
      </c>
      <c r="F65" s="200">
        <v>7.4</v>
      </c>
      <c r="G65" s="200">
        <v>7.38</v>
      </c>
      <c r="H65" s="200">
        <v>7.42</v>
      </c>
      <c r="I65" s="201">
        <v>7.41</v>
      </c>
      <c r="J65" s="200">
        <v>7.44</v>
      </c>
      <c r="K65" s="200">
        <v>7.46</v>
      </c>
      <c r="L65" s="200">
        <v>0</v>
      </c>
      <c r="M65" s="200">
        <v>0</v>
      </c>
      <c r="N65" s="200">
        <v>0</v>
      </c>
    </row>
    <row r="66" spans="1:14" ht="13" customHeight="1">
      <c r="A66" s="141" t="s">
        <v>108</v>
      </c>
      <c r="B66" s="200">
        <v>7.37</v>
      </c>
      <c r="C66" s="200">
        <v>0</v>
      </c>
      <c r="D66" s="200">
        <v>0</v>
      </c>
      <c r="E66" s="200">
        <v>0</v>
      </c>
      <c r="F66" s="200">
        <v>0</v>
      </c>
      <c r="G66" s="200">
        <v>0</v>
      </c>
      <c r="H66" s="200">
        <v>0</v>
      </c>
      <c r="I66" s="200">
        <v>7.4</v>
      </c>
      <c r="J66" s="200">
        <v>7.33</v>
      </c>
      <c r="K66" s="200">
        <v>7.4</v>
      </c>
      <c r="L66" s="200">
        <v>0</v>
      </c>
      <c r="M66" s="200">
        <v>0</v>
      </c>
      <c r="N66" s="200">
        <v>0</v>
      </c>
    </row>
    <row r="67" spans="1:14" ht="13" customHeight="1">
      <c r="A67" s="141" t="s">
        <v>139</v>
      </c>
      <c r="B67" s="200">
        <v>0</v>
      </c>
      <c r="C67" s="200">
        <v>0</v>
      </c>
      <c r="D67" s="200">
        <v>0</v>
      </c>
      <c r="E67" s="200">
        <v>0</v>
      </c>
      <c r="F67" s="200">
        <v>0</v>
      </c>
      <c r="G67" s="200">
        <v>0</v>
      </c>
      <c r="H67" s="200">
        <v>0</v>
      </c>
      <c r="I67" s="200">
        <v>0</v>
      </c>
      <c r="J67" s="200">
        <v>0</v>
      </c>
      <c r="K67" s="200">
        <v>0</v>
      </c>
      <c r="L67" s="200">
        <v>0</v>
      </c>
      <c r="M67" s="200">
        <v>0</v>
      </c>
      <c r="N67" s="200">
        <v>0</v>
      </c>
    </row>
    <row r="68" spans="1:14" ht="13" customHeight="1">
      <c r="A68" s="141" t="s">
        <v>29</v>
      </c>
      <c r="B68" s="201">
        <v>7.35</v>
      </c>
      <c r="C68" s="200">
        <v>0</v>
      </c>
      <c r="D68" s="200">
        <v>0</v>
      </c>
      <c r="E68" s="200">
        <v>0</v>
      </c>
      <c r="F68" s="200">
        <v>0</v>
      </c>
      <c r="G68" s="200">
        <v>7.28</v>
      </c>
      <c r="H68" s="200">
        <v>7.37</v>
      </c>
      <c r="I68" s="200">
        <v>7.39</v>
      </c>
      <c r="J68" s="200">
        <v>7.44</v>
      </c>
      <c r="K68" s="200">
        <v>0</v>
      </c>
      <c r="L68" s="200">
        <v>0</v>
      </c>
      <c r="M68" s="200">
        <v>0</v>
      </c>
      <c r="N68" s="200">
        <v>0</v>
      </c>
    </row>
    <row r="69" spans="1:14" ht="13" customHeight="1">
      <c r="A69" s="141" t="s">
        <v>30</v>
      </c>
      <c r="B69" s="200">
        <v>7.32</v>
      </c>
      <c r="C69" s="200">
        <v>7.28</v>
      </c>
      <c r="D69" s="200">
        <v>7.33</v>
      </c>
      <c r="E69" s="200">
        <v>7.35</v>
      </c>
      <c r="F69" s="200">
        <v>0</v>
      </c>
      <c r="G69" s="200">
        <v>0</v>
      </c>
      <c r="H69" s="200">
        <v>0</v>
      </c>
      <c r="I69" s="200">
        <v>0</v>
      </c>
      <c r="J69" s="200">
        <v>0</v>
      </c>
      <c r="K69" s="200">
        <v>0</v>
      </c>
      <c r="L69" s="200">
        <v>0</v>
      </c>
      <c r="M69" s="200">
        <v>0</v>
      </c>
      <c r="N69" s="200">
        <v>0</v>
      </c>
    </row>
    <row r="70" spans="1:14" ht="13" customHeight="1">
      <c r="A70" s="141" t="s">
        <v>31</v>
      </c>
      <c r="B70" s="201">
        <v>7.41</v>
      </c>
      <c r="C70" s="200">
        <v>7.55</v>
      </c>
      <c r="D70" s="200">
        <v>7.62</v>
      </c>
      <c r="E70" s="200">
        <v>0</v>
      </c>
      <c r="F70" s="200">
        <v>7.37</v>
      </c>
      <c r="G70" s="201">
        <v>7.4</v>
      </c>
      <c r="H70" s="200">
        <v>7.44</v>
      </c>
      <c r="I70" s="200">
        <v>7.44</v>
      </c>
      <c r="J70" s="200">
        <v>0</v>
      </c>
      <c r="K70" s="200">
        <v>0</v>
      </c>
      <c r="L70" s="200">
        <v>0</v>
      </c>
      <c r="M70" s="200">
        <v>0</v>
      </c>
      <c r="N70" s="200">
        <v>0</v>
      </c>
    </row>
    <row r="71" spans="1:14" ht="13" customHeight="1">
      <c r="A71" s="141" t="s">
        <v>32</v>
      </c>
      <c r="B71" s="200">
        <v>0</v>
      </c>
      <c r="C71" s="200">
        <v>0</v>
      </c>
      <c r="D71" s="200">
        <v>0</v>
      </c>
      <c r="E71" s="200">
        <v>0</v>
      </c>
      <c r="F71" s="200">
        <v>0</v>
      </c>
      <c r="G71" s="200">
        <v>0</v>
      </c>
      <c r="H71" s="200">
        <v>0</v>
      </c>
      <c r="I71" s="200">
        <v>0</v>
      </c>
      <c r="J71" s="200">
        <v>0</v>
      </c>
      <c r="K71" s="200">
        <v>0</v>
      </c>
      <c r="L71" s="200">
        <v>0</v>
      </c>
      <c r="M71" s="200">
        <v>0</v>
      </c>
      <c r="N71" s="200">
        <v>0</v>
      </c>
    </row>
    <row r="72" spans="1:14" ht="13" customHeight="1">
      <c r="A72" s="141" t="s">
        <v>33</v>
      </c>
      <c r="B72" s="201">
        <v>7.03</v>
      </c>
      <c r="C72" s="201">
        <v>6.84</v>
      </c>
      <c r="D72" s="201">
        <v>6.89</v>
      </c>
      <c r="E72" s="201">
        <v>6.9</v>
      </c>
      <c r="F72" s="200">
        <v>6.91</v>
      </c>
      <c r="G72" s="200">
        <v>6.95</v>
      </c>
      <c r="H72" s="200">
        <v>7</v>
      </c>
      <c r="I72" s="200">
        <v>7.01</v>
      </c>
      <c r="J72" s="200">
        <v>7.02</v>
      </c>
      <c r="K72" s="200">
        <v>7.06</v>
      </c>
      <c r="L72" s="200">
        <v>7.11</v>
      </c>
      <c r="M72" s="200">
        <v>7.09</v>
      </c>
      <c r="N72" s="200">
        <v>7.07</v>
      </c>
    </row>
    <row r="73" spans="1:14" ht="13" customHeight="1">
      <c r="A73" s="141" t="s">
        <v>34</v>
      </c>
      <c r="B73" s="201">
        <v>6.82</v>
      </c>
      <c r="C73" s="201">
        <v>6.8</v>
      </c>
      <c r="D73" s="201">
        <v>6.84</v>
      </c>
      <c r="E73" s="201">
        <v>6.87</v>
      </c>
      <c r="F73" s="200">
        <v>0</v>
      </c>
      <c r="G73" s="200">
        <v>0</v>
      </c>
      <c r="H73" s="200">
        <v>0</v>
      </c>
      <c r="I73" s="200">
        <v>0</v>
      </c>
      <c r="J73" s="200">
        <v>0</v>
      </c>
      <c r="K73" s="200">
        <v>0</v>
      </c>
      <c r="L73" s="200">
        <v>0</v>
      </c>
      <c r="M73" s="200">
        <v>0</v>
      </c>
      <c r="N73" s="200">
        <v>0</v>
      </c>
    </row>
    <row r="74" spans="1:14" ht="13" customHeight="1">
      <c r="A74" s="184" t="s">
        <v>35</v>
      </c>
      <c r="B74" s="201">
        <v>6.91</v>
      </c>
      <c r="C74" s="201">
        <v>6.89</v>
      </c>
      <c r="D74" s="201">
        <v>6.91</v>
      </c>
      <c r="E74" s="201">
        <v>6.93</v>
      </c>
      <c r="F74" s="200">
        <v>6.89</v>
      </c>
      <c r="G74" s="200">
        <v>0</v>
      </c>
      <c r="H74" s="200">
        <v>0</v>
      </c>
      <c r="I74" s="200">
        <v>0</v>
      </c>
      <c r="J74" s="200">
        <v>0</v>
      </c>
      <c r="K74" s="200">
        <v>0</v>
      </c>
      <c r="L74" s="200">
        <v>0</v>
      </c>
      <c r="M74" s="200">
        <v>0</v>
      </c>
      <c r="N74" s="200">
        <v>0</v>
      </c>
    </row>
    <row r="75" spans="1:14" ht="13" customHeight="1">
      <c r="A75" s="141" t="s">
        <v>36</v>
      </c>
      <c r="B75" s="201">
        <v>6.86</v>
      </c>
      <c r="C75" s="200">
        <v>0</v>
      </c>
      <c r="D75" s="200">
        <v>6.87</v>
      </c>
      <c r="E75" s="201">
        <v>6.84</v>
      </c>
      <c r="F75" s="200">
        <v>6.82</v>
      </c>
      <c r="G75" s="200">
        <v>0</v>
      </c>
      <c r="H75" s="200">
        <v>0</v>
      </c>
      <c r="I75" s="200">
        <v>0</v>
      </c>
      <c r="J75" s="200">
        <v>0</v>
      </c>
      <c r="K75" s="200">
        <v>0</v>
      </c>
      <c r="L75" s="200">
        <v>0</v>
      </c>
      <c r="M75" s="200">
        <v>0</v>
      </c>
      <c r="N75" s="200">
        <v>0</v>
      </c>
    </row>
    <row r="76" spans="1:14" ht="13" customHeight="1">
      <c r="A76" s="141" t="s">
        <v>37</v>
      </c>
      <c r="B76" s="201">
        <v>6.96</v>
      </c>
      <c r="C76" s="201">
        <v>6.84</v>
      </c>
      <c r="D76" s="201">
        <v>6.95</v>
      </c>
      <c r="E76" s="201">
        <v>6.98</v>
      </c>
      <c r="F76" s="200">
        <v>0</v>
      </c>
      <c r="G76" s="200">
        <v>0</v>
      </c>
      <c r="H76" s="200">
        <v>0</v>
      </c>
      <c r="I76" s="200">
        <v>0</v>
      </c>
      <c r="J76" s="200">
        <v>0</v>
      </c>
      <c r="K76" s="200">
        <v>0</v>
      </c>
      <c r="L76" s="200">
        <v>0</v>
      </c>
      <c r="M76" s="200">
        <v>0</v>
      </c>
      <c r="N76" s="200">
        <v>7.06</v>
      </c>
    </row>
    <row r="77" spans="1:14" ht="13" customHeight="1">
      <c r="A77" s="184" t="s">
        <v>143</v>
      </c>
      <c r="B77" s="200">
        <v>7.38</v>
      </c>
      <c r="C77" s="200">
        <v>0</v>
      </c>
      <c r="D77" s="200">
        <v>0</v>
      </c>
      <c r="E77" s="200">
        <v>0</v>
      </c>
      <c r="F77" s="200">
        <v>0</v>
      </c>
      <c r="G77" s="200">
        <v>0</v>
      </c>
      <c r="H77" s="200">
        <v>0</v>
      </c>
      <c r="I77" s="200">
        <v>0</v>
      </c>
      <c r="J77" s="200">
        <v>6.93</v>
      </c>
      <c r="K77" s="200">
        <v>7.73</v>
      </c>
      <c r="L77" s="200">
        <v>7.4</v>
      </c>
      <c r="M77" s="200">
        <v>7.37</v>
      </c>
      <c r="N77" s="200">
        <v>0</v>
      </c>
    </row>
    <row r="78" spans="1:14" ht="13" customHeight="1">
      <c r="A78" s="141" t="s">
        <v>39</v>
      </c>
      <c r="B78" s="200">
        <v>0</v>
      </c>
      <c r="C78" s="200">
        <v>0</v>
      </c>
      <c r="D78" s="200">
        <v>0</v>
      </c>
      <c r="E78" s="200">
        <v>0</v>
      </c>
      <c r="F78" s="200">
        <v>0</v>
      </c>
      <c r="G78" s="200">
        <v>0</v>
      </c>
      <c r="H78" s="200">
        <v>0</v>
      </c>
      <c r="I78" s="200">
        <v>0</v>
      </c>
      <c r="J78" s="200">
        <v>0</v>
      </c>
      <c r="K78" s="200">
        <v>0</v>
      </c>
      <c r="L78" s="200">
        <v>0</v>
      </c>
      <c r="M78" s="200">
        <v>0</v>
      </c>
      <c r="N78" s="200">
        <v>0</v>
      </c>
    </row>
    <row r="79" spans="1:14" ht="13" customHeight="1">
      <c r="A79" s="141" t="s">
        <v>40</v>
      </c>
      <c r="B79" s="201">
        <v>6.02</v>
      </c>
      <c r="C79" s="201">
        <v>5.96</v>
      </c>
      <c r="D79" s="201">
        <v>6</v>
      </c>
      <c r="E79" s="188">
        <v>6.03</v>
      </c>
      <c r="F79" s="200">
        <v>6.07</v>
      </c>
      <c r="G79" s="201">
        <v>6.05</v>
      </c>
      <c r="H79" s="201">
        <v>0</v>
      </c>
      <c r="I79" s="200">
        <v>0</v>
      </c>
      <c r="J79" s="200">
        <v>0</v>
      </c>
      <c r="K79" s="200">
        <v>0</v>
      </c>
      <c r="L79" s="200">
        <v>6.23</v>
      </c>
      <c r="M79" s="200">
        <v>6.18</v>
      </c>
      <c r="N79" s="200">
        <v>6.23</v>
      </c>
    </row>
    <row r="80" spans="1:14" ht="13" customHeight="1">
      <c r="A80" s="141" t="s">
        <v>41</v>
      </c>
      <c r="B80" s="201">
        <v>6.17</v>
      </c>
      <c r="C80" s="200">
        <v>6.15</v>
      </c>
      <c r="D80" s="200">
        <v>6.17</v>
      </c>
      <c r="E80" s="200">
        <v>6.15</v>
      </c>
      <c r="F80" s="200">
        <v>6.18</v>
      </c>
      <c r="G80" s="200">
        <v>6.2</v>
      </c>
      <c r="H80" s="200">
        <v>0</v>
      </c>
      <c r="I80" s="200">
        <v>0</v>
      </c>
      <c r="J80" s="200">
        <v>0</v>
      </c>
      <c r="K80" s="200">
        <v>0</v>
      </c>
      <c r="L80" s="200">
        <v>0</v>
      </c>
      <c r="M80" s="200">
        <v>6.25</v>
      </c>
      <c r="N80" s="200">
        <v>6.27</v>
      </c>
    </row>
    <row r="81" spans="1:14" ht="13" customHeight="1">
      <c r="A81" s="141" t="s">
        <v>111</v>
      </c>
      <c r="B81" s="201">
        <v>6.16</v>
      </c>
      <c r="C81" s="201">
        <v>6.14</v>
      </c>
      <c r="D81" s="201">
        <v>6.16</v>
      </c>
      <c r="E81" s="201">
        <v>6.14</v>
      </c>
      <c r="F81" s="200">
        <v>6.18</v>
      </c>
      <c r="G81" s="200">
        <v>6.2</v>
      </c>
      <c r="H81" s="200">
        <v>0</v>
      </c>
      <c r="I81" s="200">
        <v>0</v>
      </c>
      <c r="J81" s="200">
        <v>0</v>
      </c>
      <c r="K81" s="200">
        <v>0</v>
      </c>
      <c r="L81" s="200">
        <v>0</v>
      </c>
      <c r="M81" s="200">
        <v>6.25</v>
      </c>
      <c r="N81" s="200">
        <v>6.27</v>
      </c>
    </row>
    <row r="82" spans="1:14" ht="13" customHeight="1">
      <c r="A82" s="141" t="s">
        <v>112</v>
      </c>
      <c r="B82" s="201">
        <v>6.21</v>
      </c>
      <c r="C82" s="200">
        <v>6.18</v>
      </c>
      <c r="D82" s="200">
        <v>6.23</v>
      </c>
      <c r="E82" s="200">
        <v>6.2</v>
      </c>
      <c r="F82" s="200">
        <v>0</v>
      </c>
      <c r="G82" s="200">
        <v>0</v>
      </c>
      <c r="H82" s="200">
        <v>0</v>
      </c>
      <c r="I82" s="200">
        <v>0</v>
      </c>
      <c r="J82" s="200">
        <v>0</v>
      </c>
      <c r="K82" s="200">
        <v>0</v>
      </c>
      <c r="L82" s="200">
        <v>0</v>
      </c>
      <c r="M82" s="200">
        <v>0</v>
      </c>
      <c r="N82" s="200">
        <v>0</v>
      </c>
    </row>
    <row r="83" spans="1:14" ht="13" customHeight="1">
      <c r="A83" s="141" t="s">
        <v>44</v>
      </c>
      <c r="B83" s="201">
        <v>6.13</v>
      </c>
      <c r="C83" s="200">
        <v>6.29</v>
      </c>
      <c r="D83" s="200">
        <v>6.27</v>
      </c>
      <c r="E83" s="200">
        <v>6.29</v>
      </c>
      <c r="F83" s="200">
        <v>0</v>
      </c>
      <c r="G83" s="200">
        <v>0</v>
      </c>
      <c r="H83" s="200">
        <v>0</v>
      </c>
      <c r="I83" s="200">
        <v>0</v>
      </c>
      <c r="J83" s="200">
        <v>0</v>
      </c>
      <c r="K83" s="200">
        <v>0</v>
      </c>
      <c r="L83" s="200">
        <v>0</v>
      </c>
      <c r="M83" s="200">
        <v>0</v>
      </c>
      <c r="N83" s="200">
        <v>6.62</v>
      </c>
    </row>
    <row r="84" spans="1:14" ht="13" customHeight="1">
      <c r="A84" s="141" t="s">
        <v>45</v>
      </c>
      <c r="B84" s="201">
        <v>7.11</v>
      </c>
      <c r="C84" s="200">
        <v>0</v>
      </c>
      <c r="D84" s="201">
        <v>7.06</v>
      </c>
      <c r="E84" s="201">
        <v>7.17</v>
      </c>
      <c r="F84" s="200">
        <v>0</v>
      </c>
      <c r="G84" s="200">
        <v>0</v>
      </c>
      <c r="H84" s="200">
        <v>0</v>
      </c>
      <c r="I84" s="200">
        <v>0</v>
      </c>
      <c r="J84" s="200">
        <v>0</v>
      </c>
      <c r="K84" s="200">
        <v>0</v>
      </c>
      <c r="L84" s="200">
        <v>0</v>
      </c>
      <c r="M84" s="200">
        <v>7.09</v>
      </c>
      <c r="N84" s="200">
        <v>7.06</v>
      </c>
    </row>
    <row r="85" spans="1:14" ht="13" customHeight="1">
      <c r="A85" s="141" t="s">
        <v>46</v>
      </c>
      <c r="B85" s="200">
        <v>0</v>
      </c>
      <c r="C85" s="200">
        <v>0</v>
      </c>
      <c r="D85" s="200">
        <v>0</v>
      </c>
      <c r="E85" s="200">
        <v>0</v>
      </c>
      <c r="F85" s="200">
        <v>0</v>
      </c>
      <c r="G85" s="200">
        <v>0</v>
      </c>
      <c r="H85" s="200">
        <v>0</v>
      </c>
      <c r="I85" s="200">
        <v>0</v>
      </c>
      <c r="J85" s="200">
        <v>0</v>
      </c>
      <c r="K85" s="200">
        <v>0</v>
      </c>
      <c r="L85" s="200">
        <v>0</v>
      </c>
      <c r="M85" s="200">
        <v>0</v>
      </c>
      <c r="N85" s="200">
        <v>0</v>
      </c>
    </row>
    <row r="86" spans="1:14" ht="13" customHeight="1">
      <c r="A86" s="141" t="s">
        <v>47</v>
      </c>
      <c r="B86" s="200">
        <v>0</v>
      </c>
      <c r="C86" s="200">
        <v>0</v>
      </c>
      <c r="D86" s="200">
        <v>0</v>
      </c>
      <c r="E86" s="200">
        <v>0</v>
      </c>
      <c r="F86" s="200">
        <v>0</v>
      </c>
      <c r="G86" s="200">
        <v>0</v>
      </c>
      <c r="H86" s="200">
        <v>0</v>
      </c>
      <c r="I86" s="200">
        <v>0</v>
      </c>
      <c r="J86" s="200">
        <v>0</v>
      </c>
      <c r="K86" s="200">
        <v>0</v>
      </c>
      <c r="L86" s="200">
        <v>0</v>
      </c>
      <c r="M86" s="200">
        <v>0</v>
      </c>
      <c r="N86" s="200">
        <v>0</v>
      </c>
    </row>
    <row r="87" spans="1:14" ht="13" customHeight="1">
      <c r="A87" s="141" t="s">
        <v>48</v>
      </c>
      <c r="B87" s="200">
        <v>0</v>
      </c>
      <c r="C87" s="200">
        <v>0</v>
      </c>
      <c r="D87" s="200">
        <v>0</v>
      </c>
      <c r="E87" s="200">
        <v>0</v>
      </c>
      <c r="F87" s="200">
        <v>0</v>
      </c>
      <c r="G87" s="200">
        <v>0</v>
      </c>
      <c r="H87" s="200">
        <v>0</v>
      </c>
      <c r="I87" s="200">
        <v>0</v>
      </c>
      <c r="J87" s="200">
        <v>0</v>
      </c>
      <c r="K87" s="200">
        <v>0</v>
      </c>
      <c r="L87" s="200">
        <v>0</v>
      </c>
      <c r="M87" s="200">
        <v>0</v>
      </c>
      <c r="N87" s="200">
        <v>0</v>
      </c>
    </row>
    <row r="88" spans="1:14" ht="13" customHeight="1" thickBot="1">
      <c r="A88" s="202" t="s">
        <v>49</v>
      </c>
      <c r="B88" s="203">
        <v>0</v>
      </c>
      <c r="C88" s="203">
        <v>0</v>
      </c>
      <c r="D88" s="203">
        <v>0</v>
      </c>
      <c r="E88" s="203">
        <v>0</v>
      </c>
      <c r="F88" s="203">
        <v>0</v>
      </c>
      <c r="G88" s="203">
        <v>0</v>
      </c>
      <c r="H88" s="203">
        <v>0</v>
      </c>
      <c r="I88" s="203">
        <v>0</v>
      </c>
      <c r="J88" s="203">
        <v>0</v>
      </c>
      <c r="K88" s="203">
        <v>0</v>
      </c>
      <c r="L88" s="203">
        <v>0</v>
      </c>
      <c r="M88" s="203">
        <v>0</v>
      </c>
      <c r="N88" s="203">
        <v>0</v>
      </c>
    </row>
    <row r="89" spans="1:14" ht="13" customHeight="1">
      <c r="A89" s="10" t="s">
        <v>229</v>
      </c>
      <c r="B89" s="204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</row>
    <row r="90" spans="1:14" ht="13" customHeight="1">
      <c r="A90" s="10" t="s">
        <v>192</v>
      </c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</row>
    <row r="91" spans="1:14" ht="13" customHeight="1">
      <c r="A91" s="12" t="s">
        <v>261</v>
      </c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Hoja114">
    <tabColor theme="9" tint="0.59999389629810485"/>
  </sheetPr>
  <dimension ref="A1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.19921875" style="21" customWidth="1"/>
    <col min="2" max="9" width="8" style="21" customWidth="1"/>
    <col min="10" max="16384" width="7" style="21"/>
  </cols>
  <sheetData/>
  <printOptions horizontalCentered="1" verticalCentered="1"/>
  <pageMargins left="0" right="0" top="0" bottom="0" header="0" footer="0"/>
  <pageSetup paperSize="9" orientation="landscape" horizontalDpi="0" verticalDpi="0"/>
  <headerFooter scaleWithDoc="0"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Hoja115">
    <tabColor theme="9" tint="0.59999389629810485"/>
  </sheetPr>
  <dimension ref="A2:Y59"/>
  <sheetViews>
    <sheetView showGridLines="0" zoomScaleNormal="100" workbookViewId="0">
      <selection activeCell="D7" sqref="D7"/>
    </sheetView>
  </sheetViews>
  <sheetFormatPr baseColWidth="10" defaultColWidth="7" defaultRowHeight="13" customHeight="1"/>
  <cols>
    <col min="1" max="1" width="1" style="141" customWidth="1"/>
    <col min="2" max="2" width="25.19921875" style="141" customWidth="1"/>
    <col min="3" max="3" width="12.59765625" style="141" bestFit="1" customWidth="1"/>
    <col min="4" max="13" width="8.3984375" style="141" customWidth="1"/>
    <col min="14" max="16384" width="7" style="141"/>
  </cols>
  <sheetData>
    <row r="2" spans="1:25" ht="13" customHeight="1">
      <c r="A2" s="425" t="s">
        <v>574</v>
      </c>
      <c r="B2" s="965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</row>
    <row r="3" spans="1:25" ht="4" customHeight="1" thickBot="1">
      <c r="A3" s="1141"/>
      <c r="B3" s="1141"/>
      <c r="C3" s="1141"/>
      <c r="D3" s="1141"/>
      <c r="E3" s="1141"/>
      <c r="F3" s="1141"/>
      <c r="G3" s="1141"/>
      <c r="H3" s="1141"/>
      <c r="I3" s="1141"/>
      <c r="J3" s="1141"/>
      <c r="K3" s="1141"/>
      <c r="L3" s="1141"/>
      <c r="M3" s="1141"/>
    </row>
    <row r="4" spans="1:25" ht="13" customHeight="1">
      <c r="A4" s="1142" t="s">
        <v>55</v>
      </c>
      <c r="B4" s="1142"/>
      <c r="C4" s="933" t="s">
        <v>537</v>
      </c>
      <c r="D4" s="933">
        <v>2010</v>
      </c>
      <c r="E4" s="933">
        <v>2011</v>
      </c>
      <c r="F4" s="933">
        <v>2012</v>
      </c>
      <c r="G4" s="933">
        <v>2013</v>
      </c>
      <c r="H4" s="933">
        <v>2014</v>
      </c>
      <c r="I4" s="933">
        <v>2015</v>
      </c>
      <c r="J4" s="933">
        <v>2016</v>
      </c>
      <c r="K4" s="933">
        <v>2017</v>
      </c>
      <c r="L4" s="933">
        <v>2018</v>
      </c>
      <c r="M4" s="933" t="s">
        <v>239</v>
      </c>
      <c r="N4" s="947"/>
    </row>
    <row r="5" spans="1:25" ht="2" customHeight="1">
      <c r="A5" s="191"/>
      <c r="B5" s="191"/>
      <c r="C5" s="949"/>
      <c r="D5" s="191"/>
      <c r="E5" s="191"/>
      <c r="F5" s="191"/>
      <c r="G5" s="191"/>
      <c r="H5" s="191"/>
      <c r="I5" s="191"/>
      <c r="J5" s="949"/>
      <c r="K5" s="949"/>
      <c r="L5" s="949"/>
      <c r="M5" s="949"/>
    </row>
    <row r="6" spans="1:25" ht="10.5" customHeight="1">
      <c r="A6" s="961" t="s">
        <v>305</v>
      </c>
      <c r="B6" s="951"/>
      <c r="C6" s="912"/>
      <c r="D6" s="951"/>
      <c r="E6" s="951"/>
      <c r="F6" s="951"/>
      <c r="G6" s="951"/>
      <c r="H6" s="951"/>
      <c r="I6" s="951"/>
      <c r="J6" s="951"/>
      <c r="K6" s="951"/>
      <c r="L6" s="951"/>
      <c r="M6" s="951"/>
    </row>
    <row r="7" spans="1:25" ht="10.5" customHeight="1">
      <c r="A7" s="962"/>
      <c r="B7" s="951" t="s">
        <v>144</v>
      </c>
      <c r="C7" s="963" t="s">
        <v>145</v>
      </c>
      <c r="D7" s="1055">
        <v>509638.7</v>
      </c>
      <c r="E7" s="1055">
        <v>535763.30000000005</v>
      </c>
      <c r="F7" s="1055">
        <v>573449.5</v>
      </c>
      <c r="G7" s="1055">
        <v>591941.6</v>
      </c>
      <c r="H7" s="1055">
        <v>622701.30000000005</v>
      </c>
      <c r="I7" s="1055">
        <v>671495.6</v>
      </c>
      <c r="J7" s="1055">
        <v>686384.7</v>
      </c>
      <c r="K7" s="1055">
        <v>705259.7</v>
      </c>
      <c r="L7" s="1055">
        <v>765689.3</v>
      </c>
      <c r="M7" s="1055">
        <v>794391.6</v>
      </c>
      <c r="N7" s="185"/>
      <c r="O7" s="185"/>
    </row>
    <row r="8" spans="1:25" ht="10.5" customHeight="1">
      <c r="A8" s="962"/>
      <c r="B8" s="950" t="s">
        <v>146</v>
      </c>
      <c r="C8" s="963" t="s">
        <v>145</v>
      </c>
      <c r="D8" s="1055">
        <v>17802.2</v>
      </c>
      <c r="E8" s="1055">
        <v>16970.5</v>
      </c>
      <c r="F8" s="1055">
        <v>19624.7</v>
      </c>
      <c r="G8" s="1055">
        <v>19794</v>
      </c>
      <c r="H8" s="1055">
        <v>21107.9</v>
      </c>
      <c r="I8" s="1055">
        <v>22094.5</v>
      </c>
      <c r="J8" s="1055">
        <v>22977.200000000001</v>
      </c>
      <c r="K8" s="1055">
        <v>24632.7</v>
      </c>
      <c r="L8" s="1055">
        <v>28089.3</v>
      </c>
      <c r="M8" s="1055">
        <v>26179.3</v>
      </c>
    </row>
    <row r="9" spans="1:25" ht="3" customHeight="1">
      <c r="A9" s="962"/>
      <c r="B9" s="950"/>
      <c r="C9" s="963"/>
      <c r="D9" s="952"/>
      <c r="E9" s="952"/>
      <c r="F9" s="952"/>
      <c r="G9" s="952"/>
      <c r="H9" s="952"/>
      <c r="I9" s="952"/>
      <c r="J9" s="952"/>
      <c r="K9" s="952"/>
      <c r="L9" s="952"/>
      <c r="M9" s="952"/>
    </row>
    <row r="10" spans="1:25" ht="10.5" customHeight="1">
      <c r="A10" s="961" t="s">
        <v>579</v>
      </c>
      <c r="B10" s="951"/>
      <c r="C10" s="963"/>
      <c r="D10" s="953"/>
      <c r="E10" s="954"/>
      <c r="F10" s="954"/>
      <c r="G10" s="954"/>
      <c r="H10" s="953"/>
      <c r="I10" s="953"/>
      <c r="J10" s="953"/>
      <c r="K10" s="953"/>
      <c r="L10" s="953"/>
      <c r="M10" s="953"/>
    </row>
    <row r="11" spans="1:25" ht="10.5" customHeight="1">
      <c r="A11" s="962"/>
      <c r="B11" s="950" t="s">
        <v>240</v>
      </c>
      <c r="C11" s="963" t="s">
        <v>252</v>
      </c>
      <c r="D11" s="1057">
        <v>1019935</v>
      </c>
      <c r="E11" s="1057">
        <v>1108345</v>
      </c>
      <c r="F11" s="1057">
        <v>1211140</v>
      </c>
      <c r="G11" s="1057">
        <v>1254348</v>
      </c>
      <c r="H11" s="1057">
        <v>1317426</v>
      </c>
      <c r="I11" s="1057">
        <v>1423586</v>
      </c>
      <c r="J11" s="1057">
        <v>1513950</v>
      </c>
      <c r="K11" s="1057">
        <v>1569280</v>
      </c>
      <c r="L11" s="1057">
        <v>1687636</v>
      </c>
      <c r="M11" s="1057">
        <v>1762856</v>
      </c>
    </row>
    <row r="12" spans="1:25" ht="10.5" customHeight="1">
      <c r="A12" s="962"/>
      <c r="B12" s="950" t="s">
        <v>147</v>
      </c>
      <c r="C12" s="963" t="s">
        <v>252</v>
      </c>
      <c r="D12" s="1058">
        <v>950902</v>
      </c>
      <c r="E12" s="1058">
        <v>1035362</v>
      </c>
      <c r="F12" s="1058">
        <v>1132510</v>
      </c>
      <c r="G12" s="1058">
        <v>1175749</v>
      </c>
      <c r="H12" s="1058">
        <v>1233202</v>
      </c>
      <c r="I12" s="1058">
        <v>1329855</v>
      </c>
      <c r="J12" s="1058">
        <v>1405474</v>
      </c>
      <c r="K12" s="1058">
        <v>1464548</v>
      </c>
      <c r="L12" s="1058">
        <v>1581767</v>
      </c>
      <c r="M12" s="1058">
        <v>1651949</v>
      </c>
      <c r="O12" s="186"/>
      <c r="P12" s="186"/>
    </row>
    <row r="13" spans="1:25" ht="10.5" customHeight="1">
      <c r="A13" s="962"/>
      <c r="B13" s="956" t="s">
        <v>16</v>
      </c>
      <c r="C13" s="963" t="s">
        <v>252</v>
      </c>
      <c r="D13" s="1058">
        <v>285102</v>
      </c>
      <c r="E13" s="1058">
        <v>317654</v>
      </c>
      <c r="F13" s="1058">
        <v>314024</v>
      </c>
      <c r="G13" s="1057">
        <v>349791</v>
      </c>
      <c r="H13" s="1057">
        <v>358630</v>
      </c>
      <c r="I13" s="1057">
        <v>386255</v>
      </c>
      <c r="J13" s="1057">
        <v>400980</v>
      </c>
      <c r="K13" s="1057">
        <v>415336</v>
      </c>
      <c r="L13" s="1057">
        <v>452234</v>
      </c>
      <c r="M13" s="1057">
        <v>488484</v>
      </c>
    </row>
    <row r="14" spans="1:25" ht="3" customHeight="1">
      <c r="A14" s="962"/>
      <c r="B14" s="951"/>
      <c r="C14" s="963"/>
      <c r="D14" s="951"/>
      <c r="E14" s="951"/>
      <c r="F14" s="953"/>
      <c r="G14" s="953"/>
      <c r="H14" s="953"/>
      <c r="I14" s="953"/>
      <c r="J14" s="953"/>
      <c r="K14" s="953"/>
      <c r="L14" s="953"/>
      <c r="M14" s="953"/>
    </row>
    <row r="15" spans="1:25" ht="10.5" customHeight="1">
      <c r="A15" s="961" t="s">
        <v>580</v>
      </c>
      <c r="B15" s="951"/>
      <c r="C15" s="963" t="s">
        <v>145</v>
      </c>
      <c r="D15" s="1055">
        <v>196808.8</v>
      </c>
      <c r="E15" s="1055">
        <v>192834</v>
      </c>
      <c r="F15" s="1055">
        <v>211177.5</v>
      </c>
      <c r="G15" s="1055">
        <v>222099.5</v>
      </c>
      <c r="H15" s="1055">
        <v>246732.9</v>
      </c>
      <c r="I15" s="1055">
        <v>260297</v>
      </c>
      <c r="J15" s="1055">
        <v>256532.1</v>
      </c>
      <c r="K15" s="1055">
        <v>250137.9</v>
      </c>
      <c r="L15" s="1055">
        <v>281178</v>
      </c>
      <c r="M15" s="1055">
        <v>311304.2</v>
      </c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</row>
    <row r="16" spans="1:25" ht="10.5" customHeight="1">
      <c r="A16" s="962"/>
      <c r="B16" s="951" t="s">
        <v>148</v>
      </c>
      <c r="C16" s="963" t="s">
        <v>252</v>
      </c>
      <c r="D16" s="1055">
        <v>518878</v>
      </c>
      <c r="E16" s="1055">
        <v>515501.8</v>
      </c>
      <c r="F16" s="1055">
        <v>572760.1</v>
      </c>
      <c r="G16" s="1055">
        <v>609490</v>
      </c>
      <c r="H16" s="1055">
        <v>680859.7</v>
      </c>
      <c r="I16" s="1055">
        <v>710283.3</v>
      </c>
      <c r="J16" s="1055">
        <v>698269.4</v>
      </c>
      <c r="K16" s="1055">
        <v>700353.7</v>
      </c>
      <c r="L16" s="1055">
        <v>764638.6</v>
      </c>
      <c r="M16" s="1055">
        <v>862757.2</v>
      </c>
      <c r="O16" s="185"/>
      <c r="P16" s="185"/>
    </row>
    <row r="17" spans="1:24" ht="10.5" customHeight="1">
      <c r="A17" s="962"/>
      <c r="B17" s="951" t="s">
        <v>149</v>
      </c>
      <c r="C17" s="963" t="s">
        <v>532</v>
      </c>
      <c r="D17" s="1056">
        <v>2.6360000000000001</v>
      </c>
      <c r="E17" s="1056">
        <v>2.673</v>
      </c>
      <c r="F17" s="1056">
        <v>2.7120000000000002</v>
      </c>
      <c r="G17" s="1056">
        <f t="shared" ref="G17:M17" si="0">G16/G15</f>
        <v>2.7442204957687881</v>
      </c>
      <c r="H17" s="1056">
        <f t="shared" si="0"/>
        <v>2.7595010637008683</v>
      </c>
      <c r="I17" s="1056">
        <f t="shared" si="0"/>
        <v>2.7287417834243195</v>
      </c>
      <c r="J17" s="1056">
        <f t="shared" si="0"/>
        <v>2.7219572131518825</v>
      </c>
      <c r="K17" s="1056">
        <f t="shared" si="0"/>
        <v>2.7998703914920529</v>
      </c>
      <c r="L17" s="1056">
        <f t="shared" si="0"/>
        <v>2.719411191487243</v>
      </c>
      <c r="M17" s="1056">
        <f t="shared" si="0"/>
        <v>2.7714280758178012</v>
      </c>
    </row>
    <row r="18" spans="1:24" ht="3" customHeight="1">
      <c r="A18" s="962"/>
      <c r="B18" s="951"/>
      <c r="C18" s="963"/>
      <c r="D18" s="957"/>
      <c r="E18" s="957"/>
      <c r="F18" s="957"/>
      <c r="G18" s="957"/>
      <c r="H18" s="957"/>
      <c r="I18" s="957"/>
      <c r="J18" s="957"/>
      <c r="K18" s="957"/>
      <c r="L18" s="957"/>
      <c r="M18" s="957"/>
    </row>
    <row r="19" spans="1:24" ht="10.5" customHeight="1">
      <c r="A19" s="961" t="s">
        <v>581</v>
      </c>
      <c r="B19" s="951"/>
      <c r="C19" s="963"/>
      <c r="D19" s="957"/>
      <c r="E19" s="957"/>
      <c r="F19" s="957"/>
      <c r="G19" s="957"/>
      <c r="H19" s="957"/>
      <c r="I19" s="957"/>
      <c r="J19" s="957"/>
      <c r="K19" s="957"/>
      <c r="L19" s="957"/>
      <c r="M19" s="957"/>
    </row>
    <row r="20" spans="1:24" ht="10.5" customHeight="1">
      <c r="A20" s="961"/>
      <c r="B20" s="951" t="s">
        <v>241</v>
      </c>
      <c r="C20" s="963" t="s">
        <v>534</v>
      </c>
      <c r="D20" s="1059">
        <v>3.88</v>
      </c>
      <c r="E20" s="1059">
        <v>4.1900000000000004</v>
      </c>
      <c r="F20" s="1059">
        <v>4.16</v>
      </c>
      <c r="G20" s="1059">
        <v>4.45</v>
      </c>
      <c r="H20" s="1059">
        <v>4.37</v>
      </c>
      <c r="I20" s="1059">
        <v>4.41</v>
      </c>
      <c r="J20" s="1059">
        <v>4.71</v>
      </c>
      <c r="K20" s="1059">
        <v>4.4000000000000004</v>
      </c>
      <c r="L20" s="1059">
        <v>4.5999999999999996</v>
      </c>
      <c r="M20" s="1059">
        <v>3.85</v>
      </c>
      <c r="N20" s="145"/>
      <c r="O20" s="145"/>
      <c r="P20" s="145"/>
    </row>
    <row r="21" spans="1:24" ht="10.5" customHeight="1">
      <c r="A21" s="962"/>
      <c r="B21" s="951" t="s">
        <v>242</v>
      </c>
      <c r="C21" s="963" t="s">
        <v>534</v>
      </c>
      <c r="D21" s="1059">
        <v>4.16</v>
      </c>
      <c r="E21" s="1059">
        <v>4.43</v>
      </c>
      <c r="F21" s="1059">
        <v>4.4000000000000004</v>
      </c>
      <c r="G21" s="1059">
        <v>4.8099999999999996</v>
      </c>
      <c r="H21" s="1059">
        <v>4.8</v>
      </c>
      <c r="I21" s="1059">
        <v>4.9000000000000004</v>
      </c>
      <c r="J21" s="1059">
        <v>5.04</v>
      </c>
      <c r="K21" s="1059">
        <v>4.6399999999999997</v>
      </c>
      <c r="L21" s="1059">
        <v>4.8600000000000003</v>
      </c>
      <c r="M21" s="1059">
        <v>4.04</v>
      </c>
      <c r="O21" s="188"/>
      <c r="P21" s="188"/>
    </row>
    <row r="22" spans="1:24" ht="10.5" customHeight="1">
      <c r="A22" s="962"/>
      <c r="B22" s="951" t="s">
        <v>243</v>
      </c>
      <c r="C22" s="963" t="s">
        <v>534</v>
      </c>
      <c r="D22" s="1059">
        <v>5.53</v>
      </c>
      <c r="E22" s="1059">
        <v>5.92</v>
      </c>
      <c r="F22" s="1059">
        <v>6.39</v>
      </c>
      <c r="G22" s="1059">
        <v>6.72</v>
      </c>
      <c r="H22" s="1059">
        <v>6.75</v>
      </c>
      <c r="I22" s="1059">
        <v>6.85</v>
      </c>
      <c r="J22" s="1059">
        <v>7</v>
      </c>
      <c r="K22" s="1059">
        <v>6.61</v>
      </c>
      <c r="L22" s="1059">
        <v>6.59</v>
      </c>
      <c r="M22" s="1059">
        <v>6.12</v>
      </c>
      <c r="N22" s="189"/>
      <c r="P22" s="145"/>
    </row>
    <row r="23" spans="1:24" ht="10.5" customHeight="1">
      <c r="A23" s="962"/>
      <c r="B23" s="951" t="s">
        <v>244</v>
      </c>
      <c r="C23" s="963" t="s">
        <v>534</v>
      </c>
      <c r="D23" s="1059">
        <v>6.75</v>
      </c>
      <c r="E23" s="1059">
        <v>7</v>
      </c>
      <c r="F23" s="1059">
        <v>7.24</v>
      </c>
      <c r="G23" s="1059">
        <v>7.71</v>
      </c>
      <c r="H23" s="1059">
        <v>7.88</v>
      </c>
      <c r="I23" s="1059">
        <v>8.2799999999999994</v>
      </c>
      <c r="J23" s="1059">
        <v>8.51</v>
      </c>
      <c r="K23" s="1059">
        <v>8.14</v>
      </c>
      <c r="L23" s="1059">
        <v>8.0500000000000007</v>
      </c>
      <c r="M23" s="1059">
        <v>7.62</v>
      </c>
      <c r="N23" s="188"/>
    </row>
    <row r="24" spans="1:24" ht="3" customHeight="1">
      <c r="A24" s="962"/>
      <c r="B24" s="951"/>
      <c r="C24" s="963"/>
      <c r="D24" s="957"/>
      <c r="E24" s="957"/>
      <c r="F24" s="957"/>
      <c r="G24" s="957"/>
      <c r="H24" s="957"/>
      <c r="I24" s="957"/>
      <c r="J24" s="957"/>
      <c r="K24" s="957"/>
      <c r="L24" s="957"/>
      <c r="M24" s="957"/>
    </row>
    <row r="25" spans="1:24" ht="10.5" customHeight="1">
      <c r="A25" s="961" t="s">
        <v>582</v>
      </c>
      <c r="B25" s="951"/>
      <c r="C25" s="963"/>
      <c r="D25" s="958"/>
      <c r="E25" s="958"/>
      <c r="F25" s="958"/>
      <c r="G25" s="958"/>
      <c r="H25" s="958"/>
      <c r="I25" s="958"/>
      <c r="J25" s="958"/>
      <c r="K25" s="958"/>
      <c r="L25" s="958"/>
      <c r="M25" s="958"/>
    </row>
    <row r="26" spans="1:24" ht="10.5" customHeight="1">
      <c r="A26" s="962"/>
      <c r="B26" s="951" t="s">
        <v>150</v>
      </c>
      <c r="C26" s="963" t="s">
        <v>145</v>
      </c>
      <c r="D26" s="1055">
        <v>9039.6</v>
      </c>
      <c r="E26" s="1055">
        <v>9845.2999999999993</v>
      </c>
      <c r="F26" s="1055">
        <v>8769.9</v>
      </c>
      <c r="G26" s="1055">
        <v>5597.6</v>
      </c>
      <c r="H26" s="1055">
        <v>4478</v>
      </c>
      <c r="I26" s="1055">
        <v>4256.8</v>
      </c>
      <c r="J26" s="1055">
        <v>4834.5</v>
      </c>
      <c r="K26" s="1055">
        <v>4942.8999999999996</v>
      </c>
      <c r="L26" s="1055">
        <v>5323.9</v>
      </c>
      <c r="M26" s="1055">
        <v>6543.1</v>
      </c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</row>
    <row r="27" spans="1:24" ht="10.5" customHeight="1">
      <c r="A27" s="962"/>
      <c r="B27" s="951" t="s">
        <v>151</v>
      </c>
      <c r="C27" s="963" t="s">
        <v>145</v>
      </c>
      <c r="D27" s="1055">
        <v>4180.3999999999996</v>
      </c>
      <c r="E27" s="1055">
        <v>4529.2</v>
      </c>
      <c r="F27" s="1055">
        <v>4569.8</v>
      </c>
      <c r="G27" s="1055">
        <v>4135.3999999999996</v>
      </c>
      <c r="H27" s="1055">
        <v>3760.4</v>
      </c>
      <c r="I27" s="1055">
        <v>3759.6</v>
      </c>
      <c r="J27" s="1055">
        <v>3592.6</v>
      </c>
      <c r="K27" s="1055">
        <v>4277</v>
      </c>
      <c r="L27" s="1055">
        <v>4063.3</v>
      </c>
      <c r="M27" s="1055">
        <v>5011.8999999999996</v>
      </c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</row>
    <row r="28" spans="1:24" ht="3" customHeight="1">
      <c r="A28" s="962"/>
      <c r="B28" s="951"/>
      <c r="C28" s="963"/>
      <c r="D28" s="951"/>
      <c r="E28" s="951"/>
      <c r="F28" s="951"/>
      <c r="G28" s="951"/>
      <c r="H28" s="951"/>
      <c r="I28" s="951"/>
      <c r="J28" s="951"/>
      <c r="K28" s="951"/>
      <c r="L28" s="951"/>
      <c r="M28" s="951"/>
    </row>
    <row r="29" spans="1:24" ht="10.5" customHeight="1">
      <c r="A29" s="961" t="s">
        <v>583</v>
      </c>
      <c r="B29" s="951"/>
      <c r="C29" s="963"/>
      <c r="D29" s="955"/>
      <c r="E29" s="955"/>
      <c r="F29" s="955"/>
      <c r="G29" s="955"/>
      <c r="H29" s="955"/>
      <c r="I29" s="955"/>
      <c r="J29" s="955"/>
      <c r="K29" s="955"/>
      <c r="L29" s="955"/>
      <c r="M29" s="955"/>
      <c r="N29" s="185"/>
    </row>
    <row r="30" spans="1:24" ht="10.5" customHeight="1">
      <c r="A30" s="962"/>
      <c r="B30" s="950" t="s">
        <v>240</v>
      </c>
      <c r="C30" s="963" t="s">
        <v>252</v>
      </c>
      <c r="D30" s="1057">
        <v>1031493</v>
      </c>
      <c r="E30" s="1057">
        <v>1123093</v>
      </c>
      <c r="F30" s="1057">
        <v>1226207</v>
      </c>
      <c r="G30" s="1057">
        <v>1268686</v>
      </c>
      <c r="H30" s="1057">
        <v>1333429</v>
      </c>
      <c r="I30" s="1057">
        <v>1441252</v>
      </c>
      <c r="J30" s="1057">
        <v>1540472</v>
      </c>
      <c r="K30" s="1057">
        <v>1608072</v>
      </c>
      <c r="L30" s="1057">
        <v>1745540</v>
      </c>
      <c r="M30" s="1057">
        <v>1792476</v>
      </c>
      <c r="O30" s="145"/>
      <c r="P30" s="145"/>
    </row>
    <row r="31" spans="1:24" ht="10.5" customHeight="1">
      <c r="A31" s="962"/>
      <c r="B31" s="950" t="s">
        <v>147</v>
      </c>
      <c r="C31" s="963" t="s">
        <v>252</v>
      </c>
      <c r="D31" s="1057">
        <v>951245</v>
      </c>
      <c r="E31" s="1057">
        <v>1009651</v>
      </c>
      <c r="F31" s="1057">
        <v>1093406</v>
      </c>
      <c r="G31" s="1057">
        <v>1175740</v>
      </c>
      <c r="H31" s="1057">
        <v>1233132</v>
      </c>
      <c r="I31" s="1057">
        <v>1329926</v>
      </c>
      <c r="J31" s="1057">
        <v>1405514</v>
      </c>
      <c r="K31" s="1057">
        <v>1480708</v>
      </c>
      <c r="L31" s="1057">
        <v>1616317</v>
      </c>
      <c r="M31" s="1057">
        <v>1658504</v>
      </c>
    </row>
    <row r="32" spans="1:24" ht="10.5" customHeight="1">
      <c r="A32" s="962"/>
      <c r="B32" s="951" t="s">
        <v>16</v>
      </c>
      <c r="C32" s="963" t="s">
        <v>252</v>
      </c>
      <c r="D32" s="1057">
        <v>285102</v>
      </c>
      <c r="E32" s="1057">
        <v>317654</v>
      </c>
      <c r="F32" s="1057">
        <v>314024</v>
      </c>
      <c r="G32" s="1057">
        <v>349791</v>
      </c>
      <c r="H32" s="1057">
        <v>358630</v>
      </c>
      <c r="I32" s="1057">
        <v>386255</v>
      </c>
      <c r="J32" s="1057">
        <v>400980</v>
      </c>
      <c r="K32" s="1057">
        <v>415335</v>
      </c>
      <c r="L32" s="1057">
        <v>452234</v>
      </c>
      <c r="M32" s="1057">
        <v>488484</v>
      </c>
      <c r="N32" s="145"/>
      <c r="O32" s="145"/>
      <c r="P32" s="145"/>
    </row>
    <row r="33" spans="1:15" ht="3" customHeight="1">
      <c r="A33" s="962"/>
      <c r="B33" s="956"/>
      <c r="C33" s="963"/>
      <c r="D33" s="952"/>
      <c r="E33" s="959"/>
      <c r="F33" s="959"/>
      <c r="G33" s="959"/>
      <c r="H33" s="952"/>
      <c r="I33" s="952"/>
      <c r="J33" s="952"/>
      <c r="K33" s="952"/>
      <c r="L33" s="952"/>
      <c r="M33" s="952"/>
    </row>
    <row r="34" spans="1:15" ht="10.5" customHeight="1">
      <c r="A34" s="944" t="s">
        <v>584</v>
      </c>
      <c r="B34" s="956"/>
      <c r="C34" s="963"/>
      <c r="D34" s="960"/>
      <c r="E34" s="960"/>
      <c r="F34" s="960"/>
      <c r="G34" s="960"/>
      <c r="H34" s="960"/>
      <c r="I34" s="960"/>
      <c r="J34" s="960"/>
      <c r="K34" s="960"/>
      <c r="L34" s="960"/>
      <c r="M34" s="960"/>
    </row>
    <row r="35" spans="1:15" ht="10.5" customHeight="1">
      <c r="A35" s="962"/>
      <c r="B35" s="950" t="s">
        <v>240</v>
      </c>
      <c r="C35" s="963" t="s">
        <v>533</v>
      </c>
      <c r="D35" s="1055">
        <v>35</v>
      </c>
      <c r="E35" s="1055">
        <v>37.700000000000003</v>
      </c>
      <c r="F35" s="1055">
        <v>40.700000000000003</v>
      </c>
      <c r="G35" s="1055">
        <v>41.6</v>
      </c>
      <c r="H35" s="1055">
        <v>43.3</v>
      </c>
      <c r="I35" s="1055">
        <v>46.3</v>
      </c>
      <c r="J35" s="1055">
        <v>48.9</v>
      </c>
      <c r="K35" s="1055">
        <v>50.5</v>
      </c>
      <c r="L35" s="1055">
        <v>54.3</v>
      </c>
      <c r="M35" s="1055">
        <v>55.2</v>
      </c>
    </row>
    <row r="36" spans="1:15" ht="10.5" customHeight="1">
      <c r="A36" s="962"/>
      <c r="B36" s="950" t="s">
        <v>147</v>
      </c>
      <c r="C36" s="963" t="s">
        <v>533</v>
      </c>
      <c r="D36" s="1055">
        <v>32.299999999999997</v>
      </c>
      <c r="E36" s="1055">
        <v>33.9</v>
      </c>
      <c r="F36" s="1055">
        <v>36.299999999999997</v>
      </c>
      <c r="G36" s="1055">
        <v>38.6</v>
      </c>
      <c r="H36" s="1055">
        <v>40</v>
      </c>
      <c r="I36" s="1055">
        <v>42.7</v>
      </c>
      <c r="J36" s="1055">
        <v>44.6</v>
      </c>
      <c r="K36" s="1055">
        <v>46.5</v>
      </c>
      <c r="L36" s="1055">
        <v>50.3</v>
      </c>
      <c r="M36" s="1055">
        <v>51</v>
      </c>
    </row>
    <row r="37" spans="1:15" ht="10.5" customHeight="1">
      <c r="A37" s="962"/>
      <c r="B37" s="951" t="s">
        <v>16</v>
      </c>
      <c r="C37" s="963" t="s">
        <v>533</v>
      </c>
      <c r="D37" s="1055">
        <v>9.6999999999999993</v>
      </c>
      <c r="E37" s="1055">
        <v>10.7</v>
      </c>
      <c r="F37" s="1055">
        <v>10.4</v>
      </c>
      <c r="G37" s="1055">
        <v>11.5</v>
      </c>
      <c r="H37" s="1055">
        <v>11.6</v>
      </c>
      <c r="I37" s="1055">
        <v>12.4</v>
      </c>
      <c r="J37" s="1055">
        <v>12.7</v>
      </c>
      <c r="K37" s="1055">
        <v>13.1</v>
      </c>
      <c r="L37" s="1055">
        <v>14.1</v>
      </c>
      <c r="M37" s="1055">
        <v>15</v>
      </c>
    </row>
    <row r="38" spans="1:15" ht="10.5" customHeight="1">
      <c r="A38" s="962"/>
      <c r="B38" s="950"/>
      <c r="C38" s="963" t="s">
        <v>536</v>
      </c>
      <c r="D38" s="1057">
        <v>154</v>
      </c>
      <c r="E38" s="1057">
        <v>170</v>
      </c>
      <c r="F38" s="1057">
        <v>166</v>
      </c>
      <c r="G38" s="1057">
        <v>183</v>
      </c>
      <c r="H38" s="1057">
        <v>186</v>
      </c>
      <c r="I38" s="1057">
        <v>198</v>
      </c>
      <c r="J38" s="1057">
        <v>203</v>
      </c>
      <c r="K38" s="1057">
        <v>208</v>
      </c>
      <c r="L38" s="1057">
        <v>224</v>
      </c>
      <c r="M38" s="1057">
        <v>240</v>
      </c>
    </row>
    <row r="39" spans="1:15" ht="3" customHeight="1">
      <c r="A39" s="962"/>
      <c r="B39" s="950"/>
      <c r="C39" s="963"/>
      <c r="D39" s="952"/>
      <c r="E39" s="952"/>
      <c r="F39" s="952"/>
      <c r="G39" s="952"/>
      <c r="H39" s="952"/>
      <c r="I39" s="952"/>
      <c r="J39" s="952"/>
      <c r="K39" s="952"/>
      <c r="L39" s="957"/>
      <c r="M39" s="957"/>
    </row>
    <row r="40" spans="1:15" ht="10.5" customHeight="1">
      <c r="A40" s="961" t="s">
        <v>249</v>
      </c>
      <c r="B40" s="951"/>
      <c r="C40" s="963"/>
      <c r="D40" s="953"/>
      <c r="E40" s="953"/>
      <c r="F40" s="953"/>
      <c r="G40" s="953"/>
      <c r="H40" s="953"/>
      <c r="I40" s="953"/>
      <c r="J40" s="953"/>
      <c r="K40" s="953"/>
      <c r="L40" s="953"/>
      <c r="M40" s="953"/>
    </row>
    <row r="41" spans="1:15" ht="10.5" customHeight="1">
      <c r="A41" s="962"/>
      <c r="B41" s="950" t="s">
        <v>240</v>
      </c>
      <c r="C41" s="963" t="s">
        <v>252</v>
      </c>
      <c r="D41" s="1057">
        <v>663307</v>
      </c>
      <c r="E41" s="1057">
        <v>667741</v>
      </c>
      <c r="F41" s="1057">
        <v>700274</v>
      </c>
      <c r="G41" s="1057">
        <v>714462</v>
      </c>
      <c r="H41" s="1057">
        <v>731096</v>
      </c>
      <c r="I41" s="1057">
        <v>775685</v>
      </c>
      <c r="J41" s="1057">
        <v>782264</v>
      </c>
      <c r="K41" s="1057">
        <v>887856</v>
      </c>
      <c r="L41" s="1057">
        <v>935365</v>
      </c>
      <c r="M41" s="1057">
        <v>989947</v>
      </c>
    </row>
    <row r="42" spans="1:15" ht="10.5" customHeight="1">
      <c r="A42" s="962"/>
      <c r="B42" s="950" t="s">
        <v>147</v>
      </c>
      <c r="C42" s="963" t="s">
        <v>252</v>
      </c>
      <c r="D42" s="1058">
        <v>610168</v>
      </c>
      <c r="E42" s="1058">
        <v>612926</v>
      </c>
      <c r="F42" s="1058">
        <v>637376</v>
      </c>
      <c r="G42" s="1058">
        <v>652364</v>
      </c>
      <c r="H42" s="1058">
        <v>682176</v>
      </c>
      <c r="I42" s="1058">
        <v>730034</v>
      </c>
      <c r="J42" s="1058">
        <v>736536</v>
      </c>
      <c r="K42" s="1058">
        <v>818800</v>
      </c>
      <c r="L42" s="1058">
        <v>860756</v>
      </c>
      <c r="M42" s="1058">
        <v>935967</v>
      </c>
    </row>
    <row r="43" spans="1:15" ht="10.5" customHeight="1">
      <c r="A43" s="962"/>
      <c r="B43" s="951" t="s">
        <v>16</v>
      </c>
      <c r="C43" s="963" t="s">
        <v>252</v>
      </c>
      <c r="D43" s="1057">
        <v>136849</v>
      </c>
      <c r="E43" s="1057">
        <v>139128</v>
      </c>
      <c r="F43" s="1057">
        <v>138171</v>
      </c>
      <c r="G43" s="1057">
        <v>145163</v>
      </c>
      <c r="H43" s="1057">
        <v>154211</v>
      </c>
      <c r="I43" s="1057">
        <v>162227</v>
      </c>
      <c r="J43" s="1057">
        <v>168412</v>
      </c>
      <c r="K43" s="1057">
        <v>174441</v>
      </c>
      <c r="L43" s="1057">
        <v>189938</v>
      </c>
      <c r="M43" s="1057">
        <v>195394</v>
      </c>
      <c r="O43" s="145"/>
    </row>
    <row r="44" spans="1:15" ht="3" customHeight="1">
      <c r="A44" s="962"/>
      <c r="B44" s="956"/>
      <c r="C44" s="963"/>
      <c r="D44" s="957"/>
      <c r="E44" s="957"/>
      <c r="F44" s="957"/>
      <c r="G44" s="957"/>
      <c r="H44" s="957"/>
      <c r="I44" s="957"/>
      <c r="J44" s="957"/>
      <c r="K44" s="957"/>
      <c r="L44" s="957"/>
      <c r="M44" s="957"/>
    </row>
    <row r="45" spans="1:15" ht="10.5" customHeight="1">
      <c r="A45" s="944" t="s">
        <v>585</v>
      </c>
      <c r="B45" s="956"/>
      <c r="C45" s="963"/>
      <c r="D45" s="960"/>
      <c r="E45" s="960"/>
      <c r="F45" s="960"/>
      <c r="G45" s="960"/>
      <c r="H45" s="960"/>
      <c r="I45" s="960"/>
      <c r="J45" s="960"/>
      <c r="K45" s="960"/>
      <c r="L45" s="960"/>
      <c r="M45" s="960"/>
    </row>
    <row r="46" spans="1:15" ht="10.5" customHeight="1">
      <c r="A46" s="962"/>
      <c r="B46" s="950" t="s">
        <v>240</v>
      </c>
      <c r="C46" s="963" t="s">
        <v>533</v>
      </c>
      <c r="D46" s="1055">
        <v>64.3</v>
      </c>
      <c r="E46" s="1055">
        <v>71.8</v>
      </c>
      <c r="F46" s="1055">
        <v>74.099999999999994</v>
      </c>
      <c r="G46" s="1055">
        <v>74.400000000000006</v>
      </c>
      <c r="H46" s="1055">
        <v>74.7</v>
      </c>
      <c r="I46" s="1055">
        <v>75.3</v>
      </c>
      <c r="J46" s="1055">
        <v>77.8</v>
      </c>
      <c r="K46" s="1055">
        <v>86.9</v>
      </c>
      <c r="L46" s="1055">
        <v>90.1</v>
      </c>
      <c r="M46" s="1055">
        <v>93.9</v>
      </c>
    </row>
    <row r="47" spans="1:15" ht="10.5" customHeight="1">
      <c r="A47" s="962"/>
      <c r="B47" s="950" t="s">
        <v>147</v>
      </c>
      <c r="C47" s="963" t="s">
        <v>533</v>
      </c>
      <c r="D47" s="1055">
        <v>59.1</v>
      </c>
      <c r="E47" s="1055">
        <v>65.900000000000006</v>
      </c>
      <c r="F47" s="1055">
        <v>67.400000000000006</v>
      </c>
      <c r="G47" s="1055">
        <v>68</v>
      </c>
      <c r="H47" s="1055">
        <v>70</v>
      </c>
      <c r="I47" s="1055">
        <v>70.7</v>
      </c>
      <c r="J47" s="1055">
        <v>73.2</v>
      </c>
      <c r="K47" s="1055">
        <v>80.099999999999994</v>
      </c>
      <c r="L47" s="1055">
        <v>82.9</v>
      </c>
      <c r="M47" s="1055">
        <v>88.8</v>
      </c>
    </row>
    <row r="48" spans="1:15" ht="10.5" customHeight="1">
      <c r="A48" s="962"/>
      <c r="B48" s="951" t="s">
        <v>16</v>
      </c>
      <c r="C48" s="963" t="s">
        <v>533</v>
      </c>
      <c r="D48" s="1055">
        <v>13.3</v>
      </c>
      <c r="E48" s="1055">
        <v>15</v>
      </c>
      <c r="F48" s="1055">
        <v>14.6</v>
      </c>
      <c r="G48" s="1055">
        <v>15.1</v>
      </c>
      <c r="H48" s="1055">
        <v>15.8</v>
      </c>
      <c r="I48" s="1055">
        <v>16.399999999999999</v>
      </c>
      <c r="J48" s="1055">
        <v>16.7</v>
      </c>
      <c r="K48" s="1055">
        <v>17.100000000000001</v>
      </c>
      <c r="L48" s="1055">
        <v>17.899999999999999</v>
      </c>
      <c r="M48" s="1055">
        <v>18.5</v>
      </c>
    </row>
    <row r="49" spans="1:19" ht="10.5" customHeight="1">
      <c r="A49" s="962"/>
      <c r="B49" s="956"/>
      <c r="C49" s="963" t="s">
        <v>536</v>
      </c>
      <c r="D49" s="1057">
        <v>212</v>
      </c>
      <c r="E49" s="1057">
        <v>239</v>
      </c>
      <c r="F49" s="1057">
        <v>234</v>
      </c>
      <c r="G49" s="1057">
        <v>242</v>
      </c>
      <c r="H49" s="1057">
        <v>253</v>
      </c>
      <c r="I49" s="1057">
        <v>262</v>
      </c>
      <c r="J49" s="1057">
        <v>268</v>
      </c>
      <c r="K49" s="1057">
        <v>273</v>
      </c>
      <c r="L49" s="1057">
        <v>286</v>
      </c>
      <c r="M49" s="1057">
        <v>297</v>
      </c>
    </row>
    <row r="50" spans="1:19" ht="10.5" customHeight="1">
      <c r="A50" s="962"/>
      <c r="B50" s="956" t="s">
        <v>577</v>
      </c>
      <c r="C50" s="963" t="s">
        <v>145</v>
      </c>
      <c r="D50" s="1055">
        <v>29461.9</v>
      </c>
      <c r="E50" s="1055">
        <v>29797.7</v>
      </c>
      <c r="F50" s="1055">
        <v>30135.9</v>
      </c>
      <c r="G50" s="1055">
        <v>30475.1</v>
      </c>
      <c r="H50" s="1055">
        <v>30814.2</v>
      </c>
      <c r="I50" s="1055">
        <v>31151.599999999999</v>
      </c>
      <c r="J50" s="1055">
        <v>31488.6</v>
      </c>
      <c r="K50" s="1055">
        <v>31826</v>
      </c>
      <c r="L50" s="1055">
        <v>32162.2</v>
      </c>
      <c r="M50" s="1055">
        <v>32495.5</v>
      </c>
    </row>
    <row r="51" spans="1:19" ht="10.5" customHeight="1">
      <c r="A51" s="962"/>
      <c r="B51" s="956" t="s">
        <v>578</v>
      </c>
      <c r="C51" s="963" t="s">
        <v>145</v>
      </c>
      <c r="D51" s="1055">
        <v>9160.4</v>
      </c>
      <c r="E51" s="1055">
        <v>9303.7999999999993</v>
      </c>
      <c r="F51" s="1055">
        <v>9450.6</v>
      </c>
      <c r="G51" s="1055">
        <v>9600.1</v>
      </c>
      <c r="H51" s="1055">
        <v>9751.7000000000007</v>
      </c>
      <c r="I51" s="1055">
        <v>9904.7000000000007</v>
      </c>
      <c r="J51" s="1055">
        <v>10059.200000000001</v>
      </c>
      <c r="K51" s="1055">
        <v>10218</v>
      </c>
      <c r="L51" s="1055">
        <v>10378.299999999999</v>
      </c>
      <c r="M51" s="1055">
        <v>10541.2</v>
      </c>
    </row>
    <row r="52" spans="1:19" ht="3" customHeight="1">
      <c r="A52" s="962"/>
      <c r="B52" s="956"/>
      <c r="C52" s="963"/>
      <c r="D52" s="955"/>
      <c r="E52" s="955"/>
      <c r="F52" s="955"/>
      <c r="G52" s="955"/>
      <c r="H52" s="955"/>
      <c r="I52" s="955"/>
      <c r="J52" s="955"/>
      <c r="K52" s="955"/>
      <c r="L52" s="955"/>
      <c r="M52" s="955"/>
    </row>
    <row r="53" spans="1:19" ht="10.5" customHeight="1">
      <c r="A53" s="962" t="s">
        <v>586</v>
      </c>
      <c r="B53" s="951"/>
      <c r="C53" s="964" t="s">
        <v>535</v>
      </c>
      <c r="D53" s="1056">
        <v>2.8239999999999998</v>
      </c>
      <c r="E53" s="1056">
        <v>2.754</v>
      </c>
      <c r="F53" s="1056">
        <v>2.6379999999999999</v>
      </c>
      <c r="G53" s="1056">
        <v>2.702</v>
      </c>
      <c r="H53" s="1056">
        <v>2.8380000000000001</v>
      </c>
      <c r="I53" s="1056">
        <v>3.1850000000000001</v>
      </c>
      <c r="J53" s="1056">
        <v>3.375</v>
      </c>
      <c r="K53" s="1056">
        <v>3.26</v>
      </c>
      <c r="L53" s="1056">
        <v>3.2869999999999999</v>
      </c>
      <c r="M53" s="1056">
        <v>3.335</v>
      </c>
    </row>
    <row r="54" spans="1:19" ht="2" customHeight="1" thickBot="1">
      <c r="A54" s="142"/>
      <c r="B54" s="142"/>
      <c r="C54" s="190"/>
      <c r="D54" s="175"/>
      <c r="E54" s="175"/>
      <c r="F54" s="175"/>
      <c r="G54" s="175"/>
      <c r="H54" s="175"/>
      <c r="I54" s="175"/>
      <c r="J54" s="175"/>
      <c r="K54" s="175"/>
      <c r="L54" s="175"/>
      <c r="M54" s="175"/>
    </row>
    <row r="55" spans="1:19" ht="9" customHeight="1">
      <c r="A55" s="914"/>
      <c r="B55" s="28" t="s">
        <v>238</v>
      </c>
      <c r="C55" s="28" t="s">
        <v>575</v>
      </c>
      <c r="D55" s="363"/>
      <c r="E55" s="363"/>
      <c r="F55" s="393"/>
      <c r="G55" s="363" t="s">
        <v>576</v>
      </c>
      <c r="H55" s="363"/>
      <c r="I55" s="363"/>
      <c r="J55" s="363"/>
      <c r="K55" s="363"/>
      <c r="L55" s="363"/>
      <c r="M55" s="363"/>
      <c r="N55" s="365"/>
      <c r="O55" s="365"/>
      <c r="P55" s="365"/>
      <c r="Q55" s="365"/>
      <c r="R55" s="365"/>
      <c r="S55" s="365"/>
    </row>
    <row r="56" spans="1:19" ht="9" customHeight="1">
      <c r="A56" s="365"/>
      <c r="B56" s="366" t="s">
        <v>152</v>
      </c>
      <c r="C56" s="366"/>
      <c r="D56" s="365"/>
      <c r="E56" s="365"/>
      <c r="F56" s="365"/>
      <c r="G56" s="365"/>
      <c r="H56" s="365"/>
      <c r="I56" s="365"/>
      <c r="J56" s="365"/>
      <c r="K56" s="365"/>
      <c r="L56" s="365"/>
      <c r="M56" s="365"/>
      <c r="N56" s="365"/>
      <c r="O56" s="365"/>
      <c r="P56" s="365"/>
      <c r="Q56" s="365"/>
      <c r="R56" s="365"/>
      <c r="S56" s="365"/>
    </row>
    <row r="57" spans="1:19" ht="9" customHeight="1">
      <c r="A57" s="365"/>
      <c r="B57" s="40" t="s">
        <v>261</v>
      </c>
      <c r="C57" s="40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</row>
    <row r="58" spans="1:19" ht="10" customHeight="1">
      <c r="A58" s="365"/>
      <c r="B58" s="365"/>
      <c r="C58" s="365"/>
      <c r="D58" s="365"/>
      <c r="E58" s="365"/>
      <c r="F58" s="365"/>
      <c r="G58" s="365"/>
      <c r="H58" s="365"/>
      <c r="I58" s="365"/>
      <c r="J58" s="365"/>
      <c r="K58" s="365"/>
      <c r="L58" s="365"/>
      <c r="M58" s="365"/>
      <c r="N58" s="365"/>
      <c r="O58" s="365"/>
      <c r="P58" s="365"/>
      <c r="Q58" s="365"/>
      <c r="R58" s="365"/>
      <c r="S58" s="365"/>
    </row>
    <row r="59" spans="1:19" ht="13" customHeight="1">
      <c r="J59" s="146"/>
    </row>
  </sheetData>
  <mergeCells count="2">
    <mergeCell ref="A3:M3"/>
    <mergeCell ref="A4:B4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Hoja116">
    <tabColor theme="9" tint="0.59999389629810485"/>
  </sheetPr>
  <dimension ref="A3:S59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0.59765625" style="167" customWidth="1"/>
    <col min="2" max="9" width="8" style="167" hidden="1" customWidth="1"/>
    <col min="10" max="18" width="8.59765625" style="167" customWidth="1"/>
    <col min="19" max="16384" width="7" style="167"/>
  </cols>
  <sheetData>
    <row r="3" spans="1:18" ht="13" customHeight="1">
      <c r="A3" s="967" t="s">
        <v>341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</row>
    <row r="4" spans="1:18" ht="13" customHeight="1">
      <c r="A4" s="966" t="s">
        <v>428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</row>
    <row r="5" spans="1:18" ht="4" customHeight="1" thickBot="1">
      <c r="A5" s="1143"/>
      <c r="B5" s="1143"/>
      <c r="C5" s="1143"/>
      <c r="D5" s="1143"/>
      <c r="E5" s="1143"/>
      <c r="F5" s="1143"/>
      <c r="G5" s="1143"/>
      <c r="H5" s="1143"/>
      <c r="I5" s="1143"/>
      <c r="J5" s="1143"/>
      <c r="K5" s="1143"/>
      <c r="L5" s="1143"/>
      <c r="M5" s="1143"/>
      <c r="N5" s="1143"/>
      <c r="O5" s="1143"/>
      <c r="P5" s="1143"/>
      <c r="Q5" s="1143"/>
      <c r="R5" s="1143"/>
    </row>
    <row r="6" spans="1:18" ht="15" customHeight="1">
      <c r="A6" s="968" t="s">
        <v>55</v>
      </c>
      <c r="B6" s="968">
        <v>2000</v>
      </c>
      <c r="C6" s="968">
        <v>2001</v>
      </c>
      <c r="D6" s="968">
        <v>2002</v>
      </c>
      <c r="E6" s="968">
        <v>2003</v>
      </c>
      <c r="F6" s="968">
        <v>2004</v>
      </c>
      <c r="G6" s="968">
        <v>2005</v>
      </c>
      <c r="H6" s="968">
        <v>2009</v>
      </c>
      <c r="I6" s="968">
        <v>2010</v>
      </c>
      <c r="J6" s="974" t="s">
        <v>542</v>
      </c>
      <c r="K6" s="974" t="s">
        <v>543</v>
      </c>
      <c r="L6" s="974" t="s">
        <v>544</v>
      </c>
      <c r="M6" s="974" t="s">
        <v>545</v>
      </c>
      <c r="N6" s="974" t="s">
        <v>546</v>
      </c>
      <c r="O6" s="974" t="s">
        <v>547</v>
      </c>
      <c r="P6" s="974" t="s">
        <v>548</v>
      </c>
      <c r="Q6" s="974" t="s">
        <v>541</v>
      </c>
      <c r="R6" s="968" t="s">
        <v>549</v>
      </c>
    </row>
    <row r="7" spans="1:18" ht="7" customHeight="1"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</row>
    <row r="8" spans="1:18" ht="13" customHeight="1">
      <c r="A8" s="178" t="s">
        <v>538</v>
      </c>
    </row>
    <row r="9" spans="1:18" ht="4" customHeight="1"/>
    <row r="10" spans="1:18" ht="12.5" customHeight="1">
      <c r="A10" s="178" t="s">
        <v>550</v>
      </c>
    </row>
    <row r="11" spans="1:18" ht="12.5" customHeight="1">
      <c r="A11" s="172" t="s">
        <v>153</v>
      </c>
      <c r="B11" s="170">
        <v>92749</v>
      </c>
      <c r="C11" s="170">
        <v>97776</v>
      </c>
      <c r="D11" s="170">
        <v>80988</v>
      </c>
      <c r="E11" s="170">
        <v>113000</v>
      </c>
      <c r="F11" s="170">
        <v>102500</v>
      </c>
      <c r="G11" s="170">
        <v>117060</v>
      </c>
      <c r="H11" s="170">
        <v>133600</v>
      </c>
      <c r="I11" s="170">
        <v>137210</v>
      </c>
      <c r="J11" s="170">
        <v>145610</v>
      </c>
      <c r="K11" s="170">
        <v>126800</v>
      </c>
      <c r="L11" s="170">
        <v>163845</v>
      </c>
      <c r="M11" s="170">
        <v>204535</v>
      </c>
      <c r="N11" s="170">
        <v>189474</v>
      </c>
      <c r="O11" s="170">
        <v>193317</v>
      </c>
      <c r="P11" s="170">
        <v>132712</v>
      </c>
      <c r="Q11" s="170">
        <v>73793</v>
      </c>
      <c r="R11" s="170">
        <v>159615</v>
      </c>
    </row>
    <row r="12" spans="1:18" ht="12.5" customHeight="1">
      <c r="A12" s="172" t="s">
        <v>154</v>
      </c>
      <c r="B12" s="170">
        <v>0</v>
      </c>
      <c r="C12" s="170">
        <v>0</v>
      </c>
      <c r="D12" s="170">
        <v>0</v>
      </c>
      <c r="E12" s="170">
        <v>0</v>
      </c>
      <c r="F12" s="170">
        <v>0</v>
      </c>
      <c r="G12" s="170">
        <v>0</v>
      </c>
      <c r="H12" s="170">
        <v>0</v>
      </c>
      <c r="I12" s="170">
        <v>0</v>
      </c>
      <c r="J12" s="170">
        <v>0</v>
      </c>
      <c r="K12" s="170">
        <v>0</v>
      </c>
      <c r="L12" s="170">
        <v>0</v>
      </c>
      <c r="M12" s="170">
        <v>0</v>
      </c>
      <c r="N12" s="170">
        <v>0</v>
      </c>
      <c r="O12" s="170">
        <v>0</v>
      </c>
      <c r="P12" s="170">
        <v>0</v>
      </c>
      <c r="Q12" s="170">
        <v>0</v>
      </c>
      <c r="R12" s="170">
        <v>0</v>
      </c>
    </row>
    <row r="13" spans="1:18" ht="12.5" customHeight="1">
      <c r="A13" s="172" t="s">
        <v>155</v>
      </c>
      <c r="B13" s="170">
        <v>92749</v>
      </c>
      <c r="C13" s="170">
        <v>97776</v>
      </c>
      <c r="D13" s="170">
        <v>80988</v>
      </c>
      <c r="E13" s="170">
        <v>113000</v>
      </c>
      <c r="F13" s="170">
        <v>102500</v>
      </c>
      <c r="G13" s="170">
        <v>117060</v>
      </c>
      <c r="H13" s="170">
        <v>133600</v>
      </c>
      <c r="I13" s="170">
        <v>137210</v>
      </c>
      <c r="J13" s="170">
        <v>145610</v>
      </c>
      <c r="K13" s="170">
        <v>126800</v>
      </c>
      <c r="L13" s="170">
        <v>163845</v>
      </c>
      <c r="M13" s="170">
        <v>204535</v>
      </c>
      <c r="N13" s="170">
        <v>189474</v>
      </c>
      <c r="O13" s="170">
        <v>193317</v>
      </c>
      <c r="P13" s="170">
        <v>132712</v>
      </c>
      <c r="Q13" s="170">
        <v>73793</v>
      </c>
      <c r="R13" s="170">
        <v>159615</v>
      </c>
    </row>
    <row r="14" spans="1:18" ht="12.5" customHeight="1">
      <c r="A14" s="178" t="s">
        <v>552</v>
      </c>
      <c r="B14" s="170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</row>
    <row r="15" spans="1:18" ht="12.5" customHeight="1">
      <c r="A15" s="172" t="s">
        <v>153</v>
      </c>
      <c r="B15" s="170">
        <v>438717</v>
      </c>
      <c r="C15" s="170">
        <v>223581</v>
      </c>
      <c r="D15" s="170">
        <v>125632</v>
      </c>
      <c r="E15" s="170">
        <v>0</v>
      </c>
      <c r="F15" s="170">
        <v>105160</v>
      </c>
      <c r="G15" s="170">
        <v>183044</v>
      </c>
      <c r="H15" s="170">
        <v>10000</v>
      </c>
      <c r="I15" s="170">
        <v>129410</v>
      </c>
      <c r="J15" s="170">
        <v>270440</v>
      </c>
      <c r="K15" s="170">
        <v>378428</v>
      </c>
      <c r="L15" s="170">
        <v>546936</v>
      </c>
      <c r="M15" s="170">
        <v>752060</v>
      </c>
      <c r="N15" s="170">
        <v>265256</v>
      </c>
      <c r="O15" s="170">
        <v>208187</v>
      </c>
      <c r="P15" s="170">
        <v>259967</v>
      </c>
      <c r="Q15" s="170">
        <v>1209824</v>
      </c>
      <c r="R15" s="170">
        <v>1143906</v>
      </c>
    </row>
    <row r="16" spans="1:18" ht="12.5" customHeight="1">
      <c r="A16" s="172" t="s">
        <v>154</v>
      </c>
      <c r="B16" s="170">
        <v>2517287</v>
      </c>
      <c r="C16" s="170">
        <v>2854396</v>
      </c>
      <c r="D16" s="170">
        <v>3460766</v>
      </c>
      <c r="E16" s="170">
        <v>3601261</v>
      </c>
      <c r="F16" s="170">
        <v>3868931</v>
      </c>
      <c r="G16" s="170">
        <v>4020857</v>
      </c>
      <c r="H16" s="170">
        <v>5713440</v>
      </c>
      <c r="I16" s="170">
        <v>6416520</v>
      </c>
      <c r="J16" s="170">
        <v>5539355</v>
      </c>
      <c r="K16" s="170">
        <v>6641109</v>
      </c>
      <c r="L16" s="170">
        <v>6008556</v>
      </c>
      <c r="M16" s="170">
        <v>5634072</v>
      </c>
      <c r="N16" s="170">
        <v>6790745</v>
      </c>
      <c r="O16" s="170">
        <v>5919804</v>
      </c>
      <c r="P16" s="170">
        <v>5589151</v>
      </c>
      <c r="Q16" s="170">
        <v>4972322</v>
      </c>
      <c r="R16" s="170">
        <v>5401260</v>
      </c>
    </row>
    <row r="17" spans="1:18" ht="12.5" customHeight="1">
      <c r="A17" s="172" t="s">
        <v>156</v>
      </c>
      <c r="B17" s="170">
        <v>399025</v>
      </c>
      <c r="C17" s="170">
        <v>495413</v>
      </c>
      <c r="D17" s="170">
        <v>649338</v>
      </c>
      <c r="E17" s="170">
        <v>627196</v>
      </c>
      <c r="F17" s="170">
        <v>847825</v>
      </c>
      <c r="G17" s="170">
        <v>687316</v>
      </c>
      <c r="H17" s="170">
        <v>1000038</v>
      </c>
      <c r="I17" s="170">
        <v>1147473</v>
      </c>
      <c r="J17" s="170">
        <v>909190</v>
      </c>
      <c r="K17" s="170">
        <v>975022</v>
      </c>
      <c r="L17" s="170">
        <v>1145429</v>
      </c>
      <c r="M17" s="170">
        <v>603955</v>
      </c>
      <c r="N17" s="170">
        <v>714813</v>
      </c>
      <c r="O17" s="170">
        <v>367296</v>
      </c>
      <c r="P17" s="170">
        <v>88618</v>
      </c>
      <c r="Q17" s="170">
        <v>22000</v>
      </c>
      <c r="R17" s="170">
        <v>38600</v>
      </c>
    </row>
    <row r="18" spans="1:18" ht="12.5" customHeight="1">
      <c r="A18" s="172" t="s">
        <v>155</v>
      </c>
      <c r="B18" s="170">
        <v>2556679</v>
      </c>
      <c r="C18" s="170">
        <v>2582564</v>
      </c>
      <c r="D18" s="170">
        <v>2937060</v>
      </c>
      <c r="E18" s="170">
        <v>2974065</v>
      </c>
      <c r="F18" s="170">
        <v>3126266</v>
      </c>
      <c r="G18" s="170">
        <v>3516585</v>
      </c>
      <c r="H18" s="170">
        <v>4722467</v>
      </c>
      <c r="I18" s="170">
        <v>5398457</v>
      </c>
      <c r="J18" s="170">
        <v>4900605</v>
      </c>
      <c r="K18" s="170">
        <v>6044515</v>
      </c>
      <c r="L18" s="170">
        <v>5410063</v>
      </c>
      <c r="M18" s="170">
        <v>5782177</v>
      </c>
      <c r="N18" s="170">
        <v>6341188</v>
      </c>
      <c r="O18" s="170">
        <v>5760695</v>
      </c>
      <c r="P18" s="170">
        <v>5760500</v>
      </c>
      <c r="Q18" s="170">
        <v>6160146</v>
      </c>
      <c r="R18" s="170">
        <v>6506566</v>
      </c>
    </row>
    <row r="19" spans="1:18" ht="12.5" customHeight="1">
      <c r="A19" s="178" t="s">
        <v>551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</row>
    <row r="20" spans="1:18" ht="12.5" customHeight="1">
      <c r="A20" s="172" t="s">
        <v>153</v>
      </c>
      <c r="B20" s="170">
        <v>0</v>
      </c>
      <c r="C20" s="170">
        <v>0</v>
      </c>
      <c r="D20" s="170">
        <v>0</v>
      </c>
      <c r="E20" s="170">
        <v>0</v>
      </c>
      <c r="F20" s="170">
        <v>0</v>
      </c>
      <c r="G20" s="170">
        <v>0</v>
      </c>
      <c r="H20" s="170">
        <v>365040</v>
      </c>
      <c r="I20" s="170">
        <v>52560</v>
      </c>
      <c r="J20" s="170">
        <v>0</v>
      </c>
      <c r="K20" s="170">
        <v>0</v>
      </c>
      <c r="L20" s="170">
        <v>0</v>
      </c>
      <c r="M20" s="170">
        <v>538200</v>
      </c>
      <c r="N20" s="170">
        <v>31080</v>
      </c>
      <c r="O20" s="170">
        <v>0</v>
      </c>
      <c r="P20" s="170">
        <v>0</v>
      </c>
      <c r="Q20" s="170">
        <v>0</v>
      </c>
      <c r="R20" s="170">
        <v>0</v>
      </c>
    </row>
    <row r="21" spans="1:18" ht="12.5" customHeight="1">
      <c r="A21" s="172" t="s">
        <v>156</v>
      </c>
      <c r="B21" s="170">
        <v>0</v>
      </c>
      <c r="C21" s="170">
        <v>0</v>
      </c>
      <c r="D21" s="170">
        <v>0</v>
      </c>
      <c r="E21" s="170">
        <v>0</v>
      </c>
      <c r="F21" s="170">
        <v>0</v>
      </c>
      <c r="G21" s="170">
        <v>0</v>
      </c>
      <c r="H21" s="170">
        <v>684400</v>
      </c>
      <c r="I21" s="170">
        <v>362160</v>
      </c>
      <c r="J21" s="170">
        <v>642960</v>
      </c>
      <c r="K21" s="170">
        <v>534600</v>
      </c>
      <c r="L21" s="170">
        <v>823960</v>
      </c>
      <c r="M21" s="170">
        <v>2421000</v>
      </c>
      <c r="N21" s="170">
        <v>2744280</v>
      </c>
      <c r="O21" s="170">
        <v>2980080</v>
      </c>
      <c r="P21" s="170">
        <v>2533680</v>
      </c>
      <c r="Q21" s="170">
        <v>779760</v>
      </c>
      <c r="R21" s="170">
        <v>515160</v>
      </c>
    </row>
    <row r="22" spans="1:18" ht="12.5" customHeight="1">
      <c r="A22" s="178" t="s">
        <v>553</v>
      </c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</row>
    <row r="23" spans="1:18" ht="12.5" customHeight="1">
      <c r="A23" s="172" t="s">
        <v>153</v>
      </c>
      <c r="B23" s="170">
        <v>0</v>
      </c>
      <c r="C23" s="170">
        <v>0</v>
      </c>
      <c r="D23" s="170">
        <v>0</v>
      </c>
      <c r="E23" s="170">
        <v>0</v>
      </c>
      <c r="F23" s="170">
        <v>0</v>
      </c>
      <c r="G23" s="170">
        <v>0</v>
      </c>
      <c r="H23" s="170">
        <v>0</v>
      </c>
      <c r="I23" s="170">
        <v>0</v>
      </c>
      <c r="J23" s="170">
        <v>0</v>
      </c>
      <c r="K23" s="170">
        <v>0</v>
      </c>
      <c r="L23" s="170">
        <v>0</v>
      </c>
      <c r="M23" s="170">
        <v>0</v>
      </c>
      <c r="N23" s="170">
        <v>0</v>
      </c>
      <c r="O23" s="170">
        <v>0</v>
      </c>
      <c r="P23" s="170">
        <v>0</v>
      </c>
      <c r="Q23" s="170">
        <v>0</v>
      </c>
      <c r="R23" s="170">
        <v>0</v>
      </c>
    </row>
    <row r="24" spans="1:18" ht="12.5" customHeight="1">
      <c r="A24" s="172" t="s">
        <v>154</v>
      </c>
      <c r="B24" s="170">
        <v>277730275</v>
      </c>
      <c r="C24" s="170">
        <v>284655938</v>
      </c>
      <c r="D24" s="170">
        <v>306869737</v>
      </c>
      <c r="E24" s="170">
        <v>307389475</v>
      </c>
      <c r="F24" s="170">
        <v>309235302</v>
      </c>
      <c r="G24" s="170">
        <v>339316094</v>
      </c>
      <c r="H24" s="170">
        <v>477680618</v>
      </c>
      <c r="I24" s="170">
        <v>509884071</v>
      </c>
      <c r="J24" s="170">
        <v>536104539</v>
      </c>
      <c r="K24" s="170">
        <v>573764987</v>
      </c>
      <c r="L24" s="170">
        <v>592242350</v>
      </c>
      <c r="M24" s="170">
        <v>623405970</v>
      </c>
      <c r="N24" s="170">
        <v>671495588</v>
      </c>
      <c r="O24" s="170">
        <v>686384682</v>
      </c>
      <c r="P24" s="170">
        <v>705259679</v>
      </c>
      <c r="Q24" s="170">
        <v>765785347</v>
      </c>
      <c r="R24" s="170">
        <v>794391606</v>
      </c>
    </row>
    <row r="25" spans="1:18" ht="12.5" customHeight="1">
      <c r="A25" s="172" t="s">
        <v>156</v>
      </c>
      <c r="B25" s="170">
        <v>0</v>
      </c>
      <c r="C25" s="170">
        <v>0</v>
      </c>
      <c r="D25" s="170">
        <v>520000</v>
      </c>
      <c r="E25" s="170">
        <v>60000</v>
      </c>
      <c r="F25" s="170">
        <v>0</v>
      </c>
      <c r="G25" s="170">
        <v>0</v>
      </c>
      <c r="H25" s="170">
        <v>0</v>
      </c>
      <c r="I25" s="170">
        <v>116810</v>
      </c>
      <c r="J25" s="170">
        <v>26960</v>
      </c>
      <c r="K25" s="170">
        <v>25664</v>
      </c>
      <c r="L25" s="170">
        <v>0</v>
      </c>
      <c r="M25" s="170">
        <v>0</v>
      </c>
      <c r="N25" s="170">
        <v>0</v>
      </c>
      <c r="O25" s="170">
        <v>0</v>
      </c>
      <c r="P25" s="170">
        <v>0</v>
      </c>
      <c r="Q25" s="170">
        <v>0</v>
      </c>
      <c r="R25" s="170">
        <v>0</v>
      </c>
    </row>
    <row r="26" spans="1:18" ht="12.5" customHeight="1">
      <c r="A26" s="172" t="s">
        <v>155</v>
      </c>
      <c r="B26" s="170">
        <v>277687210</v>
      </c>
      <c r="C26" s="170">
        <v>284651870</v>
      </c>
      <c r="D26" s="170">
        <v>306348188</v>
      </c>
      <c r="E26" s="170">
        <v>303803772</v>
      </c>
      <c r="F26" s="170">
        <v>305352114</v>
      </c>
      <c r="G26" s="170">
        <v>339301736</v>
      </c>
      <c r="H26" s="170">
        <v>477514917</v>
      </c>
      <c r="I26" s="170">
        <v>509638716</v>
      </c>
      <c r="J26" s="170">
        <v>535763259</v>
      </c>
      <c r="K26" s="170">
        <v>573449493</v>
      </c>
      <c r="L26" s="170">
        <v>591941568</v>
      </c>
      <c r="M26" s="170">
        <v>623405970</v>
      </c>
      <c r="N26" s="170">
        <v>671495588</v>
      </c>
      <c r="O26" s="170">
        <v>686384682</v>
      </c>
      <c r="P26" s="170">
        <v>705259679</v>
      </c>
      <c r="Q26" s="170">
        <v>765785347</v>
      </c>
      <c r="R26" s="170">
        <v>794391606</v>
      </c>
    </row>
    <row r="27" spans="1:18" ht="12.5" customHeight="1">
      <c r="A27" s="178" t="s">
        <v>551</v>
      </c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</row>
    <row r="28" spans="1:18" ht="12.5" customHeight="1">
      <c r="A28" s="172" t="s">
        <v>153</v>
      </c>
      <c r="B28" s="170">
        <v>540600</v>
      </c>
      <c r="C28" s="170">
        <v>0</v>
      </c>
      <c r="D28" s="170">
        <v>0</v>
      </c>
      <c r="E28" s="170">
        <v>406960</v>
      </c>
      <c r="F28" s="170">
        <v>0</v>
      </c>
      <c r="G28" s="170">
        <v>829080</v>
      </c>
      <c r="H28" s="170">
        <v>11426760</v>
      </c>
      <c r="I28" s="170">
        <v>2151000</v>
      </c>
      <c r="J28" s="170">
        <v>0</v>
      </c>
      <c r="K28" s="170">
        <v>0</v>
      </c>
      <c r="L28" s="170">
        <v>0</v>
      </c>
      <c r="M28" s="170">
        <v>0</v>
      </c>
      <c r="N28" s="170">
        <v>0</v>
      </c>
      <c r="O28" s="170">
        <v>0</v>
      </c>
      <c r="P28" s="170">
        <v>0</v>
      </c>
      <c r="Q28" s="170">
        <v>0</v>
      </c>
      <c r="R28" s="170">
        <v>0</v>
      </c>
    </row>
    <row r="29" spans="1:18" ht="12.5" customHeight="1">
      <c r="A29" s="172" t="s">
        <v>156</v>
      </c>
      <c r="B29" s="170">
        <v>819360</v>
      </c>
      <c r="C29" s="170">
        <v>7585840</v>
      </c>
      <c r="D29" s="170">
        <v>9350280</v>
      </c>
      <c r="E29" s="170">
        <v>11515680</v>
      </c>
      <c r="F29" s="170">
        <v>21776220</v>
      </c>
      <c r="G29" s="170">
        <v>26716320</v>
      </c>
      <c r="H29" s="170">
        <v>45058785</v>
      </c>
      <c r="I29" s="170">
        <v>61209080</v>
      </c>
      <c r="J29" s="170">
        <v>54022840</v>
      </c>
      <c r="K29" s="170">
        <v>67644360</v>
      </c>
      <c r="L29" s="170">
        <v>71532320</v>
      </c>
      <c r="M29" s="170">
        <v>77494023</v>
      </c>
      <c r="N29" s="170">
        <v>41222640</v>
      </c>
      <c r="O29" s="170">
        <v>32529240</v>
      </c>
      <c r="P29" s="170">
        <v>12280320</v>
      </c>
      <c r="Q29" s="170">
        <v>5122080</v>
      </c>
      <c r="R29" s="170">
        <v>72000</v>
      </c>
    </row>
    <row r="30" spans="1:18" ht="8" customHeight="1"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</row>
    <row r="31" spans="1:18" ht="13" customHeight="1">
      <c r="A31" s="178" t="s">
        <v>539</v>
      </c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</row>
    <row r="32" spans="1:18" ht="4" customHeight="1"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</row>
    <row r="33" spans="1:18" ht="12.5" customHeight="1">
      <c r="A33" s="178" t="s">
        <v>550</v>
      </c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</row>
    <row r="34" spans="1:18" ht="12.5" customHeight="1">
      <c r="A34" s="172" t="s">
        <v>153</v>
      </c>
      <c r="B34" s="170">
        <v>0</v>
      </c>
      <c r="C34" s="170">
        <v>0</v>
      </c>
      <c r="D34" s="170">
        <v>0</v>
      </c>
      <c r="E34" s="170">
        <v>0</v>
      </c>
      <c r="F34" s="170">
        <v>0</v>
      </c>
      <c r="G34" s="170">
        <v>0</v>
      </c>
      <c r="H34" s="170">
        <v>0</v>
      </c>
      <c r="I34" s="170">
        <v>0</v>
      </c>
      <c r="J34" s="170">
        <v>0</v>
      </c>
      <c r="K34" s="170">
        <v>0</v>
      </c>
      <c r="L34" s="170">
        <v>0</v>
      </c>
      <c r="M34" s="170">
        <v>0</v>
      </c>
      <c r="N34" s="170">
        <v>0</v>
      </c>
      <c r="O34" s="170">
        <v>0</v>
      </c>
      <c r="P34" s="170">
        <v>0</v>
      </c>
      <c r="Q34" s="170">
        <v>0</v>
      </c>
      <c r="R34" s="170">
        <v>0</v>
      </c>
    </row>
    <row r="35" spans="1:18" ht="12.5" customHeight="1">
      <c r="A35" s="172" t="s">
        <v>154</v>
      </c>
      <c r="B35" s="170">
        <v>0</v>
      </c>
      <c r="C35" s="170">
        <v>0</v>
      </c>
      <c r="D35" s="170">
        <v>0</v>
      </c>
      <c r="E35" s="170">
        <v>0</v>
      </c>
      <c r="F35" s="170">
        <v>0</v>
      </c>
      <c r="G35" s="170">
        <v>0</v>
      </c>
      <c r="H35" s="170">
        <v>0</v>
      </c>
      <c r="I35" s="170">
        <v>0</v>
      </c>
      <c r="J35" s="170">
        <v>0</v>
      </c>
      <c r="K35" s="170">
        <v>0</v>
      </c>
      <c r="L35" s="170">
        <v>0</v>
      </c>
      <c r="M35" s="170">
        <v>0</v>
      </c>
      <c r="N35" s="170">
        <v>0</v>
      </c>
      <c r="O35" s="170">
        <v>0</v>
      </c>
      <c r="P35" s="170">
        <v>0</v>
      </c>
      <c r="Q35" s="170">
        <v>0</v>
      </c>
      <c r="R35" s="170">
        <v>0</v>
      </c>
    </row>
    <row r="36" spans="1:18" ht="12.5" customHeight="1">
      <c r="A36" s="172" t="s">
        <v>155</v>
      </c>
      <c r="B36" s="170">
        <v>0</v>
      </c>
      <c r="C36" s="170">
        <v>0</v>
      </c>
      <c r="D36" s="170">
        <v>0</v>
      </c>
      <c r="E36" s="170">
        <v>0</v>
      </c>
      <c r="F36" s="170">
        <v>0</v>
      </c>
      <c r="G36" s="170">
        <v>0</v>
      </c>
      <c r="H36" s="170">
        <v>0</v>
      </c>
      <c r="I36" s="170">
        <v>0</v>
      </c>
      <c r="J36" s="170">
        <v>0</v>
      </c>
      <c r="K36" s="170">
        <v>0</v>
      </c>
      <c r="L36" s="170">
        <v>0</v>
      </c>
      <c r="M36" s="170">
        <v>0</v>
      </c>
      <c r="N36" s="170">
        <v>0</v>
      </c>
      <c r="O36" s="170">
        <v>0</v>
      </c>
      <c r="P36" s="170">
        <v>0</v>
      </c>
      <c r="Q36" s="170">
        <v>0</v>
      </c>
      <c r="R36" s="170">
        <v>0</v>
      </c>
    </row>
    <row r="37" spans="1:18" ht="12.5" customHeight="1">
      <c r="A37" s="178" t="s">
        <v>552</v>
      </c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</row>
    <row r="38" spans="1:18" ht="12.5" customHeight="1">
      <c r="A38" s="172" t="s">
        <v>153</v>
      </c>
      <c r="B38" s="170">
        <v>149118</v>
      </c>
      <c r="C38" s="170">
        <v>173520</v>
      </c>
      <c r="D38" s="170">
        <v>134788</v>
      </c>
      <c r="E38" s="170">
        <v>126750</v>
      </c>
      <c r="F38" s="170">
        <v>153020</v>
      </c>
      <c r="G38" s="170">
        <v>250768</v>
      </c>
      <c r="H38" s="170">
        <v>233698</v>
      </c>
      <c r="I38" s="170">
        <v>250508</v>
      </c>
      <c r="J38" s="170">
        <v>302784</v>
      </c>
      <c r="K38" s="170">
        <v>279680</v>
      </c>
      <c r="L38" s="170">
        <v>254320</v>
      </c>
      <c r="M38" s="170">
        <v>242980</v>
      </c>
      <c r="N38" s="170">
        <v>264540</v>
      </c>
      <c r="O38" s="170">
        <v>314592</v>
      </c>
      <c r="P38" s="170">
        <v>329754</v>
      </c>
      <c r="Q38" s="170">
        <v>337244</v>
      </c>
      <c r="R38" s="170">
        <v>305520</v>
      </c>
    </row>
    <row r="39" spans="1:18" ht="12.5" customHeight="1">
      <c r="A39" s="172" t="s">
        <v>154</v>
      </c>
      <c r="B39" s="170">
        <v>10195</v>
      </c>
      <c r="C39" s="170">
        <v>0</v>
      </c>
      <c r="D39" s="170">
        <v>0</v>
      </c>
      <c r="E39" s="170">
        <v>0</v>
      </c>
      <c r="F39" s="170">
        <v>0</v>
      </c>
      <c r="G39" s="170">
        <v>0</v>
      </c>
      <c r="H39" s="170">
        <v>0</v>
      </c>
      <c r="I39" s="170">
        <v>0</v>
      </c>
      <c r="J39" s="170">
        <v>0</v>
      </c>
      <c r="K39" s="170">
        <v>0</v>
      </c>
      <c r="L39" s="170">
        <v>0</v>
      </c>
      <c r="M39" s="170">
        <v>0</v>
      </c>
      <c r="N39" s="170">
        <v>0</v>
      </c>
      <c r="O39" s="170">
        <v>0</v>
      </c>
      <c r="P39" s="170">
        <v>0</v>
      </c>
      <c r="Q39" s="170">
        <v>0</v>
      </c>
      <c r="R39" s="170">
        <v>0</v>
      </c>
    </row>
    <row r="40" spans="1:18" ht="12.5" customHeight="1">
      <c r="A40" s="172" t="s">
        <v>156</v>
      </c>
      <c r="B40" s="170">
        <v>2900</v>
      </c>
      <c r="C40" s="170">
        <v>0</v>
      </c>
      <c r="D40" s="170">
        <v>0</v>
      </c>
      <c r="E40" s="170">
        <v>0</v>
      </c>
      <c r="F40" s="170">
        <v>0</v>
      </c>
      <c r="G40" s="170">
        <v>0</v>
      </c>
      <c r="H40" s="170">
        <v>0</v>
      </c>
      <c r="I40" s="170">
        <v>0</v>
      </c>
      <c r="J40" s="170">
        <v>0</v>
      </c>
      <c r="K40" s="170">
        <v>0</v>
      </c>
      <c r="L40" s="170">
        <v>0</v>
      </c>
      <c r="M40" s="170">
        <v>0</v>
      </c>
      <c r="N40" s="170">
        <v>0</v>
      </c>
      <c r="O40" s="170">
        <v>0</v>
      </c>
      <c r="P40" s="170">
        <v>0</v>
      </c>
      <c r="Q40" s="170">
        <v>0</v>
      </c>
      <c r="R40" s="170">
        <v>0</v>
      </c>
    </row>
    <row r="41" spans="1:18" ht="12.5" customHeight="1">
      <c r="A41" s="172" t="s">
        <v>155</v>
      </c>
      <c r="B41" s="170">
        <v>156413</v>
      </c>
      <c r="C41" s="170">
        <v>173520</v>
      </c>
      <c r="D41" s="170">
        <v>134788</v>
      </c>
      <c r="E41" s="170">
        <v>126750</v>
      </c>
      <c r="F41" s="170">
        <v>153020</v>
      </c>
      <c r="G41" s="170">
        <v>250768</v>
      </c>
      <c r="H41" s="170">
        <v>233698</v>
      </c>
      <c r="I41" s="170">
        <v>250508</v>
      </c>
      <c r="J41" s="170">
        <v>302784</v>
      </c>
      <c r="K41" s="170">
        <v>279680</v>
      </c>
      <c r="L41" s="170">
        <v>254320</v>
      </c>
      <c r="M41" s="170">
        <v>242980</v>
      </c>
      <c r="N41" s="170">
        <v>264540</v>
      </c>
      <c r="O41" s="170">
        <v>314592</v>
      </c>
      <c r="P41" s="170">
        <v>329754</v>
      </c>
      <c r="Q41" s="170">
        <v>337244</v>
      </c>
      <c r="R41" s="170">
        <v>305520</v>
      </c>
    </row>
    <row r="42" spans="1:18" ht="12.5" customHeight="1">
      <c r="A42" s="178" t="s">
        <v>554</v>
      </c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</row>
    <row r="43" spans="1:18" ht="12.5" customHeight="1">
      <c r="A43" s="172" t="s">
        <v>153</v>
      </c>
      <c r="B43" s="170">
        <v>0</v>
      </c>
      <c r="C43" s="170">
        <v>0</v>
      </c>
      <c r="D43" s="170">
        <v>30000</v>
      </c>
      <c r="E43" s="170">
        <v>3418</v>
      </c>
      <c r="F43" s="170">
        <v>0</v>
      </c>
      <c r="G43" s="170">
        <v>0</v>
      </c>
      <c r="H43" s="170">
        <v>0</v>
      </c>
      <c r="I43" s="170">
        <v>0</v>
      </c>
      <c r="J43" s="170">
        <v>0</v>
      </c>
      <c r="K43" s="170">
        <v>0</v>
      </c>
      <c r="L43" s="170">
        <v>0</v>
      </c>
      <c r="M43" s="170">
        <v>0</v>
      </c>
      <c r="N43" s="170">
        <v>0</v>
      </c>
      <c r="O43" s="170">
        <v>0</v>
      </c>
      <c r="P43" s="170">
        <v>0</v>
      </c>
      <c r="Q43" s="170">
        <v>0</v>
      </c>
      <c r="R43" s="170">
        <v>0</v>
      </c>
    </row>
    <row r="44" spans="1:18" ht="12.5" customHeight="1">
      <c r="A44" s="172" t="s">
        <v>154</v>
      </c>
      <c r="B44" s="170">
        <v>10208868</v>
      </c>
      <c r="C44" s="170">
        <v>10342280</v>
      </c>
      <c r="D44" s="170">
        <v>10520830</v>
      </c>
      <c r="E44" s="170">
        <v>10976784</v>
      </c>
      <c r="F44" s="170">
        <v>11171450</v>
      </c>
      <c r="G44" s="170">
        <v>13516950</v>
      </c>
      <c r="H44" s="170">
        <v>15379339</v>
      </c>
      <c r="I44" s="170">
        <v>17802209</v>
      </c>
      <c r="J44" s="170">
        <v>17156640</v>
      </c>
      <c r="K44" s="170">
        <v>19905931</v>
      </c>
      <c r="L44" s="170">
        <v>19902157</v>
      </c>
      <c r="M44" s="170">
        <v>21359319</v>
      </c>
      <c r="N44" s="170">
        <v>21905233</v>
      </c>
      <c r="O44" s="170">
        <v>23004223</v>
      </c>
      <c r="P44" s="170">
        <v>24632650</v>
      </c>
      <c r="Q44" s="170">
        <v>27929872</v>
      </c>
      <c r="R44" s="170">
        <v>26179287</v>
      </c>
    </row>
    <row r="45" spans="1:18" ht="12.5" customHeight="1">
      <c r="A45" s="172" t="s">
        <v>156</v>
      </c>
      <c r="B45" s="170">
        <v>0</v>
      </c>
      <c r="C45" s="170">
        <v>0</v>
      </c>
      <c r="D45" s="170">
        <v>0</v>
      </c>
      <c r="E45" s="170">
        <v>0</v>
      </c>
      <c r="F45" s="170">
        <v>0</v>
      </c>
      <c r="G45" s="170">
        <v>0</v>
      </c>
      <c r="H45" s="170">
        <v>0</v>
      </c>
      <c r="I45" s="170">
        <v>0</v>
      </c>
      <c r="J45" s="170">
        <v>181000</v>
      </c>
      <c r="K45" s="170">
        <v>281280</v>
      </c>
      <c r="L45" s="170">
        <v>108160</v>
      </c>
      <c r="M45" s="170">
        <v>227323</v>
      </c>
      <c r="N45" s="170">
        <v>109440</v>
      </c>
      <c r="O45" s="170">
        <v>27000</v>
      </c>
      <c r="P45" s="170">
        <v>0</v>
      </c>
      <c r="Q45" s="170">
        <v>0</v>
      </c>
      <c r="R45" s="170">
        <v>0</v>
      </c>
    </row>
    <row r="46" spans="1:18" ht="12.5" customHeight="1">
      <c r="A46" s="172" t="s">
        <v>155</v>
      </c>
      <c r="B46" s="170">
        <v>10208118</v>
      </c>
      <c r="C46" s="170">
        <v>10339691</v>
      </c>
      <c r="D46" s="170">
        <v>10550767</v>
      </c>
      <c r="E46" s="170">
        <v>10980202</v>
      </c>
      <c r="F46" s="170">
        <v>11171450</v>
      </c>
      <c r="G46" s="170">
        <v>13516506</v>
      </c>
      <c r="H46" s="170">
        <v>15372155</v>
      </c>
      <c r="I46" s="170">
        <v>17802209</v>
      </c>
      <c r="J46" s="170">
        <v>16970540</v>
      </c>
      <c r="K46" s="170">
        <v>19624651</v>
      </c>
      <c r="L46" s="170">
        <v>19793997</v>
      </c>
      <c r="M46" s="170">
        <v>21131996</v>
      </c>
      <c r="N46" s="170">
        <v>21795793</v>
      </c>
      <c r="O46" s="170">
        <v>22977223</v>
      </c>
      <c r="P46" s="170">
        <v>24632650</v>
      </c>
      <c r="Q46" s="170">
        <v>27929872</v>
      </c>
      <c r="R46" s="170">
        <v>26179287</v>
      </c>
    </row>
    <row r="47" spans="1:18" ht="12.5" customHeight="1">
      <c r="A47" s="178" t="s">
        <v>551</v>
      </c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</row>
    <row r="48" spans="1:18" ht="12.5" customHeight="1">
      <c r="A48" s="172" t="s">
        <v>153</v>
      </c>
      <c r="B48" s="170">
        <v>39600</v>
      </c>
      <c r="C48" s="170">
        <v>0</v>
      </c>
      <c r="D48" s="170">
        <v>0</v>
      </c>
      <c r="E48" s="170">
        <v>0</v>
      </c>
      <c r="F48" s="170">
        <v>0</v>
      </c>
      <c r="G48" s="170">
        <v>0</v>
      </c>
      <c r="H48" s="170">
        <v>0</v>
      </c>
      <c r="I48" s="170">
        <v>40320</v>
      </c>
      <c r="J48" s="170">
        <v>0</v>
      </c>
      <c r="K48" s="170">
        <v>0</v>
      </c>
      <c r="L48" s="170">
        <v>0</v>
      </c>
      <c r="M48" s="170">
        <v>0</v>
      </c>
      <c r="N48" s="170">
        <v>0</v>
      </c>
      <c r="O48" s="170">
        <v>0</v>
      </c>
      <c r="P48" s="170">
        <v>0</v>
      </c>
      <c r="Q48" s="170">
        <v>0</v>
      </c>
      <c r="R48" s="170">
        <v>0</v>
      </c>
    </row>
    <row r="49" spans="1:19" ht="12.5" customHeight="1" thickBot="1">
      <c r="A49" s="179" t="s">
        <v>156</v>
      </c>
      <c r="B49" s="180">
        <v>504000</v>
      </c>
      <c r="C49" s="180">
        <v>0</v>
      </c>
      <c r="D49" s="180">
        <v>0</v>
      </c>
      <c r="E49" s="180">
        <v>0</v>
      </c>
      <c r="F49" s="180">
        <v>0</v>
      </c>
      <c r="G49" s="180">
        <v>0</v>
      </c>
      <c r="H49" s="170">
        <v>0</v>
      </c>
      <c r="I49" s="170">
        <v>0</v>
      </c>
      <c r="J49" s="170">
        <v>0</v>
      </c>
      <c r="K49" s="170">
        <v>0</v>
      </c>
      <c r="L49" s="170">
        <v>0</v>
      </c>
      <c r="M49" s="170">
        <v>360000</v>
      </c>
      <c r="N49" s="170">
        <v>720000</v>
      </c>
      <c r="O49" s="170">
        <v>0</v>
      </c>
      <c r="P49" s="170">
        <v>0</v>
      </c>
      <c r="Q49" s="170">
        <v>0</v>
      </c>
      <c r="R49" s="170">
        <v>0</v>
      </c>
    </row>
    <row r="50" spans="1:19" ht="10" customHeight="1">
      <c r="A50" s="28" t="s">
        <v>238</v>
      </c>
      <c r="B50" s="969"/>
      <c r="C50" s="969"/>
      <c r="D50" s="969"/>
      <c r="E50" s="969"/>
      <c r="F50" s="969"/>
      <c r="G50" s="969"/>
      <c r="H50" s="969"/>
      <c r="I50" s="969"/>
      <c r="J50" s="969"/>
      <c r="K50" s="969"/>
      <c r="L50" s="969"/>
      <c r="M50" s="969"/>
      <c r="N50" s="969"/>
      <c r="O50" s="969"/>
      <c r="P50" s="969"/>
      <c r="Q50" s="969"/>
      <c r="R50" s="969"/>
      <c r="S50" s="970"/>
    </row>
    <row r="51" spans="1:19" ht="10" customHeight="1">
      <c r="A51" s="971" t="s">
        <v>193</v>
      </c>
      <c r="B51" s="972"/>
      <c r="C51" s="972"/>
      <c r="D51" s="972"/>
      <c r="E51" s="972"/>
      <c r="F51" s="972"/>
      <c r="G51" s="972"/>
      <c r="H51" s="972"/>
      <c r="I51" s="972"/>
      <c r="J51" s="972"/>
      <c r="K51" s="972"/>
      <c r="L51" s="972"/>
      <c r="M51" s="972"/>
      <c r="N51" s="972"/>
      <c r="O51" s="972"/>
      <c r="P51" s="972"/>
      <c r="Q51" s="972"/>
      <c r="R51" s="972"/>
      <c r="S51" s="970"/>
    </row>
    <row r="52" spans="1:19" ht="10" customHeight="1">
      <c r="A52" s="40" t="s">
        <v>261</v>
      </c>
      <c r="B52" s="973"/>
      <c r="C52" s="973"/>
      <c r="D52" s="973"/>
      <c r="E52" s="973"/>
      <c r="F52" s="973"/>
      <c r="G52" s="973"/>
      <c r="H52" s="973"/>
      <c r="I52" s="970"/>
      <c r="J52" s="970"/>
      <c r="K52" s="970"/>
      <c r="L52" s="970"/>
      <c r="M52" s="970"/>
      <c r="N52" s="970"/>
      <c r="O52" s="970"/>
      <c r="P52" s="970"/>
      <c r="Q52" s="970"/>
      <c r="R52" s="970"/>
      <c r="S52" s="970"/>
    </row>
    <row r="54" spans="1:19" ht="13" customHeight="1">
      <c r="A54" s="181"/>
    </row>
    <row r="55" spans="1:19" ht="13" customHeight="1">
      <c r="A55" s="10"/>
    </row>
    <row r="56" spans="1:19" ht="13" customHeight="1">
      <c r="A56" s="10"/>
    </row>
    <row r="57" spans="1:19" ht="13" customHeight="1">
      <c r="A57" s="10"/>
    </row>
    <row r="58" spans="1:19" ht="13" customHeight="1">
      <c r="A58" s="12"/>
    </row>
    <row r="59" spans="1:19" ht="13" customHeight="1">
      <c r="A59" s="31"/>
    </row>
  </sheetData>
  <mergeCells count="1">
    <mergeCell ref="A5:R5"/>
  </mergeCells>
  <printOptions horizontalCentered="1" verticalCentered="1"/>
  <pageMargins left="0" right="0" top="0" bottom="0" header="0" footer="0"/>
  <pageSetup paperSize="9" orientation="portrait"/>
  <headerFooter scaleWithDoc="0"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Hoja117">
    <tabColor theme="9" tint="0.59999389629810485"/>
  </sheetPr>
  <dimension ref="A1:U43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6.59765625" style="141" customWidth="1"/>
    <col min="2" max="9" width="8" style="141" hidden="1" customWidth="1"/>
    <col min="10" max="10" width="0" style="141" hidden="1" customWidth="1"/>
    <col min="11" max="11" width="0.19921875" style="141" hidden="1" customWidth="1"/>
    <col min="12" max="21" width="9" style="141" customWidth="1"/>
    <col min="22" max="16384" width="7" style="141"/>
  </cols>
  <sheetData>
    <row r="1" spans="1:21" ht="13" customHeight="1">
      <c r="A1" s="1144"/>
      <c r="B1" s="1144"/>
      <c r="C1" s="1144"/>
      <c r="D1" s="1144"/>
      <c r="E1" s="1144"/>
    </row>
    <row r="2" spans="1:21" ht="13" customHeight="1">
      <c r="A2" s="388" t="s">
        <v>555</v>
      </c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</row>
    <row r="3" spans="1:21" ht="13" customHeight="1">
      <c r="A3" s="389" t="s">
        <v>428</v>
      </c>
      <c r="B3" s="387"/>
      <c r="C3" s="387"/>
      <c r="D3" s="387"/>
      <c r="E3" s="387"/>
      <c r="F3" s="387"/>
      <c r="G3" s="387"/>
      <c r="H3" s="387"/>
      <c r="I3" s="387"/>
      <c r="J3" s="387"/>
      <c r="K3" s="387"/>
      <c r="L3" s="387"/>
    </row>
    <row r="4" spans="1:21" ht="4" customHeight="1" thickBot="1"/>
    <row r="5" spans="1:21" ht="15" customHeight="1">
      <c r="A5" s="390" t="s">
        <v>122</v>
      </c>
      <c r="B5" s="390">
        <v>2000</v>
      </c>
      <c r="C5" s="390">
        <v>2001</v>
      </c>
      <c r="D5" s="390">
        <v>2002</v>
      </c>
      <c r="E5" s="390">
        <v>2003</v>
      </c>
      <c r="F5" s="390">
        <v>2004</v>
      </c>
      <c r="G5" s="390">
        <v>2005</v>
      </c>
      <c r="H5" s="390">
        <v>2006</v>
      </c>
      <c r="I5" s="390">
        <v>2007</v>
      </c>
      <c r="J5" s="390">
        <v>2008</v>
      </c>
      <c r="K5" s="390">
        <v>2009</v>
      </c>
      <c r="L5" s="390">
        <v>2010</v>
      </c>
      <c r="M5" s="390">
        <v>2011</v>
      </c>
      <c r="N5" s="390">
        <v>2012</v>
      </c>
      <c r="O5" s="390">
        <v>2013</v>
      </c>
      <c r="P5" s="390">
        <v>2014</v>
      </c>
      <c r="Q5" s="390">
        <v>2015</v>
      </c>
      <c r="R5" s="390">
        <v>2016</v>
      </c>
      <c r="S5" s="343">
        <v>2017</v>
      </c>
      <c r="T5" s="976">
        <v>2018</v>
      </c>
      <c r="U5" s="977" t="s">
        <v>239</v>
      </c>
    </row>
    <row r="6" spans="1:21" ht="15" customHeight="1">
      <c r="A6" s="396" t="s">
        <v>56</v>
      </c>
      <c r="B6" s="975">
        <v>92749</v>
      </c>
      <c r="C6" s="975">
        <v>97776</v>
      </c>
      <c r="D6" s="975">
        <v>80988</v>
      </c>
      <c r="E6" s="975">
        <v>113000</v>
      </c>
      <c r="F6" s="975">
        <v>102500</v>
      </c>
      <c r="G6" s="975">
        <v>117060</v>
      </c>
      <c r="H6" s="975">
        <v>108826</v>
      </c>
      <c r="I6" s="975">
        <v>127500</v>
      </c>
      <c r="J6" s="975">
        <v>138170</v>
      </c>
      <c r="K6" s="975">
        <v>133600</v>
      </c>
      <c r="L6" s="983">
        <v>137210</v>
      </c>
      <c r="M6" s="983">
        <v>145610</v>
      </c>
      <c r="N6" s="983">
        <v>126800</v>
      </c>
      <c r="O6" s="983">
        <v>163845</v>
      </c>
      <c r="P6" s="983">
        <v>204535</v>
      </c>
      <c r="Q6" s="983">
        <v>189474</v>
      </c>
      <c r="R6" s="983">
        <v>193317</v>
      </c>
      <c r="S6" s="983">
        <v>132712</v>
      </c>
      <c r="T6" s="983">
        <f>SUM(T7:T18)</f>
        <v>73793</v>
      </c>
      <c r="U6" s="983">
        <f>SUM(U7:U18)</f>
        <v>159615</v>
      </c>
    </row>
    <row r="7" spans="1:21" ht="14" customHeight="1">
      <c r="A7" s="144" t="s">
        <v>57</v>
      </c>
      <c r="B7" s="145">
        <v>21442</v>
      </c>
      <c r="C7" s="145">
        <v>0</v>
      </c>
      <c r="D7" s="145">
        <v>4500</v>
      </c>
      <c r="E7" s="145">
        <v>21000</v>
      </c>
      <c r="F7" s="145">
        <v>0</v>
      </c>
      <c r="G7" s="145">
        <v>4060</v>
      </c>
      <c r="H7" s="145">
        <v>0</v>
      </c>
      <c r="I7" s="145">
        <v>20000</v>
      </c>
      <c r="J7" s="145">
        <v>10160</v>
      </c>
      <c r="K7" s="145">
        <v>6000</v>
      </c>
      <c r="L7" s="984">
        <v>29640</v>
      </c>
      <c r="M7" s="984">
        <v>26760</v>
      </c>
      <c r="N7" s="984">
        <v>6500</v>
      </c>
      <c r="O7" s="984">
        <v>20800</v>
      </c>
      <c r="P7" s="984">
        <v>18720</v>
      </c>
      <c r="Q7" s="984">
        <v>0</v>
      </c>
      <c r="R7" s="984">
        <v>9672</v>
      </c>
      <c r="S7" s="984">
        <v>11440</v>
      </c>
      <c r="T7" s="984">
        <v>0</v>
      </c>
      <c r="U7" s="984">
        <v>22807</v>
      </c>
    </row>
    <row r="8" spans="1:21" ht="14" customHeight="1">
      <c r="A8" s="144" t="s">
        <v>58</v>
      </c>
      <c r="B8" s="145">
        <v>0</v>
      </c>
      <c r="C8" s="145">
        <v>0</v>
      </c>
      <c r="D8" s="145">
        <v>0</v>
      </c>
      <c r="E8" s="145">
        <v>0</v>
      </c>
      <c r="F8" s="145">
        <v>21000</v>
      </c>
      <c r="G8" s="145">
        <v>14000</v>
      </c>
      <c r="H8" s="174">
        <v>5000</v>
      </c>
      <c r="I8" s="174">
        <v>5500</v>
      </c>
      <c r="J8" s="145">
        <v>20000</v>
      </c>
      <c r="K8" s="145">
        <v>17000</v>
      </c>
      <c r="L8" s="984">
        <v>0</v>
      </c>
      <c r="M8" s="984">
        <v>4000</v>
      </c>
      <c r="N8" s="984">
        <v>19000</v>
      </c>
      <c r="O8" s="985">
        <v>30690</v>
      </c>
      <c r="P8" s="985">
        <v>7436</v>
      </c>
      <c r="Q8" s="984">
        <v>21840</v>
      </c>
      <c r="R8" s="984">
        <v>20800</v>
      </c>
      <c r="S8" s="984">
        <v>0</v>
      </c>
      <c r="T8" s="984">
        <v>6240</v>
      </c>
      <c r="U8" s="984">
        <v>6760</v>
      </c>
    </row>
    <row r="9" spans="1:21" ht="14" customHeight="1">
      <c r="A9" s="144" t="s">
        <v>59</v>
      </c>
      <c r="B9" s="145">
        <v>14742</v>
      </c>
      <c r="C9" s="145">
        <v>21528</v>
      </c>
      <c r="D9" s="145">
        <v>6000</v>
      </c>
      <c r="E9" s="145">
        <v>16000</v>
      </c>
      <c r="F9" s="145">
        <v>14000</v>
      </c>
      <c r="G9" s="145">
        <v>5000</v>
      </c>
      <c r="H9" s="174">
        <v>16000</v>
      </c>
      <c r="I9" s="174">
        <v>5000</v>
      </c>
      <c r="J9" s="145">
        <v>6000</v>
      </c>
      <c r="K9" s="145">
        <v>10000</v>
      </c>
      <c r="L9" s="984">
        <v>16500</v>
      </c>
      <c r="M9" s="985">
        <v>0</v>
      </c>
      <c r="N9" s="985">
        <v>6760</v>
      </c>
      <c r="O9" s="985">
        <v>10800</v>
      </c>
      <c r="P9" s="985">
        <v>10925</v>
      </c>
      <c r="Q9" s="984">
        <v>10896</v>
      </c>
      <c r="R9" s="984">
        <v>18863</v>
      </c>
      <c r="S9" s="984">
        <v>33192</v>
      </c>
      <c r="T9" s="984">
        <v>10260</v>
      </c>
      <c r="U9" s="984">
        <v>12312</v>
      </c>
    </row>
    <row r="10" spans="1:21" ht="14" customHeight="1">
      <c r="A10" s="144" t="s">
        <v>60</v>
      </c>
      <c r="B10" s="145">
        <v>0</v>
      </c>
      <c r="C10" s="145">
        <v>0</v>
      </c>
      <c r="D10" s="145">
        <v>9000</v>
      </c>
      <c r="E10" s="145">
        <v>5000</v>
      </c>
      <c r="F10" s="145">
        <v>0</v>
      </c>
      <c r="G10" s="145">
        <v>16000</v>
      </c>
      <c r="H10" s="174">
        <v>5500</v>
      </c>
      <c r="I10" s="174">
        <v>11000</v>
      </c>
      <c r="J10" s="145">
        <v>19010</v>
      </c>
      <c r="K10" s="145">
        <v>18900</v>
      </c>
      <c r="L10" s="984">
        <v>9500</v>
      </c>
      <c r="M10" s="985">
        <v>25500</v>
      </c>
      <c r="N10" s="985">
        <v>14000</v>
      </c>
      <c r="O10" s="985">
        <v>0</v>
      </c>
      <c r="P10" s="985">
        <v>24076</v>
      </c>
      <c r="Q10" s="984">
        <v>21840</v>
      </c>
      <c r="R10" s="984">
        <v>18720</v>
      </c>
      <c r="S10" s="984">
        <v>0</v>
      </c>
      <c r="T10" s="984">
        <v>0</v>
      </c>
      <c r="U10" s="984">
        <v>17680</v>
      </c>
    </row>
    <row r="11" spans="1:21" ht="14" customHeight="1">
      <c r="A11" s="144" t="s">
        <v>61</v>
      </c>
      <c r="B11" s="145">
        <v>4500</v>
      </c>
      <c r="C11" s="145">
        <v>16848</v>
      </c>
      <c r="D11" s="145">
        <v>5200</v>
      </c>
      <c r="E11" s="145">
        <v>16000</v>
      </c>
      <c r="F11" s="145">
        <v>18000</v>
      </c>
      <c r="G11" s="145">
        <v>5500</v>
      </c>
      <c r="H11" s="174">
        <v>16000</v>
      </c>
      <c r="I11" s="174">
        <v>14000</v>
      </c>
      <c r="J11" s="145">
        <v>6000</v>
      </c>
      <c r="K11" s="145">
        <v>0</v>
      </c>
      <c r="L11" s="984">
        <v>3900</v>
      </c>
      <c r="M11" s="985">
        <v>0</v>
      </c>
      <c r="N11" s="985">
        <v>16760</v>
      </c>
      <c r="O11" s="985">
        <v>25220</v>
      </c>
      <c r="P11" s="985">
        <v>16640</v>
      </c>
      <c r="Q11" s="984">
        <v>0</v>
      </c>
      <c r="R11" s="984">
        <v>3848</v>
      </c>
      <c r="S11" s="984">
        <v>32898</v>
      </c>
      <c r="T11" s="984">
        <v>6240</v>
      </c>
      <c r="U11" s="984">
        <v>6760</v>
      </c>
    </row>
    <row r="12" spans="1:21" ht="14" customHeight="1">
      <c r="A12" s="144" t="s">
        <v>62</v>
      </c>
      <c r="B12" s="145">
        <v>22113</v>
      </c>
      <c r="C12" s="145">
        <v>0</v>
      </c>
      <c r="D12" s="145">
        <v>0</v>
      </c>
      <c r="E12" s="145">
        <v>0</v>
      </c>
      <c r="F12" s="145">
        <v>0</v>
      </c>
      <c r="G12" s="145">
        <v>14000</v>
      </c>
      <c r="H12" s="174">
        <v>5500</v>
      </c>
      <c r="I12" s="174">
        <v>8500</v>
      </c>
      <c r="J12" s="145">
        <v>4000</v>
      </c>
      <c r="K12" s="145">
        <v>24900</v>
      </c>
      <c r="L12" s="984">
        <v>26500</v>
      </c>
      <c r="M12" s="985">
        <v>10300</v>
      </c>
      <c r="N12" s="985">
        <v>0</v>
      </c>
      <c r="O12" s="985">
        <v>0</v>
      </c>
      <c r="P12" s="985">
        <v>8112</v>
      </c>
      <c r="Q12" s="984">
        <v>31356</v>
      </c>
      <c r="R12" s="984">
        <v>33666</v>
      </c>
      <c r="S12" s="984">
        <v>4368</v>
      </c>
      <c r="T12" s="984">
        <v>10260</v>
      </c>
      <c r="U12" s="984">
        <v>12306</v>
      </c>
    </row>
    <row r="13" spans="1:21" ht="14" customHeight="1">
      <c r="A13" s="144" t="s">
        <v>63</v>
      </c>
      <c r="B13" s="145">
        <v>0</v>
      </c>
      <c r="C13" s="145">
        <v>4500</v>
      </c>
      <c r="D13" s="145">
        <v>20000</v>
      </c>
      <c r="E13" s="145">
        <v>5000</v>
      </c>
      <c r="F13" s="145">
        <v>16000</v>
      </c>
      <c r="G13" s="145">
        <v>0</v>
      </c>
      <c r="H13" s="174">
        <v>16000</v>
      </c>
      <c r="I13" s="174">
        <v>0</v>
      </c>
      <c r="J13" s="145">
        <v>28000</v>
      </c>
      <c r="K13" s="145">
        <v>3500</v>
      </c>
      <c r="L13" s="984">
        <v>0</v>
      </c>
      <c r="M13" s="985">
        <v>19000</v>
      </c>
      <c r="N13" s="985">
        <v>23000</v>
      </c>
      <c r="O13" s="985">
        <v>6500</v>
      </c>
      <c r="P13" s="985">
        <v>24010</v>
      </c>
      <c r="Q13" s="984">
        <v>0</v>
      </c>
      <c r="R13" s="984">
        <v>0</v>
      </c>
      <c r="S13" s="984">
        <v>6240</v>
      </c>
      <c r="T13" s="984">
        <v>6240</v>
      </c>
      <c r="U13" s="984">
        <v>6760</v>
      </c>
    </row>
    <row r="14" spans="1:21" ht="14" customHeight="1">
      <c r="A14" s="144" t="s">
        <v>64</v>
      </c>
      <c r="B14" s="145">
        <v>0</v>
      </c>
      <c r="C14" s="145">
        <v>16800</v>
      </c>
      <c r="D14" s="145">
        <v>14962</v>
      </c>
      <c r="E14" s="145">
        <v>16000</v>
      </c>
      <c r="F14" s="145">
        <v>4000</v>
      </c>
      <c r="G14" s="145">
        <v>14000</v>
      </c>
      <c r="H14" s="174">
        <v>1826</v>
      </c>
      <c r="I14" s="174">
        <v>22500</v>
      </c>
      <c r="J14" s="145">
        <v>0</v>
      </c>
      <c r="K14" s="145">
        <v>25900</v>
      </c>
      <c r="L14" s="984">
        <v>6500</v>
      </c>
      <c r="M14" s="985">
        <v>16500</v>
      </c>
      <c r="N14" s="985">
        <v>6500</v>
      </c>
      <c r="O14" s="985">
        <v>23750</v>
      </c>
      <c r="P14" s="985">
        <v>19765</v>
      </c>
      <c r="Q14" s="984">
        <v>13208</v>
      </c>
      <c r="R14" s="984">
        <v>37212</v>
      </c>
      <c r="S14" s="984">
        <v>9747</v>
      </c>
      <c r="T14" s="984">
        <v>10260</v>
      </c>
      <c r="U14" s="984">
        <v>17680</v>
      </c>
    </row>
    <row r="15" spans="1:21" ht="14" customHeight="1">
      <c r="A15" s="144" t="s">
        <v>65</v>
      </c>
      <c r="B15" s="145">
        <v>0</v>
      </c>
      <c r="C15" s="145">
        <v>0</v>
      </c>
      <c r="D15" s="145">
        <v>5000</v>
      </c>
      <c r="E15" s="145">
        <v>0</v>
      </c>
      <c r="F15" s="145">
        <v>0</v>
      </c>
      <c r="G15" s="145">
        <v>5500</v>
      </c>
      <c r="H15" s="174">
        <v>21500</v>
      </c>
      <c r="I15" s="174">
        <v>3000</v>
      </c>
      <c r="J15" s="145">
        <v>20000</v>
      </c>
      <c r="K15" s="145">
        <v>0</v>
      </c>
      <c r="L15" s="984">
        <v>23160</v>
      </c>
      <c r="M15" s="985">
        <v>10000</v>
      </c>
      <c r="N15" s="985">
        <v>9500</v>
      </c>
      <c r="O15" s="985">
        <v>6240</v>
      </c>
      <c r="P15" s="985">
        <v>23868</v>
      </c>
      <c r="Q15" s="984">
        <v>22880</v>
      </c>
      <c r="R15" s="984">
        <v>0</v>
      </c>
      <c r="S15" s="984">
        <v>14768</v>
      </c>
      <c r="T15" s="984">
        <v>0</v>
      </c>
      <c r="U15" s="984">
        <v>19072</v>
      </c>
    </row>
    <row r="16" spans="1:21" ht="14" customHeight="1">
      <c r="A16" s="144" t="s">
        <v>66</v>
      </c>
      <c r="B16" s="145">
        <v>12636</v>
      </c>
      <c r="C16" s="145">
        <v>21300</v>
      </c>
      <c r="D16" s="145">
        <v>16326</v>
      </c>
      <c r="E16" s="145">
        <v>16000</v>
      </c>
      <c r="F16" s="145">
        <v>10000</v>
      </c>
      <c r="G16" s="145">
        <v>8000</v>
      </c>
      <c r="H16" s="174">
        <v>0</v>
      </c>
      <c r="I16" s="174">
        <v>19000</v>
      </c>
      <c r="J16" s="145">
        <v>6000</v>
      </c>
      <c r="K16" s="145">
        <v>7000</v>
      </c>
      <c r="L16" s="984">
        <v>0</v>
      </c>
      <c r="M16" s="985">
        <v>10300</v>
      </c>
      <c r="N16" s="985">
        <v>16000</v>
      </c>
      <c r="O16" s="985">
        <v>23720</v>
      </c>
      <c r="P16" s="985">
        <v>8320</v>
      </c>
      <c r="Q16" s="984">
        <v>22370</v>
      </c>
      <c r="R16" s="984">
        <v>23504</v>
      </c>
      <c r="S16" s="984">
        <v>4072</v>
      </c>
      <c r="T16" s="984">
        <v>6760</v>
      </c>
      <c r="U16" s="984">
        <v>0</v>
      </c>
    </row>
    <row r="17" spans="1:21" ht="14" customHeight="1">
      <c r="A17" s="144" t="s">
        <v>67</v>
      </c>
      <c r="B17" s="145">
        <v>0</v>
      </c>
      <c r="C17" s="145">
        <v>0</v>
      </c>
      <c r="D17" s="145">
        <v>0</v>
      </c>
      <c r="E17" s="145">
        <v>6000</v>
      </c>
      <c r="F17" s="145">
        <v>0</v>
      </c>
      <c r="G17" s="145">
        <v>14000</v>
      </c>
      <c r="H17" s="174">
        <v>16000</v>
      </c>
      <c r="I17" s="174">
        <v>0</v>
      </c>
      <c r="J17" s="145">
        <v>19000</v>
      </c>
      <c r="K17" s="145">
        <v>20400</v>
      </c>
      <c r="L17" s="984">
        <v>16000</v>
      </c>
      <c r="M17" s="985">
        <v>19000</v>
      </c>
      <c r="N17" s="985">
        <v>4100</v>
      </c>
      <c r="O17" s="985">
        <v>6240</v>
      </c>
      <c r="P17" s="985">
        <v>10816</v>
      </c>
      <c r="Q17" s="984">
        <v>19656</v>
      </c>
      <c r="R17" s="984">
        <v>20792</v>
      </c>
      <c r="S17" s="984">
        <v>9747</v>
      </c>
      <c r="T17" s="984">
        <v>0</v>
      </c>
      <c r="U17" s="984">
        <v>25166</v>
      </c>
    </row>
    <row r="18" spans="1:21" ht="14" customHeight="1" thickBot="1">
      <c r="A18" s="147" t="s">
        <v>68</v>
      </c>
      <c r="B18" s="175">
        <v>17316</v>
      </c>
      <c r="C18" s="175">
        <v>16800</v>
      </c>
      <c r="D18" s="175">
        <v>0</v>
      </c>
      <c r="E18" s="175">
        <v>12000</v>
      </c>
      <c r="F18" s="175">
        <v>19500</v>
      </c>
      <c r="G18" s="175">
        <v>17000</v>
      </c>
      <c r="H18" s="175">
        <v>5500</v>
      </c>
      <c r="I18" s="175">
        <v>19000</v>
      </c>
      <c r="J18" s="175">
        <v>0</v>
      </c>
      <c r="K18" s="175">
        <v>0</v>
      </c>
      <c r="L18" s="986">
        <v>5510</v>
      </c>
      <c r="M18" s="986">
        <v>4250</v>
      </c>
      <c r="N18" s="986">
        <v>4680</v>
      </c>
      <c r="O18" s="986">
        <v>9885</v>
      </c>
      <c r="P18" s="986">
        <v>31847</v>
      </c>
      <c r="Q18" s="986">
        <v>25428</v>
      </c>
      <c r="R18" s="986">
        <v>6240</v>
      </c>
      <c r="S18" s="986">
        <v>6240</v>
      </c>
      <c r="T18" s="986">
        <v>17533</v>
      </c>
      <c r="U18" s="986">
        <v>12312</v>
      </c>
    </row>
    <row r="19" spans="1:21" ht="10" customHeight="1">
      <c r="A19" s="28" t="s">
        <v>238</v>
      </c>
      <c r="B19" s="365"/>
      <c r="C19" s="365"/>
      <c r="D19" s="365"/>
      <c r="E19" s="365"/>
      <c r="F19" s="365"/>
      <c r="G19" s="365"/>
      <c r="H19" s="365"/>
      <c r="I19" s="365"/>
      <c r="J19" s="365"/>
      <c r="K19" s="365"/>
      <c r="L19" s="365"/>
      <c r="M19" s="365"/>
      <c r="N19" s="365"/>
      <c r="O19" s="365"/>
      <c r="P19" s="365"/>
      <c r="Q19" s="365"/>
      <c r="R19" s="365"/>
      <c r="S19" s="365"/>
      <c r="T19" s="365"/>
      <c r="U19" s="365"/>
    </row>
    <row r="20" spans="1:21" ht="10" customHeight="1">
      <c r="A20" s="982" t="s">
        <v>194</v>
      </c>
      <c r="B20" s="365"/>
      <c r="C20" s="365"/>
      <c r="D20" s="365"/>
      <c r="E20" s="365"/>
      <c r="F20" s="365"/>
      <c r="G20" s="365"/>
      <c r="H20" s="365"/>
      <c r="I20" s="365"/>
      <c r="J20" s="365"/>
      <c r="K20" s="365"/>
      <c r="L20" s="365"/>
      <c r="M20" s="365"/>
      <c r="N20" s="365"/>
      <c r="O20" s="365"/>
      <c r="P20" s="365"/>
      <c r="Q20" s="365"/>
      <c r="R20" s="365"/>
      <c r="S20" s="365"/>
      <c r="T20" s="365"/>
      <c r="U20" s="365"/>
    </row>
    <row r="21" spans="1:21" ht="10" customHeight="1">
      <c r="A21" s="40" t="s">
        <v>261</v>
      </c>
      <c r="B21" s="365"/>
      <c r="C21" s="365"/>
      <c r="D21" s="365"/>
      <c r="E21" s="365"/>
      <c r="F21" s="365"/>
      <c r="G21" s="365"/>
      <c r="H21" s="365"/>
      <c r="I21" s="365"/>
      <c r="J21" s="365"/>
      <c r="K21" s="365"/>
      <c r="L21" s="365"/>
      <c r="M21" s="365"/>
      <c r="N21" s="365"/>
      <c r="O21" s="365"/>
      <c r="P21" s="365"/>
      <c r="Q21" s="365"/>
      <c r="R21" s="365"/>
      <c r="S21" s="365"/>
      <c r="T21" s="365"/>
      <c r="U21" s="365"/>
    </row>
    <row r="23" spans="1:21" ht="13" customHeight="1">
      <c r="A23" s="388" t="s">
        <v>340</v>
      </c>
      <c r="B23" s="387"/>
      <c r="C23" s="387"/>
      <c r="D23" s="387"/>
      <c r="E23" s="387"/>
      <c r="F23" s="387"/>
      <c r="G23" s="387"/>
      <c r="H23" s="387"/>
      <c r="I23" s="387"/>
      <c r="J23" s="387"/>
      <c r="K23" s="387"/>
      <c r="L23" s="387"/>
      <c r="M23" s="387"/>
      <c r="N23" s="387"/>
      <c r="O23" s="387"/>
      <c r="P23" s="387"/>
      <c r="Q23" s="387"/>
      <c r="R23" s="387"/>
      <c r="S23" s="387"/>
      <c r="T23" s="387"/>
      <c r="U23" s="387"/>
    </row>
    <row r="24" spans="1:21" ht="13" customHeight="1">
      <c r="A24" s="389" t="s">
        <v>540</v>
      </c>
      <c r="B24" s="387"/>
      <c r="C24" s="387"/>
      <c r="D24" s="387"/>
      <c r="E24" s="387"/>
      <c r="F24" s="387"/>
      <c r="G24" s="387"/>
      <c r="H24" s="387"/>
      <c r="I24" s="387"/>
      <c r="J24" s="387"/>
      <c r="K24" s="387"/>
      <c r="L24" s="387"/>
      <c r="M24" s="387"/>
      <c r="N24" s="387"/>
      <c r="O24" s="387"/>
      <c r="P24" s="387"/>
      <c r="Q24" s="387"/>
      <c r="R24" s="387"/>
      <c r="S24" s="387"/>
      <c r="T24" s="387"/>
      <c r="U24" s="387"/>
    </row>
    <row r="25" spans="1:21" ht="4" customHeight="1" thickBot="1"/>
    <row r="26" spans="1:21" ht="15" customHeight="1">
      <c r="A26" s="390" t="s">
        <v>122</v>
      </c>
      <c r="B26" s="390">
        <v>2000</v>
      </c>
      <c r="C26" s="390">
        <v>2001</v>
      </c>
      <c r="D26" s="390">
        <v>2002</v>
      </c>
      <c r="E26" s="390">
        <v>2003</v>
      </c>
      <c r="F26" s="390">
        <v>2004</v>
      </c>
      <c r="G26" s="390">
        <v>2005</v>
      </c>
      <c r="H26" s="390">
        <v>2006</v>
      </c>
      <c r="I26" s="390">
        <v>2007</v>
      </c>
      <c r="J26" s="390">
        <v>2008</v>
      </c>
      <c r="K26" s="390">
        <v>2009</v>
      </c>
      <c r="L26" s="390">
        <v>2010</v>
      </c>
      <c r="M26" s="390">
        <v>2011</v>
      </c>
      <c r="N26" s="390">
        <v>2012</v>
      </c>
      <c r="O26" s="390">
        <v>2013</v>
      </c>
      <c r="P26" s="390">
        <v>2014</v>
      </c>
      <c r="Q26" s="390">
        <v>2015</v>
      </c>
      <c r="R26" s="390">
        <v>2016</v>
      </c>
      <c r="S26" s="343">
        <v>2017</v>
      </c>
      <c r="T26" s="976">
        <v>2018</v>
      </c>
      <c r="U26" s="977" t="s">
        <v>239</v>
      </c>
    </row>
    <row r="27" spans="1:21" ht="15" customHeight="1">
      <c r="A27" s="396" t="s">
        <v>56</v>
      </c>
      <c r="B27" s="975">
        <f t="shared" ref="B27:H27" si="0">SUM(B28:B39)</f>
        <v>92749</v>
      </c>
      <c r="C27" s="975">
        <f t="shared" si="0"/>
        <v>97776</v>
      </c>
      <c r="D27" s="975">
        <f t="shared" si="0"/>
        <v>80988</v>
      </c>
      <c r="E27" s="975">
        <f t="shared" si="0"/>
        <v>113000</v>
      </c>
      <c r="F27" s="975">
        <f t="shared" si="0"/>
        <v>102500</v>
      </c>
      <c r="G27" s="975">
        <f t="shared" si="0"/>
        <v>127500</v>
      </c>
      <c r="H27" s="975">
        <f t="shared" si="0"/>
        <v>138170</v>
      </c>
      <c r="I27" s="975">
        <v>127500</v>
      </c>
      <c r="J27" s="975">
        <v>138170</v>
      </c>
      <c r="K27" s="975">
        <v>133600</v>
      </c>
      <c r="L27" s="983">
        <v>137210</v>
      </c>
      <c r="M27" s="983">
        <v>145610</v>
      </c>
      <c r="N27" s="983">
        <v>126800</v>
      </c>
      <c r="O27" s="983">
        <v>163845</v>
      </c>
      <c r="P27" s="983">
        <v>204535</v>
      </c>
      <c r="Q27" s="983">
        <v>189474</v>
      </c>
      <c r="R27" s="983">
        <v>193317</v>
      </c>
      <c r="S27" s="983">
        <v>132712</v>
      </c>
      <c r="T27" s="983">
        <f>SUM(T28:T39)</f>
        <v>73793</v>
      </c>
      <c r="U27" s="983">
        <f>SUM(U28:U39)</f>
        <v>159615</v>
      </c>
    </row>
    <row r="28" spans="1:21" ht="14" customHeight="1">
      <c r="A28" s="946" t="s">
        <v>57</v>
      </c>
      <c r="B28" s="145">
        <v>21442</v>
      </c>
      <c r="C28" s="145">
        <v>0</v>
      </c>
      <c r="D28" s="145">
        <v>4500</v>
      </c>
      <c r="E28" s="145">
        <v>21000</v>
      </c>
      <c r="F28" s="145">
        <v>0</v>
      </c>
      <c r="G28" s="145">
        <f>+[4]SERIE!F164</f>
        <v>20000</v>
      </c>
      <c r="H28" s="145">
        <f>+[4]SERIE!F176</f>
        <v>10160</v>
      </c>
      <c r="I28" s="145">
        <v>20000</v>
      </c>
      <c r="J28" s="145">
        <v>10160</v>
      </c>
      <c r="K28" s="145">
        <v>6000</v>
      </c>
      <c r="L28" s="984">
        <v>29640</v>
      </c>
      <c r="M28" s="984">
        <v>26760</v>
      </c>
      <c r="N28" s="984">
        <v>6500</v>
      </c>
      <c r="O28" s="984">
        <v>20800</v>
      </c>
      <c r="P28" s="984">
        <v>18720</v>
      </c>
      <c r="Q28" s="984">
        <v>0</v>
      </c>
      <c r="R28" s="984">
        <v>9672</v>
      </c>
      <c r="S28" s="984">
        <v>11440</v>
      </c>
      <c r="T28" s="984">
        <v>0</v>
      </c>
      <c r="U28" s="984">
        <v>22807</v>
      </c>
    </row>
    <row r="29" spans="1:21" ht="14" customHeight="1">
      <c r="A29" s="946" t="s">
        <v>58</v>
      </c>
      <c r="B29" s="145">
        <v>0</v>
      </c>
      <c r="C29" s="145">
        <v>0</v>
      </c>
      <c r="D29" s="145">
        <v>0</v>
      </c>
      <c r="E29" s="145">
        <v>0</v>
      </c>
      <c r="F29" s="145">
        <v>21000</v>
      </c>
      <c r="G29" s="174">
        <f>+[4]SERIE!F165</f>
        <v>5500</v>
      </c>
      <c r="H29" s="174">
        <f>+[4]SERIE!F177</f>
        <v>20000</v>
      </c>
      <c r="I29" s="174">
        <v>5500</v>
      </c>
      <c r="J29" s="145">
        <v>20000</v>
      </c>
      <c r="K29" s="174">
        <v>17000</v>
      </c>
      <c r="L29" s="984">
        <v>0</v>
      </c>
      <c r="M29" s="984">
        <v>4000</v>
      </c>
      <c r="N29" s="985">
        <v>19000</v>
      </c>
      <c r="O29" s="985">
        <v>30690</v>
      </c>
      <c r="P29" s="985">
        <v>7436</v>
      </c>
      <c r="Q29" s="984">
        <v>21840</v>
      </c>
      <c r="R29" s="984">
        <v>20800</v>
      </c>
      <c r="S29" s="984">
        <v>0</v>
      </c>
      <c r="T29" s="984">
        <v>6240</v>
      </c>
      <c r="U29" s="984">
        <v>6760</v>
      </c>
    </row>
    <row r="30" spans="1:21" ht="14" customHeight="1">
      <c r="A30" s="946" t="s">
        <v>59</v>
      </c>
      <c r="B30" s="145">
        <v>14742</v>
      </c>
      <c r="C30" s="145">
        <v>21528</v>
      </c>
      <c r="D30" s="145">
        <v>6000</v>
      </c>
      <c r="E30" s="145">
        <v>16000</v>
      </c>
      <c r="F30" s="145">
        <v>14000</v>
      </c>
      <c r="G30" s="174">
        <f>+[4]SERIE!F166</f>
        <v>5000</v>
      </c>
      <c r="H30" s="174">
        <f>+[4]SERIE!F178</f>
        <v>6000</v>
      </c>
      <c r="I30" s="174">
        <v>5000</v>
      </c>
      <c r="J30" s="145">
        <v>6000</v>
      </c>
      <c r="K30" s="174">
        <v>10000</v>
      </c>
      <c r="L30" s="984">
        <v>16500</v>
      </c>
      <c r="M30" s="985">
        <v>0</v>
      </c>
      <c r="N30" s="985">
        <v>6760</v>
      </c>
      <c r="O30" s="985">
        <v>10800</v>
      </c>
      <c r="P30" s="985">
        <v>10925</v>
      </c>
      <c r="Q30" s="984">
        <v>10896</v>
      </c>
      <c r="R30" s="984">
        <v>18863</v>
      </c>
      <c r="S30" s="984">
        <v>33192</v>
      </c>
      <c r="T30" s="984">
        <v>10260</v>
      </c>
      <c r="U30" s="984">
        <v>12312</v>
      </c>
    </row>
    <row r="31" spans="1:21" ht="14" customHeight="1">
      <c r="A31" s="946" t="s">
        <v>60</v>
      </c>
      <c r="B31" s="145">
        <v>0</v>
      </c>
      <c r="C31" s="145">
        <v>0</v>
      </c>
      <c r="D31" s="145">
        <v>9000</v>
      </c>
      <c r="E31" s="145">
        <v>5000</v>
      </c>
      <c r="F31" s="145">
        <v>0</v>
      </c>
      <c r="G31" s="174">
        <f>+[4]SERIE!F167</f>
        <v>11000</v>
      </c>
      <c r="H31" s="174">
        <f>+[4]SERIE!F179</f>
        <v>19010</v>
      </c>
      <c r="I31" s="174">
        <v>11000</v>
      </c>
      <c r="J31" s="145">
        <v>19010</v>
      </c>
      <c r="K31" s="174">
        <v>18900</v>
      </c>
      <c r="L31" s="984">
        <v>9500</v>
      </c>
      <c r="M31" s="985">
        <v>25500</v>
      </c>
      <c r="N31" s="985">
        <v>14000</v>
      </c>
      <c r="O31" s="985">
        <v>0</v>
      </c>
      <c r="P31" s="985">
        <v>24076</v>
      </c>
      <c r="Q31" s="984">
        <v>21840</v>
      </c>
      <c r="R31" s="984">
        <v>18720</v>
      </c>
      <c r="S31" s="984">
        <v>0</v>
      </c>
      <c r="T31" s="984">
        <v>0</v>
      </c>
      <c r="U31" s="984">
        <v>17680</v>
      </c>
    </row>
    <row r="32" spans="1:21" ht="14" customHeight="1">
      <c r="A32" s="946" t="s">
        <v>61</v>
      </c>
      <c r="B32" s="145">
        <v>4500</v>
      </c>
      <c r="C32" s="145">
        <v>16848</v>
      </c>
      <c r="D32" s="145">
        <v>5200</v>
      </c>
      <c r="E32" s="145">
        <v>16000</v>
      </c>
      <c r="F32" s="145">
        <v>18000</v>
      </c>
      <c r="G32" s="174">
        <f>+[4]SERIE!F168</f>
        <v>14000</v>
      </c>
      <c r="H32" s="174">
        <f>+[4]SERIE!F180</f>
        <v>6000</v>
      </c>
      <c r="I32" s="174">
        <v>14000</v>
      </c>
      <c r="J32" s="145">
        <v>6000</v>
      </c>
      <c r="K32" s="174">
        <v>0</v>
      </c>
      <c r="L32" s="984">
        <v>3900</v>
      </c>
      <c r="M32" s="985">
        <v>0</v>
      </c>
      <c r="N32" s="985">
        <v>16760</v>
      </c>
      <c r="O32" s="985">
        <v>25220</v>
      </c>
      <c r="P32" s="985">
        <v>16640</v>
      </c>
      <c r="Q32" s="984">
        <v>0</v>
      </c>
      <c r="R32" s="984">
        <v>3848</v>
      </c>
      <c r="S32" s="984">
        <v>32898</v>
      </c>
      <c r="T32" s="984">
        <v>6240</v>
      </c>
      <c r="U32" s="984">
        <v>6760</v>
      </c>
    </row>
    <row r="33" spans="1:21" ht="14" customHeight="1">
      <c r="A33" s="946" t="s">
        <v>62</v>
      </c>
      <c r="B33" s="145">
        <v>22113</v>
      </c>
      <c r="C33" s="145">
        <v>0</v>
      </c>
      <c r="D33" s="145">
        <v>0</v>
      </c>
      <c r="E33" s="145">
        <v>0</v>
      </c>
      <c r="F33" s="145">
        <v>0</v>
      </c>
      <c r="G33" s="174">
        <f>+[4]SERIE!F169</f>
        <v>8500</v>
      </c>
      <c r="H33" s="174">
        <f>+[4]SERIE!F181</f>
        <v>4000</v>
      </c>
      <c r="I33" s="174">
        <v>8500</v>
      </c>
      <c r="J33" s="145">
        <v>4000</v>
      </c>
      <c r="K33" s="174">
        <v>24900</v>
      </c>
      <c r="L33" s="984">
        <v>26500</v>
      </c>
      <c r="M33" s="985">
        <v>10300</v>
      </c>
      <c r="N33" s="985">
        <v>0</v>
      </c>
      <c r="O33" s="985">
        <v>0</v>
      </c>
      <c r="P33" s="985">
        <v>8112</v>
      </c>
      <c r="Q33" s="984">
        <v>31356</v>
      </c>
      <c r="R33" s="984">
        <v>33666</v>
      </c>
      <c r="S33" s="984">
        <v>4368</v>
      </c>
      <c r="T33" s="984">
        <v>10260</v>
      </c>
      <c r="U33" s="984">
        <v>12306</v>
      </c>
    </row>
    <row r="34" spans="1:21" ht="14" customHeight="1">
      <c r="A34" s="946" t="s">
        <v>63</v>
      </c>
      <c r="B34" s="145">
        <v>0</v>
      </c>
      <c r="C34" s="145">
        <v>4500</v>
      </c>
      <c r="D34" s="145">
        <v>20000</v>
      </c>
      <c r="E34" s="145">
        <v>5000</v>
      </c>
      <c r="F34" s="145">
        <v>16000</v>
      </c>
      <c r="G34" s="174">
        <f>+[4]SERIE!F170</f>
        <v>0</v>
      </c>
      <c r="H34" s="174">
        <f>+[4]SERIE!F182</f>
        <v>28000</v>
      </c>
      <c r="I34" s="174">
        <v>0</v>
      </c>
      <c r="J34" s="145">
        <v>28000</v>
      </c>
      <c r="K34" s="174">
        <v>3500</v>
      </c>
      <c r="L34" s="984">
        <v>0</v>
      </c>
      <c r="M34" s="985">
        <v>19000</v>
      </c>
      <c r="N34" s="985">
        <v>23000</v>
      </c>
      <c r="O34" s="985">
        <v>6500</v>
      </c>
      <c r="P34" s="985">
        <v>24010</v>
      </c>
      <c r="Q34" s="984">
        <v>0</v>
      </c>
      <c r="R34" s="984">
        <v>0</v>
      </c>
      <c r="S34" s="984">
        <v>6240</v>
      </c>
      <c r="T34" s="984">
        <v>6240</v>
      </c>
      <c r="U34" s="984">
        <v>6760</v>
      </c>
    </row>
    <row r="35" spans="1:21" ht="14" customHeight="1">
      <c r="A35" s="946" t="s">
        <v>64</v>
      </c>
      <c r="B35" s="145">
        <v>0</v>
      </c>
      <c r="C35" s="145">
        <v>16800</v>
      </c>
      <c r="D35" s="145">
        <v>14962</v>
      </c>
      <c r="E35" s="145">
        <v>16000</v>
      </c>
      <c r="F35" s="145">
        <v>4000</v>
      </c>
      <c r="G35" s="174">
        <f>+[4]SERIE!F171</f>
        <v>22500</v>
      </c>
      <c r="H35" s="174">
        <f>+[4]SERIE!F183</f>
        <v>0</v>
      </c>
      <c r="I35" s="174">
        <v>22500</v>
      </c>
      <c r="J35" s="145">
        <v>0</v>
      </c>
      <c r="K35" s="174">
        <v>25900</v>
      </c>
      <c r="L35" s="984">
        <v>6500</v>
      </c>
      <c r="M35" s="985">
        <v>16500</v>
      </c>
      <c r="N35" s="985">
        <v>6500</v>
      </c>
      <c r="O35" s="985">
        <v>23750</v>
      </c>
      <c r="P35" s="985">
        <v>19765</v>
      </c>
      <c r="Q35" s="984">
        <v>13208</v>
      </c>
      <c r="R35" s="984">
        <v>37212</v>
      </c>
      <c r="S35" s="984">
        <v>9747</v>
      </c>
      <c r="T35" s="984">
        <v>10260</v>
      </c>
      <c r="U35" s="984">
        <v>17680</v>
      </c>
    </row>
    <row r="36" spans="1:21" ht="14" customHeight="1">
      <c r="A36" s="946" t="s">
        <v>65</v>
      </c>
      <c r="B36" s="145">
        <v>0</v>
      </c>
      <c r="C36" s="145">
        <v>0</v>
      </c>
      <c r="D36" s="145">
        <v>5000</v>
      </c>
      <c r="E36" s="145">
        <v>0</v>
      </c>
      <c r="F36" s="145">
        <v>0</v>
      </c>
      <c r="G36" s="174">
        <f>+[4]SERIE!F172</f>
        <v>3000</v>
      </c>
      <c r="H36" s="174">
        <f>+[4]SERIE!F184</f>
        <v>20000</v>
      </c>
      <c r="I36" s="174">
        <v>3000</v>
      </c>
      <c r="J36" s="145">
        <v>20000</v>
      </c>
      <c r="K36" s="174">
        <v>0</v>
      </c>
      <c r="L36" s="984">
        <v>23160</v>
      </c>
      <c r="M36" s="985">
        <v>10000</v>
      </c>
      <c r="N36" s="985">
        <v>9500</v>
      </c>
      <c r="O36" s="985">
        <v>6240</v>
      </c>
      <c r="P36" s="985">
        <v>23868</v>
      </c>
      <c r="Q36" s="984">
        <v>22880</v>
      </c>
      <c r="R36" s="984">
        <v>0</v>
      </c>
      <c r="S36" s="984">
        <v>14768</v>
      </c>
      <c r="T36" s="984">
        <v>0</v>
      </c>
      <c r="U36" s="984">
        <v>19072</v>
      </c>
    </row>
    <row r="37" spans="1:21" ht="14" customHeight="1">
      <c r="A37" s="946" t="s">
        <v>66</v>
      </c>
      <c r="B37" s="145">
        <v>12636</v>
      </c>
      <c r="C37" s="145">
        <v>21300</v>
      </c>
      <c r="D37" s="145">
        <v>16326</v>
      </c>
      <c r="E37" s="145">
        <v>16000</v>
      </c>
      <c r="F37" s="145">
        <v>10000</v>
      </c>
      <c r="G37" s="174">
        <f>+[4]SERIE!F173</f>
        <v>19000</v>
      </c>
      <c r="H37" s="174">
        <f>+[4]SERIE!F185</f>
        <v>6000</v>
      </c>
      <c r="I37" s="174">
        <v>19000</v>
      </c>
      <c r="J37" s="145">
        <v>6000</v>
      </c>
      <c r="K37" s="174">
        <v>7000</v>
      </c>
      <c r="L37" s="984">
        <v>0</v>
      </c>
      <c r="M37" s="985">
        <v>10300</v>
      </c>
      <c r="N37" s="985">
        <v>16000</v>
      </c>
      <c r="O37" s="985">
        <v>23720</v>
      </c>
      <c r="P37" s="985">
        <v>8320</v>
      </c>
      <c r="Q37" s="984">
        <v>22370</v>
      </c>
      <c r="R37" s="984">
        <v>23504</v>
      </c>
      <c r="S37" s="984">
        <v>4072</v>
      </c>
      <c r="T37" s="984">
        <v>6760</v>
      </c>
      <c r="U37" s="984">
        <v>0</v>
      </c>
    </row>
    <row r="38" spans="1:21" ht="14" customHeight="1">
      <c r="A38" s="946" t="s">
        <v>67</v>
      </c>
      <c r="B38" s="145">
        <v>0</v>
      </c>
      <c r="C38" s="145">
        <v>0</v>
      </c>
      <c r="D38" s="145">
        <v>0</v>
      </c>
      <c r="E38" s="145">
        <v>6000</v>
      </c>
      <c r="F38" s="145">
        <v>0</v>
      </c>
      <c r="G38" s="174">
        <f>+[4]SERIE!F174</f>
        <v>0</v>
      </c>
      <c r="H38" s="174">
        <f>+[4]SERIE!F186</f>
        <v>19000</v>
      </c>
      <c r="I38" s="174">
        <v>0</v>
      </c>
      <c r="J38" s="145">
        <v>19000</v>
      </c>
      <c r="K38" s="174">
        <v>20400</v>
      </c>
      <c r="L38" s="984">
        <v>16000</v>
      </c>
      <c r="M38" s="985">
        <v>19000</v>
      </c>
      <c r="N38" s="985">
        <v>4100</v>
      </c>
      <c r="O38" s="985">
        <v>6240</v>
      </c>
      <c r="P38" s="985">
        <v>10816</v>
      </c>
      <c r="Q38" s="984">
        <v>19656</v>
      </c>
      <c r="R38" s="984">
        <v>20792</v>
      </c>
      <c r="S38" s="984">
        <v>9747</v>
      </c>
      <c r="T38" s="984">
        <v>0</v>
      </c>
      <c r="U38" s="984">
        <v>25166</v>
      </c>
    </row>
    <row r="39" spans="1:21" ht="14" customHeight="1" thickBot="1">
      <c r="A39" s="147" t="s">
        <v>68</v>
      </c>
      <c r="B39" s="175">
        <v>17316</v>
      </c>
      <c r="C39" s="175">
        <v>16800</v>
      </c>
      <c r="D39" s="175">
        <v>0</v>
      </c>
      <c r="E39" s="175">
        <v>12000</v>
      </c>
      <c r="F39" s="175">
        <v>19500</v>
      </c>
      <c r="G39" s="175">
        <f>+[4]SERIE!F175</f>
        <v>19000</v>
      </c>
      <c r="H39" s="175">
        <f>+[4]SERIE!F187</f>
        <v>0</v>
      </c>
      <c r="I39" s="175">
        <v>19000</v>
      </c>
      <c r="J39" s="175">
        <v>0</v>
      </c>
      <c r="K39" s="175">
        <v>0</v>
      </c>
      <c r="L39" s="986">
        <v>5510</v>
      </c>
      <c r="M39" s="986">
        <v>4250</v>
      </c>
      <c r="N39" s="986">
        <v>4680</v>
      </c>
      <c r="O39" s="986">
        <v>9885</v>
      </c>
      <c r="P39" s="986">
        <v>31847</v>
      </c>
      <c r="Q39" s="986">
        <v>25428</v>
      </c>
      <c r="R39" s="986">
        <v>6240</v>
      </c>
      <c r="S39" s="986">
        <v>6240</v>
      </c>
      <c r="T39" s="986">
        <v>17533</v>
      </c>
      <c r="U39" s="986">
        <v>12312</v>
      </c>
    </row>
    <row r="40" spans="1:21" ht="10" customHeight="1">
      <c r="A40" s="28" t="s">
        <v>238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</row>
    <row r="41" spans="1:21" ht="10" customHeight="1">
      <c r="A41" s="982" t="s">
        <v>195</v>
      </c>
      <c r="B41" s="365"/>
      <c r="C41" s="365"/>
      <c r="D41" s="365"/>
      <c r="E41" s="365"/>
      <c r="F41" s="365"/>
      <c r="G41" s="365"/>
      <c r="H41" s="365"/>
      <c r="I41" s="365"/>
      <c r="J41" s="365"/>
      <c r="K41" s="365"/>
      <c r="L41" s="365"/>
      <c r="M41" s="365"/>
      <c r="N41" s="365"/>
      <c r="O41" s="365"/>
    </row>
    <row r="42" spans="1:21" ht="10" customHeight="1">
      <c r="A42" s="40" t="s">
        <v>261</v>
      </c>
      <c r="B42" s="365"/>
      <c r="C42" s="365"/>
      <c r="D42" s="365"/>
      <c r="E42" s="365"/>
      <c r="F42" s="365"/>
      <c r="G42" s="365"/>
      <c r="H42" s="365"/>
      <c r="I42" s="365"/>
      <c r="J42" s="365"/>
      <c r="K42" s="365"/>
      <c r="L42" s="365"/>
      <c r="M42" s="365"/>
      <c r="N42" s="365"/>
      <c r="O42" s="365"/>
    </row>
    <row r="43" spans="1:21" ht="13" customHeight="1">
      <c r="A43" s="12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16383" man="1"/>
  </row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Hoja118">
    <tabColor theme="9" tint="0.59999389629810485"/>
  </sheetPr>
  <dimension ref="A1:U47"/>
  <sheetViews>
    <sheetView showGridLines="0" zoomScale="150" zoomScaleNormal="150" workbookViewId="0">
      <selection activeCell="AB55" sqref="AB55"/>
    </sheetView>
  </sheetViews>
  <sheetFormatPr baseColWidth="10" defaultColWidth="7" defaultRowHeight="13" customHeight="1"/>
  <cols>
    <col min="1" max="1" width="6.59765625" style="141" customWidth="1"/>
    <col min="2" max="9" width="8" style="141" hidden="1" customWidth="1"/>
    <col min="10" max="11" width="0" style="141" hidden="1" customWidth="1"/>
    <col min="12" max="21" width="9" style="141" customWidth="1"/>
    <col min="22" max="16384" width="7" style="141"/>
  </cols>
  <sheetData>
    <row r="1" spans="1:21" ht="13" customHeight="1">
      <c r="A1" s="1144"/>
      <c r="B1" s="1144"/>
      <c r="C1" s="1144"/>
      <c r="D1" s="1144"/>
      <c r="E1" s="1144"/>
    </row>
    <row r="2" spans="1:21" ht="13" customHeight="1">
      <c r="A2" s="512" t="s">
        <v>338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</row>
    <row r="3" spans="1:21" ht="13" customHeight="1">
      <c r="A3" s="389" t="s">
        <v>428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</row>
    <row r="4" spans="1:21" ht="4" customHeight="1" thickBot="1"/>
    <row r="5" spans="1:21" ht="15" customHeight="1">
      <c r="A5" s="945" t="s">
        <v>122</v>
      </c>
      <c r="B5" s="945">
        <v>2000</v>
      </c>
      <c r="C5" s="945">
        <v>2001</v>
      </c>
      <c r="D5" s="945">
        <v>2002</v>
      </c>
      <c r="E5" s="945">
        <v>2003</v>
      </c>
      <c r="F5" s="945">
        <v>2004</v>
      </c>
      <c r="G5" s="945">
        <v>2005</v>
      </c>
      <c r="H5" s="945">
        <v>2006</v>
      </c>
      <c r="I5" s="945">
        <v>2007</v>
      </c>
      <c r="J5" s="945">
        <v>2008</v>
      </c>
      <c r="K5" s="945">
        <v>2009</v>
      </c>
      <c r="L5" s="945">
        <v>2010</v>
      </c>
      <c r="M5" s="945">
        <v>2011</v>
      </c>
      <c r="N5" s="945">
        <v>2012</v>
      </c>
      <c r="O5" s="945">
        <v>2013</v>
      </c>
      <c r="P5" s="945">
        <v>2014</v>
      </c>
      <c r="Q5" s="945">
        <v>2015</v>
      </c>
      <c r="R5" s="945">
        <v>2016</v>
      </c>
      <c r="S5" s="979">
        <v>2017</v>
      </c>
      <c r="T5" s="980">
        <v>2018</v>
      </c>
      <c r="U5" s="981" t="s">
        <v>326</v>
      </c>
    </row>
    <row r="6" spans="1:21" ht="15" customHeight="1">
      <c r="A6" s="396" t="s">
        <v>56</v>
      </c>
      <c r="B6" s="975">
        <f t="shared" ref="B6:H6" si="0">SUM(B7:B18)</f>
        <v>438717</v>
      </c>
      <c r="C6" s="975">
        <f t="shared" si="0"/>
        <v>223581</v>
      </c>
      <c r="D6" s="975">
        <f t="shared" si="0"/>
        <v>125632</v>
      </c>
      <c r="E6" s="975">
        <f t="shared" si="0"/>
        <v>0</v>
      </c>
      <c r="F6" s="975">
        <f t="shared" si="0"/>
        <v>105160</v>
      </c>
      <c r="G6" s="975">
        <f t="shared" si="0"/>
        <v>183044</v>
      </c>
      <c r="H6" s="975">
        <f t="shared" si="0"/>
        <v>145600</v>
      </c>
      <c r="I6" s="975">
        <v>197140</v>
      </c>
      <c r="J6" s="975">
        <v>45240</v>
      </c>
      <c r="K6" s="975">
        <v>10000</v>
      </c>
      <c r="L6" s="983">
        <v>129410</v>
      </c>
      <c r="M6" s="983">
        <v>270440</v>
      </c>
      <c r="N6" s="983">
        <v>378428</v>
      </c>
      <c r="O6" s="983">
        <v>546936</v>
      </c>
      <c r="P6" s="983">
        <v>751260</v>
      </c>
      <c r="Q6" s="983">
        <v>265256</v>
      </c>
      <c r="R6" s="983">
        <v>208187</v>
      </c>
      <c r="S6" s="983">
        <v>259967</v>
      </c>
      <c r="T6" s="983">
        <f>SUM(T7:T18)</f>
        <v>1209824</v>
      </c>
      <c r="U6" s="983">
        <f>SUM(U7:U18)</f>
        <v>1143906</v>
      </c>
    </row>
    <row r="7" spans="1:21" ht="14" customHeight="1">
      <c r="A7" s="144" t="s">
        <v>57</v>
      </c>
      <c r="B7" s="174">
        <v>77800</v>
      </c>
      <c r="C7" s="174">
        <v>52981</v>
      </c>
      <c r="D7" s="174">
        <v>21000</v>
      </c>
      <c r="E7" s="174">
        <v>0</v>
      </c>
      <c r="F7" s="174">
        <v>0</v>
      </c>
      <c r="G7" s="174">
        <v>0</v>
      </c>
      <c r="H7" s="174">
        <v>0</v>
      </c>
      <c r="I7" s="174">
        <v>22000</v>
      </c>
      <c r="J7" s="174">
        <v>27040</v>
      </c>
      <c r="K7" s="145">
        <v>0</v>
      </c>
      <c r="L7" s="984">
        <v>0</v>
      </c>
      <c r="M7" s="984">
        <v>10400</v>
      </c>
      <c r="N7" s="984">
        <v>0</v>
      </c>
      <c r="O7" s="984">
        <v>78000</v>
      </c>
      <c r="P7" s="984">
        <v>0</v>
      </c>
      <c r="Q7" s="984">
        <v>0</v>
      </c>
      <c r="R7" s="984">
        <v>16668</v>
      </c>
      <c r="S7" s="984">
        <v>36400</v>
      </c>
      <c r="T7" s="984">
        <v>108160</v>
      </c>
      <c r="U7" s="984">
        <v>198932</v>
      </c>
    </row>
    <row r="8" spans="1:21" ht="14" customHeight="1">
      <c r="A8" s="144" t="s">
        <v>58</v>
      </c>
      <c r="B8" s="174">
        <v>41800</v>
      </c>
      <c r="C8" s="174">
        <v>0</v>
      </c>
      <c r="D8" s="174">
        <v>14000</v>
      </c>
      <c r="E8" s="174">
        <v>0</v>
      </c>
      <c r="F8" s="174">
        <v>0</v>
      </c>
      <c r="G8" s="174">
        <v>25200</v>
      </c>
      <c r="H8" s="174">
        <v>27040</v>
      </c>
      <c r="I8" s="174">
        <v>0</v>
      </c>
      <c r="J8" s="174">
        <v>0</v>
      </c>
      <c r="K8" s="145">
        <v>0</v>
      </c>
      <c r="L8" s="984">
        <v>0</v>
      </c>
      <c r="M8" s="984">
        <v>10400</v>
      </c>
      <c r="N8" s="985">
        <v>0</v>
      </c>
      <c r="O8" s="985">
        <v>20800</v>
      </c>
      <c r="P8" s="985">
        <v>15000</v>
      </c>
      <c r="Q8" s="985">
        <v>65520</v>
      </c>
      <c r="R8" s="985">
        <v>15600</v>
      </c>
      <c r="S8" s="985">
        <v>0</v>
      </c>
      <c r="T8" s="985">
        <v>0</v>
      </c>
      <c r="U8" s="985">
        <v>153881</v>
      </c>
    </row>
    <row r="9" spans="1:21" ht="14" customHeight="1">
      <c r="A9" s="144" t="s">
        <v>59</v>
      </c>
      <c r="B9" s="174">
        <v>69806</v>
      </c>
      <c r="C9" s="174">
        <v>12000</v>
      </c>
      <c r="D9" s="174">
        <v>32495</v>
      </c>
      <c r="E9" s="174">
        <v>0</v>
      </c>
      <c r="F9" s="174">
        <v>11440</v>
      </c>
      <c r="G9" s="174">
        <v>5000</v>
      </c>
      <c r="H9" s="174">
        <v>27040</v>
      </c>
      <c r="I9" s="174">
        <v>0</v>
      </c>
      <c r="J9" s="174">
        <v>0</v>
      </c>
      <c r="K9" s="145">
        <v>0</v>
      </c>
      <c r="L9" s="984">
        <v>0</v>
      </c>
      <c r="M9" s="985">
        <v>15200</v>
      </c>
      <c r="N9" s="985">
        <v>0</v>
      </c>
      <c r="O9" s="985">
        <v>104000</v>
      </c>
      <c r="P9" s="985">
        <v>99216</v>
      </c>
      <c r="Q9" s="985">
        <v>20800</v>
      </c>
      <c r="R9" s="985">
        <v>15600</v>
      </c>
      <c r="S9" s="985">
        <v>23920</v>
      </c>
      <c r="T9" s="985">
        <v>37960</v>
      </c>
      <c r="U9" s="985">
        <v>90600</v>
      </c>
    </row>
    <row r="10" spans="1:21" ht="14" customHeight="1">
      <c r="A10" s="144" t="s">
        <v>60</v>
      </c>
      <c r="B10" s="174">
        <v>47705</v>
      </c>
      <c r="C10" s="174">
        <v>30000</v>
      </c>
      <c r="D10" s="174">
        <v>0</v>
      </c>
      <c r="E10" s="174">
        <v>0</v>
      </c>
      <c r="F10" s="174">
        <v>11440</v>
      </c>
      <c r="G10" s="174">
        <v>0</v>
      </c>
      <c r="H10" s="174">
        <v>0</v>
      </c>
      <c r="I10" s="174">
        <v>27040</v>
      </c>
      <c r="J10" s="174">
        <v>0</v>
      </c>
      <c r="K10" s="145">
        <v>0</v>
      </c>
      <c r="L10" s="984">
        <v>31200</v>
      </c>
      <c r="M10" s="985">
        <v>47840</v>
      </c>
      <c r="N10" s="985">
        <v>0</v>
      </c>
      <c r="O10" s="985">
        <v>0</v>
      </c>
      <c r="P10" s="985">
        <v>89544</v>
      </c>
      <c r="Q10" s="985">
        <v>28288</v>
      </c>
      <c r="R10" s="985">
        <v>15600</v>
      </c>
      <c r="S10" s="985">
        <v>20611</v>
      </c>
      <c r="T10" s="985">
        <v>125632</v>
      </c>
      <c r="U10" s="985">
        <v>138096</v>
      </c>
    </row>
    <row r="11" spans="1:21" ht="14" customHeight="1">
      <c r="A11" s="144" t="s">
        <v>61</v>
      </c>
      <c r="B11" s="174">
        <v>32300</v>
      </c>
      <c r="C11" s="174">
        <v>0</v>
      </c>
      <c r="D11" s="174">
        <v>0</v>
      </c>
      <c r="E11" s="174">
        <v>0</v>
      </c>
      <c r="F11" s="174">
        <v>0</v>
      </c>
      <c r="G11" s="174">
        <v>0</v>
      </c>
      <c r="H11" s="174">
        <v>0</v>
      </c>
      <c r="I11" s="174">
        <v>27040</v>
      </c>
      <c r="J11" s="174">
        <v>18200</v>
      </c>
      <c r="K11" s="145">
        <v>0</v>
      </c>
      <c r="L11" s="984">
        <v>3900</v>
      </c>
      <c r="M11" s="985">
        <v>28000</v>
      </c>
      <c r="N11" s="985">
        <v>0</v>
      </c>
      <c r="O11" s="985">
        <v>41600</v>
      </c>
      <c r="P11" s="985">
        <v>124116</v>
      </c>
      <c r="Q11" s="985">
        <v>2080</v>
      </c>
      <c r="R11" s="985">
        <v>31200</v>
      </c>
      <c r="S11" s="985">
        <v>36400</v>
      </c>
      <c r="T11" s="985">
        <v>112528</v>
      </c>
      <c r="U11" s="985">
        <v>12480</v>
      </c>
    </row>
    <row r="12" spans="1:21" ht="14" customHeight="1">
      <c r="A12" s="144" t="s">
        <v>62</v>
      </c>
      <c r="B12" s="174">
        <v>18006</v>
      </c>
      <c r="C12" s="174">
        <v>21000</v>
      </c>
      <c r="D12" s="174">
        <v>28000</v>
      </c>
      <c r="E12" s="174">
        <v>0</v>
      </c>
      <c r="F12" s="174">
        <v>0</v>
      </c>
      <c r="G12" s="174">
        <v>24960</v>
      </c>
      <c r="H12" s="174">
        <v>12480</v>
      </c>
      <c r="I12" s="174">
        <v>18100</v>
      </c>
      <c r="J12" s="174">
        <v>0</v>
      </c>
      <c r="K12" s="145">
        <v>0</v>
      </c>
      <c r="L12" s="984">
        <v>0</v>
      </c>
      <c r="M12" s="985">
        <v>0</v>
      </c>
      <c r="N12" s="985">
        <v>54288</v>
      </c>
      <c r="O12" s="985">
        <v>45760</v>
      </c>
      <c r="P12" s="985">
        <v>96876</v>
      </c>
      <c r="Q12" s="985">
        <v>0</v>
      </c>
      <c r="R12" s="985">
        <v>43386</v>
      </c>
      <c r="S12" s="985">
        <v>40560</v>
      </c>
      <c r="T12" s="985">
        <v>106912</v>
      </c>
      <c r="U12" s="985">
        <v>178776</v>
      </c>
    </row>
    <row r="13" spans="1:21" ht="14" customHeight="1">
      <c r="A13" s="144" t="s">
        <v>63</v>
      </c>
      <c r="B13" s="174">
        <v>20800</v>
      </c>
      <c r="C13" s="174">
        <v>24000</v>
      </c>
      <c r="D13" s="174">
        <v>0</v>
      </c>
      <c r="E13" s="174">
        <v>0</v>
      </c>
      <c r="F13" s="174">
        <v>34440</v>
      </c>
      <c r="G13" s="174">
        <v>0</v>
      </c>
      <c r="H13" s="174">
        <v>24960</v>
      </c>
      <c r="I13" s="174">
        <v>0</v>
      </c>
      <c r="J13" s="174">
        <v>0</v>
      </c>
      <c r="K13" s="145">
        <v>0</v>
      </c>
      <c r="L13" s="984">
        <v>0</v>
      </c>
      <c r="M13" s="985">
        <v>0</v>
      </c>
      <c r="N13" s="985">
        <v>37440</v>
      </c>
      <c r="O13" s="985">
        <v>48256</v>
      </c>
      <c r="P13" s="985">
        <v>67600</v>
      </c>
      <c r="Q13" s="985">
        <v>0</v>
      </c>
      <c r="R13" s="985">
        <v>24373</v>
      </c>
      <c r="S13" s="985">
        <v>40560</v>
      </c>
      <c r="T13" s="985">
        <v>196560</v>
      </c>
      <c r="U13" s="985">
        <v>153656</v>
      </c>
    </row>
    <row r="14" spans="1:21" ht="14" customHeight="1">
      <c r="A14" s="144" t="s">
        <v>64</v>
      </c>
      <c r="B14" s="174">
        <v>32000</v>
      </c>
      <c r="C14" s="174">
        <v>28000</v>
      </c>
      <c r="D14" s="174">
        <v>0</v>
      </c>
      <c r="E14" s="174">
        <v>0</v>
      </c>
      <c r="F14" s="174">
        <v>5000</v>
      </c>
      <c r="G14" s="174">
        <v>40040</v>
      </c>
      <c r="H14" s="174">
        <v>0</v>
      </c>
      <c r="I14" s="174">
        <v>45760</v>
      </c>
      <c r="J14" s="174">
        <v>0</v>
      </c>
      <c r="K14" s="145">
        <v>0</v>
      </c>
      <c r="L14" s="984">
        <v>0</v>
      </c>
      <c r="M14" s="985">
        <v>20000</v>
      </c>
      <c r="N14" s="985">
        <v>94120</v>
      </c>
      <c r="O14" s="985">
        <v>99216</v>
      </c>
      <c r="P14" s="985">
        <v>34020</v>
      </c>
      <c r="Q14" s="985">
        <v>39728</v>
      </c>
      <c r="R14" s="985">
        <v>0</v>
      </c>
      <c r="S14" s="985">
        <v>0</v>
      </c>
      <c r="T14" s="985">
        <v>98272</v>
      </c>
      <c r="U14" s="985">
        <v>86320</v>
      </c>
    </row>
    <row r="15" spans="1:21" ht="14" customHeight="1">
      <c r="A15" s="144" t="s">
        <v>65</v>
      </c>
      <c r="B15" s="174">
        <v>30000</v>
      </c>
      <c r="C15" s="174">
        <v>0</v>
      </c>
      <c r="D15" s="174">
        <v>5177</v>
      </c>
      <c r="E15" s="174">
        <v>0</v>
      </c>
      <c r="F15" s="174">
        <v>17640</v>
      </c>
      <c r="G15" s="174">
        <v>18580</v>
      </c>
      <c r="H15" s="174">
        <v>0</v>
      </c>
      <c r="I15" s="174">
        <v>0</v>
      </c>
      <c r="J15" s="174">
        <v>0</v>
      </c>
      <c r="K15" s="145">
        <v>0</v>
      </c>
      <c r="L15" s="984">
        <v>0</v>
      </c>
      <c r="M15" s="985">
        <v>60000</v>
      </c>
      <c r="N15" s="985">
        <v>17600</v>
      </c>
      <c r="O15" s="985">
        <v>67704</v>
      </c>
      <c r="P15" s="985">
        <v>91040</v>
      </c>
      <c r="Q15" s="985">
        <v>2600</v>
      </c>
      <c r="R15" s="985">
        <v>13520</v>
      </c>
      <c r="S15" s="985">
        <v>0</v>
      </c>
      <c r="T15" s="985">
        <v>94016</v>
      </c>
      <c r="U15" s="985">
        <v>72800</v>
      </c>
    </row>
    <row r="16" spans="1:21" ht="14" customHeight="1">
      <c r="A16" s="144" t="s">
        <v>66</v>
      </c>
      <c r="B16" s="174">
        <v>48500</v>
      </c>
      <c r="C16" s="174">
        <v>21000</v>
      </c>
      <c r="D16" s="174">
        <v>24960</v>
      </c>
      <c r="E16" s="174">
        <v>0</v>
      </c>
      <c r="F16" s="174">
        <v>0</v>
      </c>
      <c r="G16" s="174">
        <v>0</v>
      </c>
      <c r="H16" s="174">
        <v>27040</v>
      </c>
      <c r="I16" s="174">
        <v>26000</v>
      </c>
      <c r="J16" s="174">
        <v>0</v>
      </c>
      <c r="K16" s="145">
        <v>10000</v>
      </c>
      <c r="L16" s="984">
        <v>40768</v>
      </c>
      <c r="M16" s="985">
        <v>50000</v>
      </c>
      <c r="N16" s="985">
        <v>22880</v>
      </c>
      <c r="O16" s="985">
        <v>0</v>
      </c>
      <c r="P16" s="985">
        <v>29536</v>
      </c>
      <c r="Q16" s="985">
        <v>49712</v>
      </c>
      <c r="R16" s="985">
        <v>12480</v>
      </c>
      <c r="S16" s="985">
        <v>40716</v>
      </c>
      <c r="T16" s="985">
        <v>116168</v>
      </c>
      <c r="U16" s="985">
        <v>58365</v>
      </c>
    </row>
    <row r="17" spans="1:21" ht="14" customHeight="1">
      <c r="A17" s="144" t="s">
        <v>67</v>
      </c>
      <c r="B17" s="174">
        <v>0</v>
      </c>
      <c r="C17" s="174">
        <v>28600</v>
      </c>
      <c r="D17" s="174">
        <v>0</v>
      </c>
      <c r="E17" s="174">
        <v>0</v>
      </c>
      <c r="F17" s="174">
        <v>0</v>
      </c>
      <c r="G17" s="174">
        <v>48464</v>
      </c>
      <c r="H17" s="174">
        <v>0</v>
      </c>
      <c r="I17" s="174">
        <v>31200</v>
      </c>
      <c r="J17" s="174">
        <v>0</v>
      </c>
      <c r="K17" s="145">
        <v>0</v>
      </c>
      <c r="L17" s="984">
        <v>0</v>
      </c>
      <c r="M17" s="985">
        <v>28600</v>
      </c>
      <c r="N17" s="985">
        <v>72800</v>
      </c>
      <c r="O17" s="985">
        <v>41600</v>
      </c>
      <c r="P17" s="985">
        <v>84760</v>
      </c>
      <c r="Q17" s="985">
        <v>24080</v>
      </c>
      <c r="R17" s="985">
        <v>0</v>
      </c>
      <c r="S17" s="985">
        <v>20800</v>
      </c>
      <c r="T17" s="985">
        <v>164216</v>
      </c>
      <c r="U17" s="985">
        <v>0</v>
      </c>
    </row>
    <row r="18" spans="1:21" ht="14" customHeight="1" thickBot="1">
      <c r="A18" s="147" t="s">
        <v>68</v>
      </c>
      <c r="B18" s="175">
        <v>20000</v>
      </c>
      <c r="C18" s="175">
        <v>6000</v>
      </c>
      <c r="D18" s="175">
        <v>0</v>
      </c>
      <c r="E18" s="175">
        <v>0</v>
      </c>
      <c r="F18" s="175">
        <v>25200</v>
      </c>
      <c r="G18" s="175">
        <v>20800</v>
      </c>
      <c r="H18" s="175">
        <v>27040</v>
      </c>
      <c r="I18" s="175">
        <v>0</v>
      </c>
      <c r="J18" s="175">
        <v>0</v>
      </c>
      <c r="K18" s="175">
        <v>0</v>
      </c>
      <c r="L18" s="986">
        <v>0</v>
      </c>
      <c r="M18" s="986">
        <v>0</v>
      </c>
      <c r="N18" s="986">
        <v>79300</v>
      </c>
      <c r="O18" s="986">
        <v>0</v>
      </c>
      <c r="P18" s="986">
        <v>19552</v>
      </c>
      <c r="Q18" s="986">
        <v>32448</v>
      </c>
      <c r="R18" s="986">
        <v>19760</v>
      </c>
      <c r="S18" s="986">
        <v>0</v>
      </c>
      <c r="T18" s="986">
        <v>49400</v>
      </c>
      <c r="U18" s="986">
        <v>0</v>
      </c>
    </row>
    <row r="19" spans="1:21" ht="10" customHeight="1">
      <c r="A19" s="28" t="s">
        <v>238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</row>
    <row r="20" spans="1:21" ht="10" customHeight="1">
      <c r="A20" s="982" t="s">
        <v>194</v>
      </c>
      <c r="B20" s="365"/>
      <c r="C20" s="365"/>
      <c r="D20" s="365"/>
      <c r="E20" s="365"/>
      <c r="F20" s="365"/>
      <c r="G20" s="365"/>
      <c r="H20" s="365"/>
      <c r="I20" s="365"/>
      <c r="J20" s="365"/>
      <c r="K20" s="365"/>
      <c r="L20" s="365"/>
      <c r="M20" s="365"/>
      <c r="N20" s="365"/>
      <c r="O20" s="365"/>
      <c r="P20" s="365"/>
      <c r="Q20" s="365"/>
      <c r="R20" s="365"/>
      <c r="S20" s="365"/>
      <c r="T20" s="365"/>
      <c r="U20" s="365"/>
    </row>
    <row r="21" spans="1:21" ht="10" customHeight="1">
      <c r="A21" s="40" t="s">
        <v>261</v>
      </c>
      <c r="B21" s="365"/>
      <c r="C21" s="365"/>
      <c r="D21" s="365"/>
      <c r="E21" s="365"/>
      <c r="F21" s="365"/>
      <c r="G21" s="365"/>
      <c r="H21" s="365"/>
      <c r="I21" s="365"/>
      <c r="J21" s="365"/>
      <c r="K21" s="365"/>
      <c r="L21" s="365"/>
      <c r="M21" s="365"/>
      <c r="N21" s="365"/>
      <c r="O21" s="365"/>
      <c r="P21" s="365"/>
      <c r="Q21" s="365"/>
      <c r="R21" s="365"/>
      <c r="S21" s="365"/>
      <c r="T21" s="365"/>
      <c r="U21" s="365"/>
    </row>
    <row r="23" spans="1:21" ht="13" customHeight="1">
      <c r="A23" s="512" t="s">
        <v>339</v>
      </c>
      <c r="B23" s="508"/>
      <c r="C23" s="508"/>
      <c r="D23" s="508"/>
      <c r="E23" s="508"/>
      <c r="F23" s="508"/>
      <c r="G23" s="508"/>
      <c r="H23" s="508"/>
      <c r="I23" s="508"/>
      <c r="J23" s="508"/>
      <c r="K23" s="508"/>
      <c r="L23" s="508"/>
      <c r="M23" s="508"/>
      <c r="N23" s="508"/>
      <c r="O23" s="508"/>
      <c r="P23" s="508"/>
      <c r="Q23" s="508"/>
      <c r="R23" s="508"/>
      <c r="S23" s="508"/>
      <c r="T23" s="508"/>
      <c r="U23" s="508"/>
    </row>
    <row r="24" spans="1:21" ht="13" customHeight="1">
      <c r="A24" s="389" t="s">
        <v>428</v>
      </c>
      <c r="B24" s="508"/>
      <c r="C24" s="508"/>
      <c r="D24" s="508"/>
      <c r="E24" s="508"/>
      <c r="F24" s="508"/>
      <c r="G24" s="508"/>
      <c r="H24" s="508"/>
      <c r="I24" s="508"/>
      <c r="J24" s="508"/>
      <c r="K24" s="508"/>
      <c r="L24" s="508"/>
      <c r="M24" s="508"/>
      <c r="N24" s="508"/>
      <c r="O24" s="508"/>
      <c r="P24" s="508"/>
      <c r="Q24" s="508"/>
      <c r="R24" s="508"/>
      <c r="S24" s="508"/>
      <c r="T24" s="508"/>
      <c r="U24" s="508"/>
    </row>
    <row r="25" spans="1:21" ht="4" customHeight="1" thickBot="1"/>
    <row r="26" spans="1:21" ht="15" customHeight="1">
      <c r="A26" s="945" t="s">
        <v>122</v>
      </c>
      <c r="B26" s="945">
        <v>2000</v>
      </c>
      <c r="C26" s="945">
        <v>2001</v>
      </c>
      <c r="D26" s="945">
        <v>2002</v>
      </c>
      <c r="E26" s="945">
        <v>2003</v>
      </c>
      <c r="F26" s="945">
        <v>2004</v>
      </c>
      <c r="G26" s="945">
        <v>2005</v>
      </c>
      <c r="H26" s="945">
        <v>2006</v>
      </c>
      <c r="I26" s="945">
        <v>2007</v>
      </c>
      <c r="J26" s="945">
        <v>2008</v>
      </c>
      <c r="K26" s="945">
        <v>2009</v>
      </c>
      <c r="L26" s="945">
        <v>2010</v>
      </c>
      <c r="M26" s="945">
        <v>2011</v>
      </c>
      <c r="N26" s="945">
        <v>2012</v>
      </c>
      <c r="O26" s="945">
        <v>2013</v>
      </c>
      <c r="P26" s="945">
        <v>2014</v>
      </c>
      <c r="Q26" s="945">
        <v>2015</v>
      </c>
      <c r="R26" s="945">
        <v>2016</v>
      </c>
      <c r="S26" s="979">
        <v>2017</v>
      </c>
      <c r="T26" s="980">
        <v>2018</v>
      </c>
      <c r="U26" s="981" t="s">
        <v>326</v>
      </c>
    </row>
    <row r="27" spans="1:21" ht="15" customHeight="1">
      <c r="A27" s="396" t="s">
        <v>56</v>
      </c>
      <c r="B27" s="975">
        <f t="shared" ref="B27:H27" si="1">SUM(B28:B39)</f>
        <v>2517287</v>
      </c>
      <c r="C27" s="975">
        <f t="shared" si="1"/>
        <v>2854396</v>
      </c>
      <c r="D27" s="975">
        <f t="shared" si="1"/>
        <v>3460766</v>
      </c>
      <c r="E27" s="975">
        <f t="shared" si="1"/>
        <v>3601261</v>
      </c>
      <c r="F27" s="975">
        <f t="shared" si="1"/>
        <v>3868931</v>
      </c>
      <c r="G27" s="975">
        <f t="shared" si="1"/>
        <v>5082775</v>
      </c>
      <c r="H27" s="975">
        <f t="shared" si="1"/>
        <v>5567292</v>
      </c>
      <c r="I27" s="975">
        <v>5082775</v>
      </c>
      <c r="J27" s="975">
        <v>5567292</v>
      </c>
      <c r="K27" s="975">
        <v>5713440</v>
      </c>
      <c r="L27" s="994">
        <v>6416520</v>
      </c>
      <c r="M27" s="994">
        <v>5539355</v>
      </c>
      <c r="N27" s="994">
        <v>6641109</v>
      </c>
      <c r="O27" s="994">
        <v>6008556</v>
      </c>
      <c r="P27" s="994">
        <v>5634072</v>
      </c>
      <c r="Q27" s="994">
        <v>6790745</v>
      </c>
      <c r="R27" s="994">
        <v>5919804</v>
      </c>
      <c r="S27" s="994">
        <v>5589151</v>
      </c>
      <c r="T27" s="994">
        <f>SUM(T28:T39)</f>
        <v>4972322</v>
      </c>
      <c r="U27" s="994">
        <f>SUM(U28:U39)</f>
        <v>5401260</v>
      </c>
    </row>
    <row r="28" spans="1:21" ht="14" customHeight="1">
      <c r="A28" s="946" t="s">
        <v>57</v>
      </c>
      <c r="B28" s="145">
        <v>198400</v>
      </c>
      <c r="C28" s="145">
        <v>259773</v>
      </c>
      <c r="D28" s="145">
        <v>328435</v>
      </c>
      <c r="E28" s="145">
        <v>355152</v>
      </c>
      <c r="F28" s="145">
        <v>349903</v>
      </c>
      <c r="G28" s="145">
        <f>+[4]SERIE!I164</f>
        <v>407082</v>
      </c>
      <c r="H28" s="145">
        <f>+[4]SERIE!I176</f>
        <v>462953</v>
      </c>
      <c r="I28" s="145">
        <v>407082</v>
      </c>
      <c r="J28" s="145">
        <v>462953</v>
      </c>
      <c r="K28" s="145">
        <v>476043</v>
      </c>
      <c r="L28" s="404">
        <v>495035</v>
      </c>
      <c r="M28" s="404">
        <v>450130</v>
      </c>
      <c r="N28" s="404">
        <v>469237</v>
      </c>
      <c r="O28" s="404">
        <v>460020</v>
      </c>
      <c r="P28" s="404">
        <v>497868</v>
      </c>
      <c r="Q28" s="404">
        <v>597033</v>
      </c>
      <c r="R28" s="404">
        <v>521902</v>
      </c>
      <c r="S28" s="404">
        <v>522154</v>
      </c>
      <c r="T28" s="404">
        <v>514818</v>
      </c>
      <c r="U28" s="404">
        <v>473293</v>
      </c>
    </row>
    <row r="29" spans="1:21" ht="14" customHeight="1">
      <c r="A29" s="946" t="s">
        <v>58</v>
      </c>
      <c r="B29" s="145">
        <v>221160</v>
      </c>
      <c r="C29" s="145">
        <v>197979</v>
      </c>
      <c r="D29" s="145">
        <v>281375</v>
      </c>
      <c r="E29" s="145">
        <v>313926</v>
      </c>
      <c r="F29" s="145">
        <v>297479</v>
      </c>
      <c r="G29" s="145">
        <f>+[4]SERIE!I165</f>
        <v>351260</v>
      </c>
      <c r="H29" s="174">
        <f>+[4]SERIE!I177</f>
        <v>446543</v>
      </c>
      <c r="I29" s="174">
        <v>351260</v>
      </c>
      <c r="J29" s="174">
        <v>446543</v>
      </c>
      <c r="K29" s="174">
        <v>465960</v>
      </c>
      <c r="L29" s="407">
        <v>501877</v>
      </c>
      <c r="M29" s="407">
        <v>489200</v>
      </c>
      <c r="N29" s="407">
        <v>501840</v>
      </c>
      <c r="O29" s="407">
        <v>553456</v>
      </c>
      <c r="P29" s="407">
        <v>489264</v>
      </c>
      <c r="Q29" s="407">
        <v>576902</v>
      </c>
      <c r="R29" s="407">
        <v>481371</v>
      </c>
      <c r="S29" s="407">
        <v>416274</v>
      </c>
      <c r="T29" s="407">
        <v>361575</v>
      </c>
      <c r="U29" s="407">
        <v>521966</v>
      </c>
    </row>
    <row r="30" spans="1:21" ht="14" customHeight="1">
      <c r="A30" s="946" t="s">
        <v>59</v>
      </c>
      <c r="B30" s="145">
        <v>220800</v>
      </c>
      <c r="C30" s="145">
        <v>204071</v>
      </c>
      <c r="D30" s="145">
        <v>272818</v>
      </c>
      <c r="E30" s="145">
        <v>288890</v>
      </c>
      <c r="F30" s="145">
        <v>335253</v>
      </c>
      <c r="G30" s="145">
        <f>+[4]SERIE!I166</f>
        <v>424860</v>
      </c>
      <c r="H30" s="174">
        <f>+[4]SERIE!I178</f>
        <v>556210</v>
      </c>
      <c r="I30" s="174">
        <v>424860</v>
      </c>
      <c r="J30" s="174">
        <v>556210</v>
      </c>
      <c r="K30" s="174">
        <v>446771</v>
      </c>
      <c r="L30" s="407">
        <v>499491</v>
      </c>
      <c r="M30" s="407">
        <v>490874</v>
      </c>
      <c r="N30" s="407">
        <v>580840</v>
      </c>
      <c r="O30" s="407">
        <v>477430</v>
      </c>
      <c r="P30" s="407">
        <v>417645</v>
      </c>
      <c r="Q30" s="407">
        <v>587217</v>
      </c>
      <c r="R30" s="407">
        <v>432500</v>
      </c>
      <c r="S30" s="407">
        <v>374796</v>
      </c>
      <c r="T30" s="407">
        <v>439635</v>
      </c>
      <c r="U30" s="407">
        <v>398334</v>
      </c>
    </row>
    <row r="31" spans="1:21" ht="14" customHeight="1">
      <c r="A31" s="946" t="s">
        <v>60</v>
      </c>
      <c r="B31" s="145">
        <v>209630</v>
      </c>
      <c r="C31" s="145">
        <v>270550</v>
      </c>
      <c r="D31" s="145">
        <v>274124</v>
      </c>
      <c r="E31" s="145">
        <v>313460</v>
      </c>
      <c r="F31" s="145">
        <v>307314</v>
      </c>
      <c r="G31" s="145">
        <f>+[4]SERIE!I167</f>
        <v>364950</v>
      </c>
      <c r="H31" s="174">
        <f>+[4]SERIE!I179</f>
        <v>429308</v>
      </c>
      <c r="I31" s="174">
        <v>364950</v>
      </c>
      <c r="J31" s="174">
        <v>429308</v>
      </c>
      <c r="K31" s="174">
        <v>445115</v>
      </c>
      <c r="L31" s="407">
        <v>591928</v>
      </c>
      <c r="M31" s="407">
        <v>279604</v>
      </c>
      <c r="N31" s="407">
        <v>599528</v>
      </c>
      <c r="O31" s="407">
        <v>463187</v>
      </c>
      <c r="P31" s="407">
        <v>474662</v>
      </c>
      <c r="Q31" s="407">
        <v>604920</v>
      </c>
      <c r="R31" s="407">
        <v>553448</v>
      </c>
      <c r="S31" s="407">
        <v>411360</v>
      </c>
      <c r="T31" s="407">
        <v>382538</v>
      </c>
      <c r="U31" s="407">
        <v>399207</v>
      </c>
    </row>
    <row r="32" spans="1:21" ht="14" customHeight="1">
      <c r="A32" s="946" t="s">
        <v>61</v>
      </c>
      <c r="B32" s="145">
        <v>194290</v>
      </c>
      <c r="C32" s="145">
        <v>214825</v>
      </c>
      <c r="D32" s="145">
        <v>302038</v>
      </c>
      <c r="E32" s="145">
        <v>237867</v>
      </c>
      <c r="F32" s="145">
        <v>293398</v>
      </c>
      <c r="G32" s="145">
        <f>+[4]SERIE!I168</f>
        <v>393275</v>
      </c>
      <c r="H32" s="174">
        <f>+[4]SERIE!I180</f>
        <v>534149</v>
      </c>
      <c r="I32" s="174">
        <v>393275</v>
      </c>
      <c r="J32" s="174">
        <v>534149</v>
      </c>
      <c r="K32" s="174">
        <v>444863</v>
      </c>
      <c r="L32" s="407">
        <v>495036</v>
      </c>
      <c r="M32" s="407">
        <v>456473</v>
      </c>
      <c r="N32" s="407">
        <v>666964</v>
      </c>
      <c r="O32" s="407">
        <v>551214</v>
      </c>
      <c r="P32" s="407">
        <v>422834</v>
      </c>
      <c r="Q32" s="407">
        <v>628853</v>
      </c>
      <c r="R32" s="407">
        <v>563836</v>
      </c>
      <c r="S32" s="407">
        <v>470724</v>
      </c>
      <c r="T32" s="407">
        <v>469548</v>
      </c>
      <c r="U32" s="407">
        <v>389790</v>
      </c>
    </row>
    <row r="33" spans="1:21" ht="14" customHeight="1">
      <c r="A33" s="946" t="s">
        <v>62</v>
      </c>
      <c r="B33" s="145">
        <v>216025</v>
      </c>
      <c r="C33" s="145">
        <v>236450</v>
      </c>
      <c r="D33" s="145">
        <v>276156</v>
      </c>
      <c r="E33" s="145">
        <v>208231</v>
      </c>
      <c r="F33" s="145">
        <v>276463</v>
      </c>
      <c r="G33" s="145">
        <f>+[4]SERIE!I169</f>
        <v>389883</v>
      </c>
      <c r="H33" s="174">
        <f>+[4]SERIE!I181</f>
        <v>407890</v>
      </c>
      <c r="I33" s="174">
        <v>389883</v>
      </c>
      <c r="J33" s="174">
        <v>407890</v>
      </c>
      <c r="K33" s="174">
        <v>472433</v>
      </c>
      <c r="L33" s="407">
        <v>505065</v>
      </c>
      <c r="M33" s="407">
        <v>390909</v>
      </c>
      <c r="N33" s="407">
        <v>510189</v>
      </c>
      <c r="O33" s="407">
        <v>453385</v>
      </c>
      <c r="P33" s="407">
        <v>473879</v>
      </c>
      <c r="Q33" s="407">
        <v>666963</v>
      </c>
      <c r="R33" s="407">
        <v>461644</v>
      </c>
      <c r="S33" s="407">
        <v>528692</v>
      </c>
      <c r="T33" s="407">
        <v>387460</v>
      </c>
      <c r="U33" s="407">
        <v>372646</v>
      </c>
    </row>
    <row r="34" spans="1:21" ht="14" customHeight="1">
      <c r="A34" s="946" t="s">
        <v>63</v>
      </c>
      <c r="B34" s="145">
        <v>180145</v>
      </c>
      <c r="C34" s="145">
        <v>276014</v>
      </c>
      <c r="D34" s="145">
        <v>329687</v>
      </c>
      <c r="E34" s="145">
        <v>294514</v>
      </c>
      <c r="F34" s="145">
        <v>311321</v>
      </c>
      <c r="G34" s="145">
        <f>+[4]SERIE!I170</f>
        <v>379086</v>
      </c>
      <c r="H34" s="174">
        <f>+[4]SERIE!I182</f>
        <v>405155</v>
      </c>
      <c r="I34" s="174">
        <v>379086</v>
      </c>
      <c r="J34" s="174">
        <v>405155</v>
      </c>
      <c r="K34" s="174">
        <v>513398</v>
      </c>
      <c r="L34" s="407">
        <v>496124</v>
      </c>
      <c r="M34" s="407">
        <v>461786</v>
      </c>
      <c r="N34" s="407">
        <v>582066</v>
      </c>
      <c r="O34" s="407">
        <v>462111</v>
      </c>
      <c r="P34" s="407">
        <v>469894</v>
      </c>
      <c r="Q34" s="407">
        <v>369752</v>
      </c>
      <c r="R34" s="407">
        <v>540121</v>
      </c>
      <c r="S34" s="407">
        <v>533159</v>
      </c>
      <c r="T34" s="407">
        <v>401073</v>
      </c>
      <c r="U34" s="407">
        <v>440835</v>
      </c>
    </row>
    <row r="35" spans="1:21" ht="14" customHeight="1">
      <c r="A35" s="946" t="s">
        <v>64</v>
      </c>
      <c r="B35" s="145">
        <v>226335</v>
      </c>
      <c r="C35" s="145">
        <v>230194</v>
      </c>
      <c r="D35" s="145">
        <v>306170</v>
      </c>
      <c r="E35" s="145">
        <v>301548</v>
      </c>
      <c r="F35" s="145">
        <v>336139</v>
      </c>
      <c r="G35" s="145">
        <f>+[4]SERIE!I171</f>
        <v>397686</v>
      </c>
      <c r="H35" s="174">
        <f>+[4]SERIE!I183</f>
        <v>388381</v>
      </c>
      <c r="I35" s="174">
        <v>397686</v>
      </c>
      <c r="J35" s="174">
        <v>388381</v>
      </c>
      <c r="K35" s="174">
        <v>483254</v>
      </c>
      <c r="L35" s="407">
        <v>530430</v>
      </c>
      <c r="M35" s="407">
        <v>475042</v>
      </c>
      <c r="N35" s="407">
        <v>489833</v>
      </c>
      <c r="O35" s="407">
        <v>512862</v>
      </c>
      <c r="P35" s="407">
        <v>310969</v>
      </c>
      <c r="Q35" s="407">
        <v>551491</v>
      </c>
      <c r="R35" s="407">
        <v>510162</v>
      </c>
      <c r="S35" s="407">
        <v>423568</v>
      </c>
      <c r="T35" s="407">
        <v>363957</v>
      </c>
      <c r="U35" s="407">
        <v>499148</v>
      </c>
    </row>
    <row r="36" spans="1:21" ht="14" customHeight="1">
      <c r="A36" s="946" t="s">
        <v>65</v>
      </c>
      <c r="B36" s="145">
        <v>222810</v>
      </c>
      <c r="C36" s="145">
        <v>170575</v>
      </c>
      <c r="D36" s="145">
        <v>245443</v>
      </c>
      <c r="E36" s="145">
        <v>296322</v>
      </c>
      <c r="F36" s="145">
        <v>351657</v>
      </c>
      <c r="G36" s="145">
        <f>+[4]SERIE!I172</f>
        <v>503097</v>
      </c>
      <c r="H36" s="174">
        <f>+[4]SERIE!I184</f>
        <v>447217</v>
      </c>
      <c r="I36" s="174">
        <v>503097</v>
      </c>
      <c r="J36" s="174">
        <v>447217</v>
      </c>
      <c r="K36" s="174">
        <v>415601</v>
      </c>
      <c r="L36" s="407">
        <v>651030</v>
      </c>
      <c r="M36" s="407">
        <v>565034</v>
      </c>
      <c r="N36" s="407">
        <v>514447</v>
      </c>
      <c r="O36" s="407">
        <v>575861</v>
      </c>
      <c r="P36" s="407">
        <v>564684</v>
      </c>
      <c r="Q36" s="407">
        <v>593404</v>
      </c>
      <c r="R36" s="407">
        <v>459949</v>
      </c>
      <c r="S36" s="407">
        <v>412361</v>
      </c>
      <c r="T36" s="407">
        <v>411335</v>
      </c>
      <c r="U36" s="407">
        <v>478989</v>
      </c>
    </row>
    <row r="37" spans="1:21" ht="14" customHeight="1">
      <c r="A37" s="946" t="s">
        <v>66</v>
      </c>
      <c r="B37" s="145">
        <v>219192</v>
      </c>
      <c r="C37" s="145">
        <v>275110</v>
      </c>
      <c r="D37" s="145">
        <v>253477</v>
      </c>
      <c r="E37" s="145">
        <v>369404</v>
      </c>
      <c r="F37" s="145">
        <v>377141</v>
      </c>
      <c r="G37" s="145">
        <f>+[4]SERIE!I173</f>
        <v>445949</v>
      </c>
      <c r="H37" s="174">
        <f>+[4]SERIE!I185</f>
        <v>572688</v>
      </c>
      <c r="I37" s="174">
        <v>445949</v>
      </c>
      <c r="J37" s="174">
        <v>572688</v>
      </c>
      <c r="K37" s="174">
        <v>466377</v>
      </c>
      <c r="L37" s="407">
        <v>498234</v>
      </c>
      <c r="M37" s="407">
        <v>564389</v>
      </c>
      <c r="N37" s="407">
        <v>547621</v>
      </c>
      <c r="O37" s="407">
        <v>507494</v>
      </c>
      <c r="P37" s="407">
        <v>410548</v>
      </c>
      <c r="Q37" s="407">
        <v>589787</v>
      </c>
      <c r="R37" s="407">
        <v>482876</v>
      </c>
      <c r="S37" s="407">
        <v>504817</v>
      </c>
      <c r="T37" s="407">
        <v>368414</v>
      </c>
      <c r="U37" s="407">
        <v>488102</v>
      </c>
    </row>
    <row r="38" spans="1:21" ht="14" customHeight="1">
      <c r="A38" s="946" t="s">
        <v>67</v>
      </c>
      <c r="B38" s="145">
        <v>250230</v>
      </c>
      <c r="C38" s="145">
        <v>317815</v>
      </c>
      <c r="D38" s="145">
        <v>293817</v>
      </c>
      <c r="E38" s="145">
        <v>330283</v>
      </c>
      <c r="F38" s="145">
        <v>309073</v>
      </c>
      <c r="G38" s="145">
        <f>+[4]SERIE!I174</f>
        <v>516895</v>
      </c>
      <c r="H38" s="174">
        <f>+[4]SERIE!I186</f>
        <v>469963</v>
      </c>
      <c r="I38" s="174">
        <v>516895</v>
      </c>
      <c r="J38" s="174">
        <v>469963</v>
      </c>
      <c r="K38" s="174">
        <v>536898</v>
      </c>
      <c r="L38" s="407">
        <v>569760</v>
      </c>
      <c r="M38" s="407">
        <v>402448</v>
      </c>
      <c r="N38" s="407">
        <v>561409</v>
      </c>
      <c r="O38" s="407">
        <v>511154</v>
      </c>
      <c r="P38" s="407">
        <v>564553</v>
      </c>
      <c r="Q38" s="407">
        <v>454429</v>
      </c>
      <c r="R38" s="407">
        <v>490383</v>
      </c>
      <c r="S38" s="407">
        <v>516904</v>
      </c>
      <c r="T38" s="407">
        <v>469159</v>
      </c>
      <c r="U38" s="407">
        <v>429668</v>
      </c>
    </row>
    <row r="39" spans="1:21" ht="14" customHeight="1" thickBot="1">
      <c r="A39" s="147" t="s">
        <v>68</v>
      </c>
      <c r="B39" s="175">
        <v>158270</v>
      </c>
      <c r="C39" s="175">
        <v>201040</v>
      </c>
      <c r="D39" s="175">
        <v>297226</v>
      </c>
      <c r="E39" s="175">
        <v>291664</v>
      </c>
      <c r="F39" s="175">
        <v>323790</v>
      </c>
      <c r="G39" s="175">
        <f>+[4]SERIE!I175</f>
        <v>508752</v>
      </c>
      <c r="H39" s="175">
        <f>+[4]SERIE!I187</f>
        <v>446835</v>
      </c>
      <c r="I39" s="175">
        <v>508752</v>
      </c>
      <c r="J39" s="175">
        <v>446835</v>
      </c>
      <c r="K39" s="175">
        <v>546727</v>
      </c>
      <c r="L39" s="995">
        <v>582510</v>
      </c>
      <c r="M39" s="995">
        <v>513466</v>
      </c>
      <c r="N39" s="995">
        <v>617135</v>
      </c>
      <c r="O39" s="995">
        <v>480382</v>
      </c>
      <c r="P39" s="995">
        <v>537272</v>
      </c>
      <c r="Q39" s="995">
        <v>569994</v>
      </c>
      <c r="R39" s="995">
        <v>421612</v>
      </c>
      <c r="S39" s="995">
        <v>474342</v>
      </c>
      <c r="T39" s="995">
        <v>402810</v>
      </c>
      <c r="U39" s="995">
        <v>509282</v>
      </c>
    </row>
    <row r="40" spans="1:21" ht="10" customHeight="1">
      <c r="A40" s="28" t="s">
        <v>238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</row>
    <row r="41" spans="1:21" ht="10" customHeight="1">
      <c r="A41" s="982" t="s">
        <v>195</v>
      </c>
      <c r="B41" s="365"/>
      <c r="C41" s="365"/>
      <c r="D41" s="365"/>
      <c r="E41" s="365"/>
      <c r="F41" s="365"/>
      <c r="G41" s="365"/>
      <c r="H41" s="365"/>
      <c r="I41" s="365"/>
      <c r="J41" s="365"/>
      <c r="K41" s="365"/>
      <c r="L41" s="365"/>
      <c r="M41" s="365"/>
      <c r="N41" s="365"/>
      <c r="O41" s="365"/>
    </row>
    <row r="42" spans="1:21" ht="10" customHeight="1">
      <c r="A42" s="40" t="s">
        <v>261</v>
      </c>
      <c r="B42" s="365"/>
      <c r="C42" s="365"/>
      <c r="D42" s="365"/>
      <c r="E42" s="365"/>
      <c r="F42" s="365"/>
      <c r="G42" s="365"/>
      <c r="H42" s="365"/>
      <c r="I42" s="365"/>
      <c r="J42" s="365"/>
      <c r="K42" s="365"/>
      <c r="L42" s="365"/>
      <c r="M42" s="365"/>
      <c r="N42" s="365"/>
      <c r="O42" s="365"/>
    </row>
    <row r="45" spans="1:21" ht="13" customHeight="1">
      <c r="A45" s="10"/>
    </row>
    <row r="46" spans="1:21" ht="13" customHeight="1">
      <c r="A46" s="10"/>
    </row>
    <row r="47" spans="1:21" ht="13" customHeight="1">
      <c r="A47" s="12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16383" man="1"/>
  </row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Hoja119">
    <tabColor theme="9" tint="0.59999389629810485"/>
  </sheetPr>
  <dimension ref="A1:U42"/>
  <sheetViews>
    <sheetView showGridLines="0" zoomScale="150" zoomScaleNormal="150" workbookViewId="0">
      <selection activeCell="N27" sqref="N27"/>
    </sheetView>
  </sheetViews>
  <sheetFormatPr baseColWidth="10" defaultColWidth="7" defaultRowHeight="13" customHeight="1"/>
  <cols>
    <col min="1" max="1" width="6.59765625" style="141" customWidth="1"/>
    <col min="2" max="9" width="8" style="141" hidden="1" customWidth="1"/>
    <col min="10" max="11" width="0" style="141" hidden="1" customWidth="1"/>
    <col min="12" max="21" width="9" style="141" customWidth="1"/>
    <col min="22" max="16384" width="7" style="141"/>
  </cols>
  <sheetData>
    <row r="1" spans="1:21" ht="13" customHeight="1">
      <c r="A1" s="1144"/>
      <c r="B1" s="1144"/>
      <c r="C1" s="1144"/>
      <c r="D1" s="1144"/>
      <c r="E1" s="1144"/>
    </row>
    <row r="2" spans="1:21" ht="13" customHeight="1">
      <c r="A2" s="512" t="s">
        <v>337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</row>
    <row r="3" spans="1:21" ht="13" customHeight="1">
      <c r="A3" s="389" t="s">
        <v>540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</row>
    <row r="4" spans="1:21" ht="4" customHeight="1" thickBot="1"/>
    <row r="5" spans="1:21" ht="15" customHeight="1">
      <c r="A5" s="945" t="s">
        <v>122</v>
      </c>
      <c r="B5" s="945">
        <v>2000</v>
      </c>
      <c r="C5" s="945">
        <v>2001</v>
      </c>
      <c r="D5" s="945">
        <v>2002</v>
      </c>
      <c r="E5" s="945">
        <v>2003</v>
      </c>
      <c r="F5" s="945">
        <v>2004</v>
      </c>
      <c r="G5" s="945">
        <v>2005</v>
      </c>
      <c r="H5" s="945">
        <v>2006</v>
      </c>
      <c r="I5" s="945">
        <v>2007</v>
      </c>
      <c r="J5" s="945">
        <v>2008</v>
      </c>
      <c r="K5" s="945">
        <v>2009</v>
      </c>
      <c r="L5" s="945">
        <v>2010</v>
      </c>
      <c r="M5" s="945">
        <v>2011</v>
      </c>
      <c r="N5" s="945">
        <v>2012</v>
      </c>
      <c r="O5" s="945">
        <v>2013</v>
      </c>
      <c r="P5" s="945">
        <v>2014</v>
      </c>
      <c r="Q5" s="945">
        <v>2015</v>
      </c>
      <c r="R5" s="945">
        <v>2016</v>
      </c>
      <c r="S5" s="979">
        <v>2017</v>
      </c>
      <c r="T5" s="980">
        <v>2018</v>
      </c>
      <c r="U5" s="981" t="s">
        <v>326</v>
      </c>
    </row>
    <row r="6" spans="1:21" ht="15" customHeight="1">
      <c r="A6" s="396" t="s">
        <v>56</v>
      </c>
      <c r="B6" s="975">
        <v>399325</v>
      </c>
      <c r="C6" s="975">
        <v>495413</v>
      </c>
      <c r="D6" s="975">
        <v>649338</v>
      </c>
      <c r="E6" s="975">
        <v>627196</v>
      </c>
      <c r="F6" s="975">
        <v>847825</v>
      </c>
      <c r="G6" s="975">
        <v>687316</v>
      </c>
      <c r="H6" s="975">
        <v>1015560</v>
      </c>
      <c r="I6" s="975">
        <v>1070656</v>
      </c>
      <c r="J6" s="975">
        <v>1206518</v>
      </c>
      <c r="K6" s="975">
        <v>1000038</v>
      </c>
      <c r="L6" s="990">
        <v>1147473</v>
      </c>
      <c r="M6" s="990">
        <v>909190</v>
      </c>
      <c r="N6" s="990">
        <v>975022</v>
      </c>
      <c r="O6" s="990">
        <v>1145429</v>
      </c>
      <c r="P6" s="990">
        <v>603955</v>
      </c>
      <c r="Q6" s="990">
        <v>714813</v>
      </c>
      <c r="R6" s="990">
        <v>367296</v>
      </c>
      <c r="S6" s="990">
        <v>88618</v>
      </c>
      <c r="T6" s="990">
        <f>SUM(T7:T18)</f>
        <v>22000</v>
      </c>
      <c r="U6" s="990">
        <f>SUM(U7:U18)</f>
        <v>38600</v>
      </c>
    </row>
    <row r="7" spans="1:21" ht="14" customHeight="1">
      <c r="A7" s="144" t="s">
        <v>57</v>
      </c>
      <c r="B7" s="145">
        <v>30500</v>
      </c>
      <c r="C7" s="145">
        <v>53233</v>
      </c>
      <c r="D7" s="145">
        <v>89410</v>
      </c>
      <c r="E7" s="145">
        <v>68552</v>
      </c>
      <c r="F7" s="145">
        <v>85510</v>
      </c>
      <c r="G7" s="145">
        <v>46100</v>
      </c>
      <c r="H7" s="145">
        <v>135050</v>
      </c>
      <c r="I7" s="145">
        <v>93000</v>
      </c>
      <c r="J7" s="145">
        <v>105600</v>
      </c>
      <c r="K7" s="145">
        <v>116325</v>
      </c>
      <c r="L7" s="991">
        <v>74085</v>
      </c>
      <c r="M7" s="991">
        <v>39750</v>
      </c>
      <c r="N7" s="991">
        <v>91150</v>
      </c>
      <c r="O7" s="991">
        <v>115056</v>
      </c>
      <c r="P7" s="991">
        <v>6000</v>
      </c>
      <c r="Q7" s="991">
        <v>59280</v>
      </c>
      <c r="R7" s="991">
        <v>126912</v>
      </c>
      <c r="S7" s="991">
        <v>0</v>
      </c>
      <c r="T7" s="991">
        <v>0</v>
      </c>
      <c r="U7" s="991">
        <v>6300</v>
      </c>
    </row>
    <row r="8" spans="1:21" ht="14" customHeight="1">
      <c r="A8" s="144" t="s">
        <v>58</v>
      </c>
      <c r="B8" s="145">
        <v>43900</v>
      </c>
      <c r="C8" s="145">
        <v>39266</v>
      </c>
      <c r="D8" s="145">
        <v>37200</v>
      </c>
      <c r="E8" s="145">
        <v>68006</v>
      </c>
      <c r="F8" s="145">
        <v>64100</v>
      </c>
      <c r="G8" s="145">
        <v>61300</v>
      </c>
      <c r="H8" s="174">
        <v>124150</v>
      </c>
      <c r="I8" s="174">
        <v>61680</v>
      </c>
      <c r="J8" s="174">
        <v>95530</v>
      </c>
      <c r="K8" s="174">
        <v>85699</v>
      </c>
      <c r="L8" s="992">
        <v>123537</v>
      </c>
      <c r="M8" s="992">
        <v>106220</v>
      </c>
      <c r="N8" s="992">
        <v>72550</v>
      </c>
      <c r="O8" s="992">
        <v>168504</v>
      </c>
      <c r="P8" s="992">
        <v>115880</v>
      </c>
      <c r="Q8" s="992">
        <v>32480</v>
      </c>
      <c r="R8" s="992">
        <v>37076</v>
      </c>
      <c r="S8" s="992">
        <v>6300</v>
      </c>
      <c r="T8" s="992">
        <v>0</v>
      </c>
      <c r="U8" s="992">
        <v>0</v>
      </c>
    </row>
    <row r="9" spans="1:21" ht="14" customHeight="1">
      <c r="A9" s="144" t="s">
        <v>59</v>
      </c>
      <c r="B9" s="145">
        <v>69500</v>
      </c>
      <c r="C9" s="145">
        <v>62185</v>
      </c>
      <c r="D9" s="145">
        <v>78000</v>
      </c>
      <c r="E9" s="145">
        <v>31030</v>
      </c>
      <c r="F9" s="145">
        <v>111250</v>
      </c>
      <c r="G9" s="145">
        <v>78890</v>
      </c>
      <c r="H9" s="174">
        <v>120328</v>
      </c>
      <c r="I9" s="174">
        <v>120250</v>
      </c>
      <c r="J9" s="174">
        <v>114480</v>
      </c>
      <c r="K9" s="174">
        <v>51963</v>
      </c>
      <c r="L9" s="992">
        <v>102111</v>
      </c>
      <c r="M9" s="992">
        <v>90600</v>
      </c>
      <c r="N9" s="992">
        <v>78700</v>
      </c>
      <c r="O9" s="992">
        <v>68120</v>
      </c>
      <c r="P9" s="992">
        <v>52520</v>
      </c>
      <c r="Q9" s="992">
        <v>72520</v>
      </c>
      <c r="R9" s="992">
        <v>91769</v>
      </c>
      <c r="S9" s="992">
        <v>0</v>
      </c>
      <c r="T9" s="992">
        <v>14300</v>
      </c>
      <c r="U9" s="992">
        <v>0</v>
      </c>
    </row>
    <row r="10" spans="1:21" ht="14" customHeight="1">
      <c r="A10" s="144" t="s">
        <v>60</v>
      </c>
      <c r="B10" s="145">
        <v>57900</v>
      </c>
      <c r="C10" s="145">
        <v>32460</v>
      </c>
      <c r="D10" s="145">
        <v>31660</v>
      </c>
      <c r="E10" s="145">
        <v>47240</v>
      </c>
      <c r="F10" s="145">
        <v>34890</v>
      </c>
      <c r="G10" s="145">
        <v>30300</v>
      </c>
      <c r="H10" s="174">
        <v>72900</v>
      </c>
      <c r="I10" s="174">
        <v>70400</v>
      </c>
      <c r="J10" s="174">
        <v>88710</v>
      </c>
      <c r="K10" s="174">
        <v>117530</v>
      </c>
      <c r="L10" s="992">
        <v>93200</v>
      </c>
      <c r="M10" s="992">
        <v>32200</v>
      </c>
      <c r="N10" s="992">
        <v>50965</v>
      </c>
      <c r="O10" s="992">
        <v>66453</v>
      </c>
      <c r="P10" s="992">
        <v>18480</v>
      </c>
      <c r="Q10" s="992">
        <v>107435</v>
      </c>
      <c r="R10" s="992">
        <v>17800</v>
      </c>
      <c r="S10" s="992">
        <v>4160</v>
      </c>
      <c r="T10" s="992">
        <v>0</v>
      </c>
      <c r="U10" s="992">
        <v>6300</v>
      </c>
    </row>
    <row r="11" spans="1:21" ht="14" customHeight="1">
      <c r="A11" s="144" t="s">
        <v>61</v>
      </c>
      <c r="B11" s="145">
        <v>20000</v>
      </c>
      <c r="C11" s="145">
        <v>5700</v>
      </c>
      <c r="D11" s="145">
        <v>69783</v>
      </c>
      <c r="E11" s="145">
        <v>14291</v>
      </c>
      <c r="F11" s="145">
        <v>145700</v>
      </c>
      <c r="G11" s="145">
        <v>64300</v>
      </c>
      <c r="H11" s="174">
        <v>54500</v>
      </c>
      <c r="I11" s="174">
        <v>98600</v>
      </c>
      <c r="J11" s="174">
        <v>141030</v>
      </c>
      <c r="K11" s="174">
        <v>74808</v>
      </c>
      <c r="L11" s="992">
        <v>3900</v>
      </c>
      <c r="M11" s="992">
        <v>90650</v>
      </c>
      <c r="N11" s="992">
        <v>113065</v>
      </c>
      <c r="O11" s="992">
        <v>135718</v>
      </c>
      <c r="P11" s="992">
        <v>48700</v>
      </c>
      <c r="Q11" s="992">
        <v>104905</v>
      </c>
      <c r="R11" s="992">
        <v>64239</v>
      </c>
      <c r="S11" s="992">
        <v>6300</v>
      </c>
      <c r="T11" s="992">
        <v>0</v>
      </c>
      <c r="U11" s="992">
        <v>8000</v>
      </c>
    </row>
    <row r="12" spans="1:21" ht="14" customHeight="1">
      <c r="A12" s="144" t="s">
        <v>62</v>
      </c>
      <c r="B12" s="145">
        <v>29000</v>
      </c>
      <c r="C12" s="145">
        <v>22135</v>
      </c>
      <c r="D12" s="145">
        <v>36150</v>
      </c>
      <c r="E12" s="145">
        <v>36015</v>
      </c>
      <c r="F12" s="145">
        <v>43550</v>
      </c>
      <c r="G12" s="145">
        <v>37800</v>
      </c>
      <c r="H12" s="174">
        <v>58000</v>
      </c>
      <c r="I12" s="174">
        <v>65755</v>
      </c>
      <c r="J12" s="174">
        <v>95360</v>
      </c>
      <c r="K12" s="174">
        <v>70840</v>
      </c>
      <c r="L12" s="992">
        <v>122945</v>
      </c>
      <c r="M12" s="992">
        <v>60000</v>
      </c>
      <c r="N12" s="992">
        <v>67705</v>
      </c>
      <c r="O12" s="992">
        <v>120771</v>
      </c>
      <c r="P12" s="992">
        <v>37440</v>
      </c>
      <c r="Q12" s="992">
        <v>87554</v>
      </c>
      <c r="R12" s="992">
        <v>12000</v>
      </c>
      <c r="S12" s="992">
        <v>0</v>
      </c>
      <c r="T12" s="992">
        <v>0</v>
      </c>
      <c r="U12" s="992">
        <v>0</v>
      </c>
    </row>
    <row r="13" spans="1:21" ht="14" customHeight="1">
      <c r="A13" s="144" t="s">
        <v>63</v>
      </c>
      <c r="B13" s="145">
        <v>26000</v>
      </c>
      <c r="C13" s="145">
        <v>36684</v>
      </c>
      <c r="D13" s="145">
        <v>84780</v>
      </c>
      <c r="E13" s="145">
        <v>39750</v>
      </c>
      <c r="F13" s="145">
        <v>58000</v>
      </c>
      <c r="G13" s="145">
        <v>41000</v>
      </c>
      <c r="H13" s="174">
        <v>88284</v>
      </c>
      <c r="I13" s="174">
        <v>90660</v>
      </c>
      <c r="J13" s="174">
        <v>90000</v>
      </c>
      <c r="K13" s="174">
        <v>81218</v>
      </c>
      <c r="L13" s="992">
        <v>64270</v>
      </c>
      <c r="M13" s="992">
        <v>92500</v>
      </c>
      <c r="N13" s="992">
        <v>29448</v>
      </c>
      <c r="O13" s="992">
        <v>95680</v>
      </c>
      <c r="P13" s="992">
        <v>10160</v>
      </c>
      <c r="Q13" s="992">
        <v>50237</v>
      </c>
      <c r="R13" s="992">
        <v>5000</v>
      </c>
      <c r="S13" s="992">
        <v>0</v>
      </c>
      <c r="T13" s="992">
        <v>6300</v>
      </c>
      <c r="U13" s="992">
        <v>6000</v>
      </c>
    </row>
    <row r="14" spans="1:21" ht="14" customHeight="1">
      <c r="A14" s="144" t="s">
        <v>64</v>
      </c>
      <c r="B14" s="145">
        <v>25300</v>
      </c>
      <c r="C14" s="145">
        <v>29015</v>
      </c>
      <c r="D14" s="145">
        <v>31025</v>
      </c>
      <c r="E14" s="145">
        <v>46960</v>
      </c>
      <c r="F14" s="145">
        <v>48400</v>
      </c>
      <c r="G14" s="145">
        <v>67508</v>
      </c>
      <c r="H14" s="174">
        <v>78208</v>
      </c>
      <c r="I14" s="174">
        <v>93800</v>
      </c>
      <c r="J14" s="174">
        <v>108006</v>
      </c>
      <c r="K14" s="174">
        <v>87396</v>
      </c>
      <c r="L14" s="992">
        <v>124925</v>
      </c>
      <c r="M14" s="992">
        <v>133410</v>
      </c>
      <c r="N14" s="992">
        <v>105934</v>
      </c>
      <c r="O14" s="992">
        <v>98104</v>
      </c>
      <c r="P14" s="992">
        <v>59496</v>
      </c>
      <c r="Q14" s="992">
        <v>29120</v>
      </c>
      <c r="R14" s="992">
        <v>0</v>
      </c>
      <c r="S14" s="992">
        <v>6300</v>
      </c>
      <c r="T14" s="992">
        <v>0</v>
      </c>
      <c r="U14" s="992">
        <v>0</v>
      </c>
    </row>
    <row r="15" spans="1:21" ht="14" customHeight="1">
      <c r="A15" s="144" t="s">
        <v>65</v>
      </c>
      <c r="B15" s="145">
        <v>11000</v>
      </c>
      <c r="C15" s="145">
        <v>48815</v>
      </c>
      <c r="D15" s="145">
        <v>46770</v>
      </c>
      <c r="E15" s="145">
        <v>58740</v>
      </c>
      <c r="F15" s="145">
        <v>94400</v>
      </c>
      <c r="G15" s="145">
        <v>88172</v>
      </c>
      <c r="H15" s="174">
        <v>66605</v>
      </c>
      <c r="I15" s="174">
        <v>102400</v>
      </c>
      <c r="J15" s="174">
        <v>95170</v>
      </c>
      <c r="K15" s="174">
        <v>69670</v>
      </c>
      <c r="L15" s="992">
        <v>98900</v>
      </c>
      <c r="M15" s="992">
        <v>82400</v>
      </c>
      <c r="N15" s="992">
        <v>116900</v>
      </c>
      <c r="O15" s="992">
        <v>87256</v>
      </c>
      <c r="P15" s="992">
        <v>101920</v>
      </c>
      <c r="Q15" s="992">
        <v>60568</v>
      </c>
      <c r="R15" s="992">
        <v>6200</v>
      </c>
      <c r="S15" s="992">
        <v>0</v>
      </c>
      <c r="T15" s="992">
        <v>0</v>
      </c>
      <c r="U15" s="992">
        <v>6000</v>
      </c>
    </row>
    <row r="16" spans="1:21" ht="14" customHeight="1">
      <c r="A16" s="144" t="s">
        <v>66</v>
      </c>
      <c r="B16" s="145">
        <v>39000</v>
      </c>
      <c r="C16" s="145">
        <v>80420</v>
      </c>
      <c r="D16" s="145">
        <v>45060</v>
      </c>
      <c r="E16" s="145">
        <v>108162</v>
      </c>
      <c r="F16" s="145">
        <v>61100</v>
      </c>
      <c r="G16" s="145">
        <v>77338</v>
      </c>
      <c r="H16" s="174">
        <v>72135</v>
      </c>
      <c r="I16" s="174">
        <v>82111</v>
      </c>
      <c r="J16" s="174">
        <v>105700</v>
      </c>
      <c r="K16" s="174">
        <v>108309</v>
      </c>
      <c r="L16" s="992">
        <v>114110</v>
      </c>
      <c r="M16" s="992">
        <v>66400</v>
      </c>
      <c r="N16" s="992">
        <v>102100</v>
      </c>
      <c r="O16" s="992">
        <v>111144</v>
      </c>
      <c r="P16" s="992">
        <v>69151</v>
      </c>
      <c r="Q16" s="992">
        <v>34380</v>
      </c>
      <c r="R16" s="992">
        <v>0</v>
      </c>
      <c r="S16" s="992">
        <v>8059</v>
      </c>
      <c r="T16" s="992">
        <v>0</v>
      </c>
      <c r="U16" s="992">
        <v>0</v>
      </c>
    </row>
    <row r="17" spans="1:21" ht="14" customHeight="1">
      <c r="A17" s="144" t="s">
        <v>67</v>
      </c>
      <c r="B17" s="145">
        <v>30500</v>
      </c>
      <c r="C17" s="145">
        <v>52800</v>
      </c>
      <c r="D17" s="145">
        <v>48700</v>
      </c>
      <c r="E17" s="145">
        <v>75050</v>
      </c>
      <c r="F17" s="145">
        <v>39025</v>
      </c>
      <c r="G17" s="145">
        <v>64608</v>
      </c>
      <c r="H17" s="174">
        <v>62500</v>
      </c>
      <c r="I17" s="174">
        <v>85400</v>
      </c>
      <c r="J17" s="174">
        <v>125276</v>
      </c>
      <c r="K17" s="174">
        <v>76415</v>
      </c>
      <c r="L17" s="992">
        <v>96980</v>
      </c>
      <c r="M17" s="992">
        <v>74500</v>
      </c>
      <c r="N17" s="992">
        <v>67020</v>
      </c>
      <c r="O17" s="992">
        <v>44303</v>
      </c>
      <c r="P17" s="992">
        <v>28428</v>
      </c>
      <c r="Q17" s="992">
        <v>44614</v>
      </c>
      <c r="R17" s="992">
        <v>6300</v>
      </c>
      <c r="S17" s="992">
        <v>18379</v>
      </c>
      <c r="T17" s="992">
        <v>1400</v>
      </c>
      <c r="U17" s="992">
        <v>0</v>
      </c>
    </row>
    <row r="18" spans="1:21" ht="14" customHeight="1" thickBot="1">
      <c r="A18" s="147" t="s">
        <v>68</v>
      </c>
      <c r="B18" s="175">
        <v>16725</v>
      </c>
      <c r="C18" s="175">
        <v>32700</v>
      </c>
      <c r="D18" s="175">
        <v>50800</v>
      </c>
      <c r="E18" s="175">
        <v>33400</v>
      </c>
      <c r="F18" s="175">
        <v>61900</v>
      </c>
      <c r="G18" s="175">
        <v>30000</v>
      </c>
      <c r="H18" s="175">
        <v>82900</v>
      </c>
      <c r="I18" s="175">
        <v>106600</v>
      </c>
      <c r="J18" s="175">
        <v>41656</v>
      </c>
      <c r="K18" s="175">
        <v>59865</v>
      </c>
      <c r="L18" s="993">
        <v>64600</v>
      </c>
      <c r="M18" s="993">
        <v>40560</v>
      </c>
      <c r="N18" s="993">
        <v>79485</v>
      </c>
      <c r="O18" s="993">
        <v>34320</v>
      </c>
      <c r="P18" s="993">
        <v>55780</v>
      </c>
      <c r="Q18" s="993">
        <v>31720</v>
      </c>
      <c r="R18" s="993">
        <v>0</v>
      </c>
      <c r="S18" s="993">
        <v>39120</v>
      </c>
      <c r="T18" s="993">
        <v>0</v>
      </c>
      <c r="U18" s="993">
        <v>6000</v>
      </c>
    </row>
    <row r="19" spans="1:21" ht="10" customHeight="1">
      <c r="A19" s="28" t="s">
        <v>238</v>
      </c>
      <c r="B19" s="365"/>
      <c r="C19" s="365"/>
      <c r="D19" s="365"/>
      <c r="E19" s="365"/>
      <c r="F19" s="365"/>
      <c r="G19" s="365"/>
      <c r="H19" s="365"/>
      <c r="I19" s="365"/>
      <c r="J19" s="365"/>
      <c r="K19" s="365"/>
      <c r="L19" s="365"/>
      <c r="M19" s="365"/>
      <c r="N19" s="365"/>
      <c r="O19" s="365"/>
      <c r="P19" s="365"/>
      <c r="Q19" s="365"/>
      <c r="R19" s="365"/>
      <c r="S19" s="365"/>
      <c r="T19" s="365"/>
      <c r="U19" s="365"/>
    </row>
    <row r="20" spans="1:21" ht="10" customHeight="1">
      <c r="A20" s="982" t="s">
        <v>195</v>
      </c>
      <c r="B20" s="365"/>
      <c r="C20" s="365"/>
      <c r="D20" s="365"/>
      <c r="E20" s="365"/>
      <c r="F20" s="365"/>
      <c r="G20" s="365"/>
      <c r="H20" s="365"/>
      <c r="I20" s="365"/>
      <c r="J20" s="365"/>
      <c r="K20" s="365"/>
      <c r="L20" s="365"/>
      <c r="M20" s="365"/>
      <c r="N20" s="365"/>
      <c r="O20" s="365"/>
      <c r="P20" s="365"/>
      <c r="Q20" s="365"/>
      <c r="R20" s="365"/>
      <c r="S20" s="365"/>
      <c r="T20" s="365"/>
      <c r="U20" s="365"/>
    </row>
    <row r="21" spans="1:21" ht="10" customHeight="1">
      <c r="A21" s="40" t="s">
        <v>261</v>
      </c>
      <c r="B21" s="365"/>
      <c r="C21" s="365"/>
      <c r="D21" s="365"/>
      <c r="E21" s="365"/>
      <c r="F21" s="365"/>
      <c r="G21" s="365"/>
      <c r="H21" s="365"/>
      <c r="I21" s="365"/>
      <c r="J21" s="365"/>
      <c r="K21" s="365"/>
      <c r="L21" s="365"/>
      <c r="M21" s="365"/>
      <c r="N21" s="365"/>
      <c r="O21" s="365"/>
      <c r="P21" s="365"/>
      <c r="Q21" s="365"/>
      <c r="R21" s="365"/>
      <c r="S21" s="365"/>
      <c r="T21" s="365"/>
      <c r="U21" s="365"/>
    </row>
    <row r="23" spans="1:21" ht="13" customHeight="1">
      <c r="A23" s="512" t="s">
        <v>556</v>
      </c>
      <c r="B23" s="508"/>
      <c r="C23" s="508"/>
      <c r="D23" s="508"/>
      <c r="E23" s="508"/>
      <c r="F23" s="508"/>
      <c r="G23" s="508"/>
      <c r="H23" s="508"/>
      <c r="I23" s="508"/>
      <c r="J23" s="508"/>
      <c r="K23" s="508"/>
      <c r="L23" s="508"/>
      <c r="M23" s="508"/>
      <c r="N23" s="508"/>
      <c r="O23" s="508"/>
      <c r="P23" s="508"/>
      <c r="Q23" s="508"/>
      <c r="R23" s="508"/>
      <c r="S23" s="508"/>
      <c r="T23" s="508"/>
      <c r="U23" s="508"/>
    </row>
    <row r="24" spans="1:21" ht="13" customHeight="1">
      <c r="A24" s="389" t="s">
        <v>540</v>
      </c>
      <c r="B24" s="508"/>
      <c r="C24" s="508"/>
      <c r="D24" s="508"/>
      <c r="E24" s="508"/>
      <c r="F24" s="508"/>
      <c r="G24" s="508"/>
      <c r="H24" s="508"/>
      <c r="I24" s="508"/>
      <c r="J24" s="508"/>
      <c r="K24" s="508"/>
      <c r="L24" s="508"/>
      <c r="M24" s="508"/>
      <c r="N24" s="508"/>
      <c r="O24" s="508"/>
      <c r="P24" s="508"/>
      <c r="Q24" s="508"/>
      <c r="R24" s="508"/>
      <c r="S24" s="508"/>
      <c r="T24" s="508"/>
      <c r="U24" s="508"/>
    </row>
    <row r="25" spans="1:21" ht="4" customHeight="1" thickBot="1"/>
    <row r="26" spans="1:21" ht="15" customHeight="1">
      <c r="A26" s="945" t="s">
        <v>122</v>
      </c>
      <c r="B26" s="945">
        <v>2000</v>
      </c>
      <c r="C26" s="945">
        <v>2001</v>
      </c>
      <c r="D26" s="945">
        <v>2002</v>
      </c>
      <c r="E26" s="945">
        <v>2003</v>
      </c>
      <c r="F26" s="945">
        <v>2004</v>
      </c>
      <c r="G26" s="945">
        <v>2005</v>
      </c>
      <c r="H26" s="945">
        <v>2006</v>
      </c>
      <c r="I26" s="945">
        <v>2007</v>
      </c>
      <c r="J26" s="945">
        <v>2008</v>
      </c>
      <c r="K26" s="945">
        <v>2009</v>
      </c>
      <c r="L26" s="945">
        <v>2010</v>
      </c>
      <c r="M26" s="945">
        <v>2011</v>
      </c>
      <c r="N26" s="945">
        <v>2012</v>
      </c>
      <c r="O26" s="945">
        <v>2013</v>
      </c>
      <c r="P26" s="945">
        <v>2014</v>
      </c>
      <c r="Q26" s="945">
        <v>2015</v>
      </c>
      <c r="R26" s="945">
        <v>2016</v>
      </c>
      <c r="S26" s="979">
        <v>2017</v>
      </c>
      <c r="T26" s="980">
        <v>2018</v>
      </c>
      <c r="U26" s="981" t="s">
        <v>326</v>
      </c>
    </row>
    <row r="27" spans="1:21" ht="15" customHeight="1">
      <c r="A27" s="396" t="s">
        <v>56</v>
      </c>
      <c r="B27" s="975">
        <v>2556679</v>
      </c>
      <c r="C27" s="975">
        <v>2582564</v>
      </c>
      <c r="D27" s="975">
        <v>2937060</v>
      </c>
      <c r="E27" s="975">
        <v>2974065</v>
      </c>
      <c r="F27" s="975">
        <v>3126266</v>
      </c>
      <c r="G27" s="975">
        <v>3516585</v>
      </c>
      <c r="H27" s="975">
        <v>3727274</v>
      </c>
      <c r="I27" s="975">
        <v>4209259</v>
      </c>
      <c r="J27" s="975">
        <v>4405100</v>
      </c>
      <c r="K27" s="975">
        <v>4722467</v>
      </c>
      <c r="L27" s="990">
        <v>5398457</v>
      </c>
      <c r="M27" s="990">
        <v>4900605</v>
      </c>
      <c r="N27" s="990">
        <v>6044515</v>
      </c>
      <c r="O27" s="990">
        <v>5410063</v>
      </c>
      <c r="P27" s="990">
        <v>5781377</v>
      </c>
      <c r="Q27" s="990">
        <v>6341188</v>
      </c>
      <c r="R27" s="990">
        <v>5760695</v>
      </c>
      <c r="S27" s="990">
        <v>5760500</v>
      </c>
      <c r="T27" s="990">
        <f>SUM(T28:T39)</f>
        <v>6160146</v>
      </c>
      <c r="U27" s="990">
        <f>SUM(U28:U39)</f>
        <v>6506566</v>
      </c>
    </row>
    <row r="28" spans="1:21" ht="14" customHeight="1">
      <c r="A28" s="946" t="s">
        <v>57</v>
      </c>
      <c r="B28" s="145">
        <v>245700</v>
      </c>
      <c r="C28" s="145">
        <v>259521</v>
      </c>
      <c r="D28" s="145">
        <v>260025</v>
      </c>
      <c r="E28" s="145">
        <v>286600</v>
      </c>
      <c r="F28" s="145">
        <v>264393</v>
      </c>
      <c r="G28" s="145">
        <v>286006</v>
      </c>
      <c r="H28" s="145">
        <v>297720</v>
      </c>
      <c r="I28" s="145">
        <v>336082</v>
      </c>
      <c r="J28" s="145">
        <v>384393</v>
      </c>
      <c r="K28" s="145">
        <v>359438</v>
      </c>
      <c r="L28" s="991">
        <v>420950</v>
      </c>
      <c r="M28" s="991">
        <v>420780</v>
      </c>
      <c r="N28" s="991">
        <v>378087</v>
      </c>
      <c r="O28" s="991">
        <v>422964</v>
      </c>
      <c r="P28" s="991">
        <v>491868</v>
      </c>
      <c r="Q28" s="991">
        <v>537753</v>
      </c>
      <c r="R28" s="991">
        <v>411658</v>
      </c>
      <c r="S28" s="991">
        <v>558554</v>
      </c>
      <c r="T28" s="991">
        <v>622978</v>
      </c>
      <c r="U28" s="991">
        <v>665925</v>
      </c>
    </row>
    <row r="29" spans="1:21" ht="14" customHeight="1">
      <c r="A29" s="946" t="s">
        <v>58</v>
      </c>
      <c r="B29" s="145">
        <v>219060</v>
      </c>
      <c r="C29" s="145">
        <v>158713</v>
      </c>
      <c r="D29" s="145">
        <v>258175</v>
      </c>
      <c r="E29" s="145">
        <v>245920</v>
      </c>
      <c r="F29" s="145">
        <v>233379</v>
      </c>
      <c r="G29" s="174">
        <v>277534</v>
      </c>
      <c r="H29" s="174">
        <v>333435</v>
      </c>
      <c r="I29" s="174">
        <v>289580</v>
      </c>
      <c r="J29" s="174">
        <v>351013</v>
      </c>
      <c r="K29" s="174">
        <v>380261</v>
      </c>
      <c r="L29" s="992">
        <v>378340</v>
      </c>
      <c r="M29" s="992">
        <v>393380</v>
      </c>
      <c r="N29" s="992">
        <v>429290</v>
      </c>
      <c r="O29" s="992">
        <v>405752</v>
      </c>
      <c r="P29" s="992">
        <v>388384</v>
      </c>
      <c r="Q29" s="992">
        <v>609942</v>
      </c>
      <c r="R29" s="992">
        <v>459895</v>
      </c>
      <c r="S29" s="992">
        <v>409974</v>
      </c>
      <c r="T29" s="992">
        <v>361575</v>
      </c>
      <c r="U29" s="992">
        <v>675847</v>
      </c>
    </row>
    <row r="30" spans="1:21" ht="14" customHeight="1">
      <c r="A30" s="946" t="s">
        <v>59</v>
      </c>
      <c r="B30" s="145">
        <v>221106</v>
      </c>
      <c r="C30" s="145">
        <v>153886</v>
      </c>
      <c r="D30" s="145">
        <v>227313</v>
      </c>
      <c r="E30" s="145">
        <v>257860</v>
      </c>
      <c r="F30" s="145">
        <v>235443</v>
      </c>
      <c r="G30" s="174">
        <v>246552</v>
      </c>
      <c r="H30" s="174">
        <v>307620</v>
      </c>
      <c r="I30" s="174">
        <v>304610</v>
      </c>
      <c r="J30" s="174">
        <v>441730</v>
      </c>
      <c r="K30" s="174">
        <v>394808</v>
      </c>
      <c r="L30" s="992">
        <v>397380</v>
      </c>
      <c r="M30" s="992">
        <v>415474</v>
      </c>
      <c r="N30" s="992">
        <v>502140</v>
      </c>
      <c r="O30" s="992">
        <v>513310</v>
      </c>
      <c r="P30" s="992">
        <v>464341</v>
      </c>
      <c r="Q30" s="992">
        <v>535497</v>
      </c>
      <c r="R30" s="992">
        <v>356331</v>
      </c>
      <c r="S30" s="992">
        <v>398716</v>
      </c>
      <c r="T30" s="992">
        <v>463295</v>
      </c>
      <c r="U30" s="992">
        <v>488934</v>
      </c>
    </row>
    <row r="31" spans="1:21" ht="14" customHeight="1">
      <c r="A31" s="946" t="s">
        <v>60</v>
      </c>
      <c r="B31" s="145">
        <v>199435</v>
      </c>
      <c r="C31" s="145">
        <v>268090</v>
      </c>
      <c r="D31" s="145">
        <v>242464</v>
      </c>
      <c r="E31" s="145">
        <v>266220</v>
      </c>
      <c r="F31" s="145">
        <v>283864</v>
      </c>
      <c r="G31" s="174">
        <v>306411</v>
      </c>
      <c r="H31" s="174">
        <v>313242</v>
      </c>
      <c r="I31" s="174">
        <v>321590</v>
      </c>
      <c r="J31" s="174">
        <v>340598</v>
      </c>
      <c r="K31" s="174">
        <v>327585</v>
      </c>
      <c r="L31" s="992">
        <v>529928</v>
      </c>
      <c r="M31" s="992">
        <v>295244</v>
      </c>
      <c r="N31" s="992">
        <v>548563</v>
      </c>
      <c r="O31" s="992">
        <v>396734</v>
      </c>
      <c r="P31" s="992">
        <v>545726</v>
      </c>
      <c r="Q31" s="992">
        <v>525773</v>
      </c>
      <c r="R31" s="992">
        <v>551248</v>
      </c>
      <c r="S31" s="992">
        <v>427811</v>
      </c>
      <c r="T31" s="992">
        <v>508170</v>
      </c>
      <c r="U31" s="992">
        <v>531003</v>
      </c>
    </row>
    <row r="32" spans="1:21" ht="14" customHeight="1">
      <c r="A32" s="946" t="s">
        <v>61</v>
      </c>
      <c r="B32" s="145">
        <v>206590</v>
      </c>
      <c r="C32" s="145">
        <v>209125</v>
      </c>
      <c r="D32" s="145">
        <v>232255</v>
      </c>
      <c r="E32" s="145">
        <v>223576</v>
      </c>
      <c r="F32" s="145">
        <v>147698</v>
      </c>
      <c r="G32" s="174">
        <v>277704</v>
      </c>
      <c r="H32" s="174">
        <v>255660</v>
      </c>
      <c r="I32" s="174">
        <v>321715</v>
      </c>
      <c r="J32" s="174">
        <v>411319</v>
      </c>
      <c r="K32" s="174">
        <v>370055</v>
      </c>
      <c r="L32" s="992">
        <v>484668</v>
      </c>
      <c r="M32" s="992">
        <v>393823</v>
      </c>
      <c r="N32" s="992">
        <v>553899</v>
      </c>
      <c r="O32" s="992">
        <v>457096</v>
      </c>
      <c r="P32" s="992">
        <v>498250</v>
      </c>
      <c r="Q32" s="992">
        <v>526028</v>
      </c>
      <c r="R32" s="992">
        <v>530797</v>
      </c>
      <c r="S32" s="992">
        <v>500824</v>
      </c>
      <c r="T32" s="992">
        <v>582076</v>
      </c>
      <c r="U32" s="992">
        <v>394270</v>
      </c>
    </row>
    <row r="33" spans="1:21" ht="14" customHeight="1">
      <c r="A33" s="946" t="s">
        <v>62</v>
      </c>
      <c r="B33" s="145">
        <v>205031</v>
      </c>
      <c r="C33" s="145">
        <v>235315</v>
      </c>
      <c r="D33" s="145">
        <v>268006</v>
      </c>
      <c r="E33" s="145">
        <v>172216</v>
      </c>
      <c r="F33" s="145">
        <v>232913</v>
      </c>
      <c r="G33" s="174">
        <v>286125</v>
      </c>
      <c r="H33" s="174">
        <v>332064</v>
      </c>
      <c r="I33" s="174">
        <v>342228</v>
      </c>
      <c r="J33" s="174">
        <v>312530</v>
      </c>
      <c r="K33" s="174">
        <v>401537</v>
      </c>
      <c r="L33" s="992">
        <v>382120</v>
      </c>
      <c r="M33" s="992">
        <v>330909</v>
      </c>
      <c r="N33" s="992">
        <v>496772</v>
      </c>
      <c r="O33" s="992">
        <v>378374</v>
      </c>
      <c r="P33" s="992">
        <v>533315</v>
      </c>
      <c r="Q33" s="992">
        <v>579409</v>
      </c>
      <c r="R33" s="992">
        <v>493030</v>
      </c>
      <c r="S33" s="992">
        <v>569252</v>
      </c>
      <c r="T33" s="992">
        <v>494372</v>
      </c>
      <c r="U33" s="992">
        <v>551422</v>
      </c>
    </row>
    <row r="34" spans="1:21" ht="14" customHeight="1">
      <c r="A34" s="946" t="s">
        <v>63</v>
      </c>
      <c r="B34" s="145">
        <v>174945</v>
      </c>
      <c r="C34" s="145">
        <v>263330</v>
      </c>
      <c r="D34" s="145">
        <v>244907</v>
      </c>
      <c r="E34" s="145">
        <v>254764</v>
      </c>
      <c r="F34" s="145">
        <v>287761</v>
      </c>
      <c r="G34" s="174">
        <v>274168</v>
      </c>
      <c r="H34" s="174">
        <v>342909</v>
      </c>
      <c r="I34" s="174">
        <v>288426</v>
      </c>
      <c r="J34" s="174">
        <v>315155</v>
      </c>
      <c r="K34" s="174">
        <v>432118</v>
      </c>
      <c r="L34" s="992">
        <v>431854</v>
      </c>
      <c r="M34" s="992">
        <v>369286</v>
      </c>
      <c r="N34" s="992">
        <v>590058</v>
      </c>
      <c r="O34" s="992">
        <v>414687</v>
      </c>
      <c r="P34" s="992">
        <v>527334</v>
      </c>
      <c r="Q34" s="992">
        <v>319515</v>
      </c>
      <c r="R34" s="992">
        <v>559494</v>
      </c>
      <c r="S34" s="992">
        <v>573719</v>
      </c>
      <c r="T34" s="992">
        <v>591333</v>
      </c>
      <c r="U34" s="992">
        <v>588491</v>
      </c>
    </row>
    <row r="35" spans="1:21" ht="14" customHeight="1">
      <c r="A35" s="946" t="s">
        <v>64</v>
      </c>
      <c r="B35" s="145">
        <v>233035</v>
      </c>
      <c r="C35" s="145">
        <v>229179</v>
      </c>
      <c r="D35" s="145">
        <v>275145</v>
      </c>
      <c r="E35" s="145">
        <v>254588</v>
      </c>
      <c r="F35" s="145">
        <v>292739</v>
      </c>
      <c r="G35" s="174">
        <v>311924</v>
      </c>
      <c r="H35" s="174">
        <v>275197</v>
      </c>
      <c r="I35" s="174">
        <v>349646</v>
      </c>
      <c r="J35" s="174">
        <v>280375</v>
      </c>
      <c r="K35" s="174">
        <v>395613</v>
      </c>
      <c r="L35" s="992">
        <v>405505</v>
      </c>
      <c r="M35" s="992">
        <v>361632</v>
      </c>
      <c r="N35" s="992">
        <v>478019</v>
      </c>
      <c r="O35" s="992">
        <v>513974</v>
      </c>
      <c r="P35" s="992">
        <v>285493</v>
      </c>
      <c r="Q35" s="992">
        <v>562099</v>
      </c>
      <c r="R35" s="992">
        <v>510162</v>
      </c>
      <c r="S35" s="992">
        <v>417268</v>
      </c>
      <c r="T35" s="992">
        <v>462229</v>
      </c>
      <c r="U35" s="992">
        <v>585468</v>
      </c>
    </row>
    <row r="36" spans="1:21" ht="14" customHeight="1">
      <c r="A36" s="946" t="s">
        <v>65</v>
      </c>
      <c r="B36" s="145">
        <v>241810</v>
      </c>
      <c r="C36" s="145">
        <v>121760</v>
      </c>
      <c r="D36" s="145">
        <v>203850</v>
      </c>
      <c r="E36" s="145">
        <v>237582</v>
      </c>
      <c r="F36" s="145">
        <v>274897</v>
      </c>
      <c r="G36" s="174">
        <v>306303</v>
      </c>
      <c r="H36" s="174">
        <v>267341</v>
      </c>
      <c r="I36" s="174">
        <v>400697</v>
      </c>
      <c r="J36" s="174">
        <v>352047</v>
      </c>
      <c r="K36" s="174">
        <v>345786</v>
      </c>
      <c r="L36" s="992">
        <v>552130</v>
      </c>
      <c r="M36" s="992">
        <v>542634</v>
      </c>
      <c r="N36" s="992">
        <v>415147</v>
      </c>
      <c r="O36" s="992">
        <v>556309</v>
      </c>
      <c r="P36" s="992">
        <v>553804</v>
      </c>
      <c r="Q36" s="992">
        <v>535436</v>
      </c>
      <c r="R36" s="992">
        <v>467269</v>
      </c>
      <c r="S36" s="992">
        <v>412361</v>
      </c>
      <c r="T36" s="992">
        <v>505351</v>
      </c>
      <c r="U36" s="992">
        <v>545789</v>
      </c>
    </row>
    <row r="37" spans="1:21" ht="14" customHeight="1">
      <c r="A37" s="946" t="s">
        <v>66</v>
      </c>
      <c r="B37" s="145">
        <v>228692</v>
      </c>
      <c r="C37" s="145">
        <v>215690</v>
      </c>
      <c r="D37" s="145">
        <v>233377</v>
      </c>
      <c r="E37" s="145">
        <v>261242</v>
      </c>
      <c r="F37" s="145">
        <v>316041</v>
      </c>
      <c r="G37" s="174">
        <v>334374</v>
      </c>
      <c r="H37" s="174">
        <v>367276</v>
      </c>
      <c r="I37" s="174">
        <v>389838</v>
      </c>
      <c r="J37" s="174">
        <v>466659</v>
      </c>
      <c r="K37" s="174">
        <v>368068</v>
      </c>
      <c r="L37" s="992">
        <v>424892</v>
      </c>
      <c r="M37" s="992">
        <v>547989</v>
      </c>
      <c r="N37" s="992">
        <v>468401</v>
      </c>
      <c r="O37" s="992">
        <v>396350</v>
      </c>
      <c r="P37" s="992">
        <v>370933</v>
      </c>
      <c r="Q37" s="992">
        <v>605119</v>
      </c>
      <c r="R37" s="992">
        <v>495356</v>
      </c>
      <c r="S37" s="992">
        <v>537474</v>
      </c>
      <c r="T37" s="992">
        <v>484582</v>
      </c>
      <c r="U37" s="992">
        <v>546467</v>
      </c>
    </row>
    <row r="38" spans="1:21" ht="14" customHeight="1">
      <c r="A38" s="946" t="s">
        <v>67</v>
      </c>
      <c r="B38" s="145">
        <v>219730</v>
      </c>
      <c r="C38" s="145">
        <v>293615</v>
      </c>
      <c r="D38" s="145">
        <v>245117</v>
      </c>
      <c r="E38" s="145">
        <v>255233</v>
      </c>
      <c r="F38" s="145">
        <v>270048</v>
      </c>
      <c r="G38" s="174">
        <v>343434</v>
      </c>
      <c r="H38" s="174">
        <v>266810</v>
      </c>
      <c r="I38" s="174">
        <v>462695</v>
      </c>
      <c r="J38" s="174">
        <v>344395</v>
      </c>
      <c r="K38" s="174">
        <v>460483</v>
      </c>
      <c r="L38" s="992">
        <v>472780</v>
      </c>
      <c r="M38" s="992">
        <v>356548</v>
      </c>
      <c r="N38" s="992">
        <v>567189</v>
      </c>
      <c r="O38" s="992">
        <v>508451</v>
      </c>
      <c r="P38" s="992">
        <v>620885</v>
      </c>
      <c r="Q38" s="992">
        <v>433895</v>
      </c>
      <c r="R38" s="992">
        <v>484083</v>
      </c>
      <c r="S38" s="992">
        <v>519325</v>
      </c>
      <c r="T38" s="992">
        <v>631975</v>
      </c>
      <c r="U38" s="992">
        <v>429668</v>
      </c>
    </row>
    <row r="39" spans="1:21" ht="14" customHeight="1" thickBot="1">
      <c r="A39" s="147" t="s">
        <v>68</v>
      </c>
      <c r="B39" s="175">
        <v>161545</v>
      </c>
      <c r="C39" s="175">
        <v>174340</v>
      </c>
      <c r="D39" s="175">
        <v>246426</v>
      </c>
      <c r="E39" s="175">
        <v>258264</v>
      </c>
      <c r="F39" s="175">
        <v>287090</v>
      </c>
      <c r="G39" s="175">
        <v>266050</v>
      </c>
      <c r="H39" s="175">
        <v>368000</v>
      </c>
      <c r="I39" s="175">
        <v>402152</v>
      </c>
      <c r="J39" s="175">
        <v>404886</v>
      </c>
      <c r="K39" s="175">
        <v>486715</v>
      </c>
      <c r="L39" s="993">
        <v>517910</v>
      </c>
      <c r="M39" s="993">
        <v>472906</v>
      </c>
      <c r="N39" s="993">
        <v>616950</v>
      </c>
      <c r="O39" s="993">
        <v>446062</v>
      </c>
      <c r="P39" s="993">
        <v>501044</v>
      </c>
      <c r="Q39" s="993">
        <v>570722</v>
      </c>
      <c r="R39" s="993">
        <v>441372</v>
      </c>
      <c r="S39" s="993">
        <v>435222</v>
      </c>
      <c r="T39" s="993">
        <v>452210</v>
      </c>
      <c r="U39" s="993">
        <v>503282</v>
      </c>
    </row>
    <row r="40" spans="1:21" ht="10" customHeight="1">
      <c r="A40" s="28" t="s">
        <v>238</v>
      </c>
      <c r="B40" s="363"/>
      <c r="C40" s="363"/>
      <c r="D40" s="363"/>
      <c r="E40" s="363"/>
      <c r="F40" s="363"/>
      <c r="G40" s="363"/>
      <c r="H40" s="363"/>
      <c r="I40" s="363"/>
      <c r="J40" s="363"/>
      <c r="K40" s="363"/>
      <c r="L40" s="363"/>
      <c r="M40" s="363"/>
      <c r="N40" s="363"/>
      <c r="O40" s="363"/>
      <c r="P40" s="174"/>
      <c r="Q40" s="174"/>
      <c r="R40" s="174"/>
      <c r="S40" s="174"/>
      <c r="T40" s="174"/>
      <c r="U40" s="174"/>
    </row>
    <row r="41" spans="1:21" ht="10" customHeight="1">
      <c r="A41" s="982" t="s">
        <v>195</v>
      </c>
      <c r="B41" s="365"/>
      <c r="C41" s="365"/>
      <c r="D41" s="365"/>
      <c r="E41" s="365"/>
      <c r="F41" s="365"/>
      <c r="G41" s="365"/>
      <c r="H41" s="365"/>
      <c r="I41" s="365"/>
      <c r="J41" s="365"/>
      <c r="K41" s="365"/>
      <c r="L41" s="365"/>
      <c r="M41" s="365"/>
      <c r="N41" s="365"/>
      <c r="O41" s="365"/>
    </row>
    <row r="42" spans="1:21" ht="10" customHeight="1">
      <c r="A42" s="40" t="s">
        <v>261</v>
      </c>
      <c r="B42" s="365"/>
      <c r="C42" s="365"/>
      <c r="D42" s="365"/>
      <c r="E42" s="365"/>
      <c r="F42" s="365"/>
      <c r="G42" s="365"/>
      <c r="H42" s="365"/>
      <c r="I42" s="365"/>
      <c r="J42" s="365"/>
      <c r="K42" s="365"/>
      <c r="L42" s="365"/>
      <c r="M42" s="365"/>
      <c r="N42" s="365"/>
      <c r="O42" s="365"/>
    </row>
  </sheetData>
  <mergeCells count="1">
    <mergeCell ref="A1:E1"/>
  </mergeCells>
  <printOptions horizontalCentered="1" verticalCentered="1"/>
  <pageMargins left="0" right="0" top="0" bottom="0" header="0" footer="0"/>
  <pageSetup paperSize="9" orientation="portrait"/>
  <headerFooter scaleWithDoc="0" alignWithMargins="0"/>
  <rowBreaks count="1" manualBreakCount="1">
    <brk id="22" max="16383" man="1"/>
  </row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Hoja120">
    <tabColor theme="9" tint="0.59999389629810485"/>
  </sheetPr>
  <dimension ref="A1:Y42"/>
  <sheetViews>
    <sheetView showGridLines="0" zoomScale="150" zoomScaleNormal="150" workbookViewId="0">
      <selection activeCell="O52" sqref="O52"/>
    </sheetView>
  </sheetViews>
  <sheetFormatPr baseColWidth="10" defaultColWidth="7" defaultRowHeight="13" customHeight="1"/>
  <cols>
    <col min="1" max="1" width="7.3984375" style="141" customWidth="1"/>
    <col min="2" max="9" width="8" style="141" hidden="1" customWidth="1"/>
    <col min="10" max="11" width="0" style="141" hidden="1" customWidth="1"/>
    <col min="12" max="21" width="9" style="141" customWidth="1"/>
    <col min="22" max="16384" width="7" style="141"/>
  </cols>
  <sheetData>
    <row r="1" spans="1:21" ht="13" customHeight="1">
      <c r="A1" s="1144"/>
      <c r="B1" s="1144"/>
      <c r="C1" s="1144"/>
      <c r="D1" s="1144"/>
      <c r="E1" s="1144"/>
    </row>
    <row r="2" spans="1:21" ht="13" customHeight="1">
      <c r="A2" s="512" t="s">
        <v>557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</row>
    <row r="3" spans="1:21" ht="13" customHeight="1">
      <c r="A3" s="987" t="s">
        <v>428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</row>
    <row r="4" spans="1:21" ht="4" customHeight="1" thickBot="1"/>
    <row r="5" spans="1:21" ht="15" customHeight="1">
      <c r="A5" s="945" t="s">
        <v>122</v>
      </c>
      <c r="B5" s="945">
        <v>2000</v>
      </c>
      <c r="C5" s="945">
        <v>2001</v>
      </c>
      <c r="D5" s="945">
        <v>2002</v>
      </c>
      <c r="E5" s="945">
        <v>2003</v>
      </c>
      <c r="F5" s="945">
        <v>2004</v>
      </c>
      <c r="G5" s="945">
        <v>2005</v>
      </c>
      <c r="H5" s="945">
        <v>2006</v>
      </c>
      <c r="I5" s="945">
        <v>2007</v>
      </c>
      <c r="J5" s="945">
        <v>2008</v>
      </c>
      <c r="K5" s="945">
        <v>2009</v>
      </c>
      <c r="L5" s="945">
        <v>2010</v>
      </c>
      <c r="M5" s="945">
        <v>2011</v>
      </c>
      <c r="N5" s="945">
        <v>2012</v>
      </c>
      <c r="O5" s="945">
        <v>2013</v>
      </c>
      <c r="P5" s="945">
        <v>2014</v>
      </c>
      <c r="Q5" s="945">
        <v>2015</v>
      </c>
      <c r="R5" s="945">
        <v>2016</v>
      </c>
      <c r="S5" s="945">
        <v>2017</v>
      </c>
      <c r="T5" s="978">
        <v>2018</v>
      </c>
      <c r="U5" s="945" t="s">
        <v>326</v>
      </c>
    </row>
    <row r="6" spans="1:21" ht="15" customHeight="1">
      <c r="A6" s="396" t="s">
        <v>56</v>
      </c>
      <c r="B6" s="975">
        <v>0</v>
      </c>
      <c r="C6" s="975">
        <v>0</v>
      </c>
      <c r="D6" s="975">
        <v>0</v>
      </c>
      <c r="E6" s="975">
        <v>0</v>
      </c>
      <c r="F6" s="975">
        <v>0</v>
      </c>
      <c r="G6" s="975">
        <v>0</v>
      </c>
      <c r="H6" s="975">
        <v>0</v>
      </c>
      <c r="I6" s="975">
        <v>0</v>
      </c>
      <c r="J6" s="975">
        <v>0</v>
      </c>
      <c r="K6" s="975">
        <v>365040</v>
      </c>
      <c r="L6" s="983">
        <v>52560</v>
      </c>
      <c r="M6" s="983">
        <v>0</v>
      </c>
      <c r="N6" s="983">
        <v>0</v>
      </c>
      <c r="O6" s="983">
        <v>0</v>
      </c>
      <c r="P6" s="983">
        <v>538200</v>
      </c>
      <c r="Q6" s="983">
        <v>31080</v>
      </c>
      <c r="R6" s="983">
        <v>0</v>
      </c>
      <c r="S6" s="983">
        <v>0</v>
      </c>
      <c r="T6" s="983">
        <v>0</v>
      </c>
      <c r="U6" s="983">
        <v>0</v>
      </c>
    </row>
    <row r="7" spans="1:21" ht="14" customHeight="1">
      <c r="A7" s="144" t="s">
        <v>57</v>
      </c>
      <c r="B7" s="145">
        <v>0</v>
      </c>
      <c r="C7" s="145">
        <v>0</v>
      </c>
      <c r="D7" s="145">
        <v>0</v>
      </c>
      <c r="E7" s="145">
        <v>0</v>
      </c>
      <c r="F7" s="145">
        <v>0</v>
      </c>
      <c r="G7" s="145">
        <v>0</v>
      </c>
      <c r="H7" s="145">
        <v>0</v>
      </c>
      <c r="I7" s="145">
        <v>0</v>
      </c>
      <c r="J7" s="145">
        <v>0</v>
      </c>
      <c r="K7" s="145">
        <v>0</v>
      </c>
      <c r="L7" s="984">
        <v>52560</v>
      </c>
      <c r="M7" s="984">
        <v>0</v>
      </c>
      <c r="N7" s="984">
        <v>0</v>
      </c>
      <c r="O7" s="984">
        <v>0</v>
      </c>
      <c r="P7" s="984">
        <v>0</v>
      </c>
      <c r="Q7" s="984">
        <v>31080</v>
      </c>
      <c r="R7" s="984">
        <v>0</v>
      </c>
      <c r="S7" s="984">
        <v>0</v>
      </c>
      <c r="T7" s="984">
        <v>0</v>
      </c>
      <c r="U7" s="984">
        <v>0</v>
      </c>
    </row>
    <row r="8" spans="1:21" ht="14" customHeight="1">
      <c r="A8" s="144" t="s">
        <v>58</v>
      </c>
      <c r="B8" s="145">
        <v>0</v>
      </c>
      <c r="C8" s="145">
        <v>0</v>
      </c>
      <c r="D8" s="145">
        <v>0</v>
      </c>
      <c r="E8" s="145">
        <v>0</v>
      </c>
      <c r="F8" s="145">
        <v>0</v>
      </c>
      <c r="G8" s="174">
        <v>0</v>
      </c>
      <c r="H8" s="174">
        <v>0</v>
      </c>
      <c r="I8" s="174">
        <v>0</v>
      </c>
      <c r="J8" s="174">
        <v>0</v>
      </c>
      <c r="K8" s="174">
        <v>0</v>
      </c>
      <c r="L8" s="985">
        <v>0</v>
      </c>
      <c r="M8" s="985">
        <v>0</v>
      </c>
      <c r="N8" s="985">
        <v>0</v>
      </c>
      <c r="O8" s="985">
        <v>0</v>
      </c>
      <c r="P8" s="985">
        <v>0</v>
      </c>
      <c r="Q8" s="985">
        <v>0</v>
      </c>
      <c r="R8" s="985">
        <v>0</v>
      </c>
      <c r="S8" s="985">
        <v>0</v>
      </c>
      <c r="T8" s="985">
        <v>0</v>
      </c>
      <c r="U8" s="985">
        <v>0</v>
      </c>
    </row>
    <row r="9" spans="1:21" ht="14" customHeight="1">
      <c r="A9" s="144" t="s">
        <v>59</v>
      </c>
      <c r="B9" s="145">
        <v>0</v>
      </c>
      <c r="C9" s="145">
        <v>0</v>
      </c>
      <c r="D9" s="145">
        <v>0</v>
      </c>
      <c r="E9" s="145">
        <v>0</v>
      </c>
      <c r="F9" s="145">
        <v>0</v>
      </c>
      <c r="G9" s="174">
        <v>0</v>
      </c>
      <c r="H9" s="174">
        <v>0</v>
      </c>
      <c r="I9" s="174">
        <v>0</v>
      </c>
      <c r="J9" s="174">
        <v>0</v>
      </c>
      <c r="K9" s="174">
        <v>0</v>
      </c>
      <c r="L9" s="985">
        <v>0</v>
      </c>
      <c r="M9" s="985">
        <v>0</v>
      </c>
      <c r="N9" s="985">
        <v>0</v>
      </c>
      <c r="O9" s="985">
        <v>0</v>
      </c>
      <c r="P9" s="985">
        <v>0</v>
      </c>
      <c r="Q9" s="985">
        <v>0</v>
      </c>
      <c r="R9" s="985">
        <v>0</v>
      </c>
      <c r="S9" s="985">
        <v>0</v>
      </c>
      <c r="T9" s="985">
        <v>0</v>
      </c>
      <c r="U9" s="985">
        <v>0</v>
      </c>
    </row>
    <row r="10" spans="1:21" ht="14" customHeight="1">
      <c r="A10" s="144" t="s">
        <v>60</v>
      </c>
      <c r="B10" s="145">
        <v>0</v>
      </c>
      <c r="C10" s="145">
        <v>0</v>
      </c>
      <c r="D10" s="145">
        <v>0</v>
      </c>
      <c r="E10" s="145">
        <v>0</v>
      </c>
      <c r="F10" s="145">
        <v>0</v>
      </c>
      <c r="G10" s="174">
        <v>0</v>
      </c>
      <c r="H10" s="174">
        <v>0</v>
      </c>
      <c r="I10" s="174">
        <v>0</v>
      </c>
      <c r="J10" s="174">
        <v>0</v>
      </c>
      <c r="K10" s="174">
        <v>0</v>
      </c>
      <c r="L10" s="985">
        <v>0</v>
      </c>
      <c r="M10" s="985">
        <v>0</v>
      </c>
      <c r="N10" s="985">
        <v>0</v>
      </c>
      <c r="O10" s="985">
        <v>0</v>
      </c>
      <c r="P10" s="985">
        <v>0</v>
      </c>
      <c r="Q10" s="985">
        <v>0</v>
      </c>
      <c r="R10" s="985">
        <v>0</v>
      </c>
      <c r="S10" s="985">
        <v>0</v>
      </c>
      <c r="T10" s="985">
        <v>0</v>
      </c>
      <c r="U10" s="985">
        <v>0</v>
      </c>
    </row>
    <row r="11" spans="1:21" ht="14" customHeight="1">
      <c r="A11" s="144" t="s">
        <v>61</v>
      </c>
      <c r="B11" s="145">
        <v>0</v>
      </c>
      <c r="C11" s="145">
        <v>0</v>
      </c>
      <c r="D11" s="145">
        <v>0</v>
      </c>
      <c r="E11" s="145">
        <v>0</v>
      </c>
      <c r="F11" s="145">
        <v>0</v>
      </c>
      <c r="G11" s="174">
        <v>0</v>
      </c>
      <c r="H11" s="174">
        <v>0</v>
      </c>
      <c r="I11" s="174">
        <v>0</v>
      </c>
      <c r="J11" s="174">
        <v>0</v>
      </c>
      <c r="K11" s="174">
        <v>0</v>
      </c>
      <c r="L11" s="985">
        <v>3900</v>
      </c>
      <c r="M11" s="985">
        <v>0</v>
      </c>
      <c r="N11" s="985">
        <v>0</v>
      </c>
      <c r="O11" s="985">
        <v>0</v>
      </c>
      <c r="P11" s="985">
        <v>0</v>
      </c>
      <c r="Q11" s="985">
        <v>0</v>
      </c>
      <c r="R11" s="985">
        <v>0</v>
      </c>
      <c r="S11" s="985">
        <v>0</v>
      </c>
      <c r="T11" s="985">
        <v>0</v>
      </c>
      <c r="U11" s="985">
        <v>0</v>
      </c>
    </row>
    <row r="12" spans="1:21" ht="14" customHeight="1">
      <c r="A12" s="144" t="s">
        <v>62</v>
      </c>
      <c r="B12" s="145">
        <v>0</v>
      </c>
      <c r="C12" s="145">
        <v>0</v>
      </c>
      <c r="D12" s="145">
        <v>0</v>
      </c>
      <c r="E12" s="145">
        <v>0</v>
      </c>
      <c r="F12" s="145">
        <v>0</v>
      </c>
      <c r="G12" s="174">
        <v>0</v>
      </c>
      <c r="H12" s="174">
        <v>0</v>
      </c>
      <c r="I12" s="174">
        <v>0</v>
      </c>
      <c r="J12" s="174">
        <v>0</v>
      </c>
      <c r="K12" s="174">
        <v>0</v>
      </c>
      <c r="L12" s="985">
        <v>0</v>
      </c>
      <c r="M12" s="985">
        <v>0</v>
      </c>
      <c r="N12" s="985">
        <v>0</v>
      </c>
      <c r="O12" s="985">
        <v>0</v>
      </c>
      <c r="P12" s="985">
        <v>61200</v>
      </c>
      <c r="Q12" s="985">
        <v>0</v>
      </c>
      <c r="R12" s="985">
        <v>0</v>
      </c>
      <c r="S12" s="985">
        <v>0</v>
      </c>
      <c r="T12" s="985">
        <v>0</v>
      </c>
      <c r="U12" s="985">
        <v>0</v>
      </c>
    </row>
    <row r="13" spans="1:21" ht="14" customHeight="1">
      <c r="A13" s="144" t="s">
        <v>63</v>
      </c>
      <c r="B13" s="145">
        <v>0</v>
      </c>
      <c r="C13" s="145">
        <v>0</v>
      </c>
      <c r="D13" s="145">
        <v>0</v>
      </c>
      <c r="E13" s="145">
        <v>0</v>
      </c>
      <c r="F13" s="145">
        <v>0</v>
      </c>
      <c r="G13" s="174">
        <v>0</v>
      </c>
      <c r="H13" s="174">
        <v>0</v>
      </c>
      <c r="I13" s="174">
        <v>0</v>
      </c>
      <c r="J13" s="174">
        <v>0</v>
      </c>
      <c r="K13" s="174">
        <v>119520</v>
      </c>
      <c r="L13" s="985">
        <v>0</v>
      </c>
      <c r="M13" s="985">
        <v>0</v>
      </c>
      <c r="N13" s="985">
        <v>0</v>
      </c>
      <c r="O13" s="985">
        <v>0</v>
      </c>
      <c r="P13" s="985">
        <v>161640</v>
      </c>
      <c r="Q13" s="985">
        <v>0</v>
      </c>
      <c r="R13" s="985">
        <v>0</v>
      </c>
      <c r="S13" s="985">
        <v>0</v>
      </c>
      <c r="T13" s="985">
        <v>0</v>
      </c>
      <c r="U13" s="985">
        <v>0</v>
      </c>
    </row>
    <row r="14" spans="1:21" ht="14" customHeight="1">
      <c r="A14" s="144" t="s">
        <v>64</v>
      </c>
      <c r="B14" s="145">
        <v>0</v>
      </c>
      <c r="C14" s="145">
        <v>0</v>
      </c>
      <c r="D14" s="145">
        <v>0</v>
      </c>
      <c r="E14" s="145">
        <v>0</v>
      </c>
      <c r="F14" s="145">
        <v>0</v>
      </c>
      <c r="G14" s="174">
        <v>0</v>
      </c>
      <c r="H14" s="174">
        <v>0</v>
      </c>
      <c r="I14" s="174">
        <v>0</v>
      </c>
      <c r="J14" s="174">
        <v>0</v>
      </c>
      <c r="K14" s="174">
        <v>61920</v>
      </c>
      <c r="L14" s="985">
        <v>0</v>
      </c>
      <c r="M14" s="985">
        <v>0</v>
      </c>
      <c r="N14" s="985">
        <v>0</v>
      </c>
      <c r="O14" s="985">
        <v>0</v>
      </c>
      <c r="P14" s="985">
        <v>124200</v>
      </c>
      <c r="Q14" s="985">
        <v>0</v>
      </c>
      <c r="R14" s="985">
        <v>0</v>
      </c>
      <c r="S14" s="985">
        <v>0</v>
      </c>
      <c r="T14" s="985">
        <v>0</v>
      </c>
      <c r="U14" s="985">
        <v>0</v>
      </c>
    </row>
    <row r="15" spans="1:21" ht="14" customHeight="1">
      <c r="A15" s="144" t="s">
        <v>65</v>
      </c>
      <c r="B15" s="145">
        <v>0</v>
      </c>
      <c r="C15" s="145">
        <v>0</v>
      </c>
      <c r="D15" s="145">
        <v>0</v>
      </c>
      <c r="E15" s="145">
        <v>0</v>
      </c>
      <c r="F15" s="145">
        <v>0</v>
      </c>
      <c r="G15" s="174">
        <v>0</v>
      </c>
      <c r="H15" s="174">
        <v>0</v>
      </c>
      <c r="I15" s="174">
        <v>0</v>
      </c>
      <c r="J15" s="174">
        <v>0</v>
      </c>
      <c r="K15" s="174">
        <v>20520</v>
      </c>
      <c r="L15" s="985">
        <v>0</v>
      </c>
      <c r="M15" s="985">
        <v>0</v>
      </c>
      <c r="N15" s="985">
        <v>0</v>
      </c>
      <c r="O15" s="985">
        <v>0</v>
      </c>
      <c r="P15" s="985">
        <v>0</v>
      </c>
      <c r="Q15" s="985">
        <v>0</v>
      </c>
      <c r="R15" s="985">
        <v>0</v>
      </c>
      <c r="S15" s="985">
        <v>0</v>
      </c>
      <c r="T15" s="985">
        <v>0</v>
      </c>
      <c r="U15" s="985">
        <v>0</v>
      </c>
    </row>
    <row r="16" spans="1:21" ht="14" customHeight="1">
      <c r="A16" s="144" t="s">
        <v>66</v>
      </c>
      <c r="B16" s="145">
        <v>0</v>
      </c>
      <c r="C16" s="145">
        <v>0</v>
      </c>
      <c r="D16" s="145">
        <v>0</v>
      </c>
      <c r="E16" s="145">
        <v>0</v>
      </c>
      <c r="F16" s="145">
        <v>0</v>
      </c>
      <c r="G16" s="174">
        <v>0</v>
      </c>
      <c r="H16" s="174">
        <v>0</v>
      </c>
      <c r="I16" s="174">
        <v>0</v>
      </c>
      <c r="J16" s="174">
        <v>0</v>
      </c>
      <c r="K16" s="174">
        <v>72000</v>
      </c>
      <c r="L16" s="985">
        <v>0</v>
      </c>
      <c r="M16" s="985">
        <v>0</v>
      </c>
      <c r="N16" s="985">
        <v>0</v>
      </c>
      <c r="O16" s="985">
        <v>0</v>
      </c>
      <c r="P16" s="985">
        <v>126720</v>
      </c>
      <c r="Q16" s="985">
        <v>0</v>
      </c>
      <c r="R16" s="985">
        <v>0</v>
      </c>
      <c r="S16" s="985">
        <v>0</v>
      </c>
      <c r="T16" s="985">
        <v>0</v>
      </c>
      <c r="U16" s="985">
        <v>0</v>
      </c>
    </row>
    <row r="17" spans="1:25" ht="14" customHeight="1">
      <c r="A17" s="144" t="s">
        <v>67</v>
      </c>
      <c r="B17" s="145">
        <v>0</v>
      </c>
      <c r="C17" s="145">
        <v>0</v>
      </c>
      <c r="D17" s="145">
        <v>0</v>
      </c>
      <c r="E17" s="145">
        <v>0</v>
      </c>
      <c r="F17" s="145">
        <v>0</v>
      </c>
      <c r="G17" s="174">
        <v>0</v>
      </c>
      <c r="H17" s="174">
        <v>0</v>
      </c>
      <c r="I17" s="174">
        <v>0</v>
      </c>
      <c r="J17" s="174">
        <v>0</v>
      </c>
      <c r="K17" s="174">
        <v>11520</v>
      </c>
      <c r="L17" s="985">
        <v>0</v>
      </c>
      <c r="M17" s="985">
        <v>0</v>
      </c>
      <c r="N17" s="985">
        <v>0</v>
      </c>
      <c r="O17" s="985">
        <v>0</v>
      </c>
      <c r="P17" s="985">
        <v>64440</v>
      </c>
      <c r="Q17" s="985">
        <v>0</v>
      </c>
      <c r="R17" s="985">
        <v>0</v>
      </c>
      <c r="S17" s="985">
        <v>0</v>
      </c>
      <c r="T17" s="985">
        <v>0</v>
      </c>
      <c r="U17" s="985">
        <v>0</v>
      </c>
    </row>
    <row r="18" spans="1:25" ht="14" customHeight="1" thickBot="1">
      <c r="A18" s="147" t="s">
        <v>68</v>
      </c>
      <c r="B18" s="175">
        <v>0</v>
      </c>
      <c r="C18" s="175">
        <v>0</v>
      </c>
      <c r="D18" s="175">
        <v>0</v>
      </c>
      <c r="E18" s="175">
        <v>0</v>
      </c>
      <c r="F18" s="175">
        <v>0</v>
      </c>
      <c r="G18" s="175">
        <v>0</v>
      </c>
      <c r="H18" s="175">
        <v>0</v>
      </c>
      <c r="I18" s="175">
        <v>0</v>
      </c>
      <c r="J18" s="175">
        <v>0</v>
      </c>
      <c r="K18" s="175">
        <v>79560</v>
      </c>
      <c r="L18" s="986">
        <v>0</v>
      </c>
      <c r="M18" s="986">
        <v>0</v>
      </c>
      <c r="N18" s="986">
        <v>0</v>
      </c>
      <c r="O18" s="986">
        <v>0</v>
      </c>
      <c r="P18" s="986">
        <v>0</v>
      </c>
      <c r="Q18" s="986">
        <v>0</v>
      </c>
      <c r="R18" s="986">
        <v>0</v>
      </c>
      <c r="S18" s="986">
        <v>0</v>
      </c>
      <c r="T18" s="986">
        <v>0</v>
      </c>
      <c r="U18" s="986">
        <v>0</v>
      </c>
    </row>
    <row r="19" spans="1:25" ht="10" customHeight="1">
      <c r="A19" s="28" t="s">
        <v>238</v>
      </c>
      <c r="B19" s="365"/>
      <c r="C19" s="365"/>
      <c r="D19" s="365"/>
      <c r="E19" s="365"/>
      <c r="F19" s="365"/>
      <c r="G19" s="365"/>
      <c r="H19" s="365"/>
      <c r="I19" s="365"/>
      <c r="J19" s="365"/>
      <c r="K19" s="365"/>
      <c r="L19" s="365"/>
      <c r="M19" s="365"/>
      <c r="N19" s="365"/>
      <c r="O19" s="365"/>
      <c r="P19" s="365"/>
      <c r="Q19" s="365"/>
      <c r="R19" s="365"/>
      <c r="S19" s="365"/>
      <c r="T19" s="365"/>
      <c r="U19" s="365"/>
    </row>
    <row r="20" spans="1:25" ht="10" customHeight="1">
      <c r="A20" s="982" t="s">
        <v>194</v>
      </c>
      <c r="B20" s="365"/>
      <c r="C20" s="365"/>
      <c r="D20" s="365"/>
      <c r="E20" s="365"/>
      <c r="F20" s="365"/>
      <c r="G20" s="365"/>
      <c r="H20" s="365"/>
      <c r="I20" s="365"/>
      <c r="J20" s="365"/>
      <c r="K20" s="365"/>
      <c r="L20" s="365"/>
      <c r="M20" s="365"/>
      <c r="N20" s="365"/>
      <c r="O20" s="365"/>
      <c r="P20" s="365"/>
      <c r="Q20" s="365"/>
      <c r="R20" s="365"/>
      <c r="S20" s="365"/>
      <c r="T20" s="365"/>
      <c r="U20" s="365"/>
    </row>
    <row r="21" spans="1:25" ht="10" customHeight="1">
      <c r="A21" s="40" t="s">
        <v>261</v>
      </c>
      <c r="B21" s="365"/>
      <c r="C21" s="365"/>
      <c r="D21" s="365"/>
      <c r="E21" s="365"/>
      <c r="F21" s="365"/>
      <c r="G21" s="365"/>
      <c r="H21" s="365"/>
      <c r="I21" s="365"/>
      <c r="J21" s="365"/>
      <c r="K21" s="365"/>
      <c r="L21" s="365"/>
      <c r="M21" s="365"/>
      <c r="N21" s="365"/>
      <c r="O21" s="365"/>
      <c r="P21" s="365"/>
      <c r="Q21" s="365"/>
      <c r="R21" s="365"/>
      <c r="S21" s="365"/>
      <c r="T21" s="365"/>
      <c r="U21" s="365"/>
    </row>
    <row r="23" spans="1:25" ht="13" customHeight="1">
      <c r="A23" s="512" t="s">
        <v>259</v>
      </c>
      <c r="B23" s="508"/>
      <c r="C23" s="508"/>
      <c r="D23" s="508"/>
      <c r="E23" s="508"/>
      <c r="F23" s="508"/>
      <c r="G23" s="508"/>
      <c r="H23" s="508"/>
      <c r="I23" s="508"/>
      <c r="J23" s="508"/>
      <c r="K23" s="508"/>
      <c r="L23" s="508"/>
      <c r="M23" s="508"/>
      <c r="N23" s="508"/>
      <c r="O23" s="508"/>
      <c r="P23" s="508"/>
      <c r="Q23" s="508"/>
      <c r="R23" s="508"/>
      <c r="S23" s="508"/>
      <c r="T23" s="508"/>
      <c r="U23" s="508"/>
    </row>
    <row r="24" spans="1:25" ht="13" customHeight="1">
      <c r="A24" s="987" t="s">
        <v>428</v>
      </c>
      <c r="B24" s="508"/>
      <c r="C24" s="508"/>
      <c r="D24" s="508"/>
      <c r="E24" s="508"/>
      <c r="F24" s="508"/>
      <c r="G24" s="508"/>
      <c r="H24" s="508"/>
      <c r="I24" s="508"/>
      <c r="J24" s="508"/>
      <c r="K24" s="508"/>
      <c r="L24" s="508"/>
      <c r="M24" s="508"/>
      <c r="N24" s="508"/>
      <c r="O24" s="508"/>
      <c r="P24" s="508"/>
      <c r="Q24" s="508"/>
      <c r="R24" s="508"/>
      <c r="S24" s="508"/>
      <c r="T24" s="508"/>
      <c r="U24" s="508"/>
    </row>
    <row r="25" spans="1:25" ht="4" customHeight="1" thickBot="1"/>
    <row r="26" spans="1:25" ht="15" customHeight="1">
      <c r="A26" s="945" t="s">
        <v>122</v>
      </c>
      <c r="B26" s="945">
        <v>2000</v>
      </c>
      <c r="C26" s="945">
        <v>2001</v>
      </c>
      <c r="D26" s="945">
        <v>2002</v>
      </c>
      <c r="E26" s="945">
        <v>2003</v>
      </c>
      <c r="F26" s="945">
        <v>2004</v>
      </c>
      <c r="G26" s="945">
        <v>2005</v>
      </c>
      <c r="H26" s="945">
        <v>2006</v>
      </c>
      <c r="I26" s="945">
        <v>2007</v>
      </c>
      <c r="J26" s="945">
        <v>2008</v>
      </c>
      <c r="K26" s="945">
        <v>2009</v>
      </c>
      <c r="L26" s="945">
        <v>2010</v>
      </c>
      <c r="M26" s="945">
        <v>2011</v>
      </c>
      <c r="N26" s="945">
        <v>2012</v>
      </c>
      <c r="O26" s="945">
        <v>2013</v>
      </c>
      <c r="P26" s="945">
        <v>2014</v>
      </c>
      <c r="Q26" s="945">
        <v>2015</v>
      </c>
      <c r="R26" s="945">
        <v>2016</v>
      </c>
      <c r="S26" s="945">
        <v>2017</v>
      </c>
      <c r="T26" s="978">
        <v>2018</v>
      </c>
      <c r="U26" s="945" t="s">
        <v>326</v>
      </c>
    </row>
    <row r="27" spans="1:25" ht="15" customHeight="1">
      <c r="A27" s="396" t="s">
        <v>56</v>
      </c>
      <c r="B27" s="975">
        <v>0</v>
      </c>
      <c r="C27" s="975">
        <v>0</v>
      </c>
      <c r="D27" s="975">
        <v>0</v>
      </c>
      <c r="E27" s="975">
        <v>0</v>
      </c>
      <c r="F27" s="975">
        <v>0</v>
      </c>
      <c r="G27" s="975">
        <v>0</v>
      </c>
      <c r="H27" s="975">
        <v>0</v>
      </c>
      <c r="I27" s="975">
        <v>0</v>
      </c>
      <c r="J27" s="975">
        <v>703680</v>
      </c>
      <c r="K27" s="975">
        <v>684400</v>
      </c>
      <c r="L27" s="990">
        <v>362160</v>
      </c>
      <c r="M27" s="990">
        <v>642960</v>
      </c>
      <c r="N27" s="990">
        <v>534600</v>
      </c>
      <c r="O27" s="990">
        <v>823960</v>
      </c>
      <c r="P27" s="990">
        <v>2421000</v>
      </c>
      <c r="Q27" s="990">
        <v>2744280</v>
      </c>
      <c r="R27" s="990">
        <v>2980080</v>
      </c>
      <c r="S27" s="990">
        <v>2533680</v>
      </c>
      <c r="T27" s="990">
        <f>SUM(T28:T39)</f>
        <v>779760</v>
      </c>
      <c r="U27" s="990">
        <f>SUM(U28:U39)</f>
        <v>515160</v>
      </c>
    </row>
    <row r="28" spans="1:25" ht="14" customHeight="1">
      <c r="A28" s="946" t="s">
        <v>57</v>
      </c>
      <c r="B28" s="145">
        <v>0</v>
      </c>
      <c r="C28" s="145">
        <v>0</v>
      </c>
      <c r="D28" s="145">
        <v>0</v>
      </c>
      <c r="E28" s="145">
        <v>0</v>
      </c>
      <c r="F28" s="145">
        <v>0</v>
      </c>
      <c r="G28" s="145">
        <v>0</v>
      </c>
      <c r="H28" s="145">
        <v>0</v>
      </c>
      <c r="I28" s="145">
        <v>0</v>
      </c>
      <c r="J28" s="145">
        <v>0</v>
      </c>
      <c r="K28" s="145">
        <v>69840</v>
      </c>
      <c r="L28" s="991">
        <v>0</v>
      </c>
      <c r="M28" s="991">
        <v>157320</v>
      </c>
      <c r="N28" s="991">
        <v>77040</v>
      </c>
      <c r="O28" s="991">
        <v>28440</v>
      </c>
      <c r="P28" s="991">
        <v>222840</v>
      </c>
      <c r="Q28" s="991">
        <v>194400</v>
      </c>
      <c r="R28" s="991">
        <v>376920</v>
      </c>
      <c r="S28" s="991">
        <v>268200</v>
      </c>
      <c r="T28" s="991">
        <v>183600</v>
      </c>
      <c r="U28" s="991">
        <v>46440</v>
      </c>
      <c r="Y28" s="145"/>
    </row>
    <row r="29" spans="1:25" ht="14" customHeight="1">
      <c r="A29" s="946" t="s">
        <v>58</v>
      </c>
      <c r="B29" s="174">
        <v>0</v>
      </c>
      <c r="C29" s="174">
        <v>0</v>
      </c>
      <c r="D29" s="174">
        <v>0</v>
      </c>
      <c r="E29" s="174">
        <v>0</v>
      </c>
      <c r="F29" s="174">
        <v>0</v>
      </c>
      <c r="G29" s="145">
        <v>0</v>
      </c>
      <c r="H29" s="174">
        <v>0</v>
      </c>
      <c r="I29" s="174">
        <v>0</v>
      </c>
      <c r="J29" s="174">
        <v>0</v>
      </c>
      <c r="K29" s="174">
        <v>282240</v>
      </c>
      <c r="L29" s="992">
        <v>0</v>
      </c>
      <c r="M29" s="992">
        <v>115200</v>
      </c>
      <c r="N29" s="992">
        <v>14040</v>
      </c>
      <c r="O29" s="992">
        <v>28440</v>
      </c>
      <c r="P29" s="992">
        <v>187920</v>
      </c>
      <c r="Q29" s="991">
        <v>204840</v>
      </c>
      <c r="R29" s="991">
        <v>249480</v>
      </c>
      <c r="S29" s="991">
        <v>241560</v>
      </c>
      <c r="T29" s="991">
        <v>234720</v>
      </c>
      <c r="U29" s="991">
        <v>0</v>
      </c>
      <c r="Y29" s="145"/>
    </row>
    <row r="30" spans="1:25" ht="14" customHeight="1">
      <c r="A30" s="946" t="s">
        <v>59</v>
      </c>
      <c r="B30" s="174">
        <v>0</v>
      </c>
      <c r="C30" s="174">
        <v>0</v>
      </c>
      <c r="D30" s="174">
        <v>0</v>
      </c>
      <c r="E30" s="174">
        <v>0</v>
      </c>
      <c r="F30" s="174">
        <v>0</v>
      </c>
      <c r="G30" s="145">
        <v>0</v>
      </c>
      <c r="H30" s="174">
        <v>0</v>
      </c>
      <c r="I30" s="174">
        <v>0</v>
      </c>
      <c r="J30" s="174">
        <v>0</v>
      </c>
      <c r="K30" s="174">
        <v>35280</v>
      </c>
      <c r="L30" s="992">
        <v>156600</v>
      </c>
      <c r="M30" s="992">
        <v>72000</v>
      </c>
      <c r="N30" s="992">
        <v>64440</v>
      </c>
      <c r="O30" s="992">
        <v>70920</v>
      </c>
      <c r="P30" s="992">
        <v>202680</v>
      </c>
      <c r="Q30" s="991">
        <v>181080</v>
      </c>
      <c r="R30" s="991">
        <v>168840</v>
      </c>
      <c r="S30" s="991">
        <v>176760</v>
      </c>
      <c r="T30" s="991">
        <v>45720</v>
      </c>
      <c r="U30" s="991">
        <v>92880</v>
      </c>
      <c r="Y30" s="145"/>
    </row>
    <row r="31" spans="1:25" ht="14" customHeight="1">
      <c r="A31" s="946" t="s">
        <v>60</v>
      </c>
      <c r="B31" s="174">
        <v>0</v>
      </c>
      <c r="C31" s="174">
        <v>0</v>
      </c>
      <c r="D31" s="174">
        <v>0</v>
      </c>
      <c r="E31" s="174">
        <v>0</v>
      </c>
      <c r="F31" s="174">
        <v>0</v>
      </c>
      <c r="G31" s="145">
        <v>0</v>
      </c>
      <c r="H31" s="174">
        <v>0</v>
      </c>
      <c r="I31" s="174">
        <v>0</v>
      </c>
      <c r="J31" s="174">
        <v>0</v>
      </c>
      <c r="K31" s="174">
        <v>61560</v>
      </c>
      <c r="L31" s="992">
        <v>52200</v>
      </c>
      <c r="M31" s="992">
        <v>56160</v>
      </c>
      <c r="N31" s="992">
        <v>0</v>
      </c>
      <c r="O31" s="992">
        <v>14400</v>
      </c>
      <c r="P31" s="992">
        <v>221760</v>
      </c>
      <c r="Q31" s="991">
        <v>263160</v>
      </c>
      <c r="R31" s="991">
        <v>272880</v>
      </c>
      <c r="S31" s="991">
        <v>144720</v>
      </c>
      <c r="T31" s="991">
        <v>45720</v>
      </c>
      <c r="U31" s="991">
        <v>0</v>
      </c>
      <c r="Y31" s="145"/>
    </row>
    <row r="32" spans="1:25" ht="14" customHeight="1">
      <c r="A32" s="946" t="s">
        <v>61</v>
      </c>
      <c r="B32" s="174">
        <v>0</v>
      </c>
      <c r="C32" s="174">
        <v>0</v>
      </c>
      <c r="D32" s="174">
        <v>0</v>
      </c>
      <c r="E32" s="174">
        <v>0</v>
      </c>
      <c r="F32" s="174">
        <v>0</v>
      </c>
      <c r="G32" s="145">
        <v>0</v>
      </c>
      <c r="H32" s="174">
        <v>0</v>
      </c>
      <c r="I32" s="174">
        <v>0</v>
      </c>
      <c r="J32" s="174">
        <v>92880</v>
      </c>
      <c r="K32" s="174">
        <v>56880</v>
      </c>
      <c r="L32" s="992">
        <v>0</v>
      </c>
      <c r="M32" s="992">
        <v>59400</v>
      </c>
      <c r="N32" s="992">
        <v>178560</v>
      </c>
      <c r="O32" s="992">
        <v>14400</v>
      </c>
      <c r="P32" s="992">
        <v>175680</v>
      </c>
      <c r="Q32" s="991">
        <v>169560</v>
      </c>
      <c r="R32" s="991">
        <v>203760</v>
      </c>
      <c r="S32" s="991">
        <v>177120</v>
      </c>
      <c r="T32" s="991">
        <v>46800</v>
      </c>
      <c r="U32" s="991">
        <v>91800</v>
      </c>
      <c r="Y32" s="145"/>
    </row>
    <row r="33" spans="1:25" ht="14" customHeight="1">
      <c r="A33" s="946" t="s">
        <v>62</v>
      </c>
      <c r="B33" s="174">
        <v>0</v>
      </c>
      <c r="C33" s="174">
        <v>0</v>
      </c>
      <c r="D33" s="174">
        <v>0</v>
      </c>
      <c r="E33" s="174">
        <v>0</v>
      </c>
      <c r="F33" s="174">
        <v>0</v>
      </c>
      <c r="G33" s="145">
        <v>0</v>
      </c>
      <c r="H33" s="174">
        <v>0</v>
      </c>
      <c r="I33" s="174">
        <v>0</v>
      </c>
      <c r="J33" s="174">
        <v>185760</v>
      </c>
      <c r="K33" s="174">
        <v>26280</v>
      </c>
      <c r="L33" s="992">
        <v>0</v>
      </c>
      <c r="M33" s="992">
        <v>0</v>
      </c>
      <c r="N33" s="992">
        <v>80640</v>
      </c>
      <c r="O33" s="992">
        <v>43200</v>
      </c>
      <c r="P33" s="992">
        <v>108360</v>
      </c>
      <c r="Q33" s="991">
        <v>110880</v>
      </c>
      <c r="R33" s="991">
        <v>284040</v>
      </c>
      <c r="S33" s="991">
        <v>174600</v>
      </c>
      <c r="T33" s="991">
        <v>45720</v>
      </c>
      <c r="U33" s="991">
        <v>66600</v>
      </c>
      <c r="Y33" s="145"/>
    </row>
    <row r="34" spans="1:25" ht="14" customHeight="1">
      <c r="A34" s="946" t="s">
        <v>63</v>
      </c>
      <c r="B34" s="174">
        <v>0</v>
      </c>
      <c r="C34" s="174">
        <v>0</v>
      </c>
      <c r="D34" s="174">
        <v>0</v>
      </c>
      <c r="E34" s="174">
        <v>0</v>
      </c>
      <c r="F34" s="174">
        <v>0</v>
      </c>
      <c r="G34" s="145">
        <v>0</v>
      </c>
      <c r="H34" s="174">
        <v>0</v>
      </c>
      <c r="I34" s="174">
        <v>0</v>
      </c>
      <c r="J34" s="174">
        <v>92880</v>
      </c>
      <c r="K34" s="174">
        <v>0</v>
      </c>
      <c r="L34" s="992">
        <v>0</v>
      </c>
      <c r="M34" s="992">
        <v>28440</v>
      </c>
      <c r="N34" s="992">
        <v>48960</v>
      </c>
      <c r="O34" s="992">
        <v>14400</v>
      </c>
      <c r="P34" s="992">
        <v>236520</v>
      </c>
      <c r="Q34" s="991">
        <v>264960</v>
      </c>
      <c r="R34" s="991">
        <v>219960</v>
      </c>
      <c r="S34" s="991">
        <v>286560</v>
      </c>
      <c r="T34" s="991">
        <v>0</v>
      </c>
      <c r="U34" s="991">
        <v>23040</v>
      </c>
      <c r="Y34" s="145"/>
    </row>
    <row r="35" spans="1:25" ht="14" customHeight="1">
      <c r="A35" s="946" t="s">
        <v>64</v>
      </c>
      <c r="B35" s="174">
        <v>0</v>
      </c>
      <c r="C35" s="174">
        <v>0</v>
      </c>
      <c r="D35" s="174">
        <v>0</v>
      </c>
      <c r="E35" s="174">
        <v>0</v>
      </c>
      <c r="F35" s="174">
        <v>0</v>
      </c>
      <c r="G35" s="145">
        <v>0</v>
      </c>
      <c r="H35" s="174">
        <v>0</v>
      </c>
      <c r="I35" s="174">
        <v>0</v>
      </c>
      <c r="J35" s="174">
        <v>0</v>
      </c>
      <c r="K35" s="174">
        <v>0</v>
      </c>
      <c r="L35" s="992">
        <v>0</v>
      </c>
      <c r="M35" s="992">
        <v>64440</v>
      </c>
      <c r="N35" s="992">
        <v>28440</v>
      </c>
      <c r="O35" s="992">
        <v>28800</v>
      </c>
      <c r="P35" s="992">
        <v>182520</v>
      </c>
      <c r="Q35" s="991">
        <v>236520</v>
      </c>
      <c r="R35" s="991">
        <v>271800</v>
      </c>
      <c r="S35" s="991">
        <v>158760</v>
      </c>
      <c r="T35" s="991">
        <v>0</v>
      </c>
      <c r="U35" s="991">
        <v>46440</v>
      </c>
      <c r="Y35" s="145"/>
    </row>
    <row r="36" spans="1:25" ht="14" customHeight="1">
      <c r="A36" s="946" t="s">
        <v>65</v>
      </c>
      <c r="B36" s="174">
        <v>0</v>
      </c>
      <c r="C36" s="174">
        <v>0</v>
      </c>
      <c r="D36" s="174">
        <v>0</v>
      </c>
      <c r="E36" s="174">
        <v>0</v>
      </c>
      <c r="F36" s="174">
        <v>0</v>
      </c>
      <c r="G36" s="145">
        <v>0</v>
      </c>
      <c r="H36" s="174">
        <v>0</v>
      </c>
      <c r="I36" s="174">
        <v>0</v>
      </c>
      <c r="J36" s="174">
        <v>0</v>
      </c>
      <c r="K36" s="174">
        <v>0</v>
      </c>
      <c r="L36" s="992">
        <v>0</v>
      </c>
      <c r="M36" s="992">
        <v>30960</v>
      </c>
      <c r="N36" s="992">
        <v>0</v>
      </c>
      <c r="O36" s="992">
        <v>24400</v>
      </c>
      <c r="P36" s="992">
        <v>210600</v>
      </c>
      <c r="Q36" s="991">
        <v>286200</v>
      </c>
      <c r="R36" s="991">
        <v>141120</v>
      </c>
      <c r="S36" s="991">
        <v>212040</v>
      </c>
      <c r="T36" s="991">
        <v>0</v>
      </c>
      <c r="U36" s="991">
        <v>46440</v>
      </c>
      <c r="Y36" s="145"/>
    </row>
    <row r="37" spans="1:25" ht="14" customHeight="1">
      <c r="A37" s="946" t="s">
        <v>66</v>
      </c>
      <c r="B37" s="174">
        <v>0</v>
      </c>
      <c r="C37" s="174">
        <v>0</v>
      </c>
      <c r="D37" s="174">
        <v>0</v>
      </c>
      <c r="E37" s="174">
        <v>0</v>
      </c>
      <c r="F37" s="174">
        <v>0</v>
      </c>
      <c r="G37" s="145">
        <v>0</v>
      </c>
      <c r="H37" s="174">
        <v>0</v>
      </c>
      <c r="I37" s="174">
        <v>0</v>
      </c>
      <c r="J37" s="174">
        <v>93000</v>
      </c>
      <c r="K37" s="174">
        <v>50040</v>
      </c>
      <c r="L37" s="992">
        <v>46800</v>
      </c>
      <c r="M37" s="992">
        <v>28440</v>
      </c>
      <c r="N37" s="992">
        <v>28440</v>
      </c>
      <c r="O37" s="992">
        <v>106560</v>
      </c>
      <c r="P37" s="992">
        <v>222120</v>
      </c>
      <c r="Q37" s="991">
        <v>252360</v>
      </c>
      <c r="R37" s="991">
        <v>225000</v>
      </c>
      <c r="S37" s="991">
        <v>255240</v>
      </c>
      <c r="T37" s="991">
        <v>86040</v>
      </c>
      <c r="U37" s="991">
        <v>46440</v>
      </c>
      <c r="Y37" s="145"/>
    </row>
    <row r="38" spans="1:25" ht="14" customHeight="1">
      <c r="A38" s="946" t="s">
        <v>67</v>
      </c>
      <c r="B38" s="174">
        <v>0</v>
      </c>
      <c r="C38" s="174">
        <v>0</v>
      </c>
      <c r="D38" s="174">
        <v>0</v>
      </c>
      <c r="E38" s="174">
        <v>0</v>
      </c>
      <c r="F38" s="174">
        <v>0</v>
      </c>
      <c r="G38" s="145">
        <v>0</v>
      </c>
      <c r="H38" s="174">
        <v>0</v>
      </c>
      <c r="I38" s="174">
        <v>0</v>
      </c>
      <c r="J38" s="174">
        <v>239160</v>
      </c>
      <c r="K38" s="174">
        <v>102280</v>
      </c>
      <c r="L38" s="992">
        <v>106560</v>
      </c>
      <c r="M38" s="992">
        <v>30600</v>
      </c>
      <c r="N38" s="992">
        <v>14040</v>
      </c>
      <c r="O38" s="992">
        <v>232200</v>
      </c>
      <c r="P38" s="992">
        <v>161280</v>
      </c>
      <c r="Q38" s="991">
        <v>312480</v>
      </c>
      <c r="R38" s="991">
        <v>269280</v>
      </c>
      <c r="S38" s="991">
        <v>135720</v>
      </c>
      <c r="T38" s="991">
        <v>45720</v>
      </c>
      <c r="U38" s="991">
        <v>0</v>
      </c>
      <c r="Y38" s="145"/>
    </row>
    <row r="39" spans="1:25" ht="14" customHeight="1" thickBot="1">
      <c r="A39" s="147" t="s">
        <v>68</v>
      </c>
      <c r="B39" s="175">
        <v>0</v>
      </c>
      <c r="C39" s="175">
        <v>0</v>
      </c>
      <c r="D39" s="175">
        <v>0</v>
      </c>
      <c r="E39" s="175">
        <v>0</v>
      </c>
      <c r="F39" s="175">
        <v>0</v>
      </c>
      <c r="G39" s="175">
        <v>0</v>
      </c>
      <c r="H39" s="175">
        <v>0</v>
      </c>
      <c r="I39" s="175">
        <v>0</v>
      </c>
      <c r="J39" s="175">
        <v>0</v>
      </c>
      <c r="K39" s="175">
        <v>0</v>
      </c>
      <c r="L39" s="993">
        <v>0</v>
      </c>
      <c r="M39" s="993">
        <v>0</v>
      </c>
      <c r="N39" s="993">
        <v>0</v>
      </c>
      <c r="O39" s="993">
        <v>217800</v>
      </c>
      <c r="P39" s="993">
        <v>288720</v>
      </c>
      <c r="Q39" s="993">
        <v>267840</v>
      </c>
      <c r="R39" s="993">
        <v>297000</v>
      </c>
      <c r="S39" s="993">
        <v>302400</v>
      </c>
      <c r="T39" s="993">
        <v>45720</v>
      </c>
      <c r="U39" s="993">
        <v>55080</v>
      </c>
      <c r="Y39" s="145"/>
    </row>
    <row r="40" spans="1:25" ht="10" customHeight="1">
      <c r="A40" s="28" t="s">
        <v>238</v>
      </c>
      <c r="B40" s="363"/>
      <c r="C40" s="363"/>
      <c r="D40" s="363"/>
      <c r="E40" s="363"/>
      <c r="F40" s="363"/>
      <c r="G40" s="363"/>
      <c r="H40" s="363"/>
      <c r="I40" s="363"/>
      <c r="J40" s="363"/>
      <c r="K40" s="363"/>
      <c r="L40" s="363"/>
      <c r="M40" s="363"/>
      <c r="N40" s="363"/>
      <c r="O40" s="363"/>
      <c r="P40" s="174"/>
      <c r="Q40" s="174"/>
      <c r="R40" s="174"/>
      <c r="S40" s="174"/>
      <c r="T40" s="174"/>
      <c r="U40" s="174"/>
    </row>
    <row r="41" spans="1:25" ht="10" customHeight="1">
      <c r="A41" s="982" t="s">
        <v>194</v>
      </c>
      <c r="B41" s="365"/>
      <c r="C41" s="365"/>
      <c r="D41" s="365"/>
      <c r="E41" s="365"/>
      <c r="F41" s="365"/>
      <c r="G41" s="365"/>
      <c r="H41" s="365"/>
      <c r="I41" s="365"/>
      <c r="J41" s="365"/>
      <c r="K41" s="365"/>
      <c r="L41" s="365"/>
      <c r="M41" s="365"/>
      <c r="N41" s="365"/>
      <c r="O41" s="365"/>
    </row>
    <row r="42" spans="1:25" ht="10" customHeight="1">
      <c r="A42" s="40" t="s">
        <v>261</v>
      </c>
      <c r="B42" s="365"/>
      <c r="C42" s="365"/>
      <c r="D42" s="365"/>
      <c r="E42" s="365"/>
      <c r="F42" s="365"/>
      <c r="G42" s="365"/>
      <c r="H42" s="365"/>
      <c r="I42" s="365"/>
      <c r="J42" s="365"/>
      <c r="K42" s="365"/>
      <c r="L42" s="365"/>
      <c r="M42" s="365"/>
      <c r="N42" s="365"/>
      <c r="O42" s="365"/>
    </row>
  </sheetData>
  <mergeCells count="1">
    <mergeCell ref="A1:E1"/>
  </mergeCells>
  <printOptions horizontalCentered="1" verticalCentered="1"/>
  <pageMargins left="0" right="0" top="0" bottom="0" header="0" footer="0"/>
  <pageSetup paperSize="9" orientation="portrait"/>
  <headerFooter scaleWithDoc="0" alignWithMargins="0"/>
  <rowBreaks count="1" manualBreakCount="1">
    <brk id="22" max="16383" man="1"/>
  </row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Hoja121">
    <tabColor theme="9" tint="0.59999389629810485"/>
  </sheetPr>
  <dimension ref="A2:U21"/>
  <sheetViews>
    <sheetView showGridLines="0" zoomScaleNormal="100" workbookViewId="0">
      <selection activeCell="M35" sqref="M35"/>
    </sheetView>
  </sheetViews>
  <sheetFormatPr baseColWidth="10" defaultColWidth="7" defaultRowHeight="13" customHeight="1"/>
  <cols>
    <col min="1" max="1" width="6" style="141" customWidth="1"/>
    <col min="2" max="8" width="8" style="141" hidden="1" customWidth="1"/>
    <col min="9" max="21" width="8.796875" style="141" customWidth="1"/>
    <col min="22" max="16384" width="7" style="141"/>
  </cols>
  <sheetData>
    <row r="2" spans="1:21" ht="13" customHeight="1">
      <c r="A2" s="388" t="s">
        <v>258</v>
      </c>
    </row>
    <row r="3" spans="1:21" ht="13" customHeight="1">
      <c r="A3" s="389" t="s">
        <v>540</v>
      </c>
    </row>
    <row r="4" spans="1:21" ht="4" customHeight="1" thickBot="1"/>
    <row r="5" spans="1:21" ht="15" customHeight="1">
      <c r="A5" s="988" t="s">
        <v>122</v>
      </c>
      <c r="B5" s="989">
        <v>2000</v>
      </c>
      <c r="C5" s="989">
        <v>2001</v>
      </c>
      <c r="D5" s="989">
        <v>2002</v>
      </c>
      <c r="E5" s="989">
        <v>2003</v>
      </c>
      <c r="F5" s="989">
        <v>2004</v>
      </c>
      <c r="G5" s="989">
        <v>2005</v>
      </c>
      <c r="H5" s="989">
        <v>2006</v>
      </c>
      <c r="I5" s="989">
        <v>2007</v>
      </c>
      <c r="J5" s="989">
        <v>2008</v>
      </c>
      <c r="K5" s="989">
        <v>2009</v>
      </c>
      <c r="L5" s="989">
        <v>2010</v>
      </c>
      <c r="M5" s="989">
        <v>2011</v>
      </c>
      <c r="N5" s="989">
        <v>2012</v>
      </c>
      <c r="O5" s="989">
        <v>2013</v>
      </c>
      <c r="P5" s="989">
        <v>2014</v>
      </c>
      <c r="Q5" s="989">
        <v>2015</v>
      </c>
      <c r="R5" s="989">
        <v>2016</v>
      </c>
      <c r="S5" s="989">
        <v>2017</v>
      </c>
      <c r="T5" s="989">
        <v>2018</v>
      </c>
      <c r="U5" s="989" t="s">
        <v>239</v>
      </c>
    </row>
    <row r="6" spans="1:21" ht="15" customHeight="1">
      <c r="A6" s="396" t="s">
        <v>56</v>
      </c>
      <c r="B6" s="975">
        <v>277730275</v>
      </c>
      <c r="C6" s="975">
        <v>284655938</v>
      </c>
      <c r="D6" s="975">
        <v>306869737</v>
      </c>
      <c r="E6" s="975">
        <v>307389475</v>
      </c>
      <c r="F6" s="975">
        <v>309235302</v>
      </c>
      <c r="G6" s="975">
        <v>339316094</v>
      </c>
      <c r="H6" s="975">
        <v>370351908</v>
      </c>
      <c r="I6" s="975">
        <v>389383740</v>
      </c>
      <c r="J6" s="975">
        <v>438588810</v>
      </c>
      <c r="K6" s="975">
        <v>477680618</v>
      </c>
      <c r="L6" s="975">
        <v>509884071</v>
      </c>
      <c r="M6" s="975">
        <v>536104539</v>
      </c>
      <c r="N6" s="975">
        <v>573764987</v>
      </c>
      <c r="O6" s="975">
        <v>592367558</v>
      </c>
      <c r="P6" s="975">
        <v>623568649</v>
      </c>
      <c r="Q6" s="975">
        <v>671495588</v>
      </c>
      <c r="R6" s="975">
        <v>686163430</v>
      </c>
      <c r="S6" s="975">
        <v>705259679</v>
      </c>
      <c r="T6" s="975">
        <f>SUM(T7:T18)</f>
        <v>765785347</v>
      </c>
      <c r="U6" s="975">
        <f>SUM(U7:U18)</f>
        <v>794391606</v>
      </c>
    </row>
    <row r="7" spans="1:21" ht="15" customHeight="1">
      <c r="A7" s="946" t="s">
        <v>57</v>
      </c>
      <c r="B7" s="174">
        <v>22373319</v>
      </c>
      <c r="C7" s="174">
        <v>22999141</v>
      </c>
      <c r="D7" s="174">
        <v>25464457</v>
      </c>
      <c r="E7" s="174">
        <v>25853653</v>
      </c>
      <c r="F7" s="174">
        <v>25820741</v>
      </c>
      <c r="G7" s="174">
        <v>26301687</v>
      </c>
      <c r="H7" s="174">
        <v>29302891</v>
      </c>
      <c r="I7" s="174">
        <v>32786877</v>
      </c>
      <c r="J7" s="174">
        <v>35194912</v>
      </c>
      <c r="K7" s="174">
        <v>39992557</v>
      </c>
      <c r="L7" s="174">
        <v>41349167</v>
      </c>
      <c r="M7" s="174">
        <v>44066720</v>
      </c>
      <c r="N7" s="174">
        <v>47131746</v>
      </c>
      <c r="O7" s="174">
        <v>50445148</v>
      </c>
      <c r="P7" s="174">
        <v>52250604</v>
      </c>
      <c r="Q7" s="174">
        <v>56553237</v>
      </c>
      <c r="R7" s="174">
        <v>56567967</v>
      </c>
      <c r="S7" s="174">
        <v>58684759</v>
      </c>
      <c r="T7" s="174">
        <v>62955740</v>
      </c>
      <c r="U7" s="174">
        <v>66290890</v>
      </c>
    </row>
    <row r="8" spans="1:21" ht="15" customHeight="1">
      <c r="A8" s="946" t="s">
        <v>58</v>
      </c>
      <c r="B8" s="174">
        <v>21456520</v>
      </c>
      <c r="C8" s="174">
        <v>20737426</v>
      </c>
      <c r="D8" s="174">
        <v>22613244</v>
      </c>
      <c r="E8" s="174">
        <v>23783119</v>
      </c>
      <c r="F8" s="174">
        <v>24020398</v>
      </c>
      <c r="G8" s="174">
        <v>24332078</v>
      </c>
      <c r="H8" s="174">
        <v>26788992</v>
      </c>
      <c r="I8" s="174">
        <v>29120460</v>
      </c>
      <c r="J8" s="174">
        <v>32568536</v>
      </c>
      <c r="K8" s="174">
        <v>35874625</v>
      </c>
      <c r="L8" s="174">
        <v>38158224</v>
      </c>
      <c r="M8" s="174">
        <v>39516363</v>
      </c>
      <c r="N8" s="174">
        <v>43798432</v>
      </c>
      <c r="O8" s="174">
        <v>43340390</v>
      </c>
      <c r="P8" s="174">
        <v>47542142</v>
      </c>
      <c r="Q8" s="174">
        <v>50625456</v>
      </c>
      <c r="R8" s="174">
        <v>52710404</v>
      </c>
      <c r="S8" s="174">
        <v>52354092</v>
      </c>
      <c r="T8" s="174">
        <v>56935243</v>
      </c>
      <c r="U8" s="174">
        <v>60247330</v>
      </c>
    </row>
    <row r="9" spans="1:21" ht="15" customHeight="1">
      <c r="A9" s="946" t="s">
        <v>59</v>
      </c>
      <c r="B9" s="174">
        <v>22820213</v>
      </c>
      <c r="C9" s="174">
        <v>23607411</v>
      </c>
      <c r="D9" s="174">
        <v>24178151</v>
      </c>
      <c r="E9" s="174">
        <v>26466273</v>
      </c>
      <c r="F9" s="174">
        <v>26016340</v>
      </c>
      <c r="G9" s="174">
        <v>27777289</v>
      </c>
      <c r="H9" s="174">
        <v>30075857</v>
      </c>
      <c r="I9" s="174">
        <v>32793709</v>
      </c>
      <c r="J9" s="174">
        <v>35457368</v>
      </c>
      <c r="K9" s="174">
        <v>38397018</v>
      </c>
      <c r="L9" s="174">
        <v>43415386</v>
      </c>
      <c r="M9" s="174">
        <v>44646477</v>
      </c>
      <c r="N9" s="174">
        <v>48937912</v>
      </c>
      <c r="O9" s="174">
        <v>49313357</v>
      </c>
      <c r="P9" s="174">
        <v>50412472</v>
      </c>
      <c r="Q9" s="174">
        <v>57112272</v>
      </c>
      <c r="R9" s="174">
        <v>57647552</v>
      </c>
      <c r="S9" s="174">
        <v>57735770</v>
      </c>
      <c r="T9" s="174">
        <v>65221102</v>
      </c>
      <c r="U9" s="174">
        <v>66162350</v>
      </c>
    </row>
    <row r="10" spans="1:21" ht="15" customHeight="1">
      <c r="A10" s="946" t="s">
        <v>60</v>
      </c>
      <c r="B10" s="174">
        <v>21858882</v>
      </c>
      <c r="C10" s="174">
        <v>22725283</v>
      </c>
      <c r="D10" s="174">
        <v>24430174</v>
      </c>
      <c r="E10" s="174">
        <v>26849194</v>
      </c>
      <c r="F10" s="174">
        <v>24884247</v>
      </c>
      <c r="G10" s="174">
        <v>27186482</v>
      </c>
      <c r="H10" s="174">
        <v>29257808</v>
      </c>
      <c r="I10" s="174">
        <v>31569610</v>
      </c>
      <c r="J10" s="174">
        <v>35471175</v>
      </c>
      <c r="K10" s="174">
        <v>38516339</v>
      </c>
      <c r="L10" s="174">
        <v>40000074</v>
      </c>
      <c r="M10" s="174">
        <v>44347863</v>
      </c>
      <c r="N10" s="174">
        <v>45960538</v>
      </c>
      <c r="O10" s="174">
        <v>48621523</v>
      </c>
      <c r="P10" s="174">
        <v>49838800</v>
      </c>
      <c r="Q10" s="174">
        <v>55346615</v>
      </c>
      <c r="R10" s="174">
        <v>56370576</v>
      </c>
      <c r="S10" s="174">
        <v>55345708</v>
      </c>
      <c r="T10" s="174">
        <v>62423008</v>
      </c>
      <c r="U10" s="174">
        <v>63136311</v>
      </c>
    </row>
    <row r="11" spans="1:21" ht="15" customHeight="1">
      <c r="A11" s="946" t="s">
        <v>61</v>
      </c>
      <c r="B11" s="174">
        <v>23265464</v>
      </c>
      <c r="C11" s="174">
        <v>24560683</v>
      </c>
      <c r="D11" s="174">
        <v>26265202</v>
      </c>
      <c r="E11" s="174">
        <v>26593123</v>
      </c>
      <c r="F11" s="174">
        <v>24526940</v>
      </c>
      <c r="G11" s="174">
        <v>28396478</v>
      </c>
      <c r="H11" s="174">
        <v>31245086</v>
      </c>
      <c r="I11" s="174">
        <v>31935035</v>
      </c>
      <c r="J11" s="174">
        <v>37446468</v>
      </c>
      <c r="K11" s="174">
        <v>38882605</v>
      </c>
      <c r="L11" s="174">
        <v>41475167</v>
      </c>
      <c r="M11" s="174">
        <v>45121873</v>
      </c>
      <c r="N11" s="174">
        <v>48864249</v>
      </c>
      <c r="O11" s="174">
        <v>51829925</v>
      </c>
      <c r="P11" s="174">
        <v>53241351</v>
      </c>
      <c r="Q11" s="174">
        <v>57860128</v>
      </c>
      <c r="R11" s="174">
        <v>59784363</v>
      </c>
      <c r="S11" s="174">
        <v>60216823</v>
      </c>
      <c r="T11" s="174">
        <v>64669288</v>
      </c>
      <c r="U11" s="174">
        <v>67346453</v>
      </c>
    </row>
    <row r="12" spans="1:21" ht="15" customHeight="1">
      <c r="A12" s="946" t="s">
        <v>62</v>
      </c>
      <c r="B12" s="174">
        <v>23172471</v>
      </c>
      <c r="C12" s="174">
        <v>23438714</v>
      </c>
      <c r="D12" s="174">
        <v>24835322</v>
      </c>
      <c r="E12" s="174">
        <v>24970337</v>
      </c>
      <c r="F12" s="174">
        <v>24921620</v>
      </c>
      <c r="G12" s="174">
        <v>28190529</v>
      </c>
      <c r="H12" s="174">
        <v>30960034</v>
      </c>
      <c r="I12" s="174">
        <v>32524264</v>
      </c>
      <c r="J12" s="174">
        <v>35964188</v>
      </c>
      <c r="K12" s="174">
        <v>40262830</v>
      </c>
      <c r="L12" s="174">
        <v>41008311</v>
      </c>
      <c r="M12" s="174">
        <v>43071858</v>
      </c>
      <c r="N12" s="174">
        <v>48512243</v>
      </c>
      <c r="O12" s="174">
        <v>47497763</v>
      </c>
      <c r="P12" s="174">
        <v>49786451</v>
      </c>
      <c r="Q12" s="174">
        <v>54695570</v>
      </c>
      <c r="R12" s="174">
        <v>57808583</v>
      </c>
      <c r="S12" s="174">
        <v>59407745</v>
      </c>
      <c r="T12" s="174">
        <v>63118445</v>
      </c>
      <c r="U12" s="174">
        <v>64094616</v>
      </c>
    </row>
    <row r="13" spans="1:21" ht="15" customHeight="1">
      <c r="A13" s="946" t="s">
        <v>63</v>
      </c>
      <c r="B13" s="174">
        <v>23298279</v>
      </c>
      <c r="C13" s="174">
        <v>23891191</v>
      </c>
      <c r="D13" s="174">
        <v>26593252</v>
      </c>
      <c r="E13" s="174">
        <v>25226142</v>
      </c>
      <c r="F13" s="174">
        <v>24864036</v>
      </c>
      <c r="G13" s="174">
        <v>28452821</v>
      </c>
      <c r="H13" s="174">
        <v>31661543</v>
      </c>
      <c r="I13" s="174">
        <v>32741243</v>
      </c>
      <c r="J13" s="174">
        <v>36524343</v>
      </c>
      <c r="K13" s="174">
        <v>41230510</v>
      </c>
      <c r="L13" s="174">
        <v>42492368</v>
      </c>
      <c r="M13" s="174">
        <v>42151340</v>
      </c>
      <c r="N13" s="174">
        <v>47527308</v>
      </c>
      <c r="O13" s="174">
        <v>49194436</v>
      </c>
      <c r="P13" s="174">
        <v>52190702</v>
      </c>
      <c r="Q13" s="174">
        <v>56144809</v>
      </c>
      <c r="R13" s="174">
        <v>58906411</v>
      </c>
      <c r="S13" s="174">
        <v>61596538</v>
      </c>
      <c r="T13" s="174">
        <v>64976907</v>
      </c>
      <c r="U13" s="174">
        <v>68356454</v>
      </c>
    </row>
    <row r="14" spans="1:21" ht="15" customHeight="1">
      <c r="A14" s="946" t="s">
        <v>64</v>
      </c>
      <c r="B14" s="174">
        <v>24047000</v>
      </c>
      <c r="C14" s="174">
        <v>24012015</v>
      </c>
      <c r="D14" s="174">
        <v>26757910</v>
      </c>
      <c r="E14" s="174">
        <v>24704410</v>
      </c>
      <c r="F14" s="174">
        <v>24957464</v>
      </c>
      <c r="G14" s="174">
        <v>29889957</v>
      </c>
      <c r="H14" s="174">
        <v>31674025</v>
      </c>
      <c r="I14" s="174">
        <v>32044126</v>
      </c>
      <c r="J14" s="174">
        <v>37062689</v>
      </c>
      <c r="K14" s="174">
        <v>40676567</v>
      </c>
      <c r="L14" s="174">
        <v>42446312</v>
      </c>
      <c r="M14" s="174">
        <v>44528066</v>
      </c>
      <c r="N14" s="174">
        <v>48597895</v>
      </c>
      <c r="O14" s="174">
        <v>51466202</v>
      </c>
      <c r="P14" s="174">
        <v>52714247</v>
      </c>
      <c r="Q14" s="174">
        <v>56755885</v>
      </c>
      <c r="R14" s="174">
        <v>57445319</v>
      </c>
      <c r="S14" s="174">
        <v>61219057</v>
      </c>
      <c r="T14" s="174">
        <v>66122637</v>
      </c>
      <c r="U14" s="174">
        <v>68250344</v>
      </c>
    </row>
    <row r="15" spans="1:21" ht="15" customHeight="1">
      <c r="A15" s="946" t="s">
        <v>65</v>
      </c>
      <c r="B15" s="174">
        <v>23982185</v>
      </c>
      <c r="C15" s="174">
        <v>23019974</v>
      </c>
      <c r="D15" s="174">
        <v>25642079</v>
      </c>
      <c r="E15" s="174">
        <v>24861598</v>
      </c>
      <c r="F15" s="174">
        <v>25649481</v>
      </c>
      <c r="G15" s="174">
        <v>29940799</v>
      </c>
      <c r="H15" s="174">
        <v>31204139</v>
      </c>
      <c r="I15" s="174">
        <v>31380594</v>
      </c>
      <c r="J15" s="174">
        <v>37554696</v>
      </c>
      <c r="K15" s="174">
        <v>39493760</v>
      </c>
      <c r="L15" s="174">
        <v>43262179</v>
      </c>
      <c r="M15" s="174">
        <v>45922612</v>
      </c>
      <c r="N15" s="174">
        <v>45073064</v>
      </c>
      <c r="O15" s="174">
        <v>48552863</v>
      </c>
      <c r="P15" s="174">
        <v>52142359</v>
      </c>
      <c r="Q15" s="174">
        <v>55895278</v>
      </c>
      <c r="R15" s="174">
        <v>55729271</v>
      </c>
      <c r="S15" s="174">
        <v>58678861</v>
      </c>
      <c r="T15" s="174">
        <v>63466627</v>
      </c>
      <c r="U15" s="174">
        <v>67158159</v>
      </c>
    </row>
    <row r="16" spans="1:21" ht="15" customHeight="1">
      <c r="A16" s="946" t="s">
        <v>66</v>
      </c>
      <c r="B16" s="174">
        <v>24361895</v>
      </c>
      <c r="C16" s="174">
        <v>25379203</v>
      </c>
      <c r="D16" s="174">
        <v>27135842</v>
      </c>
      <c r="E16" s="174">
        <v>26342276</v>
      </c>
      <c r="F16" s="174">
        <v>27382817</v>
      </c>
      <c r="G16" s="174">
        <v>30894448</v>
      </c>
      <c r="H16" s="174">
        <v>32779083</v>
      </c>
      <c r="I16" s="174">
        <v>35062415</v>
      </c>
      <c r="J16" s="174">
        <v>39210098</v>
      </c>
      <c r="K16" s="174">
        <v>42372126</v>
      </c>
      <c r="L16" s="174">
        <v>45031018</v>
      </c>
      <c r="M16" s="174">
        <v>46705564</v>
      </c>
      <c r="N16" s="174">
        <v>51213204</v>
      </c>
      <c r="O16" s="174">
        <v>51582191</v>
      </c>
      <c r="P16" s="174">
        <v>55045028</v>
      </c>
      <c r="Q16" s="174">
        <v>58153402</v>
      </c>
      <c r="R16" s="174">
        <v>58093307</v>
      </c>
      <c r="S16" s="174">
        <v>60809257</v>
      </c>
      <c r="T16" s="174">
        <v>65899672</v>
      </c>
      <c r="U16" s="174">
        <v>70394038</v>
      </c>
    </row>
    <row r="17" spans="1:21" ht="15" customHeight="1">
      <c r="A17" s="946" t="s">
        <v>67</v>
      </c>
      <c r="B17" s="174">
        <v>23865744</v>
      </c>
      <c r="C17" s="174">
        <v>24995920</v>
      </c>
      <c r="D17" s="174">
        <v>26536901</v>
      </c>
      <c r="E17" s="174">
        <v>25969538</v>
      </c>
      <c r="F17" s="174">
        <v>27994465</v>
      </c>
      <c r="G17" s="174">
        <v>29077937</v>
      </c>
      <c r="H17" s="174">
        <v>32886179</v>
      </c>
      <c r="I17" s="174">
        <v>34229328</v>
      </c>
      <c r="J17" s="174">
        <v>37689819</v>
      </c>
      <c r="K17" s="174">
        <v>40639574</v>
      </c>
      <c r="L17" s="174">
        <v>44912803</v>
      </c>
      <c r="M17" s="174">
        <v>47529891</v>
      </c>
      <c r="N17" s="174">
        <v>48944429</v>
      </c>
      <c r="O17" s="174">
        <v>49300401</v>
      </c>
      <c r="P17" s="174">
        <v>53545085</v>
      </c>
      <c r="Q17" s="174">
        <v>56301115</v>
      </c>
      <c r="R17" s="174">
        <v>56455917</v>
      </c>
      <c r="S17" s="174">
        <v>58717703</v>
      </c>
      <c r="T17" s="174">
        <v>63978857</v>
      </c>
      <c r="U17" s="174">
        <v>66323231</v>
      </c>
    </row>
    <row r="18" spans="1:21" ht="15" customHeight="1" thickBot="1">
      <c r="A18" s="147" t="s">
        <v>68</v>
      </c>
      <c r="B18" s="175">
        <v>23228303</v>
      </c>
      <c r="C18" s="175">
        <v>25288977</v>
      </c>
      <c r="D18" s="175">
        <v>26417203</v>
      </c>
      <c r="E18" s="175">
        <v>25769812</v>
      </c>
      <c r="F18" s="175">
        <v>28196753</v>
      </c>
      <c r="G18" s="175">
        <v>28875589</v>
      </c>
      <c r="H18" s="175">
        <v>32516271</v>
      </c>
      <c r="I18" s="175">
        <v>33196079</v>
      </c>
      <c r="J18" s="175">
        <v>38444518</v>
      </c>
      <c r="K18" s="175">
        <v>41342107</v>
      </c>
      <c r="L18" s="175">
        <v>46333062</v>
      </c>
      <c r="M18" s="175">
        <v>48495912</v>
      </c>
      <c r="N18" s="175">
        <v>49203967</v>
      </c>
      <c r="O18" s="175">
        <v>51223359</v>
      </c>
      <c r="P18" s="175">
        <v>54859408</v>
      </c>
      <c r="Q18" s="175">
        <v>56051821</v>
      </c>
      <c r="R18" s="175">
        <v>58643760</v>
      </c>
      <c r="S18" s="175">
        <v>60493366</v>
      </c>
      <c r="T18" s="175">
        <v>66017821</v>
      </c>
      <c r="U18" s="175">
        <v>66631430</v>
      </c>
    </row>
    <row r="19" spans="1:21" ht="10" customHeight="1">
      <c r="A19" s="28" t="s">
        <v>238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174"/>
      <c r="O19" s="174"/>
      <c r="P19" s="174"/>
      <c r="Q19" s="174"/>
      <c r="R19" s="174"/>
      <c r="S19" s="174"/>
      <c r="T19" s="174"/>
      <c r="U19" s="174"/>
    </row>
    <row r="20" spans="1:21" ht="10" customHeight="1">
      <c r="A20" s="982" t="s">
        <v>195</v>
      </c>
      <c r="B20" s="365"/>
      <c r="C20" s="365"/>
      <c r="D20" s="365"/>
      <c r="E20" s="365"/>
      <c r="F20" s="365"/>
      <c r="G20" s="365"/>
      <c r="H20" s="365"/>
      <c r="I20" s="365"/>
      <c r="J20" s="365"/>
      <c r="K20" s="365"/>
      <c r="L20" s="365"/>
      <c r="M20" s="365"/>
    </row>
    <row r="21" spans="1:21" ht="10" customHeight="1">
      <c r="A21" s="40" t="s">
        <v>261</v>
      </c>
      <c r="B21" s="365"/>
      <c r="C21" s="365"/>
      <c r="D21" s="365"/>
      <c r="E21" s="365"/>
      <c r="F21" s="365"/>
      <c r="G21" s="365"/>
      <c r="H21" s="365"/>
      <c r="I21" s="365"/>
      <c r="J21" s="365"/>
      <c r="K21" s="365"/>
      <c r="L21" s="365"/>
      <c r="M21" s="365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Hoja122">
    <tabColor theme="9" tint="0.59999389629810485"/>
  </sheetPr>
  <dimension ref="A1:U42"/>
  <sheetViews>
    <sheetView showGridLines="0" zoomScaleNormal="100" workbookViewId="0">
      <selection activeCell="Z38" sqref="Z38"/>
    </sheetView>
  </sheetViews>
  <sheetFormatPr baseColWidth="10" defaultColWidth="7" defaultRowHeight="13" customHeight="1"/>
  <cols>
    <col min="1" max="1" width="7" style="141" customWidth="1"/>
    <col min="2" max="9" width="8" style="141" hidden="1" customWidth="1"/>
    <col min="10" max="11" width="0" style="141" hidden="1" customWidth="1"/>
    <col min="12" max="21" width="9" style="141" customWidth="1"/>
    <col min="22" max="16384" width="7" style="141"/>
  </cols>
  <sheetData>
    <row r="1" spans="1:21" ht="13" customHeight="1">
      <c r="A1" s="1144"/>
      <c r="B1" s="1144"/>
      <c r="C1" s="1144"/>
      <c r="D1" s="1144"/>
      <c r="E1" s="1144"/>
    </row>
    <row r="2" spans="1:21" ht="13" customHeight="1">
      <c r="A2" s="388" t="s">
        <v>336</v>
      </c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</row>
    <row r="3" spans="1:21" ht="13" customHeight="1">
      <c r="A3" s="389" t="s">
        <v>540</v>
      </c>
      <c r="B3" s="387"/>
      <c r="C3" s="387"/>
      <c r="D3" s="387"/>
      <c r="E3" s="387"/>
      <c r="F3" s="387"/>
      <c r="G3" s="387"/>
      <c r="H3" s="387"/>
      <c r="I3" s="387"/>
      <c r="J3" s="387"/>
      <c r="K3" s="387"/>
      <c r="L3" s="387"/>
    </row>
    <row r="4" spans="1:21" ht="4" customHeight="1" thickBot="1"/>
    <row r="5" spans="1:21" ht="15" customHeight="1">
      <c r="A5" s="945" t="s">
        <v>122</v>
      </c>
      <c r="B5" s="390">
        <v>2000</v>
      </c>
      <c r="C5" s="390">
        <v>2001</v>
      </c>
      <c r="D5" s="390">
        <v>2002</v>
      </c>
      <c r="E5" s="390">
        <v>2003</v>
      </c>
      <c r="F5" s="390">
        <v>2004</v>
      </c>
      <c r="G5" s="390">
        <v>2005</v>
      </c>
      <c r="H5" s="390">
        <v>2006</v>
      </c>
      <c r="I5" s="390">
        <v>2007</v>
      </c>
      <c r="J5" s="390">
        <v>2008</v>
      </c>
      <c r="K5" s="390">
        <v>2009</v>
      </c>
      <c r="L5" s="390">
        <v>2010</v>
      </c>
      <c r="M5" s="390">
        <v>2011</v>
      </c>
      <c r="N5" s="390">
        <v>2012</v>
      </c>
      <c r="O5" s="390">
        <v>2013</v>
      </c>
      <c r="P5" s="390">
        <v>2014</v>
      </c>
      <c r="Q5" s="390">
        <v>2015</v>
      </c>
      <c r="R5" s="390">
        <v>2016</v>
      </c>
      <c r="S5" s="390">
        <v>2017</v>
      </c>
      <c r="T5" s="390">
        <v>2018</v>
      </c>
      <c r="U5" s="390" t="s">
        <v>239</v>
      </c>
    </row>
    <row r="6" spans="1:21" ht="15" customHeight="1">
      <c r="A6" s="396" t="s">
        <v>56</v>
      </c>
      <c r="B6" s="975">
        <v>0</v>
      </c>
      <c r="C6" s="975">
        <v>0</v>
      </c>
      <c r="D6" s="975">
        <v>520000</v>
      </c>
      <c r="E6" s="975">
        <v>60000</v>
      </c>
      <c r="F6" s="975">
        <v>0</v>
      </c>
      <c r="G6" s="975">
        <v>0</v>
      </c>
      <c r="H6" s="975">
        <v>0</v>
      </c>
      <c r="I6" s="975">
        <v>0</v>
      </c>
      <c r="J6" s="975">
        <v>0</v>
      </c>
      <c r="K6" s="975">
        <v>0</v>
      </c>
      <c r="L6" s="990">
        <v>116810</v>
      </c>
      <c r="M6" s="990">
        <v>26960</v>
      </c>
      <c r="N6" s="990">
        <v>25664</v>
      </c>
      <c r="O6" s="990">
        <v>0</v>
      </c>
      <c r="P6" s="990">
        <v>0</v>
      </c>
      <c r="Q6" s="990">
        <v>0</v>
      </c>
      <c r="R6" s="990">
        <v>0</v>
      </c>
      <c r="S6" s="990">
        <v>0</v>
      </c>
      <c r="T6" s="990">
        <v>0</v>
      </c>
      <c r="U6" s="990">
        <v>0</v>
      </c>
    </row>
    <row r="7" spans="1:21" ht="14" customHeight="1">
      <c r="A7" s="946" t="s">
        <v>57</v>
      </c>
      <c r="B7" s="174">
        <v>0</v>
      </c>
      <c r="C7" s="145">
        <v>0</v>
      </c>
      <c r="D7" s="174">
        <v>40000</v>
      </c>
      <c r="E7" s="174">
        <v>50000</v>
      </c>
      <c r="F7" s="174">
        <v>0</v>
      </c>
      <c r="G7" s="145">
        <v>0</v>
      </c>
      <c r="H7" s="145">
        <v>0</v>
      </c>
      <c r="I7" s="145">
        <v>0</v>
      </c>
      <c r="J7" s="145">
        <v>0</v>
      </c>
      <c r="K7" s="145">
        <v>0</v>
      </c>
      <c r="L7" s="991">
        <v>0</v>
      </c>
      <c r="M7" s="991">
        <v>0</v>
      </c>
      <c r="N7" s="991">
        <v>0</v>
      </c>
      <c r="O7" s="991">
        <v>0</v>
      </c>
      <c r="P7" s="991">
        <v>0</v>
      </c>
      <c r="Q7" s="991">
        <v>0</v>
      </c>
      <c r="R7" s="991">
        <v>0</v>
      </c>
      <c r="S7" s="991">
        <v>0</v>
      </c>
      <c r="T7" s="991">
        <v>0</v>
      </c>
      <c r="U7" s="991"/>
    </row>
    <row r="8" spans="1:21" ht="14" customHeight="1">
      <c r="A8" s="946" t="s">
        <v>58</v>
      </c>
      <c r="B8" s="174">
        <v>0</v>
      </c>
      <c r="C8" s="145">
        <v>0</v>
      </c>
      <c r="D8" s="174">
        <v>40000</v>
      </c>
      <c r="E8" s="174">
        <v>10000</v>
      </c>
      <c r="F8" s="174">
        <v>0</v>
      </c>
      <c r="G8" s="174">
        <v>0</v>
      </c>
      <c r="H8" s="174">
        <v>0</v>
      </c>
      <c r="I8" s="174">
        <v>0</v>
      </c>
      <c r="J8" s="174">
        <v>0</v>
      </c>
      <c r="K8" s="174">
        <v>0</v>
      </c>
      <c r="L8" s="992">
        <v>0</v>
      </c>
      <c r="M8" s="992">
        <v>0</v>
      </c>
      <c r="N8" s="992">
        <v>0</v>
      </c>
      <c r="O8" s="992">
        <v>0</v>
      </c>
      <c r="P8" s="992">
        <v>0</v>
      </c>
      <c r="Q8" s="992">
        <v>0</v>
      </c>
      <c r="R8" s="992">
        <v>0</v>
      </c>
      <c r="S8" s="992">
        <v>0</v>
      </c>
      <c r="T8" s="992">
        <v>0</v>
      </c>
      <c r="U8" s="992"/>
    </row>
    <row r="9" spans="1:21" ht="14" customHeight="1">
      <c r="A9" s="946" t="s">
        <v>59</v>
      </c>
      <c r="B9" s="174">
        <v>0</v>
      </c>
      <c r="C9" s="145">
        <v>0</v>
      </c>
      <c r="D9" s="174">
        <v>20000</v>
      </c>
      <c r="E9" s="174">
        <v>0</v>
      </c>
      <c r="F9" s="174">
        <v>0</v>
      </c>
      <c r="G9" s="174">
        <v>0</v>
      </c>
      <c r="H9" s="174">
        <v>0</v>
      </c>
      <c r="I9" s="174">
        <v>0</v>
      </c>
      <c r="J9" s="174">
        <v>0</v>
      </c>
      <c r="K9" s="174">
        <v>0</v>
      </c>
      <c r="L9" s="992">
        <v>0</v>
      </c>
      <c r="M9" s="992">
        <v>0</v>
      </c>
      <c r="N9" s="992">
        <v>0</v>
      </c>
      <c r="O9" s="992">
        <v>0</v>
      </c>
      <c r="P9" s="992">
        <v>0</v>
      </c>
      <c r="Q9" s="992">
        <v>0</v>
      </c>
      <c r="R9" s="992">
        <v>0</v>
      </c>
      <c r="S9" s="992">
        <v>0</v>
      </c>
      <c r="T9" s="992">
        <v>0</v>
      </c>
      <c r="U9" s="992"/>
    </row>
    <row r="10" spans="1:21" ht="14" customHeight="1">
      <c r="A10" s="946" t="s">
        <v>60</v>
      </c>
      <c r="B10" s="174">
        <v>0</v>
      </c>
      <c r="C10" s="145">
        <v>0</v>
      </c>
      <c r="D10" s="174">
        <v>20000</v>
      </c>
      <c r="E10" s="174">
        <v>0</v>
      </c>
      <c r="F10" s="174">
        <v>0</v>
      </c>
      <c r="G10" s="174">
        <v>0</v>
      </c>
      <c r="H10" s="174">
        <v>0</v>
      </c>
      <c r="I10" s="174">
        <v>0</v>
      </c>
      <c r="J10" s="174">
        <v>0</v>
      </c>
      <c r="K10" s="174">
        <v>0</v>
      </c>
      <c r="L10" s="992">
        <v>0</v>
      </c>
      <c r="M10" s="992">
        <v>26960</v>
      </c>
      <c r="N10" s="992">
        <v>0</v>
      </c>
      <c r="O10" s="992">
        <v>0</v>
      </c>
      <c r="P10" s="992">
        <v>0</v>
      </c>
      <c r="Q10" s="992">
        <v>0</v>
      </c>
      <c r="R10" s="992">
        <v>0</v>
      </c>
      <c r="S10" s="992">
        <v>0</v>
      </c>
      <c r="T10" s="992">
        <v>0</v>
      </c>
      <c r="U10" s="992"/>
    </row>
    <row r="11" spans="1:21" ht="14" customHeight="1">
      <c r="A11" s="946" t="s">
        <v>61</v>
      </c>
      <c r="B11" s="174">
        <v>0</v>
      </c>
      <c r="C11" s="145">
        <v>0</v>
      </c>
      <c r="D11" s="174">
        <v>40000</v>
      </c>
      <c r="E11" s="174">
        <v>0</v>
      </c>
      <c r="F11" s="174">
        <v>0</v>
      </c>
      <c r="G11" s="174">
        <v>0</v>
      </c>
      <c r="H11" s="174">
        <v>0</v>
      </c>
      <c r="I11" s="174">
        <v>0</v>
      </c>
      <c r="J11" s="174">
        <v>0</v>
      </c>
      <c r="K11" s="174">
        <v>0</v>
      </c>
      <c r="L11" s="992">
        <v>0</v>
      </c>
      <c r="M11" s="992">
        <v>0</v>
      </c>
      <c r="N11" s="992">
        <v>0</v>
      </c>
      <c r="O11" s="992">
        <v>0</v>
      </c>
      <c r="P11" s="992">
        <v>0</v>
      </c>
      <c r="Q11" s="992">
        <v>0</v>
      </c>
      <c r="R11" s="992">
        <v>0</v>
      </c>
      <c r="S11" s="992">
        <v>0</v>
      </c>
      <c r="T11" s="992">
        <v>0</v>
      </c>
      <c r="U11" s="992"/>
    </row>
    <row r="12" spans="1:21" ht="14" customHeight="1">
      <c r="A12" s="946" t="s">
        <v>62</v>
      </c>
      <c r="B12" s="174">
        <v>0</v>
      </c>
      <c r="C12" s="145">
        <v>0</v>
      </c>
      <c r="D12" s="174">
        <v>40000</v>
      </c>
      <c r="E12" s="174">
        <v>0</v>
      </c>
      <c r="F12" s="174">
        <v>0</v>
      </c>
      <c r="G12" s="174">
        <v>0</v>
      </c>
      <c r="H12" s="174">
        <v>0</v>
      </c>
      <c r="I12" s="174">
        <v>0</v>
      </c>
      <c r="J12" s="174">
        <v>0</v>
      </c>
      <c r="K12" s="174">
        <v>0</v>
      </c>
      <c r="L12" s="992">
        <v>33696</v>
      </c>
      <c r="M12" s="992">
        <v>0</v>
      </c>
      <c r="N12" s="992">
        <v>0</v>
      </c>
      <c r="O12" s="992">
        <v>0</v>
      </c>
      <c r="P12" s="992">
        <v>0</v>
      </c>
      <c r="Q12" s="992">
        <v>0</v>
      </c>
      <c r="R12" s="992">
        <v>0</v>
      </c>
      <c r="S12" s="992">
        <v>0</v>
      </c>
      <c r="T12" s="992">
        <v>0</v>
      </c>
      <c r="U12" s="992"/>
    </row>
    <row r="13" spans="1:21" ht="14" customHeight="1">
      <c r="A13" s="946" t="s">
        <v>63</v>
      </c>
      <c r="B13" s="174">
        <v>0</v>
      </c>
      <c r="C13" s="145">
        <v>0</v>
      </c>
      <c r="D13" s="174">
        <v>70000</v>
      </c>
      <c r="E13" s="174">
        <v>0</v>
      </c>
      <c r="F13" s="174">
        <v>0</v>
      </c>
      <c r="G13" s="174">
        <v>0</v>
      </c>
      <c r="H13" s="174">
        <v>0</v>
      </c>
      <c r="I13" s="174">
        <v>0</v>
      </c>
      <c r="J13" s="174">
        <v>0</v>
      </c>
      <c r="K13" s="174">
        <v>0</v>
      </c>
      <c r="L13" s="992">
        <v>34224</v>
      </c>
      <c r="M13" s="992">
        <v>0</v>
      </c>
      <c r="N13" s="992">
        <v>0</v>
      </c>
      <c r="O13" s="992">
        <v>0</v>
      </c>
      <c r="P13" s="992">
        <v>0</v>
      </c>
      <c r="Q13" s="992">
        <v>0</v>
      </c>
      <c r="R13" s="992">
        <v>0</v>
      </c>
      <c r="S13" s="992">
        <v>0</v>
      </c>
      <c r="T13" s="992">
        <v>0</v>
      </c>
      <c r="U13" s="992"/>
    </row>
    <row r="14" spans="1:21" ht="14" customHeight="1">
      <c r="A14" s="946" t="s">
        <v>64</v>
      </c>
      <c r="B14" s="174">
        <v>0</v>
      </c>
      <c r="C14" s="145">
        <v>0</v>
      </c>
      <c r="D14" s="174">
        <v>40000</v>
      </c>
      <c r="E14" s="174">
        <v>0</v>
      </c>
      <c r="F14" s="174">
        <v>0</v>
      </c>
      <c r="G14" s="174">
        <v>0</v>
      </c>
      <c r="H14" s="174">
        <v>0</v>
      </c>
      <c r="I14" s="174">
        <v>0</v>
      </c>
      <c r="J14" s="174">
        <v>0</v>
      </c>
      <c r="K14" s="174">
        <v>0</v>
      </c>
      <c r="L14" s="992">
        <v>0</v>
      </c>
      <c r="M14" s="992">
        <v>0</v>
      </c>
      <c r="N14" s="992">
        <v>0</v>
      </c>
      <c r="O14" s="992">
        <v>0</v>
      </c>
      <c r="P14" s="992">
        <v>0</v>
      </c>
      <c r="Q14" s="992">
        <v>0</v>
      </c>
      <c r="R14" s="992">
        <v>0</v>
      </c>
      <c r="S14" s="992">
        <v>0</v>
      </c>
      <c r="T14" s="992">
        <v>0</v>
      </c>
      <c r="U14" s="992"/>
    </row>
    <row r="15" spans="1:21" ht="14" customHeight="1">
      <c r="A15" s="946" t="s">
        <v>65</v>
      </c>
      <c r="B15" s="174">
        <v>0</v>
      </c>
      <c r="C15" s="145">
        <v>0</v>
      </c>
      <c r="D15" s="174">
        <v>70000</v>
      </c>
      <c r="E15" s="174">
        <v>0</v>
      </c>
      <c r="F15" s="174">
        <v>0</v>
      </c>
      <c r="G15" s="174">
        <v>0</v>
      </c>
      <c r="H15" s="174">
        <v>0</v>
      </c>
      <c r="I15" s="174">
        <v>0</v>
      </c>
      <c r="J15" s="174">
        <v>0</v>
      </c>
      <c r="K15" s="174">
        <v>0</v>
      </c>
      <c r="L15" s="992">
        <v>0</v>
      </c>
      <c r="M15" s="992">
        <v>0</v>
      </c>
      <c r="N15" s="992">
        <v>25664</v>
      </c>
      <c r="O15" s="992">
        <v>0</v>
      </c>
      <c r="P15" s="992">
        <v>0</v>
      </c>
      <c r="Q15" s="992">
        <v>0</v>
      </c>
      <c r="R15" s="992">
        <v>0</v>
      </c>
      <c r="S15" s="992">
        <v>0</v>
      </c>
      <c r="T15" s="992">
        <v>0</v>
      </c>
      <c r="U15" s="992"/>
    </row>
    <row r="16" spans="1:21" ht="14" customHeight="1">
      <c r="A16" s="946" t="s">
        <v>66</v>
      </c>
      <c r="B16" s="174">
        <v>0</v>
      </c>
      <c r="C16" s="145">
        <v>0</v>
      </c>
      <c r="D16" s="174">
        <v>60000</v>
      </c>
      <c r="E16" s="174">
        <v>0</v>
      </c>
      <c r="F16" s="174">
        <v>0</v>
      </c>
      <c r="G16" s="174">
        <v>0</v>
      </c>
      <c r="H16" s="174">
        <v>0</v>
      </c>
      <c r="I16" s="174">
        <v>0</v>
      </c>
      <c r="J16" s="174">
        <v>0</v>
      </c>
      <c r="K16" s="174">
        <v>0</v>
      </c>
      <c r="L16" s="992">
        <v>24040</v>
      </c>
      <c r="M16" s="992">
        <v>0</v>
      </c>
      <c r="N16" s="992">
        <v>0</v>
      </c>
      <c r="O16" s="992">
        <v>0</v>
      </c>
      <c r="P16" s="992">
        <v>0</v>
      </c>
      <c r="Q16" s="992">
        <v>0</v>
      </c>
      <c r="R16" s="992">
        <v>0</v>
      </c>
      <c r="S16" s="992">
        <v>0</v>
      </c>
      <c r="T16" s="992">
        <v>0</v>
      </c>
      <c r="U16" s="992"/>
    </row>
    <row r="17" spans="1:21" ht="14" customHeight="1">
      <c r="A17" s="946" t="s">
        <v>67</v>
      </c>
      <c r="B17" s="174">
        <v>0</v>
      </c>
      <c r="C17" s="145">
        <v>0</v>
      </c>
      <c r="D17" s="174">
        <v>40000</v>
      </c>
      <c r="E17" s="174">
        <v>0</v>
      </c>
      <c r="F17" s="174">
        <v>0</v>
      </c>
      <c r="G17" s="174">
        <v>0</v>
      </c>
      <c r="H17" s="174">
        <v>0</v>
      </c>
      <c r="I17" s="174">
        <v>0</v>
      </c>
      <c r="J17" s="174">
        <v>0</v>
      </c>
      <c r="K17" s="174">
        <v>0</v>
      </c>
      <c r="L17" s="992">
        <v>0</v>
      </c>
      <c r="M17" s="992">
        <v>0</v>
      </c>
      <c r="N17" s="992">
        <v>0</v>
      </c>
      <c r="O17" s="992">
        <v>0</v>
      </c>
      <c r="P17" s="992">
        <v>0</v>
      </c>
      <c r="Q17" s="992">
        <v>0</v>
      </c>
      <c r="R17" s="992">
        <v>0</v>
      </c>
      <c r="S17" s="992">
        <v>0</v>
      </c>
      <c r="T17" s="992">
        <v>0</v>
      </c>
      <c r="U17" s="992"/>
    </row>
    <row r="18" spans="1:21" ht="14" customHeight="1" thickBot="1">
      <c r="A18" s="147" t="s">
        <v>68</v>
      </c>
      <c r="B18" s="175">
        <v>0</v>
      </c>
      <c r="C18" s="175">
        <v>0</v>
      </c>
      <c r="D18" s="175">
        <v>40000</v>
      </c>
      <c r="E18" s="175">
        <v>0</v>
      </c>
      <c r="F18" s="175">
        <v>0</v>
      </c>
      <c r="G18" s="175">
        <v>0</v>
      </c>
      <c r="H18" s="175">
        <v>0</v>
      </c>
      <c r="I18" s="175">
        <v>0</v>
      </c>
      <c r="J18" s="175">
        <v>0</v>
      </c>
      <c r="K18" s="175">
        <v>0</v>
      </c>
      <c r="L18" s="993">
        <v>24850</v>
      </c>
      <c r="M18" s="993">
        <v>0</v>
      </c>
      <c r="N18" s="993">
        <v>0</v>
      </c>
      <c r="O18" s="993">
        <v>0</v>
      </c>
      <c r="P18" s="993">
        <v>0</v>
      </c>
      <c r="Q18" s="993">
        <v>0</v>
      </c>
      <c r="R18" s="993">
        <v>0</v>
      </c>
      <c r="S18" s="993">
        <v>0</v>
      </c>
      <c r="T18" s="993">
        <v>0</v>
      </c>
      <c r="U18" s="993"/>
    </row>
    <row r="19" spans="1:21" ht="10" customHeight="1">
      <c r="A19" s="28" t="s">
        <v>238</v>
      </c>
      <c r="B19" s="365"/>
      <c r="C19" s="365"/>
      <c r="D19" s="365"/>
      <c r="E19" s="365"/>
      <c r="F19" s="365"/>
      <c r="G19" s="365"/>
      <c r="H19" s="365"/>
      <c r="I19" s="365"/>
      <c r="J19" s="365"/>
      <c r="K19" s="365"/>
      <c r="L19" s="365"/>
      <c r="M19" s="365"/>
      <c r="N19" s="365"/>
      <c r="O19" s="365"/>
      <c r="P19" s="365"/>
    </row>
    <row r="20" spans="1:21" ht="10" customHeight="1">
      <c r="A20" s="982" t="s">
        <v>195</v>
      </c>
      <c r="B20" s="365"/>
      <c r="C20" s="365"/>
      <c r="D20" s="365"/>
      <c r="E20" s="365"/>
      <c r="F20" s="365"/>
      <c r="G20" s="365"/>
      <c r="H20" s="365"/>
      <c r="I20" s="365"/>
      <c r="J20" s="365"/>
      <c r="K20" s="365"/>
      <c r="L20" s="365"/>
      <c r="M20" s="365"/>
      <c r="N20" s="365"/>
      <c r="O20" s="365"/>
      <c r="P20" s="365"/>
    </row>
    <row r="21" spans="1:21" ht="10" customHeight="1">
      <c r="A21" s="40" t="s">
        <v>261</v>
      </c>
      <c r="B21" s="365"/>
      <c r="C21" s="365"/>
      <c r="D21" s="365"/>
      <c r="E21" s="365"/>
      <c r="F21" s="365"/>
      <c r="G21" s="365"/>
      <c r="H21" s="365"/>
      <c r="I21" s="365"/>
      <c r="J21" s="365"/>
      <c r="K21" s="365"/>
      <c r="L21" s="365"/>
      <c r="M21" s="365"/>
      <c r="N21" s="365"/>
      <c r="O21" s="365"/>
      <c r="P21" s="365"/>
    </row>
    <row r="23" spans="1:21" ht="13" customHeight="1">
      <c r="A23" s="388" t="s">
        <v>257</v>
      </c>
    </row>
    <row r="24" spans="1:21" ht="13" customHeight="1">
      <c r="A24" s="389" t="s">
        <v>540</v>
      </c>
    </row>
    <row r="25" spans="1:21" ht="4" customHeight="1" thickBot="1"/>
    <row r="26" spans="1:21" ht="15" customHeight="1">
      <c r="A26" s="945" t="s">
        <v>122</v>
      </c>
      <c r="B26" s="390">
        <v>2000</v>
      </c>
      <c r="C26" s="390">
        <v>2001</v>
      </c>
      <c r="D26" s="390">
        <v>2002</v>
      </c>
      <c r="E26" s="390">
        <v>2003</v>
      </c>
      <c r="F26" s="390">
        <v>2004</v>
      </c>
      <c r="G26" s="390">
        <v>2005</v>
      </c>
      <c r="H26" s="390">
        <v>2006</v>
      </c>
      <c r="I26" s="390">
        <v>2007</v>
      </c>
      <c r="J26" s="390">
        <v>2008</v>
      </c>
      <c r="K26" s="390">
        <v>2009</v>
      </c>
      <c r="L26" s="390">
        <v>2010</v>
      </c>
      <c r="M26" s="390">
        <v>2011</v>
      </c>
      <c r="N26" s="390">
        <v>2012</v>
      </c>
      <c r="O26" s="390">
        <v>2013</v>
      </c>
      <c r="P26" s="390">
        <v>2014</v>
      </c>
      <c r="Q26" s="390">
        <v>2015</v>
      </c>
      <c r="R26" s="390">
        <v>2016</v>
      </c>
      <c r="S26" s="390">
        <v>2017</v>
      </c>
      <c r="T26" s="390">
        <v>2018</v>
      </c>
      <c r="U26" s="390" t="s">
        <v>239</v>
      </c>
    </row>
    <row r="27" spans="1:21" ht="15" customHeight="1">
      <c r="A27" s="396" t="s">
        <v>56</v>
      </c>
      <c r="B27" s="975">
        <v>277687210</v>
      </c>
      <c r="C27" s="975">
        <v>284651870</v>
      </c>
      <c r="D27" s="975">
        <v>306348188</v>
      </c>
      <c r="E27" s="975">
        <v>303803772</v>
      </c>
      <c r="F27" s="975">
        <v>305352114</v>
      </c>
      <c r="G27" s="975">
        <v>339301736</v>
      </c>
      <c r="H27" s="975">
        <v>370338561</v>
      </c>
      <c r="I27" s="975">
        <v>389346964</v>
      </c>
      <c r="J27" s="975">
        <v>438350083</v>
      </c>
      <c r="K27" s="975">
        <v>477514917</v>
      </c>
      <c r="L27" s="975">
        <v>509638716</v>
      </c>
      <c r="M27" s="975">
        <v>535763259</v>
      </c>
      <c r="N27" s="975">
        <v>573449493</v>
      </c>
      <c r="O27" s="975">
        <v>592066776</v>
      </c>
      <c r="P27" s="975">
        <v>623405970</v>
      </c>
      <c r="Q27" s="975">
        <v>671495588</v>
      </c>
      <c r="R27" s="975">
        <v>686163430</v>
      </c>
      <c r="S27" s="975">
        <v>705259679</v>
      </c>
      <c r="T27" s="975">
        <f>SUM(T28:T39)</f>
        <v>765785347</v>
      </c>
      <c r="U27" s="975">
        <f>SUM(U28:U39)</f>
        <v>794391606</v>
      </c>
    </row>
    <row r="28" spans="1:21" ht="14" customHeight="1">
      <c r="A28" s="946" t="s">
        <v>57</v>
      </c>
      <c r="B28" s="174">
        <v>22373219</v>
      </c>
      <c r="C28" s="174">
        <v>22998768</v>
      </c>
      <c r="D28" s="174">
        <v>25424317</v>
      </c>
      <c r="E28" s="174">
        <v>25482395</v>
      </c>
      <c r="F28" s="174">
        <v>25552848</v>
      </c>
      <c r="G28" s="145">
        <v>26300593</v>
      </c>
      <c r="H28" s="145">
        <v>29300770</v>
      </c>
      <c r="I28" s="145">
        <v>32785942</v>
      </c>
      <c r="J28" s="145">
        <v>35174420</v>
      </c>
      <c r="K28" s="145">
        <v>39962482</v>
      </c>
      <c r="L28" s="145">
        <v>41341643</v>
      </c>
      <c r="M28" s="145">
        <v>44044851</v>
      </c>
      <c r="N28" s="145">
        <v>47094549</v>
      </c>
      <c r="O28" s="145">
        <v>50408717</v>
      </c>
      <c r="P28" s="145">
        <v>52225500</v>
      </c>
      <c r="Q28" s="145">
        <v>56553237</v>
      </c>
      <c r="R28" s="145">
        <v>56567967</v>
      </c>
      <c r="S28" s="145">
        <v>58684759</v>
      </c>
      <c r="T28" s="145">
        <v>62955740</v>
      </c>
      <c r="U28" s="145">
        <v>66290890</v>
      </c>
    </row>
    <row r="29" spans="1:21" ht="14" customHeight="1">
      <c r="A29" s="946" t="s">
        <v>58</v>
      </c>
      <c r="B29" s="174">
        <v>21456400</v>
      </c>
      <c r="C29" s="174">
        <v>20566736</v>
      </c>
      <c r="D29" s="174">
        <v>22573124</v>
      </c>
      <c r="E29" s="174">
        <v>23466119</v>
      </c>
      <c r="F29" s="174">
        <v>23794122</v>
      </c>
      <c r="G29" s="174">
        <v>24331235</v>
      </c>
      <c r="H29" s="174">
        <v>26787829</v>
      </c>
      <c r="I29" s="145">
        <v>29119392</v>
      </c>
      <c r="J29" s="145">
        <v>32550546</v>
      </c>
      <c r="K29" s="174">
        <v>35846980</v>
      </c>
      <c r="L29" s="174">
        <v>38145694</v>
      </c>
      <c r="M29" s="174">
        <v>39466974</v>
      </c>
      <c r="N29" s="174">
        <v>43771540</v>
      </c>
      <c r="O29" s="174">
        <v>43317094</v>
      </c>
      <c r="P29" s="174">
        <v>47519037</v>
      </c>
      <c r="Q29" s="174">
        <v>50625456</v>
      </c>
      <c r="R29" s="174">
        <v>52710404</v>
      </c>
      <c r="S29" s="174">
        <v>52354092</v>
      </c>
      <c r="T29" s="174">
        <v>56935243</v>
      </c>
      <c r="U29" s="174">
        <v>60247330</v>
      </c>
    </row>
    <row r="30" spans="1:21" ht="14" customHeight="1">
      <c r="A30" s="946" t="s">
        <v>59</v>
      </c>
      <c r="B30" s="174">
        <v>22820213</v>
      </c>
      <c r="C30" s="174">
        <v>23657381</v>
      </c>
      <c r="D30" s="174">
        <v>24157991</v>
      </c>
      <c r="E30" s="174">
        <v>26198970</v>
      </c>
      <c r="F30" s="174">
        <v>25656257</v>
      </c>
      <c r="G30" s="174">
        <v>27775618</v>
      </c>
      <c r="H30" s="174">
        <v>30075083</v>
      </c>
      <c r="I30" s="145">
        <v>32783404</v>
      </c>
      <c r="J30" s="145">
        <v>35435605</v>
      </c>
      <c r="K30" s="174">
        <v>38380680</v>
      </c>
      <c r="L30" s="174">
        <v>43403628</v>
      </c>
      <c r="M30" s="174">
        <v>44618431</v>
      </c>
      <c r="N30" s="174">
        <v>48911703</v>
      </c>
      <c r="O30" s="174">
        <v>49284340</v>
      </c>
      <c r="P30" s="174">
        <v>50390400</v>
      </c>
      <c r="Q30" s="174">
        <v>57112272</v>
      </c>
      <c r="R30" s="174">
        <v>57647552</v>
      </c>
      <c r="S30" s="174">
        <v>57735770</v>
      </c>
      <c r="T30" s="174">
        <v>65221102</v>
      </c>
      <c r="U30" s="174">
        <v>66162350</v>
      </c>
    </row>
    <row r="31" spans="1:21" ht="14" customHeight="1">
      <c r="A31" s="946" t="s">
        <v>60</v>
      </c>
      <c r="B31" s="174">
        <v>21858802</v>
      </c>
      <c r="C31" s="174">
        <v>22764859</v>
      </c>
      <c r="D31" s="174">
        <v>24410044</v>
      </c>
      <c r="E31" s="174">
        <v>26564980</v>
      </c>
      <c r="F31" s="174">
        <v>24509812</v>
      </c>
      <c r="G31" s="174">
        <v>27184957</v>
      </c>
      <c r="H31" s="174">
        <v>29256953</v>
      </c>
      <c r="I31" s="145">
        <v>31566081</v>
      </c>
      <c r="J31" s="145">
        <v>35454747</v>
      </c>
      <c r="K31" s="174">
        <v>38505115</v>
      </c>
      <c r="L31" s="174">
        <v>39988954</v>
      </c>
      <c r="M31" s="174">
        <v>44295275</v>
      </c>
      <c r="N31" s="174">
        <v>45937495</v>
      </c>
      <c r="O31" s="174">
        <v>48595909</v>
      </c>
      <c r="P31" s="174">
        <v>49818008</v>
      </c>
      <c r="Q31" s="174">
        <v>55346615</v>
      </c>
      <c r="R31" s="174">
        <v>56370576</v>
      </c>
      <c r="S31" s="174">
        <v>55345708</v>
      </c>
      <c r="T31" s="174">
        <v>62423008</v>
      </c>
      <c r="U31" s="174">
        <v>63136311</v>
      </c>
    </row>
    <row r="32" spans="1:21" ht="14" customHeight="1">
      <c r="A32" s="946" t="s">
        <v>61</v>
      </c>
      <c r="B32" s="174">
        <v>23265295</v>
      </c>
      <c r="C32" s="174">
        <v>24600413</v>
      </c>
      <c r="D32" s="174">
        <v>26225042</v>
      </c>
      <c r="E32" s="174">
        <v>26229004</v>
      </c>
      <c r="F32" s="174">
        <v>24130795</v>
      </c>
      <c r="G32" s="174">
        <v>28394026</v>
      </c>
      <c r="H32" s="174">
        <v>31244001</v>
      </c>
      <c r="I32" s="145">
        <v>31933676</v>
      </c>
      <c r="J32" s="145">
        <v>37426607</v>
      </c>
      <c r="K32" s="174">
        <v>38869103</v>
      </c>
      <c r="L32" s="174">
        <v>41461494</v>
      </c>
      <c r="M32" s="174">
        <v>45097827</v>
      </c>
      <c r="N32" s="174">
        <v>48840235</v>
      </c>
      <c r="O32" s="174">
        <v>51811406</v>
      </c>
      <c r="P32" s="174">
        <v>53216965</v>
      </c>
      <c r="Q32" s="174">
        <v>57860128</v>
      </c>
      <c r="R32" s="174">
        <v>59784363</v>
      </c>
      <c r="S32" s="174">
        <v>60216823</v>
      </c>
      <c r="T32" s="174">
        <v>64669288</v>
      </c>
      <c r="U32" s="174">
        <v>67346453</v>
      </c>
    </row>
    <row r="33" spans="1:21" ht="14" customHeight="1">
      <c r="A33" s="946" t="s">
        <v>62</v>
      </c>
      <c r="B33" s="174">
        <v>23172421</v>
      </c>
      <c r="C33" s="174">
        <v>23478594</v>
      </c>
      <c r="D33" s="174">
        <v>24795322</v>
      </c>
      <c r="E33" s="174">
        <v>24700327</v>
      </c>
      <c r="F33" s="174">
        <v>24496859</v>
      </c>
      <c r="G33" s="174">
        <v>28189033</v>
      </c>
      <c r="H33" s="174">
        <v>30958329</v>
      </c>
      <c r="I33" s="145">
        <v>32522830</v>
      </c>
      <c r="J33" s="145">
        <v>35945033</v>
      </c>
      <c r="K33" s="174">
        <v>40248093</v>
      </c>
      <c r="L33" s="174">
        <v>40966836</v>
      </c>
      <c r="M33" s="174">
        <v>43048326</v>
      </c>
      <c r="N33" s="174">
        <v>48489676</v>
      </c>
      <c r="O33" s="174">
        <v>47474665</v>
      </c>
      <c r="P33" s="174">
        <v>49759638</v>
      </c>
      <c r="Q33" s="174">
        <v>54695570</v>
      </c>
      <c r="R33" s="174">
        <v>57808583</v>
      </c>
      <c r="S33" s="174">
        <v>59407745</v>
      </c>
      <c r="T33" s="174">
        <v>63118445</v>
      </c>
      <c r="U33" s="174">
        <v>64094616</v>
      </c>
    </row>
    <row r="34" spans="1:21" ht="14" customHeight="1">
      <c r="A34" s="946" t="s">
        <v>63</v>
      </c>
      <c r="B34" s="174">
        <v>23298179</v>
      </c>
      <c r="C34" s="174">
        <v>23889691</v>
      </c>
      <c r="D34" s="174">
        <v>26523132</v>
      </c>
      <c r="E34" s="174">
        <v>24883323</v>
      </c>
      <c r="F34" s="174">
        <v>24533559</v>
      </c>
      <c r="G34" s="174">
        <v>28452001</v>
      </c>
      <c r="H34" s="174">
        <v>31660943</v>
      </c>
      <c r="I34" s="145">
        <v>32732787</v>
      </c>
      <c r="J34" s="145">
        <v>36503819</v>
      </c>
      <c r="K34" s="174">
        <v>41218333</v>
      </c>
      <c r="L34" s="174">
        <v>42448905</v>
      </c>
      <c r="M34" s="174">
        <v>42128609</v>
      </c>
      <c r="N34" s="174">
        <v>47505275</v>
      </c>
      <c r="O34" s="174">
        <v>49161632</v>
      </c>
      <c r="P34" s="174">
        <v>52172301</v>
      </c>
      <c r="Q34" s="174">
        <v>56144809</v>
      </c>
      <c r="R34" s="174">
        <v>58906411</v>
      </c>
      <c r="S34" s="174">
        <v>61596538</v>
      </c>
      <c r="T34" s="174">
        <v>64976907</v>
      </c>
      <c r="U34" s="174">
        <v>68356454</v>
      </c>
    </row>
    <row r="35" spans="1:21" ht="14" customHeight="1">
      <c r="A35" s="946" t="s">
        <v>64</v>
      </c>
      <c r="B35" s="174">
        <v>24046870</v>
      </c>
      <c r="C35" s="174">
        <v>24011845</v>
      </c>
      <c r="D35" s="174">
        <v>26717810</v>
      </c>
      <c r="E35" s="174">
        <v>24339249</v>
      </c>
      <c r="F35" s="174">
        <v>24681393</v>
      </c>
      <c r="G35" s="174">
        <v>29888485</v>
      </c>
      <c r="H35" s="174">
        <v>31673177</v>
      </c>
      <c r="I35" s="145">
        <v>32040144</v>
      </c>
      <c r="J35" s="145">
        <v>37044823</v>
      </c>
      <c r="K35" s="174">
        <v>40665045</v>
      </c>
      <c r="L35" s="174">
        <v>42436202</v>
      </c>
      <c r="M35" s="174">
        <v>44504764</v>
      </c>
      <c r="N35" s="174">
        <v>48575699</v>
      </c>
      <c r="O35" s="174">
        <v>51444407</v>
      </c>
      <c r="P35" s="174">
        <v>52712241</v>
      </c>
      <c r="Q35" s="174">
        <v>56755885</v>
      </c>
      <c r="R35" s="174">
        <v>57445319</v>
      </c>
      <c r="S35" s="174">
        <v>61219057</v>
      </c>
      <c r="T35" s="174">
        <v>66122637</v>
      </c>
      <c r="U35" s="174">
        <v>68250344</v>
      </c>
    </row>
    <row r="36" spans="1:21" ht="14" customHeight="1">
      <c r="A36" s="946" t="s">
        <v>65</v>
      </c>
      <c r="B36" s="174">
        <v>23940435</v>
      </c>
      <c r="C36" s="174">
        <v>23019854</v>
      </c>
      <c r="D36" s="174">
        <v>25571909</v>
      </c>
      <c r="E36" s="174">
        <v>24593201</v>
      </c>
      <c r="F36" s="174">
        <v>25340362</v>
      </c>
      <c r="G36" s="174">
        <v>29939991</v>
      </c>
      <c r="H36" s="174">
        <v>31203458</v>
      </c>
      <c r="I36" s="145">
        <v>31379047</v>
      </c>
      <c r="J36" s="145">
        <v>37534041</v>
      </c>
      <c r="K36" s="174">
        <v>39483852</v>
      </c>
      <c r="L36" s="174">
        <v>43249565</v>
      </c>
      <c r="M36" s="174">
        <v>45898692</v>
      </c>
      <c r="N36" s="174">
        <v>45026207</v>
      </c>
      <c r="O36" s="174">
        <v>48529082</v>
      </c>
      <c r="P36" s="174">
        <v>52142359</v>
      </c>
      <c r="Q36" s="174">
        <v>55895278</v>
      </c>
      <c r="R36" s="174">
        <v>55729271</v>
      </c>
      <c r="S36" s="174">
        <v>58678861</v>
      </c>
      <c r="T36" s="174">
        <v>63466627</v>
      </c>
      <c r="U36" s="174">
        <v>67158159</v>
      </c>
    </row>
    <row r="37" spans="1:21" ht="14" customHeight="1">
      <c r="A37" s="946" t="s">
        <v>66</v>
      </c>
      <c r="B37" s="174">
        <v>24361595</v>
      </c>
      <c r="C37" s="174">
        <v>25379063</v>
      </c>
      <c r="D37" s="174">
        <v>27075666</v>
      </c>
      <c r="E37" s="174">
        <v>26042102</v>
      </c>
      <c r="F37" s="174">
        <v>27029674</v>
      </c>
      <c r="G37" s="174">
        <v>30893303</v>
      </c>
      <c r="H37" s="174">
        <v>32777291</v>
      </c>
      <c r="I37" s="145">
        <v>35060656</v>
      </c>
      <c r="J37" s="145">
        <v>39186167</v>
      </c>
      <c r="K37" s="174">
        <v>42367458</v>
      </c>
      <c r="L37" s="174">
        <v>44996814</v>
      </c>
      <c r="M37" s="174">
        <v>46683676</v>
      </c>
      <c r="N37" s="174">
        <v>51190893</v>
      </c>
      <c r="O37" s="174">
        <v>51561113</v>
      </c>
      <c r="P37" s="174">
        <v>55045028</v>
      </c>
      <c r="Q37" s="174">
        <v>58153402</v>
      </c>
      <c r="R37" s="174">
        <v>58093307</v>
      </c>
      <c r="S37" s="174">
        <v>60809257</v>
      </c>
      <c r="T37" s="174">
        <v>65899672</v>
      </c>
      <c r="U37" s="174">
        <v>70394038</v>
      </c>
    </row>
    <row r="38" spans="1:21" ht="14" customHeight="1">
      <c r="A38" s="946" t="s">
        <v>67</v>
      </c>
      <c r="B38" s="174">
        <v>23865598</v>
      </c>
      <c r="C38" s="174">
        <v>24995789</v>
      </c>
      <c r="D38" s="174">
        <v>26496778</v>
      </c>
      <c r="E38" s="174">
        <v>25740187</v>
      </c>
      <c r="F38" s="174">
        <v>27714670</v>
      </c>
      <c r="G38" s="174">
        <v>29077551</v>
      </c>
      <c r="H38" s="174">
        <v>32885340</v>
      </c>
      <c r="I38" s="145">
        <v>34228011</v>
      </c>
      <c r="J38" s="145">
        <v>37670400</v>
      </c>
      <c r="K38" s="174">
        <v>40632662</v>
      </c>
      <c r="L38" s="174">
        <v>44900802</v>
      </c>
      <c r="M38" s="174">
        <v>47506951</v>
      </c>
      <c r="N38" s="174">
        <v>48924957</v>
      </c>
      <c r="O38" s="174">
        <v>49277121</v>
      </c>
      <c r="P38" s="174">
        <v>53545085</v>
      </c>
      <c r="Q38" s="174">
        <v>56301115</v>
      </c>
      <c r="R38" s="174">
        <v>56455917</v>
      </c>
      <c r="S38" s="174">
        <v>58717703</v>
      </c>
      <c r="T38" s="174">
        <v>63978857</v>
      </c>
      <c r="U38" s="174">
        <v>66323231</v>
      </c>
    </row>
    <row r="39" spans="1:21" ht="14" customHeight="1" thickBot="1">
      <c r="A39" s="147" t="s">
        <v>68</v>
      </c>
      <c r="B39" s="175">
        <v>23228183</v>
      </c>
      <c r="C39" s="175">
        <v>25288877</v>
      </c>
      <c r="D39" s="175">
        <v>26377053</v>
      </c>
      <c r="E39" s="175">
        <v>25563915</v>
      </c>
      <c r="F39" s="175">
        <v>27911763</v>
      </c>
      <c r="G39" s="175">
        <v>28874943</v>
      </c>
      <c r="H39" s="175">
        <v>32515387</v>
      </c>
      <c r="I39" s="175">
        <v>33194994</v>
      </c>
      <c r="J39" s="175">
        <v>38423875</v>
      </c>
      <c r="K39" s="175">
        <v>41335114</v>
      </c>
      <c r="L39" s="175">
        <v>46298179</v>
      </c>
      <c r="M39" s="175">
        <v>48468883</v>
      </c>
      <c r="N39" s="175">
        <v>49181264</v>
      </c>
      <c r="O39" s="175">
        <v>51201290</v>
      </c>
      <c r="P39" s="175">
        <v>54859408</v>
      </c>
      <c r="Q39" s="175">
        <v>56051821</v>
      </c>
      <c r="R39" s="175">
        <v>58643760</v>
      </c>
      <c r="S39" s="175">
        <v>60493366</v>
      </c>
      <c r="T39" s="175">
        <v>66017821</v>
      </c>
      <c r="U39" s="175">
        <v>66631430</v>
      </c>
    </row>
    <row r="40" spans="1:21" ht="10" customHeight="1">
      <c r="A40" s="28" t="s">
        <v>238</v>
      </c>
      <c r="B40" s="363"/>
      <c r="C40" s="363"/>
      <c r="D40" s="363"/>
      <c r="E40" s="363"/>
      <c r="F40" s="363"/>
      <c r="G40" s="363"/>
      <c r="H40" s="363"/>
      <c r="I40" s="363"/>
      <c r="J40" s="363"/>
      <c r="K40" s="363"/>
      <c r="L40" s="363"/>
      <c r="M40" s="363"/>
      <c r="N40" s="363"/>
      <c r="O40" s="363"/>
      <c r="P40" s="363"/>
      <c r="Q40" s="363"/>
      <c r="R40" s="363"/>
      <c r="S40" s="174"/>
      <c r="T40" s="174"/>
      <c r="U40" s="174"/>
    </row>
    <row r="41" spans="1:21" ht="10" customHeight="1">
      <c r="A41" s="982" t="s">
        <v>195</v>
      </c>
      <c r="B41" s="365"/>
      <c r="C41" s="365"/>
      <c r="D41" s="365"/>
      <c r="E41" s="365"/>
      <c r="F41" s="365"/>
      <c r="G41" s="365"/>
      <c r="H41" s="365"/>
      <c r="I41" s="365"/>
      <c r="J41" s="365"/>
      <c r="K41" s="365"/>
      <c r="L41" s="365"/>
      <c r="M41" s="365"/>
      <c r="N41" s="365"/>
      <c r="O41" s="365"/>
      <c r="P41" s="365"/>
      <c r="Q41" s="365"/>
      <c r="R41" s="365"/>
    </row>
    <row r="42" spans="1:21" ht="10" customHeight="1">
      <c r="A42" s="40" t="s">
        <v>261</v>
      </c>
      <c r="B42" s="365"/>
      <c r="C42" s="365"/>
      <c r="D42" s="365"/>
      <c r="E42" s="365"/>
      <c r="F42" s="365"/>
      <c r="G42" s="365"/>
      <c r="H42" s="365"/>
      <c r="I42" s="365"/>
      <c r="J42" s="365"/>
      <c r="K42" s="365"/>
      <c r="L42" s="365"/>
      <c r="M42" s="365"/>
      <c r="N42" s="365"/>
      <c r="O42" s="365"/>
      <c r="P42" s="365"/>
      <c r="Q42" s="365"/>
      <c r="R42" s="365"/>
    </row>
  </sheetData>
  <mergeCells count="1">
    <mergeCell ref="A1:E1"/>
  </mergeCells>
  <printOptions horizontalCentered="1" verticalCentered="1"/>
  <pageMargins left="0" right="0" top="0" bottom="0" header="0" footer="0"/>
  <pageSetup paperSize="9" orientation="portrait"/>
  <headerFooter scaleWithDoc="0" alignWithMargins="0"/>
  <rowBreaks count="1" manualBreakCount="1">
    <brk id="22" max="16383" man="1"/>
  </row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Hoja123">
    <tabColor theme="9" tint="0.59999389629810485"/>
  </sheetPr>
  <dimension ref="A1:U42"/>
  <sheetViews>
    <sheetView showGridLines="0" zoomScale="150" zoomScaleNormal="150" workbookViewId="0">
      <selection activeCell="W14" sqref="W14"/>
    </sheetView>
  </sheetViews>
  <sheetFormatPr baseColWidth="10" defaultColWidth="7" defaultRowHeight="13" customHeight="1"/>
  <cols>
    <col min="1" max="1" width="7" style="141" customWidth="1"/>
    <col min="2" max="9" width="8" style="141" hidden="1" customWidth="1"/>
    <col min="10" max="11" width="0" style="141" hidden="1" customWidth="1"/>
    <col min="12" max="21" width="9" style="141" customWidth="1"/>
    <col min="22" max="16384" width="7" style="141"/>
  </cols>
  <sheetData>
    <row r="1" spans="1:21" ht="13" customHeight="1">
      <c r="A1" s="1144"/>
      <c r="B1" s="1144"/>
      <c r="C1" s="1144"/>
      <c r="D1" s="1144"/>
      <c r="E1" s="1144"/>
    </row>
    <row r="2" spans="1:21" ht="13" customHeight="1">
      <c r="A2" s="512" t="s">
        <v>256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</row>
    <row r="3" spans="1:21" ht="13" customHeight="1">
      <c r="A3" s="515" t="s">
        <v>540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</row>
    <row r="4" spans="1:21" ht="4" customHeight="1" thickBot="1"/>
    <row r="5" spans="1:21" ht="15" customHeight="1">
      <c r="A5" s="945" t="s">
        <v>122</v>
      </c>
      <c r="B5" s="390">
        <v>2000</v>
      </c>
      <c r="C5" s="390">
        <v>2001</v>
      </c>
      <c r="D5" s="390">
        <v>2002</v>
      </c>
      <c r="E5" s="390">
        <v>2003</v>
      </c>
      <c r="F5" s="390">
        <v>2004</v>
      </c>
      <c r="G5" s="390">
        <v>2005</v>
      </c>
      <c r="H5" s="390">
        <v>2006</v>
      </c>
      <c r="I5" s="390">
        <v>2007</v>
      </c>
      <c r="J5" s="390">
        <v>2008</v>
      </c>
      <c r="K5" s="390">
        <v>2009</v>
      </c>
      <c r="L5" s="390">
        <v>2010</v>
      </c>
      <c r="M5" s="390">
        <v>2011</v>
      </c>
      <c r="N5" s="390">
        <v>2012</v>
      </c>
      <c r="O5" s="390">
        <v>2013</v>
      </c>
      <c r="P5" s="390">
        <v>2014</v>
      </c>
      <c r="Q5" s="390">
        <v>2015</v>
      </c>
      <c r="R5" s="390">
        <v>2016</v>
      </c>
      <c r="S5" s="390">
        <v>2017</v>
      </c>
      <c r="T5" s="390">
        <v>2018</v>
      </c>
      <c r="U5" s="390" t="s">
        <v>239</v>
      </c>
    </row>
    <row r="6" spans="1:21" ht="15" customHeight="1">
      <c r="A6" s="396" t="s">
        <v>56</v>
      </c>
      <c r="B6" s="975">
        <v>540600</v>
      </c>
      <c r="C6" s="975">
        <v>0</v>
      </c>
      <c r="D6" s="975">
        <v>0</v>
      </c>
      <c r="E6" s="975">
        <v>406960</v>
      </c>
      <c r="F6" s="975">
        <v>0</v>
      </c>
      <c r="G6" s="975">
        <v>0</v>
      </c>
      <c r="H6" s="975">
        <v>0</v>
      </c>
      <c r="I6" s="975">
        <v>0</v>
      </c>
      <c r="J6" s="975">
        <v>0</v>
      </c>
      <c r="K6" s="975">
        <v>11426760</v>
      </c>
      <c r="L6" s="990">
        <v>2151000</v>
      </c>
      <c r="M6" s="990">
        <v>0</v>
      </c>
      <c r="N6" s="990">
        <v>0</v>
      </c>
      <c r="O6" s="990">
        <v>0</v>
      </c>
      <c r="P6" s="990">
        <v>0</v>
      </c>
      <c r="Q6" s="990">
        <v>0</v>
      </c>
      <c r="R6" s="990">
        <v>0</v>
      </c>
      <c r="S6" s="990">
        <v>0</v>
      </c>
      <c r="T6" s="990">
        <v>0</v>
      </c>
      <c r="U6" s="990">
        <v>0</v>
      </c>
    </row>
    <row r="7" spans="1:21" ht="14" customHeight="1">
      <c r="A7" s="946" t="s">
        <v>57</v>
      </c>
      <c r="B7" s="174">
        <v>0</v>
      </c>
      <c r="C7" s="174">
        <v>0</v>
      </c>
      <c r="D7" s="174">
        <v>0</v>
      </c>
      <c r="E7" s="174">
        <v>82600</v>
      </c>
      <c r="F7" s="174">
        <v>0</v>
      </c>
      <c r="G7" s="174">
        <v>0</v>
      </c>
      <c r="H7" s="174">
        <v>0</v>
      </c>
      <c r="I7" s="174">
        <v>0</v>
      </c>
      <c r="J7" s="174">
        <v>0</v>
      </c>
      <c r="K7" s="174">
        <v>0</v>
      </c>
      <c r="L7" s="992">
        <v>432000</v>
      </c>
      <c r="M7" s="992">
        <v>0</v>
      </c>
      <c r="N7" s="992">
        <v>0</v>
      </c>
      <c r="O7" s="992">
        <v>0</v>
      </c>
      <c r="P7" s="992">
        <v>0</v>
      </c>
      <c r="Q7" s="992">
        <v>0</v>
      </c>
      <c r="R7" s="992">
        <v>0</v>
      </c>
      <c r="S7" s="992">
        <v>0</v>
      </c>
      <c r="T7" s="992">
        <v>0</v>
      </c>
      <c r="U7" s="992">
        <v>0</v>
      </c>
    </row>
    <row r="8" spans="1:21" ht="14" customHeight="1">
      <c r="A8" s="946" t="s">
        <v>58</v>
      </c>
      <c r="B8" s="174">
        <v>0</v>
      </c>
      <c r="C8" s="174">
        <v>0</v>
      </c>
      <c r="D8" s="174">
        <v>0</v>
      </c>
      <c r="E8" s="174">
        <v>0</v>
      </c>
      <c r="F8" s="174">
        <v>0</v>
      </c>
      <c r="G8" s="174">
        <v>0</v>
      </c>
      <c r="H8" s="174">
        <v>0</v>
      </c>
      <c r="I8" s="174">
        <v>0</v>
      </c>
      <c r="J8" s="174">
        <v>0</v>
      </c>
      <c r="K8" s="174">
        <v>0</v>
      </c>
      <c r="L8" s="992">
        <v>378000</v>
      </c>
      <c r="M8" s="992">
        <v>0</v>
      </c>
      <c r="N8" s="992">
        <v>0</v>
      </c>
      <c r="O8" s="992">
        <v>0</v>
      </c>
      <c r="P8" s="992">
        <v>0</v>
      </c>
      <c r="Q8" s="992">
        <v>0</v>
      </c>
      <c r="R8" s="992">
        <v>0</v>
      </c>
      <c r="S8" s="992">
        <v>0</v>
      </c>
      <c r="T8" s="992">
        <v>0</v>
      </c>
      <c r="U8" s="992">
        <v>0</v>
      </c>
    </row>
    <row r="9" spans="1:21" ht="14" customHeight="1">
      <c r="A9" s="946" t="s">
        <v>59</v>
      </c>
      <c r="B9" s="174">
        <v>0</v>
      </c>
      <c r="C9" s="174">
        <v>0</v>
      </c>
      <c r="D9" s="174">
        <v>0</v>
      </c>
      <c r="E9" s="174">
        <v>0</v>
      </c>
      <c r="F9" s="174">
        <v>0</v>
      </c>
      <c r="G9" s="174">
        <v>0</v>
      </c>
      <c r="H9" s="174">
        <v>0</v>
      </c>
      <c r="I9" s="174">
        <v>0</v>
      </c>
      <c r="J9" s="174">
        <v>0</v>
      </c>
      <c r="K9" s="174">
        <v>0</v>
      </c>
      <c r="L9" s="992">
        <v>450000</v>
      </c>
      <c r="M9" s="992">
        <v>0</v>
      </c>
      <c r="N9" s="992">
        <v>0</v>
      </c>
      <c r="O9" s="992">
        <v>0</v>
      </c>
      <c r="P9" s="992">
        <v>0</v>
      </c>
      <c r="Q9" s="992">
        <v>0</v>
      </c>
      <c r="R9" s="992">
        <v>0</v>
      </c>
      <c r="S9" s="992">
        <v>0</v>
      </c>
      <c r="T9" s="992">
        <v>0</v>
      </c>
      <c r="U9" s="992">
        <v>0</v>
      </c>
    </row>
    <row r="10" spans="1:21" ht="14" customHeight="1">
      <c r="A10" s="946" t="s">
        <v>60</v>
      </c>
      <c r="B10" s="174">
        <v>207000</v>
      </c>
      <c r="C10" s="174">
        <v>0</v>
      </c>
      <c r="D10" s="174">
        <v>0</v>
      </c>
      <c r="E10" s="174">
        <v>78840</v>
      </c>
      <c r="F10" s="174">
        <v>0</v>
      </c>
      <c r="G10" s="174">
        <v>0</v>
      </c>
      <c r="H10" s="174">
        <v>0</v>
      </c>
      <c r="I10" s="174">
        <v>0</v>
      </c>
      <c r="J10" s="174">
        <v>0</v>
      </c>
      <c r="K10" s="174">
        <v>810000</v>
      </c>
      <c r="L10" s="992">
        <v>270000</v>
      </c>
      <c r="M10" s="992">
        <v>0</v>
      </c>
      <c r="N10" s="992">
        <v>0</v>
      </c>
      <c r="O10" s="992">
        <v>0</v>
      </c>
      <c r="P10" s="992">
        <v>0</v>
      </c>
      <c r="Q10" s="992">
        <v>0</v>
      </c>
      <c r="R10" s="992">
        <v>0</v>
      </c>
      <c r="S10" s="992">
        <v>0</v>
      </c>
      <c r="T10" s="992">
        <v>0</v>
      </c>
      <c r="U10" s="992">
        <v>0</v>
      </c>
    </row>
    <row r="11" spans="1:21" ht="14" customHeight="1">
      <c r="A11" s="946" t="s">
        <v>61</v>
      </c>
      <c r="B11" s="174">
        <v>207000</v>
      </c>
      <c r="C11" s="174">
        <v>0</v>
      </c>
      <c r="D11" s="174">
        <v>0</v>
      </c>
      <c r="E11" s="174">
        <v>78480</v>
      </c>
      <c r="F11" s="174">
        <v>0</v>
      </c>
      <c r="G11" s="174">
        <v>0</v>
      </c>
      <c r="H11" s="174">
        <v>0</v>
      </c>
      <c r="I11" s="174">
        <v>0</v>
      </c>
      <c r="J11" s="174">
        <v>0</v>
      </c>
      <c r="K11" s="174">
        <v>1134000</v>
      </c>
      <c r="L11" s="992">
        <v>180000</v>
      </c>
      <c r="M11" s="992">
        <v>0</v>
      </c>
      <c r="N11" s="992">
        <v>0</v>
      </c>
      <c r="O11" s="992">
        <v>0</v>
      </c>
      <c r="P11" s="992">
        <v>0</v>
      </c>
      <c r="Q11" s="992">
        <v>0</v>
      </c>
      <c r="R11" s="992">
        <v>0</v>
      </c>
      <c r="S11" s="992">
        <v>0</v>
      </c>
      <c r="T11" s="992">
        <v>0</v>
      </c>
      <c r="U11" s="992">
        <v>0</v>
      </c>
    </row>
    <row r="12" spans="1:21" ht="14" customHeight="1">
      <c r="A12" s="946" t="s">
        <v>62</v>
      </c>
      <c r="B12" s="174">
        <v>96600</v>
      </c>
      <c r="C12" s="174">
        <v>0</v>
      </c>
      <c r="D12" s="174">
        <v>0</v>
      </c>
      <c r="E12" s="174">
        <v>0</v>
      </c>
      <c r="F12" s="174">
        <v>0</v>
      </c>
      <c r="G12" s="174">
        <v>0</v>
      </c>
      <c r="H12" s="174">
        <v>0</v>
      </c>
      <c r="I12" s="174">
        <v>0</v>
      </c>
      <c r="J12" s="174">
        <v>0</v>
      </c>
      <c r="K12" s="174">
        <v>1621800</v>
      </c>
      <c r="L12" s="992">
        <v>90000</v>
      </c>
      <c r="M12" s="992">
        <v>0</v>
      </c>
      <c r="N12" s="992">
        <v>0</v>
      </c>
      <c r="O12" s="992">
        <v>0</v>
      </c>
      <c r="P12" s="992">
        <v>0</v>
      </c>
      <c r="Q12" s="992">
        <v>0</v>
      </c>
      <c r="R12" s="992">
        <v>0</v>
      </c>
      <c r="S12" s="992">
        <v>0</v>
      </c>
      <c r="T12" s="992">
        <v>0</v>
      </c>
      <c r="U12" s="992">
        <v>0</v>
      </c>
    </row>
    <row r="13" spans="1:21" ht="14" customHeight="1">
      <c r="A13" s="946" t="s">
        <v>63</v>
      </c>
      <c r="B13" s="174">
        <v>0</v>
      </c>
      <c r="C13" s="174">
        <v>0</v>
      </c>
      <c r="D13" s="174">
        <v>0</v>
      </c>
      <c r="E13" s="174">
        <v>0</v>
      </c>
      <c r="F13" s="174">
        <v>0</v>
      </c>
      <c r="G13" s="174">
        <v>0</v>
      </c>
      <c r="H13" s="174">
        <v>0</v>
      </c>
      <c r="I13" s="174">
        <v>0</v>
      </c>
      <c r="J13" s="174">
        <v>0</v>
      </c>
      <c r="K13" s="174">
        <v>2166120</v>
      </c>
      <c r="L13" s="992">
        <v>0</v>
      </c>
      <c r="M13" s="992">
        <v>0</v>
      </c>
      <c r="N13" s="992">
        <v>0</v>
      </c>
      <c r="O13" s="992">
        <v>0</v>
      </c>
      <c r="P13" s="992">
        <v>0</v>
      </c>
      <c r="Q13" s="992">
        <v>0</v>
      </c>
      <c r="R13" s="992">
        <v>0</v>
      </c>
      <c r="S13" s="992">
        <v>0</v>
      </c>
      <c r="T13" s="992">
        <v>0</v>
      </c>
      <c r="U13" s="992">
        <v>0</v>
      </c>
    </row>
    <row r="14" spans="1:21" ht="14" customHeight="1">
      <c r="A14" s="946" t="s">
        <v>64</v>
      </c>
      <c r="B14" s="174">
        <v>0</v>
      </c>
      <c r="C14" s="174">
        <v>0</v>
      </c>
      <c r="D14" s="174">
        <v>0</v>
      </c>
      <c r="E14" s="174">
        <v>0</v>
      </c>
      <c r="F14" s="174">
        <v>0</v>
      </c>
      <c r="G14" s="174">
        <v>0</v>
      </c>
      <c r="H14" s="174">
        <v>0</v>
      </c>
      <c r="I14" s="174">
        <v>0</v>
      </c>
      <c r="J14" s="174">
        <v>0</v>
      </c>
      <c r="K14" s="174">
        <v>1554120</v>
      </c>
      <c r="L14" s="992">
        <v>0</v>
      </c>
      <c r="M14" s="992">
        <v>0</v>
      </c>
      <c r="N14" s="992">
        <v>0</v>
      </c>
      <c r="O14" s="992">
        <v>0</v>
      </c>
      <c r="P14" s="992">
        <v>0</v>
      </c>
      <c r="Q14" s="992">
        <v>0</v>
      </c>
      <c r="R14" s="992">
        <v>0</v>
      </c>
      <c r="S14" s="992">
        <v>0</v>
      </c>
      <c r="T14" s="992">
        <v>0</v>
      </c>
      <c r="U14" s="992">
        <v>0</v>
      </c>
    </row>
    <row r="15" spans="1:21" ht="14" customHeight="1">
      <c r="A15" s="946" t="s">
        <v>65</v>
      </c>
      <c r="B15" s="174">
        <v>0</v>
      </c>
      <c r="C15" s="174">
        <v>0</v>
      </c>
      <c r="D15" s="174">
        <v>0</v>
      </c>
      <c r="E15" s="174">
        <v>83520</v>
      </c>
      <c r="F15" s="174">
        <v>0</v>
      </c>
      <c r="G15" s="174">
        <v>0</v>
      </c>
      <c r="H15" s="174">
        <v>0</v>
      </c>
      <c r="I15" s="174">
        <v>0</v>
      </c>
      <c r="J15" s="174">
        <v>0</v>
      </c>
      <c r="K15" s="174">
        <v>1026360</v>
      </c>
      <c r="L15" s="992">
        <v>0</v>
      </c>
      <c r="M15" s="992">
        <v>0</v>
      </c>
      <c r="N15" s="992">
        <v>0</v>
      </c>
      <c r="O15" s="992">
        <v>0</v>
      </c>
      <c r="P15" s="992">
        <v>0</v>
      </c>
      <c r="Q15" s="992">
        <v>0</v>
      </c>
      <c r="R15" s="992">
        <v>0</v>
      </c>
      <c r="S15" s="992">
        <v>0</v>
      </c>
      <c r="T15" s="992">
        <v>0</v>
      </c>
      <c r="U15" s="992">
        <v>0</v>
      </c>
    </row>
    <row r="16" spans="1:21" ht="14" customHeight="1">
      <c r="A16" s="946" t="s">
        <v>66</v>
      </c>
      <c r="B16" s="174">
        <v>30000</v>
      </c>
      <c r="C16" s="174">
        <v>0</v>
      </c>
      <c r="D16" s="174">
        <v>0</v>
      </c>
      <c r="E16" s="174">
        <v>0</v>
      </c>
      <c r="F16" s="174">
        <v>0</v>
      </c>
      <c r="G16" s="174">
        <v>0</v>
      </c>
      <c r="H16" s="174">
        <v>0</v>
      </c>
      <c r="I16" s="174">
        <v>0</v>
      </c>
      <c r="J16" s="174">
        <v>0</v>
      </c>
      <c r="K16" s="174">
        <v>1695960</v>
      </c>
      <c r="L16" s="992">
        <v>280800</v>
      </c>
      <c r="M16" s="992">
        <v>0</v>
      </c>
      <c r="N16" s="992">
        <v>0</v>
      </c>
      <c r="O16" s="992">
        <v>0</v>
      </c>
      <c r="P16" s="992">
        <v>0</v>
      </c>
      <c r="Q16" s="992">
        <v>0</v>
      </c>
      <c r="R16" s="992">
        <v>0</v>
      </c>
      <c r="S16" s="992">
        <v>0</v>
      </c>
      <c r="T16" s="992">
        <v>0</v>
      </c>
      <c r="U16" s="992">
        <v>0</v>
      </c>
    </row>
    <row r="17" spans="1:21" ht="14" customHeight="1">
      <c r="A17" s="946" t="s">
        <v>67</v>
      </c>
      <c r="B17" s="174">
        <v>0</v>
      </c>
      <c r="C17" s="174">
        <v>0</v>
      </c>
      <c r="D17" s="174">
        <v>0</v>
      </c>
      <c r="E17" s="174">
        <v>83520</v>
      </c>
      <c r="F17" s="174">
        <v>0</v>
      </c>
      <c r="G17" s="174">
        <v>0</v>
      </c>
      <c r="H17" s="174">
        <v>0</v>
      </c>
      <c r="I17" s="174">
        <v>0</v>
      </c>
      <c r="J17" s="174">
        <v>0</v>
      </c>
      <c r="K17" s="174">
        <v>736200</v>
      </c>
      <c r="L17" s="992">
        <v>70200</v>
      </c>
      <c r="M17" s="992">
        <v>0</v>
      </c>
      <c r="N17" s="992">
        <v>0</v>
      </c>
      <c r="O17" s="992">
        <v>0</v>
      </c>
      <c r="P17" s="992">
        <v>0</v>
      </c>
      <c r="Q17" s="992">
        <v>0</v>
      </c>
      <c r="R17" s="992">
        <v>0</v>
      </c>
      <c r="S17" s="992">
        <v>0</v>
      </c>
      <c r="T17" s="992">
        <v>0</v>
      </c>
      <c r="U17" s="992">
        <v>0</v>
      </c>
    </row>
    <row r="18" spans="1:21" ht="14" customHeight="1" thickBot="1">
      <c r="A18" s="147" t="s">
        <v>68</v>
      </c>
      <c r="B18" s="175">
        <v>0</v>
      </c>
      <c r="C18" s="175">
        <v>0</v>
      </c>
      <c r="D18" s="175">
        <v>0</v>
      </c>
      <c r="E18" s="175">
        <v>0</v>
      </c>
      <c r="F18" s="175">
        <v>0</v>
      </c>
      <c r="G18" s="175">
        <v>0</v>
      </c>
      <c r="H18" s="175">
        <v>0</v>
      </c>
      <c r="I18" s="175">
        <v>0</v>
      </c>
      <c r="J18" s="175">
        <v>0</v>
      </c>
      <c r="K18" s="175">
        <v>682200</v>
      </c>
      <c r="L18" s="993">
        <v>0</v>
      </c>
      <c r="M18" s="993">
        <v>0</v>
      </c>
      <c r="N18" s="993">
        <v>0</v>
      </c>
      <c r="O18" s="993">
        <v>0</v>
      </c>
      <c r="P18" s="993">
        <v>0</v>
      </c>
      <c r="Q18" s="993">
        <v>0</v>
      </c>
      <c r="R18" s="993">
        <v>0</v>
      </c>
      <c r="S18" s="993">
        <v>0</v>
      </c>
      <c r="T18" s="993">
        <v>0</v>
      </c>
      <c r="U18" s="993">
        <v>0</v>
      </c>
    </row>
    <row r="19" spans="1:21" ht="10" customHeight="1">
      <c r="A19" s="28" t="s">
        <v>238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174"/>
      <c r="R19" s="174"/>
      <c r="S19" s="174"/>
      <c r="T19" s="174"/>
      <c r="U19" s="174"/>
    </row>
    <row r="20" spans="1:21" ht="10" customHeight="1">
      <c r="A20" s="982" t="s">
        <v>194</v>
      </c>
      <c r="B20" s="367"/>
      <c r="C20" s="367"/>
      <c r="D20" s="367"/>
      <c r="E20" s="367"/>
      <c r="F20" s="367"/>
      <c r="G20" s="367"/>
      <c r="H20" s="367"/>
      <c r="I20" s="367"/>
      <c r="J20" s="367"/>
      <c r="K20" s="365"/>
      <c r="L20" s="365"/>
      <c r="M20" s="365"/>
      <c r="N20" s="365"/>
      <c r="O20" s="365"/>
      <c r="P20" s="365"/>
    </row>
    <row r="21" spans="1:21" ht="10" customHeight="1">
      <c r="A21" s="40" t="s">
        <v>261</v>
      </c>
      <c r="B21" s="365"/>
      <c r="C21" s="365"/>
      <c r="D21" s="365"/>
      <c r="E21" s="365"/>
      <c r="F21" s="365"/>
      <c r="G21" s="365"/>
      <c r="H21" s="365"/>
      <c r="I21" s="365"/>
      <c r="J21" s="365"/>
      <c r="K21" s="365"/>
      <c r="L21" s="365"/>
      <c r="M21" s="365"/>
      <c r="N21" s="365"/>
      <c r="O21" s="365"/>
      <c r="P21" s="365"/>
    </row>
    <row r="23" spans="1:21" ht="13" customHeight="1">
      <c r="A23" s="512" t="s">
        <v>335</v>
      </c>
    </row>
    <row r="24" spans="1:21" ht="13" customHeight="1">
      <c r="A24" s="515" t="s">
        <v>540</v>
      </c>
    </row>
    <row r="25" spans="1:21" ht="4" customHeight="1" thickBot="1"/>
    <row r="26" spans="1:21" ht="15" customHeight="1">
      <c r="A26" s="945" t="s">
        <v>122</v>
      </c>
      <c r="B26" s="390">
        <v>2000</v>
      </c>
      <c r="C26" s="390">
        <v>2001</v>
      </c>
      <c r="D26" s="390">
        <v>2002</v>
      </c>
      <c r="E26" s="390">
        <v>2003</v>
      </c>
      <c r="F26" s="390">
        <v>2004</v>
      </c>
      <c r="G26" s="390">
        <v>2005</v>
      </c>
      <c r="H26" s="390">
        <v>2006</v>
      </c>
      <c r="I26" s="390">
        <v>2007</v>
      </c>
      <c r="J26" s="390">
        <v>2008</v>
      </c>
      <c r="K26" s="390">
        <v>2009</v>
      </c>
      <c r="L26" s="390">
        <v>2010</v>
      </c>
      <c r="M26" s="390">
        <v>2011</v>
      </c>
      <c r="N26" s="390">
        <v>2012</v>
      </c>
      <c r="O26" s="390">
        <v>2013</v>
      </c>
      <c r="P26" s="390">
        <v>2014</v>
      </c>
      <c r="Q26" s="390">
        <v>2015</v>
      </c>
      <c r="R26" s="390">
        <v>2016</v>
      </c>
      <c r="S26" s="390">
        <v>2017</v>
      </c>
      <c r="T26" s="390">
        <v>2018</v>
      </c>
      <c r="U26" s="390" t="s">
        <v>239</v>
      </c>
    </row>
    <row r="27" spans="1:21" ht="15" customHeight="1">
      <c r="A27" s="396" t="s">
        <v>56</v>
      </c>
      <c r="B27" s="975">
        <v>819360</v>
      </c>
      <c r="C27" s="975">
        <v>7585840</v>
      </c>
      <c r="D27" s="975">
        <v>9350280</v>
      </c>
      <c r="E27" s="975">
        <v>11515680</v>
      </c>
      <c r="F27" s="975">
        <v>21776220</v>
      </c>
      <c r="G27" s="975">
        <v>26716320</v>
      </c>
      <c r="H27" s="975">
        <v>32098780</v>
      </c>
      <c r="I27" s="975">
        <v>33003000</v>
      </c>
      <c r="J27" s="975">
        <v>44035200</v>
      </c>
      <c r="K27" s="975">
        <v>45058785</v>
      </c>
      <c r="L27" s="994">
        <v>61209080</v>
      </c>
      <c r="M27" s="994">
        <v>54022840</v>
      </c>
      <c r="N27" s="994">
        <v>67644360</v>
      </c>
      <c r="O27" s="994">
        <v>71532320</v>
      </c>
      <c r="P27" s="994">
        <v>77494023</v>
      </c>
      <c r="Q27" s="994">
        <v>41222640</v>
      </c>
      <c r="R27" s="994">
        <v>32529240</v>
      </c>
      <c r="S27" s="994">
        <v>12187440</v>
      </c>
      <c r="T27" s="994">
        <f>SUM(T28:T39)</f>
        <v>5122080</v>
      </c>
      <c r="U27" s="994">
        <f>SUM(U28:U39)</f>
        <v>72000</v>
      </c>
    </row>
    <row r="28" spans="1:21" ht="14" customHeight="1">
      <c r="A28" s="946" t="s">
        <v>57</v>
      </c>
      <c r="B28" s="174">
        <v>0</v>
      </c>
      <c r="C28" s="174">
        <v>1034640</v>
      </c>
      <c r="D28" s="174">
        <v>669240</v>
      </c>
      <c r="E28" s="174">
        <v>1673280</v>
      </c>
      <c r="F28" s="174">
        <v>1761480</v>
      </c>
      <c r="G28" s="145">
        <v>1922400</v>
      </c>
      <c r="H28" s="145">
        <v>2239560</v>
      </c>
      <c r="I28" s="145">
        <v>3472560</v>
      </c>
      <c r="J28" s="145">
        <v>3475080</v>
      </c>
      <c r="K28" s="145">
        <v>3206160</v>
      </c>
      <c r="L28" s="404">
        <v>3907440</v>
      </c>
      <c r="M28" s="404">
        <v>4423560</v>
      </c>
      <c r="N28" s="404">
        <v>5124600</v>
      </c>
      <c r="O28" s="404">
        <v>5249520</v>
      </c>
      <c r="P28" s="404">
        <v>6001200</v>
      </c>
      <c r="Q28" s="404">
        <v>6498560</v>
      </c>
      <c r="R28" s="404">
        <v>2543760</v>
      </c>
      <c r="S28" s="404">
        <v>1337040</v>
      </c>
      <c r="T28" s="404">
        <v>234720</v>
      </c>
      <c r="U28" s="404">
        <v>0</v>
      </c>
    </row>
    <row r="29" spans="1:21" ht="14" customHeight="1">
      <c r="A29" s="946" t="s">
        <v>58</v>
      </c>
      <c r="B29" s="174">
        <v>248300</v>
      </c>
      <c r="C29" s="174">
        <v>1269720</v>
      </c>
      <c r="D29" s="174">
        <v>491400</v>
      </c>
      <c r="E29" s="174">
        <v>813600</v>
      </c>
      <c r="F29" s="174">
        <v>1457080</v>
      </c>
      <c r="G29" s="145">
        <v>2185200</v>
      </c>
      <c r="H29" s="174">
        <v>2367360</v>
      </c>
      <c r="I29" s="174">
        <v>2864880</v>
      </c>
      <c r="J29" s="174">
        <v>2645640</v>
      </c>
      <c r="K29" s="174">
        <v>3145680</v>
      </c>
      <c r="L29" s="407">
        <v>3812400</v>
      </c>
      <c r="M29" s="407">
        <v>4284360</v>
      </c>
      <c r="N29" s="407">
        <v>5463360</v>
      </c>
      <c r="O29" s="407">
        <v>4513680</v>
      </c>
      <c r="P29" s="404">
        <v>6156000</v>
      </c>
      <c r="Q29" s="407">
        <v>5013840</v>
      </c>
      <c r="R29" s="407">
        <v>2694960</v>
      </c>
      <c r="S29" s="407">
        <v>677880</v>
      </c>
      <c r="T29" s="407">
        <v>603720</v>
      </c>
      <c r="U29" s="407">
        <v>72000</v>
      </c>
    </row>
    <row r="30" spans="1:21" ht="14" customHeight="1">
      <c r="A30" s="946" t="s">
        <v>59</v>
      </c>
      <c r="B30" s="174">
        <v>0</v>
      </c>
      <c r="C30" s="174">
        <v>619160</v>
      </c>
      <c r="D30" s="174">
        <v>821880</v>
      </c>
      <c r="E30" s="174">
        <v>172800</v>
      </c>
      <c r="F30" s="174">
        <v>1916640</v>
      </c>
      <c r="G30" s="145">
        <v>2455200</v>
      </c>
      <c r="H30" s="174">
        <v>2921040</v>
      </c>
      <c r="I30" s="174">
        <v>2310480</v>
      </c>
      <c r="J30" s="174">
        <v>3976200</v>
      </c>
      <c r="K30" s="174">
        <v>3445560</v>
      </c>
      <c r="L30" s="407">
        <v>4594680</v>
      </c>
      <c r="M30" s="407">
        <v>4960320</v>
      </c>
      <c r="N30" s="407">
        <v>5837400</v>
      </c>
      <c r="O30" s="407">
        <v>5391720</v>
      </c>
      <c r="P30" s="404">
        <v>5927760</v>
      </c>
      <c r="Q30" s="407">
        <v>5057680</v>
      </c>
      <c r="R30" s="407">
        <v>2935440</v>
      </c>
      <c r="S30" s="407">
        <v>1237320</v>
      </c>
      <c r="T30" s="407">
        <v>183600</v>
      </c>
      <c r="U30" s="407">
        <v>0</v>
      </c>
    </row>
    <row r="31" spans="1:21" ht="14" customHeight="1">
      <c r="A31" s="946" t="s">
        <v>60</v>
      </c>
      <c r="B31" s="174">
        <v>0</v>
      </c>
      <c r="C31" s="174">
        <v>630720</v>
      </c>
      <c r="D31" s="174">
        <v>745560</v>
      </c>
      <c r="E31" s="174">
        <v>0</v>
      </c>
      <c r="F31" s="174">
        <v>1362960</v>
      </c>
      <c r="G31" s="145">
        <v>1845360</v>
      </c>
      <c r="H31" s="174">
        <v>1701360</v>
      </c>
      <c r="I31" s="174">
        <v>2290680</v>
      </c>
      <c r="J31" s="174">
        <v>3880440</v>
      </c>
      <c r="K31" s="174">
        <v>3830040</v>
      </c>
      <c r="L31" s="407">
        <v>3598560</v>
      </c>
      <c r="M31" s="407">
        <v>4328640</v>
      </c>
      <c r="N31" s="407">
        <v>5478840</v>
      </c>
      <c r="O31" s="407">
        <v>6263640</v>
      </c>
      <c r="P31" s="404">
        <v>6273360</v>
      </c>
      <c r="Q31" s="407">
        <v>2270000</v>
      </c>
      <c r="R31" s="407">
        <v>2499480</v>
      </c>
      <c r="S31" s="407">
        <v>1271520</v>
      </c>
      <c r="T31" s="407">
        <v>0</v>
      </c>
      <c r="U31" s="407">
        <v>0</v>
      </c>
    </row>
    <row r="32" spans="1:21" ht="14" customHeight="1">
      <c r="A32" s="946" t="s">
        <v>61</v>
      </c>
      <c r="B32" s="174">
        <v>0</v>
      </c>
      <c r="C32" s="174">
        <v>540720</v>
      </c>
      <c r="D32" s="174">
        <v>573120</v>
      </c>
      <c r="E32" s="174">
        <v>115200</v>
      </c>
      <c r="F32" s="174">
        <v>1985400</v>
      </c>
      <c r="G32" s="145">
        <v>2010600</v>
      </c>
      <c r="H32" s="174">
        <v>1749600</v>
      </c>
      <c r="I32" s="174">
        <v>3391560</v>
      </c>
      <c r="J32" s="174">
        <v>4016880</v>
      </c>
      <c r="K32" s="174">
        <v>2664720</v>
      </c>
      <c r="L32" s="407">
        <v>4142880</v>
      </c>
      <c r="M32" s="407">
        <v>4304520</v>
      </c>
      <c r="N32" s="407">
        <v>7632720</v>
      </c>
      <c r="O32" s="407">
        <v>5702400</v>
      </c>
      <c r="P32" s="404">
        <v>5791320</v>
      </c>
      <c r="Q32" s="407">
        <v>1888160</v>
      </c>
      <c r="R32" s="407">
        <v>1915200</v>
      </c>
      <c r="S32" s="407">
        <v>1221120</v>
      </c>
      <c r="T32" s="407">
        <v>104400</v>
      </c>
      <c r="U32" s="407">
        <v>0</v>
      </c>
    </row>
    <row r="33" spans="1:21" ht="14" customHeight="1">
      <c r="A33" s="946" t="s">
        <v>62</v>
      </c>
      <c r="B33" s="174">
        <v>0</v>
      </c>
      <c r="C33" s="174">
        <v>295560</v>
      </c>
      <c r="D33" s="174">
        <v>651600</v>
      </c>
      <c r="E33" s="174">
        <v>357840</v>
      </c>
      <c r="F33" s="174">
        <v>2643840</v>
      </c>
      <c r="G33" s="145">
        <v>2412360</v>
      </c>
      <c r="H33" s="174">
        <v>1366740</v>
      </c>
      <c r="I33" s="174">
        <v>2544840</v>
      </c>
      <c r="J33" s="174">
        <v>3292920</v>
      </c>
      <c r="K33" s="174">
        <v>2920320</v>
      </c>
      <c r="L33" s="407">
        <v>5458680</v>
      </c>
      <c r="M33" s="407">
        <v>4368600</v>
      </c>
      <c r="N33" s="407">
        <v>6289920</v>
      </c>
      <c r="O33" s="407">
        <v>4404960</v>
      </c>
      <c r="P33" s="404">
        <v>6462394</v>
      </c>
      <c r="Q33" s="407">
        <v>3123360</v>
      </c>
      <c r="R33" s="407">
        <v>2851920</v>
      </c>
      <c r="S33" s="407">
        <v>1019880</v>
      </c>
      <c r="T33" s="407">
        <v>242280</v>
      </c>
      <c r="U33" s="407">
        <v>0</v>
      </c>
    </row>
    <row r="34" spans="1:21" ht="14" customHeight="1">
      <c r="A34" s="946" t="s">
        <v>63</v>
      </c>
      <c r="B34" s="174">
        <v>0</v>
      </c>
      <c r="C34" s="174">
        <v>573840</v>
      </c>
      <c r="D34" s="174">
        <v>760320</v>
      </c>
      <c r="E34" s="174">
        <v>618480</v>
      </c>
      <c r="F34" s="174">
        <v>1915200</v>
      </c>
      <c r="G34" s="145">
        <v>2311200</v>
      </c>
      <c r="H34" s="174">
        <v>2667600</v>
      </c>
      <c r="I34" s="174">
        <v>2724480</v>
      </c>
      <c r="J34" s="174">
        <v>3884400</v>
      </c>
      <c r="K34" s="174">
        <v>4197240</v>
      </c>
      <c r="L34" s="407">
        <v>5560200</v>
      </c>
      <c r="M34" s="407">
        <v>4507920</v>
      </c>
      <c r="N34" s="407">
        <v>6221880</v>
      </c>
      <c r="O34" s="407">
        <v>4846680</v>
      </c>
      <c r="P34" s="404">
        <v>6949000</v>
      </c>
      <c r="Q34" s="407">
        <v>3706200</v>
      </c>
      <c r="R34" s="407">
        <v>2269440</v>
      </c>
      <c r="S34" s="407">
        <v>1035360</v>
      </c>
      <c r="T34" s="407">
        <v>627840</v>
      </c>
      <c r="U34" s="407">
        <v>0</v>
      </c>
    </row>
    <row r="35" spans="1:21" ht="14" customHeight="1">
      <c r="A35" s="946" t="s">
        <v>64</v>
      </c>
      <c r="B35" s="174">
        <v>0</v>
      </c>
      <c r="C35" s="174">
        <v>443520</v>
      </c>
      <c r="D35" s="174">
        <v>759960</v>
      </c>
      <c r="E35" s="174">
        <v>1104480</v>
      </c>
      <c r="F35" s="174">
        <v>1897560</v>
      </c>
      <c r="G35" s="145">
        <v>2385000</v>
      </c>
      <c r="H35" s="174">
        <v>3582720</v>
      </c>
      <c r="I35" s="174">
        <v>2673360</v>
      </c>
      <c r="J35" s="174">
        <v>3276360</v>
      </c>
      <c r="K35" s="174">
        <v>3825465</v>
      </c>
      <c r="L35" s="407">
        <v>5679720</v>
      </c>
      <c r="M35" s="407">
        <v>4734400</v>
      </c>
      <c r="N35" s="407">
        <v>5550480</v>
      </c>
      <c r="O35" s="407">
        <v>6009440</v>
      </c>
      <c r="P35" s="404">
        <v>6626240</v>
      </c>
      <c r="Q35" s="407">
        <v>3038040</v>
      </c>
      <c r="R35" s="407">
        <v>3368880</v>
      </c>
      <c r="S35" s="407">
        <v>1329480</v>
      </c>
      <c r="T35" s="407">
        <v>918720</v>
      </c>
      <c r="U35" s="407">
        <v>0</v>
      </c>
    </row>
    <row r="36" spans="1:21" ht="14" customHeight="1">
      <c r="A36" s="946" t="s">
        <v>65</v>
      </c>
      <c r="B36" s="174">
        <v>0</v>
      </c>
      <c r="C36" s="174">
        <v>582480</v>
      </c>
      <c r="D36" s="174">
        <v>840240</v>
      </c>
      <c r="E36" s="174">
        <v>1833120</v>
      </c>
      <c r="F36" s="174">
        <v>2250000</v>
      </c>
      <c r="G36" s="145">
        <v>2316600</v>
      </c>
      <c r="H36" s="174">
        <v>3437600</v>
      </c>
      <c r="I36" s="174">
        <v>2649600</v>
      </c>
      <c r="J36" s="174">
        <v>3435120</v>
      </c>
      <c r="K36" s="174">
        <v>4293000</v>
      </c>
      <c r="L36" s="407">
        <v>5911000</v>
      </c>
      <c r="M36" s="407">
        <v>5422320</v>
      </c>
      <c r="N36" s="407">
        <v>5275440</v>
      </c>
      <c r="O36" s="407">
        <v>8465160</v>
      </c>
      <c r="P36" s="404">
        <v>7078360</v>
      </c>
      <c r="Q36" s="407">
        <v>3985880</v>
      </c>
      <c r="R36" s="407">
        <v>3614040</v>
      </c>
      <c r="S36" s="407">
        <v>1313640</v>
      </c>
      <c r="T36" s="407">
        <v>944280</v>
      </c>
      <c r="U36" s="407">
        <v>0</v>
      </c>
    </row>
    <row r="37" spans="1:21" ht="14" customHeight="1">
      <c r="A37" s="946" t="s">
        <v>66</v>
      </c>
      <c r="B37" s="174">
        <v>214560</v>
      </c>
      <c r="C37" s="174">
        <v>512360</v>
      </c>
      <c r="D37" s="174">
        <v>1130040</v>
      </c>
      <c r="E37" s="174">
        <v>1441800</v>
      </c>
      <c r="F37" s="174">
        <v>1897000</v>
      </c>
      <c r="G37" s="145">
        <v>2214000</v>
      </c>
      <c r="H37" s="174">
        <v>3794400</v>
      </c>
      <c r="I37" s="174">
        <v>2998800</v>
      </c>
      <c r="J37" s="174">
        <v>4705920</v>
      </c>
      <c r="K37" s="174">
        <v>4483080</v>
      </c>
      <c r="L37" s="407">
        <v>6465640</v>
      </c>
      <c r="M37" s="407">
        <v>5093280</v>
      </c>
      <c r="N37" s="407">
        <v>6111720</v>
      </c>
      <c r="O37" s="407">
        <v>8242080</v>
      </c>
      <c r="P37" s="404">
        <v>6918040</v>
      </c>
      <c r="Q37" s="407">
        <v>3212640</v>
      </c>
      <c r="R37" s="407">
        <v>3531240</v>
      </c>
      <c r="S37" s="407">
        <v>1211040</v>
      </c>
      <c r="T37" s="407">
        <v>850320</v>
      </c>
      <c r="U37" s="407">
        <v>0</v>
      </c>
    </row>
    <row r="38" spans="1:21" ht="14" customHeight="1">
      <c r="A38" s="946" t="s">
        <v>67</v>
      </c>
      <c r="B38" s="174">
        <v>225360</v>
      </c>
      <c r="C38" s="174">
        <v>626640</v>
      </c>
      <c r="D38" s="174">
        <v>830520</v>
      </c>
      <c r="E38" s="174">
        <v>1539000</v>
      </c>
      <c r="F38" s="174">
        <v>1022400</v>
      </c>
      <c r="G38" s="145">
        <v>1908000</v>
      </c>
      <c r="H38" s="174">
        <v>3017120</v>
      </c>
      <c r="I38" s="174">
        <v>2306160</v>
      </c>
      <c r="J38" s="174">
        <v>3484440</v>
      </c>
      <c r="K38" s="174">
        <v>4266360</v>
      </c>
      <c r="L38" s="407">
        <v>5764440</v>
      </c>
      <c r="M38" s="407">
        <v>5047920</v>
      </c>
      <c r="N38" s="407">
        <v>5221440</v>
      </c>
      <c r="O38" s="407">
        <v>6709320</v>
      </c>
      <c r="P38" s="404">
        <v>6139549</v>
      </c>
      <c r="Q38" s="407">
        <v>1896120</v>
      </c>
      <c r="R38" s="407">
        <v>2303640</v>
      </c>
      <c r="S38" s="407">
        <v>327240</v>
      </c>
      <c r="T38" s="407">
        <v>169560</v>
      </c>
      <c r="U38" s="407">
        <v>0</v>
      </c>
    </row>
    <row r="39" spans="1:21" ht="14" customHeight="1" thickBot="1">
      <c r="A39" s="147" t="s">
        <v>68</v>
      </c>
      <c r="B39" s="175">
        <v>131140</v>
      </c>
      <c r="C39" s="175">
        <v>456480</v>
      </c>
      <c r="D39" s="175">
        <v>1076400</v>
      </c>
      <c r="E39" s="175">
        <v>1846080</v>
      </c>
      <c r="F39" s="175">
        <v>1666660</v>
      </c>
      <c r="G39" s="175">
        <v>2750400</v>
      </c>
      <c r="H39" s="175">
        <v>3253680</v>
      </c>
      <c r="I39" s="175">
        <v>2775600</v>
      </c>
      <c r="J39" s="175">
        <v>3961800</v>
      </c>
      <c r="K39" s="175">
        <v>4781160</v>
      </c>
      <c r="L39" s="995">
        <v>6313440</v>
      </c>
      <c r="M39" s="995">
        <v>2547000</v>
      </c>
      <c r="N39" s="995">
        <v>3436560</v>
      </c>
      <c r="O39" s="995">
        <v>5733720</v>
      </c>
      <c r="P39" s="995">
        <v>7170800</v>
      </c>
      <c r="Q39" s="995">
        <v>1532160</v>
      </c>
      <c r="R39" s="995">
        <v>2001240</v>
      </c>
      <c r="S39" s="995">
        <v>205920</v>
      </c>
      <c r="T39" s="995">
        <v>242640</v>
      </c>
      <c r="U39" s="995">
        <v>0</v>
      </c>
    </row>
    <row r="40" spans="1:21" ht="10" customHeight="1">
      <c r="A40" s="28" t="s">
        <v>238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</row>
    <row r="41" spans="1:21" ht="10" customHeight="1">
      <c r="A41" s="982" t="s">
        <v>194</v>
      </c>
      <c r="B41" s="365"/>
      <c r="C41" s="365"/>
      <c r="D41" s="365"/>
      <c r="E41" s="365"/>
      <c r="F41" s="365"/>
      <c r="G41" s="365"/>
      <c r="H41" s="365"/>
      <c r="I41" s="365"/>
      <c r="J41" s="365"/>
      <c r="K41" s="365"/>
      <c r="L41" s="365"/>
      <c r="M41" s="365"/>
      <c r="N41" s="365"/>
      <c r="O41" s="365"/>
      <c r="P41" s="365"/>
      <c r="Q41" s="365"/>
      <c r="R41" s="365"/>
    </row>
    <row r="42" spans="1:21" ht="10" customHeight="1">
      <c r="A42" s="40" t="s">
        <v>261</v>
      </c>
      <c r="B42" s="365"/>
      <c r="C42" s="365"/>
      <c r="D42" s="365"/>
      <c r="E42" s="365"/>
      <c r="F42" s="365"/>
      <c r="G42" s="365"/>
      <c r="H42" s="365"/>
      <c r="I42" s="365"/>
      <c r="J42" s="365"/>
      <c r="K42" s="365"/>
      <c r="L42" s="365"/>
      <c r="M42" s="365"/>
      <c r="N42" s="365"/>
      <c r="O42" s="365"/>
      <c r="P42" s="365"/>
      <c r="Q42" s="365"/>
      <c r="R42" s="365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16383" man="1"/>
  </row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Hoja124">
    <tabColor theme="9" tint="0.59999389629810485"/>
  </sheetPr>
  <dimension ref="A1:U42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7" style="141" customWidth="1"/>
    <col min="2" max="9" width="8" style="141" hidden="1" customWidth="1"/>
    <col min="10" max="10" width="0" style="141" hidden="1" customWidth="1"/>
    <col min="11" max="11" width="3.3984375" style="141" hidden="1" customWidth="1"/>
    <col min="12" max="21" width="9" style="141" customWidth="1"/>
    <col min="22" max="16384" width="7" style="141"/>
  </cols>
  <sheetData>
    <row r="1" spans="1:21" ht="13" customHeight="1">
      <c r="A1" s="1144"/>
      <c r="B1" s="1144"/>
      <c r="C1" s="1144"/>
      <c r="D1" s="1144"/>
      <c r="E1" s="1144"/>
    </row>
    <row r="2" spans="1:21" ht="13" customHeight="1">
      <c r="A2" s="512" t="s">
        <v>558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</row>
    <row r="3" spans="1:21" ht="13" customHeight="1">
      <c r="A3" s="515" t="s">
        <v>540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</row>
    <row r="4" spans="1:21" ht="4" customHeight="1" thickBot="1"/>
    <row r="5" spans="1:21" ht="15" customHeight="1">
      <c r="A5" s="945" t="s">
        <v>122</v>
      </c>
      <c r="B5" s="390">
        <v>2000</v>
      </c>
      <c r="C5" s="390">
        <v>2001</v>
      </c>
      <c r="D5" s="390">
        <v>2002</v>
      </c>
      <c r="E5" s="390">
        <v>2003</v>
      </c>
      <c r="F5" s="390">
        <v>2004</v>
      </c>
      <c r="G5" s="390">
        <v>2005</v>
      </c>
      <c r="H5" s="390">
        <v>2006</v>
      </c>
      <c r="I5" s="390">
        <v>2007</v>
      </c>
      <c r="J5" s="390">
        <v>2008</v>
      </c>
      <c r="K5" s="390">
        <v>2009</v>
      </c>
      <c r="L5" s="390">
        <v>2010</v>
      </c>
      <c r="M5" s="390">
        <v>2011</v>
      </c>
      <c r="N5" s="390">
        <v>2012</v>
      </c>
      <c r="O5" s="390">
        <v>2013</v>
      </c>
      <c r="P5" s="390">
        <v>2014</v>
      </c>
      <c r="Q5" s="390">
        <v>2015</v>
      </c>
      <c r="R5" s="390">
        <v>2016</v>
      </c>
      <c r="S5" s="343">
        <v>2017</v>
      </c>
      <c r="T5" s="343">
        <v>2018</v>
      </c>
      <c r="U5" s="977" t="s">
        <v>239</v>
      </c>
    </row>
    <row r="6" spans="1:21" ht="15" customHeight="1">
      <c r="A6" s="396" t="s">
        <v>56</v>
      </c>
      <c r="B6" s="975">
        <v>149118</v>
      </c>
      <c r="C6" s="975">
        <v>173520</v>
      </c>
      <c r="D6" s="975">
        <v>134788</v>
      </c>
      <c r="E6" s="975">
        <v>126750</v>
      </c>
      <c r="F6" s="975">
        <v>153020</v>
      </c>
      <c r="G6" s="975">
        <v>250768</v>
      </c>
      <c r="H6" s="975">
        <v>192440</v>
      </c>
      <c r="I6" s="975">
        <v>219000</v>
      </c>
      <c r="J6" s="975">
        <v>197944</v>
      </c>
      <c r="K6" s="975">
        <v>233698</v>
      </c>
      <c r="L6" s="983">
        <v>250508</v>
      </c>
      <c r="M6" s="983">
        <v>302784</v>
      </c>
      <c r="N6" s="983">
        <v>279680</v>
      </c>
      <c r="O6" s="983">
        <v>254320</v>
      </c>
      <c r="P6" s="983">
        <v>242980</v>
      </c>
      <c r="Q6" s="983">
        <v>264540</v>
      </c>
      <c r="R6" s="983">
        <v>314592</v>
      </c>
      <c r="S6" s="983">
        <v>329754</v>
      </c>
      <c r="T6" s="983">
        <f>SUM(T7:T18)</f>
        <v>337244</v>
      </c>
      <c r="U6" s="983">
        <f>SUM(U7:U18)</f>
        <v>305520</v>
      </c>
    </row>
    <row r="7" spans="1:21" ht="14" customHeight="1">
      <c r="A7" s="946" t="s">
        <v>57</v>
      </c>
      <c r="B7" s="145">
        <v>12882</v>
      </c>
      <c r="C7" s="145">
        <v>22160</v>
      </c>
      <c r="D7" s="145">
        <v>15150</v>
      </c>
      <c r="E7" s="145">
        <v>13000</v>
      </c>
      <c r="F7" s="145">
        <v>12680</v>
      </c>
      <c r="G7" s="145">
        <v>39420</v>
      </c>
      <c r="H7" s="145">
        <v>10400</v>
      </c>
      <c r="I7" s="145">
        <v>27100</v>
      </c>
      <c r="J7" s="145">
        <v>4000</v>
      </c>
      <c r="K7" s="145">
        <v>8160</v>
      </c>
      <c r="L7" s="984">
        <v>25780</v>
      </c>
      <c r="M7" s="984">
        <v>42640</v>
      </c>
      <c r="N7" s="984">
        <v>38560</v>
      </c>
      <c r="O7" s="984">
        <v>10400</v>
      </c>
      <c r="P7" s="984">
        <v>14700</v>
      </c>
      <c r="Q7" s="984">
        <v>12480</v>
      </c>
      <c r="R7" s="984">
        <v>20920</v>
      </c>
      <c r="S7" s="984">
        <v>21560</v>
      </c>
      <c r="T7" s="984">
        <v>37807</v>
      </c>
      <c r="U7" s="984">
        <v>27040</v>
      </c>
    </row>
    <row r="8" spans="1:21" ht="14" customHeight="1">
      <c r="A8" s="946" t="s">
        <v>58</v>
      </c>
      <c r="B8" s="145">
        <v>15712</v>
      </c>
      <c r="C8" s="145">
        <v>0</v>
      </c>
      <c r="D8" s="145">
        <v>8650</v>
      </c>
      <c r="E8" s="145">
        <v>5000</v>
      </c>
      <c r="F8" s="145">
        <v>7500</v>
      </c>
      <c r="G8" s="174">
        <v>8000</v>
      </c>
      <c r="H8" s="174">
        <v>28040</v>
      </c>
      <c r="I8" s="174">
        <v>3600</v>
      </c>
      <c r="J8" s="174">
        <v>17480</v>
      </c>
      <c r="K8" s="174">
        <v>13200</v>
      </c>
      <c r="L8" s="985">
        <v>25300</v>
      </c>
      <c r="M8" s="985">
        <v>18824</v>
      </c>
      <c r="N8" s="985">
        <v>17160</v>
      </c>
      <c r="O8" s="984">
        <v>29240</v>
      </c>
      <c r="P8" s="985">
        <v>33200</v>
      </c>
      <c r="Q8" s="985">
        <v>14960</v>
      </c>
      <c r="R8" s="985">
        <v>0</v>
      </c>
      <c r="S8" s="985">
        <v>19940</v>
      </c>
      <c r="T8" s="985">
        <v>7906</v>
      </c>
      <c r="U8" s="985">
        <v>13220</v>
      </c>
    </row>
    <row r="9" spans="1:21" ht="14" customHeight="1">
      <c r="A9" s="946" t="s">
        <v>59</v>
      </c>
      <c r="B9" s="145">
        <v>17171</v>
      </c>
      <c r="C9" s="145">
        <v>12000</v>
      </c>
      <c r="D9" s="145">
        <v>0</v>
      </c>
      <c r="E9" s="145">
        <v>7000</v>
      </c>
      <c r="F9" s="145">
        <v>9500</v>
      </c>
      <c r="G9" s="174">
        <v>24248</v>
      </c>
      <c r="H9" s="174">
        <v>0</v>
      </c>
      <c r="I9" s="174">
        <v>22980</v>
      </c>
      <c r="J9" s="174">
        <v>24000</v>
      </c>
      <c r="K9" s="174">
        <v>17850</v>
      </c>
      <c r="L9" s="985">
        <v>25200</v>
      </c>
      <c r="M9" s="985">
        <v>18920</v>
      </c>
      <c r="N9" s="985">
        <v>16060</v>
      </c>
      <c r="O9" s="984">
        <v>20700</v>
      </c>
      <c r="P9" s="985">
        <v>14800</v>
      </c>
      <c r="Q9" s="985">
        <v>16640</v>
      </c>
      <c r="R9" s="985">
        <v>48464</v>
      </c>
      <c r="S9" s="985">
        <v>24517</v>
      </c>
      <c r="T9" s="985">
        <v>7200</v>
      </c>
      <c r="U9" s="985">
        <v>47912</v>
      </c>
    </row>
    <row r="10" spans="1:21" ht="14" customHeight="1">
      <c r="A10" s="946" t="s">
        <v>60</v>
      </c>
      <c r="B10" s="145">
        <v>10000</v>
      </c>
      <c r="C10" s="145">
        <v>0</v>
      </c>
      <c r="D10" s="145">
        <v>15500</v>
      </c>
      <c r="E10" s="145">
        <v>18500</v>
      </c>
      <c r="F10" s="145">
        <v>9000</v>
      </c>
      <c r="G10" s="174">
        <v>31568</v>
      </c>
      <c r="H10" s="174">
        <v>33940</v>
      </c>
      <c r="I10" s="174">
        <v>29100</v>
      </c>
      <c r="J10" s="174">
        <v>41660</v>
      </c>
      <c r="K10" s="174">
        <v>15000</v>
      </c>
      <c r="L10" s="985">
        <v>11100</v>
      </c>
      <c r="M10" s="985">
        <v>37200</v>
      </c>
      <c r="N10" s="985">
        <v>18000</v>
      </c>
      <c r="O10" s="984">
        <v>10600</v>
      </c>
      <c r="P10" s="985">
        <v>32840</v>
      </c>
      <c r="Q10" s="985">
        <v>41600</v>
      </c>
      <c r="R10" s="985">
        <v>20440</v>
      </c>
      <c r="S10" s="985">
        <v>37440</v>
      </c>
      <c r="T10" s="985">
        <v>57880</v>
      </c>
      <c r="U10" s="985">
        <v>6240</v>
      </c>
    </row>
    <row r="11" spans="1:21" ht="14" customHeight="1">
      <c r="A11" s="946" t="s">
        <v>61</v>
      </c>
      <c r="B11" s="145">
        <v>9500</v>
      </c>
      <c r="C11" s="145">
        <v>22660</v>
      </c>
      <c r="D11" s="145">
        <v>13000</v>
      </c>
      <c r="E11" s="145">
        <v>0</v>
      </c>
      <c r="F11" s="145">
        <v>6760</v>
      </c>
      <c r="G11" s="174">
        <v>12200</v>
      </c>
      <c r="H11" s="174">
        <v>8120</v>
      </c>
      <c r="I11" s="174">
        <v>10000</v>
      </c>
      <c r="J11" s="174">
        <v>6000</v>
      </c>
      <c r="K11" s="174">
        <v>40656</v>
      </c>
      <c r="L11" s="985">
        <v>12200</v>
      </c>
      <c r="M11" s="985">
        <v>25520</v>
      </c>
      <c r="N11" s="985">
        <v>32920</v>
      </c>
      <c r="O11" s="984">
        <v>42600</v>
      </c>
      <c r="P11" s="985">
        <v>9920</v>
      </c>
      <c r="Q11" s="985">
        <v>0</v>
      </c>
      <c r="R11" s="985">
        <v>49080</v>
      </c>
      <c r="S11" s="985">
        <v>26060</v>
      </c>
      <c r="T11" s="985">
        <v>38736</v>
      </c>
      <c r="U11" s="985">
        <v>50160</v>
      </c>
    </row>
    <row r="12" spans="1:21" ht="14" customHeight="1">
      <c r="A12" s="946" t="s">
        <v>62</v>
      </c>
      <c r="B12" s="145">
        <v>17795</v>
      </c>
      <c r="C12" s="145">
        <v>19000</v>
      </c>
      <c r="D12" s="145">
        <v>5000</v>
      </c>
      <c r="E12" s="145">
        <v>25100</v>
      </c>
      <c r="F12" s="145">
        <v>15000</v>
      </c>
      <c r="G12" s="174">
        <v>12800</v>
      </c>
      <c r="H12" s="174">
        <v>7000</v>
      </c>
      <c r="I12" s="174">
        <v>11480</v>
      </c>
      <c r="J12" s="174">
        <v>17904</v>
      </c>
      <c r="K12" s="174">
        <v>21032</v>
      </c>
      <c r="L12" s="985">
        <v>13520</v>
      </c>
      <c r="M12" s="985">
        <v>0</v>
      </c>
      <c r="N12" s="985">
        <v>24520</v>
      </c>
      <c r="O12" s="984">
        <v>18540</v>
      </c>
      <c r="P12" s="985">
        <v>33780</v>
      </c>
      <c r="Q12" s="985">
        <v>46400</v>
      </c>
      <c r="R12" s="985">
        <v>6240</v>
      </c>
      <c r="S12" s="985">
        <v>0</v>
      </c>
      <c r="T12" s="985">
        <v>17480</v>
      </c>
      <c r="U12" s="985">
        <v>27040</v>
      </c>
    </row>
    <row r="13" spans="1:21" ht="14" customHeight="1">
      <c r="A13" s="946" t="s">
        <v>63</v>
      </c>
      <c r="B13" s="145">
        <v>23824</v>
      </c>
      <c r="C13" s="145">
        <v>10600</v>
      </c>
      <c r="D13" s="145">
        <v>12064</v>
      </c>
      <c r="E13" s="145">
        <v>12000</v>
      </c>
      <c r="F13" s="145">
        <v>22000</v>
      </c>
      <c r="G13" s="174">
        <v>8000</v>
      </c>
      <c r="H13" s="174">
        <v>17980</v>
      </c>
      <c r="I13" s="174">
        <v>14500</v>
      </c>
      <c r="J13" s="174">
        <v>8320</v>
      </c>
      <c r="K13" s="174">
        <v>23900</v>
      </c>
      <c r="L13" s="985">
        <v>21964</v>
      </c>
      <c r="M13" s="985">
        <v>56920</v>
      </c>
      <c r="N13" s="985">
        <v>46720</v>
      </c>
      <c r="O13" s="984">
        <v>11600</v>
      </c>
      <c r="P13" s="985">
        <v>12500</v>
      </c>
      <c r="Q13" s="985">
        <v>19680</v>
      </c>
      <c r="R13" s="985">
        <v>43280</v>
      </c>
      <c r="S13" s="985">
        <v>10640</v>
      </c>
      <c r="T13" s="985">
        <v>16700</v>
      </c>
      <c r="U13" s="985">
        <v>10480</v>
      </c>
    </row>
    <row r="14" spans="1:21" ht="14" customHeight="1">
      <c r="A14" s="946" t="s">
        <v>64</v>
      </c>
      <c r="B14" s="145">
        <v>3000</v>
      </c>
      <c r="C14" s="145">
        <v>21944</v>
      </c>
      <c r="D14" s="145">
        <v>15240</v>
      </c>
      <c r="E14" s="145">
        <v>6000</v>
      </c>
      <c r="F14" s="145">
        <v>2500</v>
      </c>
      <c r="G14" s="174">
        <v>37000</v>
      </c>
      <c r="H14" s="174">
        <v>10000</v>
      </c>
      <c r="I14" s="174">
        <v>28200</v>
      </c>
      <c r="J14" s="174">
        <v>32200</v>
      </c>
      <c r="K14" s="174">
        <v>23220</v>
      </c>
      <c r="L14" s="985">
        <v>8000</v>
      </c>
      <c r="M14" s="985">
        <v>23000</v>
      </c>
      <c r="N14" s="985">
        <v>11680</v>
      </c>
      <c r="O14" s="984">
        <v>25900</v>
      </c>
      <c r="P14" s="985">
        <v>10400</v>
      </c>
      <c r="Q14" s="985">
        <v>37800</v>
      </c>
      <c r="R14" s="985">
        <v>34344</v>
      </c>
      <c r="S14" s="985">
        <v>66980</v>
      </c>
      <c r="T14" s="985">
        <v>52200</v>
      </c>
      <c r="U14" s="985">
        <v>21760</v>
      </c>
    </row>
    <row r="15" spans="1:21" ht="14" customHeight="1">
      <c r="A15" s="946" t="s">
        <v>65</v>
      </c>
      <c r="B15" s="145">
        <v>10000</v>
      </c>
      <c r="C15" s="145">
        <v>7623</v>
      </c>
      <c r="D15" s="145">
        <v>3000</v>
      </c>
      <c r="E15" s="145">
        <v>14000</v>
      </c>
      <c r="F15" s="145">
        <v>15000</v>
      </c>
      <c r="G15" s="174">
        <v>18000</v>
      </c>
      <c r="H15" s="174">
        <v>31000</v>
      </c>
      <c r="I15" s="174">
        <v>11480</v>
      </c>
      <c r="J15" s="174">
        <v>4500</v>
      </c>
      <c r="K15" s="174">
        <v>11920</v>
      </c>
      <c r="L15" s="985">
        <v>42380</v>
      </c>
      <c r="M15" s="985">
        <v>5500</v>
      </c>
      <c r="N15" s="985">
        <v>14560</v>
      </c>
      <c r="O15" s="984">
        <v>10500</v>
      </c>
      <c r="P15" s="985">
        <v>14080</v>
      </c>
      <c r="Q15" s="985">
        <v>51140</v>
      </c>
      <c r="R15" s="985">
        <v>40384</v>
      </c>
      <c r="S15" s="985">
        <v>29516</v>
      </c>
      <c r="T15" s="985">
        <v>27452</v>
      </c>
      <c r="U15" s="985">
        <v>49108</v>
      </c>
    </row>
    <row r="16" spans="1:21" ht="14" customHeight="1">
      <c r="A16" s="946" t="s">
        <v>66</v>
      </c>
      <c r="B16" s="145">
        <v>13500</v>
      </c>
      <c r="C16" s="145">
        <v>40064</v>
      </c>
      <c r="D16" s="145">
        <v>24684</v>
      </c>
      <c r="E16" s="145">
        <v>17650</v>
      </c>
      <c r="F16" s="145">
        <v>26140</v>
      </c>
      <c r="G16" s="174">
        <v>15832</v>
      </c>
      <c r="H16" s="174">
        <v>16480</v>
      </c>
      <c r="I16" s="174">
        <v>12240</v>
      </c>
      <c r="J16" s="174">
        <v>14500</v>
      </c>
      <c r="K16" s="174">
        <v>16640</v>
      </c>
      <c r="L16" s="985">
        <v>0</v>
      </c>
      <c r="M16" s="985">
        <v>29200</v>
      </c>
      <c r="N16" s="985">
        <v>9580</v>
      </c>
      <c r="O16" s="984">
        <v>26160</v>
      </c>
      <c r="P16" s="985">
        <v>22880</v>
      </c>
      <c r="Q16" s="985">
        <v>0</v>
      </c>
      <c r="R16" s="985">
        <v>0</v>
      </c>
      <c r="S16" s="985">
        <v>34240</v>
      </c>
      <c r="T16" s="985">
        <v>2000</v>
      </c>
      <c r="U16" s="985">
        <v>22880</v>
      </c>
    </row>
    <row r="17" spans="1:21" ht="14" customHeight="1">
      <c r="A17" s="946" t="s">
        <v>67</v>
      </c>
      <c r="B17" s="145">
        <v>6240</v>
      </c>
      <c r="C17" s="145">
        <v>11000</v>
      </c>
      <c r="D17" s="145">
        <v>9000</v>
      </c>
      <c r="E17" s="145">
        <v>6000</v>
      </c>
      <c r="F17" s="145">
        <v>7120</v>
      </c>
      <c r="G17" s="174">
        <v>6200</v>
      </c>
      <c r="H17" s="174">
        <v>5000</v>
      </c>
      <c r="I17" s="174">
        <v>13620</v>
      </c>
      <c r="J17" s="174">
        <v>16380</v>
      </c>
      <c r="K17" s="174">
        <v>15360</v>
      </c>
      <c r="L17" s="985">
        <v>25400</v>
      </c>
      <c r="M17" s="985">
        <v>21220</v>
      </c>
      <c r="N17" s="985">
        <v>42640</v>
      </c>
      <c r="O17" s="984">
        <v>19640</v>
      </c>
      <c r="P17" s="985">
        <v>6240</v>
      </c>
      <c r="Q17" s="985">
        <v>17600</v>
      </c>
      <c r="R17" s="985">
        <v>8840</v>
      </c>
      <c r="S17" s="985">
        <v>47101</v>
      </c>
      <c r="T17" s="985">
        <v>56163</v>
      </c>
      <c r="U17" s="985">
        <v>23440</v>
      </c>
    </row>
    <row r="18" spans="1:21" ht="14" customHeight="1" thickBot="1">
      <c r="A18" s="147" t="s">
        <v>68</v>
      </c>
      <c r="B18" s="175">
        <v>9494</v>
      </c>
      <c r="C18" s="175">
        <v>6469</v>
      </c>
      <c r="D18" s="175">
        <v>13500</v>
      </c>
      <c r="E18" s="175">
        <v>2500</v>
      </c>
      <c r="F18" s="175">
        <v>19820</v>
      </c>
      <c r="G18" s="175">
        <v>37500</v>
      </c>
      <c r="H18" s="175">
        <v>24480</v>
      </c>
      <c r="I18" s="175">
        <v>34700</v>
      </c>
      <c r="J18" s="175">
        <v>11000</v>
      </c>
      <c r="K18" s="175">
        <v>26760</v>
      </c>
      <c r="L18" s="986">
        <v>39664</v>
      </c>
      <c r="M18" s="986">
        <v>23840</v>
      </c>
      <c r="N18" s="986">
        <v>7280</v>
      </c>
      <c r="O18" s="986">
        <v>28440</v>
      </c>
      <c r="P18" s="986">
        <v>37640</v>
      </c>
      <c r="Q18" s="986">
        <v>6240</v>
      </c>
      <c r="R18" s="986">
        <v>42600</v>
      </c>
      <c r="S18" s="986">
        <v>11760</v>
      </c>
      <c r="T18" s="986">
        <v>15720</v>
      </c>
      <c r="U18" s="986">
        <v>6240</v>
      </c>
    </row>
    <row r="19" spans="1:21" ht="10" customHeight="1">
      <c r="A19" s="28" t="s">
        <v>238</v>
      </c>
      <c r="B19" s="365"/>
      <c r="C19" s="365"/>
      <c r="D19" s="365"/>
      <c r="E19" s="365"/>
      <c r="F19" s="365"/>
      <c r="G19" s="365"/>
      <c r="H19" s="365"/>
      <c r="I19" s="365"/>
      <c r="J19" s="365"/>
      <c r="K19" s="365"/>
      <c r="L19" s="365"/>
      <c r="M19" s="365"/>
      <c r="N19" s="365"/>
      <c r="O19" s="365"/>
      <c r="P19" s="365"/>
    </row>
    <row r="20" spans="1:21" ht="10" customHeight="1">
      <c r="A20" s="982" t="s">
        <v>194</v>
      </c>
      <c r="B20" s="365"/>
      <c r="C20" s="365"/>
      <c r="D20" s="365"/>
      <c r="E20" s="365"/>
      <c r="F20" s="365"/>
      <c r="G20" s="365"/>
      <c r="H20" s="365"/>
      <c r="I20" s="365"/>
      <c r="J20" s="365"/>
      <c r="K20" s="365"/>
      <c r="L20" s="365"/>
      <c r="M20" s="365"/>
      <c r="N20" s="365"/>
      <c r="O20" s="365"/>
      <c r="P20" s="365"/>
    </row>
    <row r="21" spans="1:21" ht="10" customHeight="1">
      <c r="A21" s="40" t="s">
        <v>261</v>
      </c>
      <c r="B21" s="365"/>
      <c r="C21" s="365"/>
      <c r="D21" s="365"/>
      <c r="E21" s="365"/>
      <c r="F21" s="365"/>
      <c r="G21" s="365"/>
      <c r="H21" s="365"/>
      <c r="I21" s="365"/>
      <c r="J21" s="365"/>
      <c r="K21" s="365"/>
      <c r="L21" s="365"/>
      <c r="M21" s="365"/>
      <c r="N21" s="365"/>
      <c r="O21" s="365"/>
      <c r="P21" s="365"/>
    </row>
    <row r="23" spans="1:21" ht="13" customHeight="1">
      <c r="A23" s="512" t="s">
        <v>559</v>
      </c>
    </row>
    <row r="24" spans="1:21" ht="13" customHeight="1">
      <c r="A24" s="515" t="s">
        <v>540</v>
      </c>
    </row>
    <row r="25" spans="1:21" ht="4" customHeight="1" thickBot="1"/>
    <row r="26" spans="1:21" ht="15" customHeight="1">
      <c r="A26" s="945" t="s">
        <v>122</v>
      </c>
      <c r="B26" s="390">
        <v>2000</v>
      </c>
      <c r="C26" s="390">
        <v>2001</v>
      </c>
      <c r="D26" s="390">
        <v>2002</v>
      </c>
      <c r="E26" s="390">
        <v>2003</v>
      </c>
      <c r="F26" s="390">
        <v>2004</v>
      </c>
      <c r="G26" s="390">
        <v>2005</v>
      </c>
      <c r="H26" s="390">
        <v>2006</v>
      </c>
      <c r="I26" s="390">
        <v>2007</v>
      </c>
      <c r="J26" s="390">
        <v>2008</v>
      </c>
      <c r="K26" s="390">
        <v>2009</v>
      </c>
      <c r="L26" s="390">
        <v>2010</v>
      </c>
      <c r="M26" s="390">
        <v>2011</v>
      </c>
      <c r="N26" s="390">
        <v>2012</v>
      </c>
      <c r="O26" s="390">
        <v>2013</v>
      </c>
      <c r="P26" s="390">
        <v>2014</v>
      </c>
      <c r="Q26" s="390">
        <v>2015</v>
      </c>
      <c r="R26" s="390">
        <v>2016</v>
      </c>
      <c r="S26" s="343">
        <v>2017</v>
      </c>
      <c r="T26" s="343">
        <v>2018</v>
      </c>
      <c r="U26" s="977" t="s">
        <v>239</v>
      </c>
    </row>
    <row r="27" spans="1:21" ht="15" customHeight="1">
      <c r="A27" s="396" t="s">
        <v>56</v>
      </c>
      <c r="B27" s="975">
        <v>156413</v>
      </c>
      <c r="C27" s="975">
        <v>173520</v>
      </c>
      <c r="D27" s="975">
        <v>134788</v>
      </c>
      <c r="E27" s="975">
        <v>126750</v>
      </c>
      <c r="F27" s="975">
        <v>153020</v>
      </c>
      <c r="G27" s="975">
        <v>250768</v>
      </c>
      <c r="H27" s="975">
        <v>192440</v>
      </c>
      <c r="I27" s="975">
        <v>219000</v>
      </c>
      <c r="J27" s="975">
        <v>197944</v>
      </c>
      <c r="K27" s="975">
        <v>233698</v>
      </c>
      <c r="L27" s="983">
        <v>250508</v>
      </c>
      <c r="M27" s="983">
        <v>302784</v>
      </c>
      <c r="N27" s="983">
        <v>279680</v>
      </c>
      <c r="O27" s="983">
        <v>254320</v>
      </c>
      <c r="P27" s="983">
        <v>242980</v>
      </c>
      <c r="Q27" s="983">
        <v>264540</v>
      </c>
      <c r="R27" s="983">
        <v>314592</v>
      </c>
      <c r="S27" s="983">
        <v>329754</v>
      </c>
      <c r="T27" s="983">
        <f>SUM(T28:T39)</f>
        <v>337244</v>
      </c>
      <c r="U27" s="983">
        <f>SUM(U28:U39)</f>
        <v>305520</v>
      </c>
    </row>
    <row r="28" spans="1:21" ht="14" customHeight="1">
      <c r="A28" s="946" t="s">
        <v>57</v>
      </c>
      <c r="B28" s="174">
        <v>12882</v>
      </c>
      <c r="C28" s="174">
        <v>22160</v>
      </c>
      <c r="D28" s="174">
        <v>15150</v>
      </c>
      <c r="E28" s="174">
        <v>13000</v>
      </c>
      <c r="F28" s="174">
        <v>12680</v>
      </c>
      <c r="G28" s="145">
        <v>39420</v>
      </c>
      <c r="H28" s="145">
        <v>10400</v>
      </c>
      <c r="I28" s="145">
        <v>27100</v>
      </c>
      <c r="J28" s="145">
        <v>4000</v>
      </c>
      <c r="K28" s="145">
        <v>8160</v>
      </c>
      <c r="L28" s="984">
        <v>25780</v>
      </c>
      <c r="M28" s="984">
        <v>42640</v>
      </c>
      <c r="N28" s="984">
        <v>38560</v>
      </c>
      <c r="O28" s="984">
        <v>10400</v>
      </c>
      <c r="P28" s="984">
        <v>14700</v>
      </c>
      <c r="Q28" s="984">
        <v>12480</v>
      </c>
      <c r="R28" s="984">
        <v>20920</v>
      </c>
      <c r="S28" s="984">
        <v>21560</v>
      </c>
      <c r="T28" s="984">
        <v>37807</v>
      </c>
      <c r="U28" s="984">
        <v>27040</v>
      </c>
    </row>
    <row r="29" spans="1:21" ht="14" customHeight="1">
      <c r="A29" s="946" t="s">
        <v>58</v>
      </c>
      <c r="B29" s="174">
        <v>15712</v>
      </c>
      <c r="C29" s="174">
        <v>0</v>
      </c>
      <c r="D29" s="174">
        <v>8650</v>
      </c>
      <c r="E29" s="174">
        <v>5000</v>
      </c>
      <c r="F29" s="174">
        <v>7500</v>
      </c>
      <c r="G29" s="174">
        <v>8000</v>
      </c>
      <c r="H29" s="174">
        <v>28040</v>
      </c>
      <c r="I29" s="174">
        <v>3600</v>
      </c>
      <c r="J29" s="174">
        <v>17480</v>
      </c>
      <c r="K29" s="174">
        <v>13200</v>
      </c>
      <c r="L29" s="985">
        <v>25300</v>
      </c>
      <c r="M29" s="985">
        <v>18824</v>
      </c>
      <c r="N29" s="985">
        <v>17160</v>
      </c>
      <c r="O29" s="985">
        <v>29240</v>
      </c>
      <c r="P29" s="985">
        <v>33200</v>
      </c>
      <c r="Q29" s="985">
        <v>14960</v>
      </c>
      <c r="R29" s="985">
        <v>0</v>
      </c>
      <c r="S29" s="985">
        <v>19940</v>
      </c>
      <c r="T29" s="985">
        <v>7906</v>
      </c>
      <c r="U29" s="985">
        <v>13220</v>
      </c>
    </row>
    <row r="30" spans="1:21" ht="14" customHeight="1">
      <c r="A30" s="946" t="s">
        <v>59</v>
      </c>
      <c r="B30" s="174">
        <v>18246</v>
      </c>
      <c r="C30" s="174">
        <v>12000</v>
      </c>
      <c r="D30" s="174">
        <v>0</v>
      </c>
      <c r="E30" s="174">
        <v>7000</v>
      </c>
      <c r="F30" s="174">
        <v>9500</v>
      </c>
      <c r="G30" s="174">
        <v>24248</v>
      </c>
      <c r="H30" s="174">
        <v>0</v>
      </c>
      <c r="I30" s="174">
        <v>22980</v>
      </c>
      <c r="J30" s="174">
        <v>24000</v>
      </c>
      <c r="K30" s="174">
        <v>17850</v>
      </c>
      <c r="L30" s="985">
        <v>25200</v>
      </c>
      <c r="M30" s="985">
        <v>18920</v>
      </c>
      <c r="N30" s="985">
        <v>16060</v>
      </c>
      <c r="O30" s="985">
        <v>20700</v>
      </c>
      <c r="P30" s="985">
        <v>14800</v>
      </c>
      <c r="Q30" s="985">
        <v>16640</v>
      </c>
      <c r="R30" s="985">
        <v>48464</v>
      </c>
      <c r="S30" s="985">
        <v>24517</v>
      </c>
      <c r="T30" s="985">
        <v>7200</v>
      </c>
      <c r="U30" s="985">
        <v>47912</v>
      </c>
    </row>
    <row r="31" spans="1:21" ht="14" customHeight="1">
      <c r="A31" s="946" t="s">
        <v>60</v>
      </c>
      <c r="B31" s="174">
        <v>12110</v>
      </c>
      <c r="C31" s="174">
        <v>0</v>
      </c>
      <c r="D31" s="174">
        <v>15500</v>
      </c>
      <c r="E31" s="174">
        <v>18500</v>
      </c>
      <c r="F31" s="174">
        <v>9000</v>
      </c>
      <c r="G31" s="174">
        <v>31568</v>
      </c>
      <c r="H31" s="174">
        <v>33940</v>
      </c>
      <c r="I31" s="174">
        <v>29100</v>
      </c>
      <c r="J31" s="174">
        <v>41660</v>
      </c>
      <c r="K31" s="174">
        <v>15000</v>
      </c>
      <c r="L31" s="985">
        <v>11100</v>
      </c>
      <c r="M31" s="985">
        <v>37200</v>
      </c>
      <c r="N31" s="985">
        <v>18000</v>
      </c>
      <c r="O31" s="985">
        <v>10600</v>
      </c>
      <c r="P31" s="985">
        <v>32840</v>
      </c>
      <c r="Q31" s="985">
        <v>41600</v>
      </c>
      <c r="R31" s="985">
        <v>20440</v>
      </c>
      <c r="S31" s="985">
        <v>37440</v>
      </c>
      <c r="T31" s="985">
        <v>57880</v>
      </c>
      <c r="U31" s="985">
        <v>6240</v>
      </c>
    </row>
    <row r="32" spans="1:21" ht="14" customHeight="1">
      <c r="A32" s="946" t="s">
        <v>61</v>
      </c>
      <c r="B32" s="174">
        <v>12340</v>
      </c>
      <c r="C32" s="174">
        <v>22660</v>
      </c>
      <c r="D32" s="174">
        <v>13000</v>
      </c>
      <c r="E32" s="174">
        <v>0</v>
      </c>
      <c r="F32" s="174">
        <v>6760</v>
      </c>
      <c r="G32" s="174">
        <v>12200</v>
      </c>
      <c r="H32" s="174">
        <v>8120</v>
      </c>
      <c r="I32" s="174">
        <v>10000</v>
      </c>
      <c r="J32" s="174">
        <v>6000</v>
      </c>
      <c r="K32" s="174">
        <v>40656</v>
      </c>
      <c r="L32" s="985">
        <v>12200</v>
      </c>
      <c r="M32" s="985">
        <v>25520</v>
      </c>
      <c r="N32" s="985">
        <v>32920</v>
      </c>
      <c r="O32" s="985">
        <v>42600</v>
      </c>
      <c r="P32" s="985">
        <v>9920</v>
      </c>
      <c r="Q32" s="985">
        <v>0</v>
      </c>
      <c r="R32" s="985">
        <v>49080</v>
      </c>
      <c r="S32" s="985">
        <v>26060</v>
      </c>
      <c r="T32" s="985">
        <v>38736</v>
      </c>
      <c r="U32" s="985">
        <v>50160</v>
      </c>
    </row>
    <row r="33" spans="1:21" ht="14" customHeight="1">
      <c r="A33" s="946" t="s">
        <v>62</v>
      </c>
      <c r="B33" s="174">
        <v>18315</v>
      </c>
      <c r="C33" s="174">
        <v>19000</v>
      </c>
      <c r="D33" s="174">
        <v>5000</v>
      </c>
      <c r="E33" s="174">
        <v>25100</v>
      </c>
      <c r="F33" s="174">
        <v>15000</v>
      </c>
      <c r="G33" s="174">
        <v>12800</v>
      </c>
      <c r="H33" s="174">
        <v>7000</v>
      </c>
      <c r="I33" s="174">
        <v>11480</v>
      </c>
      <c r="J33" s="174">
        <v>17904</v>
      </c>
      <c r="K33" s="174">
        <v>21032</v>
      </c>
      <c r="L33" s="985">
        <v>13520</v>
      </c>
      <c r="M33" s="985">
        <v>0</v>
      </c>
      <c r="N33" s="985">
        <v>24520</v>
      </c>
      <c r="O33" s="985">
        <v>18540</v>
      </c>
      <c r="P33" s="985">
        <v>33780</v>
      </c>
      <c r="Q33" s="985">
        <v>46400</v>
      </c>
      <c r="R33" s="985">
        <v>6240</v>
      </c>
      <c r="S33" s="985">
        <v>0</v>
      </c>
      <c r="T33" s="985">
        <v>17480</v>
      </c>
      <c r="U33" s="985">
        <v>27040</v>
      </c>
    </row>
    <row r="34" spans="1:21" ht="14" customHeight="1">
      <c r="A34" s="946" t="s">
        <v>63</v>
      </c>
      <c r="B34" s="174">
        <v>24574</v>
      </c>
      <c r="C34" s="174">
        <v>10600</v>
      </c>
      <c r="D34" s="174">
        <v>12064</v>
      </c>
      <c r="E34" s="174">
        <v>12000</v>
      </c>
      <c r="F34" s="174">
        <v>22000</v>
      </c>
      <c r="G34" s="174">
        <v>8000</v>
      </c>
      <c r="H34" s="174">
        <v>17980</v>
      </c>
      <c r="I34" s="174">
        <v>14500</v>
      </c>
      <c r="J34" s="174">
        <v>8320</v>
      </c>
      <c r="K34" s="174">
        <v>23900</v>
      </c>
      <c r="L34" s="985">
        <v>21964</v>
      </c>
      <c r="M34" s="985">
        <v>56920</v>
      </c>
      <c r="N34" s="985">
        <v>46720</v>
      </c>
      <c r="O34" s="985">
        <v>11600</v>
      </c>
      <c r="P34" s="985">
        <v>12500</v>
      </c>
      <c r="Q34" s="985">
        <v>19680</v>
      </c>
      <c r="R34" s="985">
        <v>43280</v>
      </c>
      <c r="S34" s="985">
        <v>10640</v>
      </c>
      <c r="T34" s="985">
        <v>16700</v>
      </c>
      <c r="U34" s="985">
        <v>10480</v>
      </c>
    </row>
    <row r="35" spans="1:21" ht="14" customHeight="1">
      <c r="A35" s="946" t="s">
        <v>64</v>
      </c>
      <c r="B35" s="174">
        <v>3000</v>
      </c>
      <c r="C35" s="174">
        <v>21944</v>
      </c>
      <c r="D35" s="174">
        <v>15240</v>
      </c>
      <c r="E35" s="174">
        <v>6000</v>
      </c>
      <c r="F35" s="174">
        <v>2500</v>
      </c>
      <c r="G35" s="174">
        <v>37000</v>
      </c>
      <c r="H35" s="174">
        <v>10000</v>
      </c>
      <c r="I35" s="174">
        <v>28200</v>
      </c>
      <c r="J35" s="174">
        <v>32200</v>
      </c>
      <c r="K35" s="174">
        <v>23220</v>
      </c>
      <c r="L35" s="985">
        <v>8000</v>
      </c>
      <c r="M35" s="985">
        <v>23000</v>
      </c>
      <c r="N35" s="985">
        <v>11680</v>
      </c>
      <c r="O35" s="985">
        <v>25900</v>
      </c>
      <c r="P35" s="985">
        <v>10400</v>
      </c>
      <c r="Q35" s="985">
        <v>37800</v>
      </c>
      <c r="R35" s="985">
        <v>34344</v>
      </c>
      <c r="S35" s="985">
        <v>66980</v>
      </c>
      <c r="T35" s="985">
        <v>52200</v>
      </c>
      <c r="U35" s="985">
        <v>21760</v>
      </c>
    </row>
    <row r="36" spans="1:21" ht="14" customHeight="1">
      <c r="A36" s="946" t="s">
        <v>65</v>
      </c>
      <c r="B36" s="174">
        <v>10000</v>
      </c>
      <c r="C36" s="174">
        <v>7623</v>
      </c>
      <c r="D36" s="174">
        <v>3000</v>
      </c>
      <c r="E36" s="174">
        <v>14000</v>
      </c>
      <c r="F36" s="174">
        <v>15000</v>
      </c>
      <c r="G36" s="174">
        <v>18000</v>
      </c>
      <c r="H36" s="174">
        <v>31000</v>
      </c>
      <c r="I36" s="174">
        <v>11480</v>
      </c>
      <c r="J36" s="174">
        <v>4500</v>
      </c>
      <c r="K36" s="174">
        <v>11920</v>
      </c>
      <c r="L36" s="985">
        <v>42380</v>
      </c>
      <c r="M36" s="985">
        <v>5500</v>
      </c>
      <c r="N36" s="985">
        <v>14560</v>
      </c>
      <c r="O36" s="985">
        <v>10500</v>
      </c>
      <c r="P36" s="985">
        <v>14080</v>
      </c>
      <c r="Q36" s="985">
        <v>51140</v>
      </c>
      <c r="R36" s="985">
        <v>40384</v>
      </c>
      <c r="S36" s="985">
        <v>29516</v>
      </c>
      <c r="T36" s="985">
        <v>27452</v>
      </c>
      <c r="U36" s="985">
        <v>49108</v>
      </c>
    </row>
    <row r="37" spans="1:21" ht="14" customHeight="1">
      <c r="A37" s="946" t="s">
        <v>66</v>
      </c>
      <c r="B37" s="174">
        <v>13500</v>
      </c>
      <c r="C37" s="174">
        <v>40064</v>
      </c>
      <c r="D37" s="174">
        <v>24684</v>
      </c>
      <c r="E37" s="174">
        <v>17650</v>
      </c>
      <c r="F37" s="174">
        <v>26140</v>
      </c>
      <c r="G37" s="174">
        <v>15832</v>
      </c>
      <c r="H37" s="174">
        <v>16480</v>
      </c>
      <c r="I37" s="174">
        <v>12240</v>
      </c>
      <c r="J37" s="174">
        <v>14500</v>
      </c>
      <c r="K37" s="174">
        <v>16640</v>
      </c>
      <c r="L37" s="985">
        <v>0</v>
      </c>
      <c r="M37" s="985">
        <v>29200</v>
      </c>
      <c r="N37" s="985">
        <v>9580</v>
      </c>
      <c r="O37" s="985">
        <v>26160</v>
      </c>
      <c r="P37" s="985">
        <v>22880</v>
      </c>
      <c r="Q37" s="985">
        <v>0</v>
      </c>
      <c r="R37" s="985">
        <v>0</v>
      </c>
      <c r="S37" s="985">
        <v>34240</v>
      </c>
      <c r="T37" s="985">
        <v>2000</v>
      </c>
      <c r="U37" s="985">
        <v>22880</v>
      </c>
    </row>
    <row r="38" spans="1:21" ht="14" customHeight="1">
      <c r="A38" s="946" t="s">
        <v>67</v>
      </c>
      <c r="B38" s="174">
        <v>6240</v>
      </c>
      <c r="C38" s="174">
        <v>11000</v>
      </c>
      <c r="D38" s="174">
        <v>9000</v>
      </c>
      <c r="E38" s="174">
        <v>6000</v>
      </c>
      <c r="F38" s="174">
        <v>7120</v>
      </c>
      <c r="G38" s="174">
        <v>6200</v>
      </c>
      <c r="H38" s="174">
        <v>5000</v>
      </c>
      <c r="I38" s="174">
        <v>13620</v>
      </c>
      <c r="J38" s="174">
        <v>16380</v>
      </c>
      <c r="K38" s="174">
        <v>15360</v>
      </c>
      <c r="L38" s="985">
        <v>25400</v>
      </c>
      <c r="M38" s="985">
        <v>21220</v>
      </c>
      <c r="N38" s="985">
        <v>42640</v>
      </c>
      <c r="O38" s="985">
        <v>19640</v>
      </c>
      <c r="P38" s="985">
        <v>6240</v>
      </c>
      <c r="Q38" s="985">
        <v>17600</v>
      </c>
      <c r="R38" s="985">
        <v>8840</v>
      </c>
      <c r="S38" s="985">
        <v>47101</v>
      </c>
      <c r="T38" s="985">
        <v>56163</v>
      </c>
      <c r="U38" s="985">
        <v>23440</v>
      </c>
    </row>
    <row r="39" spans="1:21" ht="14" customHeight="1" thickBot="1">
      <c r="A39" s="147" t="s">
        <v>68</v>
      </c>
      <c r="B39" s="175">
        <v>9494</v>
      </c>
      <c r="C39" s="175">
        <v>6469</v>
      </c>
      <c r="D39" s="175">
        <v>13500</v>
      </c>
      <c r="E39" s="175">
        <v>2500</v>
      </c>
      <c r="F39" s="175">
        <v>19820</v>
      </c>
      <c r="G39" s="175">
        <v>37500</v>
      </c>
      <c r="H39" s="175">
        <v>24480</v>
      </c>
      <c r="I39" s="175">
        <v>34700</v>
      </c>
      <c r="J39" s="175">
        <v>11000</v>
      </c>
      <c r="K39" s="175">
        <v>26760</v>
      </c>
      <c r="L39" s="986">
        <v>39664</v>
      </c>
      <c r="M39" s="986">
        <v>23840</v>
      </c>
      <c r="N39" s="986">
        <v>7280</v>
      </c>
      <c r="O39" s="986">
        <v>28440</v>
      </c>
      <c r="P39" s="986">
        <v>37640</v>
      </c>
      <c r="Q39" s="986">
        <v>6240</v>
      </c>
      <c r="R39" s="986">
        <v>42600</v>
      </c>
      <c r="S39" s="986">
        <v>11760</v>
      </c>
      <c r="T39" s="986">
        <v>15720</v>
      </c>
      <c r="U39" s="986">
        <v>6240</v>
      </c>
    </row>
    <row r="40" spans="1:21" ht="10" customHeight="1">
      <c r="A40" s="28" t="s">
        <v>238</v>
      </c>
      <c r="B40" s="363"/>
      <c r="C40" s="363"/>
      <c r="D40" s="363"/>
      <c r="E40" s="363"/>
      <c r="F40" s="363"/>
      <c r="G40" s="363"/>
      <c r="H40" s="363"/>
      <c r="I40" s="363"/>
      <c r="J40" s="363"/>
      <c r="K40" s="363"/>
      <c r="L40" s="363"/>
      <c r="M40" s="363"/>
      <c r="N40" s="363"/>
      <c r="O40" s="363"/>
      <c r="P40" s="363"/>
      <c r="Q40" s="363"/>
      <c r="R40" s="363"/>
      <c r="S40" s="174"/>
      <c r="T40" s="174"/>
      <c r="U40" s="174"/>
    </row>
    <row r="41" spans="1:21" ht="10" customHeight="1">
      <c r="A41" s="982" t="s">
        <v>194</v>
      </c>
      <c r="B41" s="365"/>
      <c r="C41" s="365"/>
      <c r="D41" s="365"/>
      <c r="E41" s="365"/>
      <c r="F41" s="365"/>
      <c r="G41" s="365"/>
      <c r="H41" s="365"/>
      <c r="I41" s="365"/>
      <c r="J41" s="365"/>
      <c r="K41" s="365"/>
      <c r="L41" s="365"/>
      <c r="M41" s="365"/>
      <c r="N41" s="365"/>
      <c r="O41" s="365"/>
      <c r="P41" s="365"/>
      <c r="Q41" s="365"/>
      <c r="R41" s="365"/>
    </row>
    <row r="42" spans="1:21" ht="10" customHeight="1">
      <c r="A42" s="40" t="s">
        <v>261</v>
      </c>
      <c r="B42" s="365"/>
      <c r="C42" s="365"/>
      <c r="D42" s="365"/>
      <c r="E42" s="365"/>
      <c r="F42" s="365"/>
      <c r="G42" s="365"/>
      <c r="H42" s="365"/>
      <c r="I42" s="365"/>
      <c r="J42" s="365"/>
      <c r="K42" s="365"/>
      <c r="L42" s="365"/>
      <c r="M42" s="365"/>
      <c r="N42" s="365"/>
      <c r="O42" s="365"/>
      <c r="P42" s="365"/>
      <c r="Q42" s="365"/>
      <c r="R42" s="365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20" man="1"/>
  </row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Hoja125">
    <tabColor theme="9" tint="0.59999389629810485"/>
  </sheetPr>
  <dimension ref="A1:U42"/>
  <sheetViews>
    <sheetView showGridLines="0" zoomScaleNormal="100" workbookViewId="0">
      <selection activeCell="A3" sqref="A3"/>
    </sheetView>
  </sheetViews>
  <sheetFormatPr baseColWidth="10" defaultColWidth="7" defaultRowHeight="13" customHeight="1"/>
  <cols>
    <col min="1" max="1" width="7" style="141" customWidth="1"/>
    <col min="2" max="9" width="8" style="141" hidden="1" customWidth="1"/>
    <col min="10" max="11" width="0" style="141" hidden="1" customWidth="1"/>
    <col min="12" max="21" width="9" style="141" customWidth="1"/>
    <col min="22" max="16384" width="7" style="141"/>
  </cols>
  <sheetData>
    <row r="1" spans="1:21" ht="13" customHeight="1">
      <c r="A1" s="1144"/>
      <c r="B1" s="1144"/>
      <c r="C1" s="1144"/>
      <c r="D1" s="1144"/>
      <c r="E1" s="1144"/>
    </row>
    <row r="2" spans="1:21" ht="13" customHeight="1">
      <c r="A2" s="512" t="s">
        <v>333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</row>
    <row r="3" spans="1:21" ht="13" customHeight="1">
      <c r="A3" s="515" t="s">
        <v>540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</row>
    <row r="4" spans="1:21" ht="4" customHeight="1" thickBot="1"/>
    <row r="5" spans="1:21" ht="15" customHeight="1">
      <c r="A5" s="945" t="s">
        <v>122</v>
      </c>
      <c r="B5" s="390">
        <v>2000</v>
      </c>
      <c r="C5" s="390">
        <v>2001</v>
      </c>
      <c r="D5" s="390">
        <v>2002</v>
      </c>
      <c r="E5" s="390">
        <v>2003</v>
      </c>
      <c r="F5" s="390">
        <v>2004</v>
      </c>
      <c r="G5" s="390">
        <v>2005</v>
      </c>
      <c r="H5" s="390">
        <v>2006</v>
      </c>
      <c r="I5" s="390">
        <v>2007</v>
      </c>
      <c r="J5" s="390">
        <v>2008</v>
      </c>
      <c r="K5" s="390">
        <v>2009</v>
      </c>
      <c r="L5" s="390">
        <v>2010</v>
      </c>
      <c r="M5" s="390">
        <v>2011</v>
      </c>
      <c r="N5" s="390">
        <v>2012</v>
      </c>
      <c r="O5" s="390">
        <v>2013</v>
      </c>
      <c r="P5" s="390">
        <v>2014</v>
      </c>
      <c r="Q5" s="390">
        <v>2015</v>
      </c>
      <c r="R5" s="390">
        <v>2016</v>
      </c>
      <c r="S5" s="976">
        <v>2017</v>
      </c>
      <c r="T5" s="976">
        <v>2018</v>
      </c>
      <c r="U5" s="977" t="s">
        <v>239</v>
      </c>
    </row>
    <row r="6" spans="1:21" ht="15" customHeight="1">
      <c r="A6" s="396" t="s">
        <v>56</v>
      </c>
      <c r="B6" s="975">
        <v>10208868</v>
      </c>
      <c r="C6" s="975">
        <v>10342280</v>
      </c>
      <c r="D6" s="975">
        <v>10520830</v>
      </c>
      <c r="E6" s="975">
        <v>10976784</v>
      </c>
      <c r="F6" s="975">
        <v>11171450</v>
      </c>
      <c r="G6" s="975">
        <v>13516950</v>
      </c>
      <c r="H6" s="975">
        <v>14067169</v>
      </c>
      <c r="I6" s="975">
        <v>14624184</v>
      </c>
      <c r="J6" s="975">
        <v>14567003</v>
      </c>
      <c r="K6" s="975">
        <v>15379339</v>
      </c>
      <c r="L6" s="1085">
        <v>17802209</v>
      </c>
      <c r="M6" s="1085">
        <v>17156640</v>
      </c>
      <c r="N6" s="1085">
        <v>19905931</v>
      </c>
      <c r="O6" s="1085">
        <v>19902157</v>
      </c>
      <c r="P6" s="1085">
        <v>21359319</v>
      </c>
      <c r="Q6" s="1085">
        <v>21905233</v>
      </c>
      <c r="R6" s="1085">
        <v>23004223</v>
      </c>
      <c r="S6" s="1085">
        <v>24632650</v>
      </c>
      <c r="T6" s="1085">
        <f>SUM(T7:T18)</f>
        <v>27929872</v>
      </c>
      <c r="U6" s="1085">
        <f>SUM(U7:U18)</f>
        <v>26179287</v>
      </c>
    </row>
    <row r="7" spans="1:21" ht="14" customHeight="1">
      <c r="A7" s="946" t="s">
        <v>57</v>
      </c>
      <c r="B7" s="174">
        <v>778525</v>
      </c>
      <c r="C7" s="174">
        <v>894357</v>
      </c>
      <c r="D7" s="174">
        <v>769970</v>
      </c>
      <c r="E7" s="174">
        <v>1015405</v>
      </c>
      <c r="F7" s="174">
        <v>885860</v>
      </c>
      <c r="G7" s="174">
        <v>1025412</v>
      </c>
      <c r="H7" s="174">
        <v>1236334</v>
      </c>
      <c r="I7" s="174">
        <v>1033584</v>
      </c>
      <c r="J7" s="174">
        <v>1228013</v>
      </c>
      <c r="K7" s="174">
        <v>1340009</v>
      </c>
      <c r="L7" s="1086">
        <v>1367893</v>
      </c>
      <c r="M7" s="1086">
        <v>1492099</v>
      </c>
      <c r="N7" s="1086">
        <v>1767596</v>
      </c>
      <c r="O7" s="1086">
        <v>1659188</v>
      </c>
      <c r="P7" s="1086">
        <v>1801344</v>
      </c>
      <c r="Q7" s="1086">
        <v>1769556</v>
      </c>
      <c r="R7" s="1086">
        <v>1755389</v>
      </c>
      <c r="S7" s="1086">
        <v>1939385</v>
      </c>
      <c r="T7" s="1086">
        <v>2181448</v>
      </c>
      <c r="U7" s="1086">
        <v>1980049</v>
      </c>
    </row>
    <row r="8" spans="1:21" ht="14" customHeight="1">
      <c r="A8" s="946" t="s">
        <v>58</v>
      </c>
      <c r="B8" s="174">
        <v>775802</v>
      </c>
      <c r="C8" s="174">
        <v>785005</v>
      </c>
      <c r="D8" s="174">
        <v>667732</v>
      </c>
      <c r="E8" s="174">
        <v>942206</v>
      </c>
      <c r="F8" s="174">
        <v>806862</v>
      </c>
      <c r="G8" s="174">
        <v>899339</v>
      </c>
      <c r="H8" s="174">
        <v>1030921</v>
      </c>
      <c r="I8" s="174">
        <v>984129</v>
      </c>
      <c r="J8" s="174">
        <v>1007597</v>
      </c>
      <c r="K8" s="174">
        <v>1195336</v>
      </c>
      <c r="L8" s="1086">
        <v>1332447</v>
      </c>
      <c r="M8" s="1086">
        <v>1393364</v>
      </c>
      <c r="N8" s="1086">
        <v>1410301</v>
      </c>
      <c r="O8" s="1086">
        <v>1473374</v>
      </c>
      <c r="P8" s="1086">
        <v>1536559</v>
      </c>
      <c r="Q8" s="1086">
        <v>1689361</v>
      </c>
      <c r="R8" s="1086">
        <v>1971615</v>
      </c>
      <c r="S8" s="1086">
        <v>1661443</v>
      </c>
      <c r="T8" s="1086">
        <v>2098791</v>
      </c>
      <c r="U8" s="1086">
        <v>1978628</v>
      </c>
    </row>
    <row r="9" spans="1:21" ht="14" customHeight="1">
      <c r="A9" s="946" t="s">
        <v>59</v>
      </c>
      <c r="B9" s="174">
        <v>783774</v>
      </c>
      <c r="C9" s="174">
        <v>778512</v>
      </c>
      <c r="D9" s="174">
        <v>700281</v>
      </c>
      <c r="E9" s="174">
        <v>958826</v>
      </c>
      <c r="F9" s="174">
        <v>900352</v>
      </c>
      <c r="G9" s="174">
        <v>968921</v>
      </c>
      <c r="H9" s="174">
        <v>1233550</v>
      </c>
      <c r="I9" s="174">
        <v>1151763</v>
      </c>
      <c r="J9" s="174">
        <v>1270206</v>
      </c>
      <c r="K9" s="174">
        <v>1302305</v>
      </c>
      <c r="L9" s="1086">
        <v>1546938</v>
      </c>
      <c r="M9" s="1086">
        <v>1516522</v>
      </c>
      <c r="N9" s="1086">
        <v>1540447</v>
      </c>
      <c r="O9" s="1086">
        <v>1532715</v>
      </c>
      <c r="P9" s="1086">
        <v>1746106</v>
      </c>
      <c r="Q9" s="1086">
        <v>1761879</v>
      </c>
      <c r="R9" s="1086">
        <v>2036368</v>
      </c>
      <c r="S9" s="1086">
        <v>1862425</v>
      </c>
      <c r="T9" s="1086">
        <v>2397972</v>
      </c>
      <c r="U9" s="1086">
        <v>2063350</v>
      </c>
    </row>
    <row r="10" spans="1:21" ht="14" customHeight="1">
      <c r="A10" s="946" t="s">
        <v>60</v>
      </c>
      <c r="B10" s="174">
        <v>765270</v>
      </c>
      <c r="C10" s="174">
        <v>931868</v>
      </c>
      <c r="D10" s="174">
        <v>881580</v>
      </c>
      <c r="E10" s="174">
        <v>990608</v>
      </c>
      <c r="F10" s="174">
        <v>852242</v>
      </c>
      <c r="G10" s="174">
        <v>1049642</v>
      </c>
      <c r="H10" s="174">
        <v>1133030</v>
      </c>
      <c r="I10" s="174">
        <v>1210335</v>
      </c>
      <c r="J10" s="174">
        <v>1203627</v>
      </c>
      <c r="K10" s="174">
        <v>1279009</v>
      </c>
      <c r="L10" s="1086">
        <v>1458269</v>
      </c>
      <c r="M10" s="1086">
        <v>1421026</v>
      </c>
      <c r="N10" s="1086">
        <v>1584490</v>
      </c>
      <c r="O10" s="1086">
        <v>1638430</v>
      </c>
      <c r="P10" s="1086">
        <v>1803205</v>
      </c>
      <c r="Q10" s="1086">
        <v>1749933</v>
      </c>
      <c r="R10" s="1086">
        <v>1900261</v>
      </c>
      <c r="S10" s="1086">
        <v>2073694</v>
      </c>
      <c r="T10" s="1086">
        <v>2193319</v>
      </c>
      <c r="U10" s="1086">
        <v>2103284</v>
      </c>
    </row>
    <row r="11" spans="1:21" ht="14" customHeight="1">
      <c r="A11" s="946" t="s">
        <v>61</v>
      </c>
      <c r="B11" s="174">
        <v>919196</v>
      </c>
      <c r="C11" s="174">
        <v>899095</v>
      </c>
      <c r="D11" s="174">
        <v>934623</v>
      </c>
      <c r="E11" s="174">
        <v>876577</v>
      </c>
      <c r="F11" s="174">
        <v>826823</v>
      </c>
      <c r="G11" s="174">
        <v>969565</v>
      </c>
      <c r="H11" s="174">
        <v>1227949</v>
      </c>
      <c r="I11" s="174">
        <v>1265295</v>
      </c>
      <c r="J11" s="174">
        <v>1253563</v>
      </c>
      <c r="K11" s="174">
        <v>1305140</v>
      </c>
      <c r="L11" s="1086">
        <v>1362438</v>
      </c>
      <c r="M11" s="1086">
        <v>1457793</v>
      </c>
      <c r="N11" s="1086">
        <v>1696857</v>
      </c>
      <c r="O11" s="1086">
        <v>1707593</v>
      </c>
      <c r="P11" s="1086">
        <v>1771934</v>
      </c>
      <c r="Q11" s="1086">
        <v>1820381</v>
      </c>
      <c r="R11" s="1086">
        <v>1841026</v>
      </c>
      <c r="S11" s="1086">
        <v>2026771</v>
      </c>
      <c r="T11" s="1086">
        <v>2639342</v>
      </c>
      <c r="U11" s="1086">
        <v>1904276</v>
      </c>
    </row>
    <row r="12" spans="1:21" ht="14" customHeight="1">
      <c r="A12" s="946" t="s">
        <v>62</v>
      </c>
      <c r="B12" s="174">
        <v>851017</v>
      </c>
      <c r="C12" s="174">
        <v>841104</v>
      </c>
      <c r="D12" s="174">
        <v>894577</v>
      </c>
      <c r="E12" s="174">
        <v>848588</v>
      </c>
      <c r="F12" s="174">
        <v>986192</v>
      </c>
      <c r="G12" s="174">
        <v>1027275</v>
      </c>
      <c r="H12" s="174">
        <v>1150717</v>
      </c>
      <c r="I12" s="174">
        <v>1290385</v>
      </c>
      <c r="J12" s="174">
        <v>1117451</v>
      </c>
      <c r="K12" s="174">
        <v>1110746</v>
      </c>
      <c r="L12" s="1086">
        <v>1479423</v>
      </c>
      <c r="M12" s="1086">
        <v>1140804</v>
      </c>
      <c r="N12" s="1086">
        <v>1643104</v>
      </c>
      <c r="O12" s="1086">
        <v>1423787</v>
      </c>
      <c r="P12" s="1086">
        <v>1762458</v>
      </c>
      <c r="Q12" s="1086">
        <v>1703713</v>
      </c>
      <c r="R12" s="1086">
        <v>1873443</v>
      </c>
      <c r="S12" s="1086">
        <v>1892288</v>
      </c>
      <c r="T12" s="1086">
        <v>2314905</v>
      </c>
      <c r="U12" s="1086">
        <v>1965667</v>
      </c>
    </row>
    <row r="13" spans="1:21" ht="14" customHeight="1">
      <c r="A13" s="946" t="s">
        <v>63</v>
      </c>
      <c r="B13" s="174">
        <v>910825</v>
      </c>
      <c r="C13" s="174">
        <v>945067</v>
      </c>
      <c r="D13" s="174">
        <v>896351</v>
      </c>
      <c r="E13" s="174">
        <v>862790</v>
      </c>
      <c r="F13" s="174">
        <v>848472</v>
      </c>
      <c r="G13" s="174">
        <v>1112924</v>
      </c>
      <c r="H13" s="174">
        <v>1089630</v>
      </c>
      <c r="I13" s="174">
        <v>1296857</v>
      </c>
      <c r="J13" s="174">
        <v>1154324</v>
      </c>
      <c r="K13" s="174">
        <v>1374183</v>
      </c>
      <c r="L13" s="1086">
        <v>1512173</v>
      </c>
      <c r="M13" s="1086">
        <v>1271094</v>
      </c>
      <c r="N13" s="1086">
        <v>1811222</v>
      </c>
      <c r="O13" s="1086">
        <v>1514912</v>
      </c>
      <c r="P13" s="1086">
        <v>1665873</v>
      </c>
      <c r="Q13" s="1086">
        <v>1866769</v>
      </c>
      <c r="R13" s="1086">
        <v>2148830</v>
      </c>
      <c r="S13" s="1086">
        <v>1956948</v>
      </c>
      <c r="T13" s="1086">
        <v>2314960</v>
      </c>
      <c r="U13" s="1086">
        <v>2253191</v>
      </c>
    </row>
    <row r="14" spans="1:21" ht="14" customHeight="1">
      <c r="A14" s="946" t="s">
        <v>64</v>
      </c>
      <c r="B14" s="174">
        <v>888807</v>
      </c>
      <c r="C14" s="174">
        <v>991769</v>
      </c>
      <c r="D14" s="174">
        <v>911229</v>
      </c>
      <c r="E14" s="174">
        <v>881306</v>
      </c>
      <c r="F14" s="174">
        <v>903673</v>
      </c>
      <c r="G14" s="174">
        <v>1258369</v>
      </c>
      <c r="H14" s="174">
        <v>1202103</v>
      </c>
      <c r="I14" s="174">
        <v>1296173</v>
      </c>
      <c r="J14" s="174">
        <v>1129979</v>
      </c>
      <c r="K14" s="174">
        <v>1186014</v>
      </c>
      <c r="L14" s="1086">
        <v>1523885</v>
      </c>
      <c r="M14" s="1086">
        <v>1442645</v>
      </c>
      <c r="N14" s="1086">
        <v>1696940</v>
      </c>
      <c r="O14" s="1086">
        <v>1796746</v>
      </c>
      <c r="P14" s="1086">
        <v>1797841</v>
      </c>
      <c r="Q14" s="1086">
        <v>1913158</v>
      </c>
      <c r="R14" s="1086">
        <v>1959765</v>
      </c>
      <c r="S14" s="1086">
        <v>2115552</v>
      </c>
      <c r="T14" s="1086">
        <v>2362451</v>
      </c>
      <c r="U14" s="1086">
        <v>2358577</v>
      </c>
    </row>
    <row r="15" spans="1:21" ht="14" customHeight="1">
      <c r="A15" s="946" t="s">
        <v>65</v>
      </c>
      <c r="B15" s="174">
        <v>861678</v>
      </c>
      <c r="C15" s="174">
        <v>833660</v>
      </c>
      <c r="D15" s="174">
        <v>928960</v>
      </c>
      <c r="E15" s="174">
        <v>858384</v>
      </c>
      <c r="F15" s="174">
        <v>1029704</v>
      </c>
      <c r="G15" s="174">
        <v>1314867</v>
      </c>
      <c r="H15" s="174">
        <v>1257384</v>
      </c>
      <c r="I15" s="174">
        <v>1129395</v>
      </c>
      <c r="J15" s="174">
        <v>1138594</v>
      </c>
      <c r="K15" s="174">
        <v>1351428</v>
      </c>
      <c r="L15" s="1086">
        <v>1520969</v>
      </c>
      <c r="M15" s="1086">
        <v>1468797</v>
      </c>
      <c r="N15" s="1086">
        <v>1557391</v>
      </c>
      <c r="O15" s="1086">
        <v>1734318</v>
      </c>
      <c r="P15" s="1086">
        <v>1906694</v>
      </c>
      <c r="Q15" s="1086">
        <v>1901937</v>
      </c>
      <c r="R15" s="1086">
        <v>1889768</v>
      </c>
      <c r="S15" s="1086">
        <v>2185816</v>
      </c>
      <c r="T15" s="1086">
        <v>2475970</v>
      </c>
      <c r="U15" s="1086">
        <v>2359478</v>
      </c>
    </row>
    <row r="16" spans="1:21" ht="14" customHeight="1">
      <c r="A16" s="946" t="s">
        <v>66</v>
      </c>
      <c r="B16" s="174">
        <v>856494</v>
      </c>
      <c r="C16" s="174">
        <v>818475</v>
      </c>
      <c r="D16" s="174">
        <v>965411</v>
      </c>
      <c r="E16" s="174">
        <v>921904</v>
      </c>
      <c r="F16" s="174">
        <v>1031394</v>
      </c>
      <c r="G16" s="174">
        <v>1235154</v>
      </c>
      <c r="H16" s="174">
        <v>1276421</v>
      </c>
      <c r="I16" s="174">
        <v>1296954</v>
      </c>
      <c r="J16" s="174">
        <v>1271850</v>
      </c>
      <c r="K16" s="174">
        <v>1312318</v>
      </c>
      <c r="L16" s="1086">
        <v>1598668</v>
      </c>
      <c r="M16" s="1086">
        <v>1455818</v>
      </c>
      <c r="N16" s="1086">
        <v>1846192</v>
      </c>
      <c r="O16" s="1086">
        <v>1878517</v>
      </c>
      <c r="P16" s="1086">
        <v>2005502</v>
      </c>
      <c r="Q16" s="1086">
        <v>2035995</v>
      </c>
      <c r="R16" s="1086">
        <v>1929638</v>
      </c>
      <c r="S16" s="1086">
        <v>2370227</v>
      </c>
      <c r="T16" s="1086">
        <v>2543178</v>
      </c>
      <c r="U16" s="1086">
        <v>2519026</v>
      </c>
    </row>
    <row r="17" spans="1:21" ht="14" customHeight="1">
      <c r="A17" s="946" t="s">
        <v>67</v>
      </c>
      <c r="B17" s="174">
        <v>917278</v>
      </c>
      <c r="C17" s="174">
        <v>811598</v>
      </c>
      <c r="D17" s="174">
        <v>992630</v>
      </c>
      <c r="E17" s="174">
        <v>874105</v>
      </c>
      <c r="F17" s="174">
        <v>1049108</v>
      </c>
      <c r="G17" s="174">
        <v>1317612</v>
      </c>
      <c r="H17" s="174">
        <v>1170486</v>
      </c>
      <c r="I17" s="174">
        <v>1342764</v>
      </c>
      <c r="J17" s="174">
        <v>1321349</v>
      </c>
      <c r="K17" s="174">
        <v>1219701</v>
      </c>
      <c r="L17" s="1086">
        <v>1492380</v>
      </c>
      <c r="M17" s="1086">
        <v>1571726</v>
      </c>
      <c r="N17" s="1086">
        <v>1740008</v>
      </c>
      <c r="O17" s="1086">
        <v>1802465</v>
      </c>
      <c r="P17" s="1086">
        <v>1943473</v>
      </c>
      <c r="Q17" s="1086">
        <v>1821917</v>
      </c>
      <c r="R17" s="1086">
        <v>1800852</v>
      </c>
      <c r="S17" s="1086">
        <v>2269296</v>
      </c>
      <c r="T17" s="1086">
        <v>2173332</v>
      </c>
      <c r="U17" s="1086">
        <v>2472526</v>
      </c>
    </row>
    <row r="18" spans="1:21" ht="14" customHeight="1" thickBot="1">
      <c r="A18" s="147" t="s">
        <v>68</v>
      </c>
      <c r="B18" s="175">
        <v>900202</v>
      </c>
      <c r="C18" s="175">
        <v>811770</v>
      </c>
      <c r="D18" s="175">
        <v>977486</v>
      </c>
      <c r="E18" s="175">
        <v>946085</v>
      </c>
      <c r="F18" s="175">
        <v>1050768</v>
      </c>
      <c r="G18" s="175">
        <v>1337870</v>
      </c>
      <c r="H18" s="175">
        <v>1058644</v>
      </c>
      <c r="I18" s="175">
        <v>1326550</v>
      </c>
      <c r="J18" s="175">
        <v>1470450</v>
      </c>
      <c r="K18" s="175">
        <v>1403150</v>
      </c>
      <c r="L18" s="1087">
        <v>1606726</v>
      </c>
      <c r="M18" s="1087">
        <v>1524952</v>
      </c>
      <c r="N18" s="1087">
        <v>1611383</v>
      </c>
      <c r="O18" s="1087">
        <v>1740112</v>
      </c>
      <c r="P18" s="1087">
        <v>1618330</v>
      </c>
      <c r="Q18" s="1087">
        <v>1870634</v>
      </c>
      <c r="R18" s="1087">
        <v>1897268</v>
      </c>
      <c r="S18" s="1087">
        <v>2278805</v>
      </c>
      <c r="T18" s="1087">
        <v>2234204</v>
      </c>
      <c r="U18" s="1087">
        <v>2221235</v>
      </c>
    </row>
    <row r="19" spans="1:21" ht="10" customHeight="1">
      <c r="A19" s="28" t="s">
        <v>238</v>
      </c>
      <c r="B19" s="365"/>
      <c r="C19" s="365"/>
      <c r="D19" s="365"/>
      <c r="E19" s="365"/>
      <c r="F19" s="365"/>
      <c r="G19" s="365"/>
      <c r="H19" s="365"/>
      <c r="I19" s="365"/>
      <c r="J19" s="365"/>
      <c r="K19" s="365"/>
      <c r="L19" s="365"/>
      <c r="M19" s="365"/>
      <c r="N19" s="365"/>
      <c r="O19" s="365"/>
      <c r="P19" s="365"/>
    </row>
    <row r="20" spans="1:21" ht="10" customHeight="1">
      <c r="A20" s="982" t="s">
        <v>195</v>
      </c>
      <c r="B20" s="365"/>
      <c r="C20" s="365"/>
      <c r="D20" s="365"/>
      <c r="E20" s="365"/>
      <c r="F20" s="365"/>
      <c r="G20" s="365"/>
      <c r="H20" s="365"/>
      <c r="I20" s="365"/>
      <c r="J20" s="365"/>
      <c r="K20" s="365"/>
      <c r="L20" s="365"/>
      <c r="M20" s="365"/>
      <c r="N20" s="365"/>
      <c r="O20" s="365"/>
      <c r="P20" s="365"/>
    </row>
    <row r="21" spans="1:21" ht="10" customHeight="1">
      <c r="A21" s="40" t="s">
        <v>261</v>
      </c>
      <c r="B21" s="365"/>
      <c r="C21" s="365"/>
      <c r="D21" s="365"/>
      <c r="E21" s="365"/>
      <c r="F21" s="365"/>
      <c r="G21" s="365"/>
      <c r="H21" s="365"/>
      <c r="I21" s="365"/>
      <c r="J21" s="365"/>
      <c r="K21" s="365"/>
      <c r="L21" s="365"/>
      <c r="M21" s="365"/>
      <c r="N21" s="365"/>
      <c r="O21" s="365"/>
      <c r="P21" s="365"/>
    </row>
    <row r="23" spans="1:21" ht="13" customHeight="1">
      <c r="A23" s="512" t="s">
        <v>334</v>
      </c>
    </row>
    <row r="24" spans="1:21" ht="13" customHeight="1">
      <c r="A24" s="515" t="s">
        <v>540</v>
      </c>
    </row>
    <row r="25" spans="1:21" ht="4" customHeight="1" thickBot="1"/>
    <row r="26" spans="1:21" ht="15" customHeight="1">
      <c r="A26" s="945" t="s">
        <v>122</v>
      </c>
      <c r="B26" s="390">
        <v>2000</v>
      </c>
      <c r="C26" s="390">
        <v>2001</v>
      </c>
      <c r="D26" s="390">
        <v>2002</v>
      </c>
      <c r="E26" s="390">
        <v>2003</v>
      </c>
      <c r="F26" s="390">
        <v>2004</v>
      </c>
      <c r="G26" s="390">
        <v>2005</v>
      </c>
      <c r="H26" s="390">
        <v>2006</v>
      </c>
      <c r="I26" s="390">
        <v>2007</v>
      </c>
      <c r="J26" s="390">
        <v>2008</v>
      </c>
      <c r="K26" s="390">
        <v>2009</v>
      </c>
      <c r="L26" s="390">
        <v>2010</v>
      </c>
      <c r="M26" s="390">
        <v>2011</v>
      </c>
      <c r="N26" s="390">
        <v>2012</v>
      </c>
      <c r="O26" s="390">
        <v>2013</v>
      </c>
      <c r="P26" s="390">
        <v>2014</v>
      </c>
      <c r="Q26" s="390">
        <v>2015</v>
      </c>
      <c r="R26" s="390">
        <v>2016</v>
      </c>
      <c r="S26" s="976">
        <v>2017</v>
      </c>
      <c r="T26" s="976">
        <v>2018</v>
      </c>
      <c r="U26" s="977" t="s">
        <v>239</v>
      </c>
    </row>
    <row r="27" spans="1:21" ht="15" customHeight="1">
      <c r="A27" s="396" t="s">
        <v>56</v>
      </c>
      <c r="B27" s="975">
        <v>10208868</v>
      </c>
      <c r="C27" s="975">
        <v>10342280</v>
      </c>
      <c r="D27" s="975">
        <v>10520830</v>
      </c>
      <c r="E27" s="975">
        <v>10976784</v>
      </c>
      <c r="F27" s="975">
        <v>11171450</v>
      </c>
      <c r="G27" s="975">
        <v>13516950</v>
      </c>
      <c r="H27" s="975">
        <v>14067169</v>
      </c>
      <c r="I27" s="975">
        <v>14622238</v>
      </c>
      <c r="J27" s="975">
        <v>14559640</v>
      </c>
      <c r="K27" s="975">
        <v>15372155</v>
      </c>
      <c r="L27" s="994">
        <v>17802209</v>
      </c>
      <c r="M27" s="994">
        <v>16970540</v>
      </c>
      <c r="N27" s="994">
        <v>19624651</v>
      </c>
      <c r="O27" s="994">
        <v>19793997</v>
      </c>
      <c r="P27" s="994">
        <v>21131996</v>
      </c>
      <c r="Q27" s="994">
        <v>21795793</v>
      </c>
      <c r="R27" s="994">
        <v>22977223</v>
      </c>
      <c r="S27" s="994">
        <v>24632650</v>
      </c>
      <c r="T27" s="994">
        <f>SUM(T28:T39)</f>
        <v>27929872</v>
      </c>
      <c r="U27" s="994">
        <f>SUM(U28:U39)</f>
        <v>26179287</v>
      </c>
    </row>
    <row r="28" spans="1:21" ht="14" customHeight="1">
      <c r="A28" s="946" t="s">
        <v>57</v>
      </c>
      <c r="B28" s="174">
        <v>778525</v>
      </c>
      <c r="C28" s="174">
        <v>894357</v>
      </c>
      <c r="D28" s="174">
        <v>769970</v>
      </c>
      <c r="E28" s="174">
        <v>1015405</v>
      </c>
      <c r="F28" s="174">
        <v>885860</v>
      </c>
      <c r="G28" s="145">
        <v>1025412</v>
      </c>
      <c r="H28" s="145">
        <v>1236334</v>
      </c>
      <c r="I28" s="145">
        <v>1033584</v>
      </c>
      <c r="J28" s="145">
        <v>1227159</v>
      </c>
      <c r="K28" s="145">
        <v>1339234</v>
      </c>
      <c r="L28" s="404">
        <v>1367893</v>
      </c>
      <c r="M28" s="404">
        <v>1492099</v>
      </c>
      <c r="N28" s="404">
        <v>1740596</v>
      </c>
      <c r="O28" s="404">
        <v>1659188</v>
      </c>
      <c r="P28" s="404">
        <v>1801344</v>
      </c>
      <c r="Q28" s="404">
        <v>1740585</v>
      </c>
      <c r="R28" s="404">
        <v>1755389</v>
      </c>
      <c r="S28" s="404">
        <v>1939385</v>
      </c>
      <c r="T28" s="404">
        <v>2181448</v>
      </c>
      <c r="U28" s="404">
        <v>1980049</v>
      </c>
    </row>
    <row r="29" spans="1:21" ht="14" customHeight="1">
      <c r="A29" s="946" t="s">
        <v>58</v>
      </c>
      <c r="B29" s="174">
        <v>775802</v>
      </c>
      <c r="C29" s="174">
        <v>785005</v>
      </c>
      <c r="D29" s="174">
        <v>667732</v>
      </c>
      <c r="E29" s="174">
        <v>942206</v>
      </c>
      <c r="F29" s="174">
        <v>806862</v>
      </c>
      <c r="G29" s="174">
        <v>899339</v>
      </c>
      <c r="H29" s="174">
        <v>1030921</v>
      </c>
      <c r="I29" s="174">
        <v>983434</v>
      </c>
      <c r="J29" s="174">
        <v>1006454</v>
      </c>
      <c r="K29" s="174">
        <v>1194814</v>
      </c>
      <c r="L29" s="407">
        <v>1332447</v>
      </c>
      <c r="M29" s="407">
        <v>1388264</v>
      </c>
      <c r="N29" s="407">
        <v>1401301</v>
      </c>
      <c r="O29" s="407">
        <v>1473374</v>
      </c>
      <c r="P29" s="407">
        <v>1536559</v>
      </c>
      <c r="Q29" s="407">
        <v>1687132</v>
      </c>
      <c r="R29" s="407">
        <v>1971615</v>
      </c>
      <c r="S29" s="407">
        <v>1661443</v>
      </c>
      <c r="T29" s="407">
        <v>2098791</v>
      </c>
      <c r="U29" s="407">
        <v>1978628</v>
      </c>
    </row>
    <row r="30" spans="1:21" ht="14" customHeight="1">
      <c r="A30" s="946" t="s">
        <v>59</v>
      </c>
      <c r="B30" s="174">
        <v>783774</v>
      </c>
      <c r="C30" s="174">
        <v>778512</v>
      </c>
      <c r="D30" s="174">
        <v>700281</v>
      </c>
      <c r="E30" s="174">
        <v>958826</v>
      </c>
      <c r="F30" s="174">
        <v>900352</v>
      </c>
      <c r="G30" s="174">
        <v>968921</v>
      </c>
      <c r="H30" s="174">
        <v>1233550</v>
      </c>
      <c r="I30" s="174">
        <v>1151763</v>
      </c>
      <c r="J30" s="174">
        <v>1269418</v>
      </c>
      <c r="K30" s="174">
        <v>1301899</v>
      </c>
      <c r="L30" s="407">
        <v>1546938</v>
      </c>
      <c r="M30" s="407">
        <v>1516522</v>
      </c>
      <c r="N30" s="407">
        <v>1531447</v>
      </c>
      <c r="O30" s="407">
        <v>1532715</v>
      </c>
      <c r="P30" s="407">
        <v>1656042</v>
      </c>
      <c r="Q30" s="407">
        <v>1756839</v>
      </c>
      <c r="R30" s="407">
        <v>2036368</v>
      </c>
      <c r="S30" s="407">
        <v>1862425</v>
      </c>
      <c r="T30" s="407">
        <v>2397972</v>
      </c>
      <c r="U30" s="407">
        <v>2063350</v>
      </c>
    </row>
    <row r="31" spans="1:21" ht="14" customHeight="1">
      <c r="A31" s="946" t="s">
        <v>60</v>
      </c>
      <c r="B31" s="174">
        <v>765270</v>
      </c>
      <c r="C31" s="174">
        <v>931868</v>
      </c>
      <c r="D31" s="174">
        <v>881580</v>
      </c>
      <c r="E31" s="174">
        <v>990608</v>
      </c>
      <c r="F31" s="174">
        <v>852242</v>
      </c>
      <c r="G31" s="174">
        <v>1049642</v>
      </c>
      <c r="H31" s="174">
        <v>1133030</v>
      </c>
      <c r="I31" s="174">
        <v>1210133</v>
      </c>
      <c r="J31" s="174">
        <v>1203330</v>
      </c>
      <c r="K31" s="174">
        <v>1278144</v>
      </c>
      <c r="L31" s="407">
        <v>1458269</v>
      </c>
      <c r="M31" s="407">
        <v>1421026</v>
      </c>
      <c r="N31" s="407">
        <v>1566490</v>
      </c>
      <c r="O31" s="407">
        <v>1638430</v>
      </c>
      <c r="P31" s="407">
        <v>1772005</v>
      </c>
      <c r="Q31" s="407">
        <v>1721733</v>
      </c>
      <c r="R31" s="407">
        <v>1900261</v>
      </c>
      <c r="S31" s="407">
        <v>2073694</v>
      </c>
      <c r="T31" s="407">
        <v>2193319</v>
      </c>
      <c r="U31" s="407">
        <v>2103284</v>
      </c>
    </row>
    <row r="32" spans="1:21" ht="14" customHeight="1">
      <c r="A32" s="946" t="s">
        <v>61</v>
      </c>
      <c r="B32" s="174">
        <v>919196</v>
      </c>
      <c r="C32" s="174">
        <v>899095</v>
      </c>
      <c r="D32" s="174">
        <v>934623</v>
      </c>
      <c r="E32" s="174">
        <v>876577</v>
      </c>
      <c r="F32" s="174">
        <v>826823</v>
      </c>
      <c r="G32" s="174">
        <v>969565</v>
      </c>
      <c r="H32" s="174">
        <v>1227949</v>
      </c>
      <c r="I32" s="174">
        <v>1265295</v>
      </c>
      <c r="J32" s="174">
        <v>1253157</v>
      </c>
      <c r="K32" s="174">
        <v>1304586</v>
      </c>
      <c r="L32" s="407">
        <v>1362438</v>
      </c>
      <c r="M32" s="407">
        <v>1457793</v>
      </c>
      <c r="N32" s="407">
        <v>1647857</v>
      </c>
      <c r="O32" s="407">
        <v>1696153</v>
      </c>
      <c r="P32" s="407">
        <v>1740734</v>
      </c>
      <c r="Q32" s="407">
        <v>1820381</v>
      </c>
      <c r="R32" s="407">
        <v>1814026</v>
      </c>
      <c r="S32" s="407">
        <v>2026771</v>
      </c>
      <c r="T32" s="407">
        <v>2639342</v>
      </c>
      <c r="U32" s="407">
        <v>1904276</v>
      </c>
    </row>
    <row r="33" spans="1:21" ht="14" customHeight="1">
      <c r="A33" s="946" t="s">
        <v>62</v>
      </c>
      <c r="B33" s="174">
        <v>851017</v>
      </c>
      <c r="C33" s="174">
        <v>841104</v>
      </c>
      <c r="D33" s="174">
        <v>894577</v>
      </c>
      <c r="E33" s="174">
        <v>848588</v>
      </c>
      <c r="F33" s="174">
        <v>986192</v>
      </c>
      <c r="G33" s="174">
        <v>1027275</v>
      </c>
      <c r="H33" s="174">
        <v>1150717</v>
      </c>
      <c r="I33" s="174">
        <v>1290385</v>
      </c>
      <c r="J33" s="174">
        <v>1117451</v>
      </c>
      <c r="K33" s="174">
        <v>1110192</v>
      </c>
      <c r="L33" s="407">
        <v>1479423</v>
      </c>
      <c r="M33" s="407">
        <v>1140804</v>
      </c>
      <c r="N33" s="407">
        <v>1625104</v>
      </c>
      <c r="O33" s="407">
        <v>1423787</v>
      </c>
      <c r="P33" s="407">
        <v>1762458</v>
      </c>
      <c r="Q33" s="407">
        <v>1683142</v>
      </c>
      <c r="R33" s="407">
        <v>1873443</v>
      </c>
      <c r="S33" s="407">
        <v>1892288</v>
      </c>
      <c r="T33" s="407">
        <v>2314905</v>
      </c>
      <c r="U33" s="407">
        <v>1965667</v>
      </c>
    </row>
    <row r="34" spans="1:21" ht="14" customHeight="1">
      <c r="A34" s="946" t="s">
        <v>63</v>
      </c>
      <c r="B34" s="174">
        <v>910825</v>
      </c>
      <c r="C34" s="174">
        <v>945067</v>
      </c>
      <c r="D34" s="174">
        <v>896351</v>
      </c>
      <c r="E34" s="174">
        <v>862790</v>
      </c>
      <c r="F34" s="174">
        <v>848472</v>
      </c>
      <c r="G34" s="174">
        <v>1112924</v>
      </c>
      <c r="H34" s="174">
        <v>1089630</v>
      </c>
      <c r="I34" s="174">
        <v>1296524</v>
      </c>
      <c r="J34" s="174">
        <v>1153814</v>
      </c>
      <c r="K34" s="174">
        <v>1373625</v>
      </c>
      <c r="L34" s="407">
        <v>1512173</v>
      </c>
      <c r="M34" s="407">
        <v>1202094</v>
      </c>
      <c r="N34" s="407">
        <v>1811222</v>
      </c>
      <c r="O34" s="407">
        <v>1483712</v>
      </c>
      <c r="P34" s="407">
        <v>1665873</v>
      </c>
      <c r="Q34" s="407">
        <v>1842340</v>
      </c>
      <c r="R34" s="407">
        <v>2148830</v>
      </c>
      <c r="S34" s="407">
        <v>1956948</v>
      </c>
      <c r="T34" s="407">
        <v>2314960</v>
      </c>
      <c r="U34" s="407">
        <v>2253191</v>
      </c>
    </row>
    <row r="35" spans="1:21" ht="14" customHeight="1">
      <c r="A35" s="946" t="s">
        <v>64</v>
      </c>
      <c r="B35" s="174">
        <v>888807</v>
      </c>
      <c r="C35" s="174">
        <v>991769</v>
      </c>
      <c r="D35" s="174">
        <v>911229</v>
      </c>
      <c r="E35" s="174">
        <v>881306</v>
      </c>
      <c r="F35" s="174">
        <v>903673</v>
      </c>
      <c r="G35" s="174">
        <v>1258369</v>
      </c>
      <c r="H35" s="174">
        <v>1202103</v>
      </c>
      <c r="I35" s="174">
        <v>1295457</v>
      </c>
      <c r="J35" s="174">
        <v>1127866</v>
      </c>
      <c r="K35" s="174">
        <v>1185698</v>
      </c>
      <c r="L35" s="407">
        <v>1523885</v>
      </c>
      <c r="M35" s="407">
        <v>1372645</v>
      </c>
      <c r="N35" s="407">
        <v>1648580</v>
      </c>
      <c r="O35" s="407">
        <v>1796746</v>
      </c>
      <c r="P35" s="407">
        <v>1771321</v>
      </c>
      <c r="Q35" s="407">
        <v>1913158</v>
      </c>
      <c r="R35" s="407">
        <v>1959765</v>
      </c>
      <c r="S35" s="407">
        <v>2115552</v>
      </c>
      <c r="T35" s="407">
        <v>2362451</v>
      </c>
      <c r="U35" s="407">
        <v>2358577</v>
      </c>
    </row>
    <row r="36" spans="1:21" ht="14" customHeight="1">
      <c r="A36" s="946" t="s">
        <v>65</v>
      </c>
      <c r="B36" s="174">
        <v>861678</v>
      </c>
      <c r="C36" s="174">
        <v>833660</v>
      </c>
      <c r="D36" s="174">
        <v>928960</v>
      </c>
      <c r="E36" s="174">
        <v>858384</v>
      </c>
      <c r="F36" s="174">
        <v>1029704</v>
      </c>
      <c r="G36" s="174">
        <v>1314867</v>
      </c>
      <c r="H36" s="174">
        <v>1257384</v>
      </c>
      <c r="I36" s="174">
        <v>1129395</v>
      </c>
      <c r="J36" s="174">
        <v>1138594</v>
      </c>
      <c r="K36" s="174">
        <v>1350468</v>
      </c>
      <c r="L36" s="407">
        <v>1520969</v>
      </c>
      <c r="M36" s="407">
        <v>1426797</v>
      </c>
      <c r="N36" s="407">
        <v>1522391</v>
      </c>
      <c r="O36" s="407">
        <v>1703118</v>
      </c>
      <c r="P36" s="407">
        <v>1889555</v>
      </c>
      <c r="Q36" s="407">
        <v>1901937</v>
      </c>
      <c r="R36" s="407">
        <v>1889768</v>
      </c>
      <c r="S36" s="407">
        <v>2185816</v>
      </c>
      <c r="T36" s="407">
        <v>2475970</v>
      </c>
      <c r="U36" s="407">
        <v>2359478</v>
      </c>
    </row>
    <row r="37" spans="1:21" ht="14" customHeight="1">
      <c r="A37" s="946" t="s">
        <v>66</v>
      </c>
      <c r="B37" s="174">
        <v>856494</v>
      </c>
      <c r="C37" s="174">
        <v>818475</v>
      </c>
      <c r="D37" s="174">
        <v>965411</v>
      </c>
      <c r="E37" s="174">
        <v>921904</v>
      </c>
      <c r="F37" s="174">
        <v>1031394</v>
      </c>
      <c r="G37" s="174">
        <v>1235154</v>
      </c>
      <c r="H37" s="174">
        <v>1276421</v>
      </c>
      <c r="I37" s="174">
        <v>1296954</v>
      </c>
      <c r="J37" s="174">
        <v>1271585</v>
      </c>
      <c r="K37" s="174">
        <v>1312318</v>
      </c>
      <c r="L37" s="407">
        <v>1598668</v>
      </c>
      <c r="M37" s="407">
        <v>1455818</v>
      </c>
      <c r="N37" s="407">
        <v>1809472</v>
      </c>
      <c r="O37" s="407">
        <v>1844197</v>
      </c>
      <c r="P37" s="407">
        <v>2005502</v>
      </c>
      <c r="Q37" s="407">
        <v>2035995</v>
      </c>
      <c r="R37" s="407">
        <v>1929638</v>
      </c>
      <c r="S37" s="407">
        <v>2370227</v>
      </c>
      <c r="T37" s="407">
        <v>2543178</v>
      </c>
      <c r="U37" s="407">
        <v>2519026</v>
      </c>
    </row>
    <row r="38" spans="1:21" ht="14" customHeight="1">
      <c r="A38" s="946" t="s">
        <v>67</v>
      </c>
      <c r="B38" s="174">
        <v>917278</v>
      </c>
      <c r="C38" s="174">
        <v>811598</v>
      </c>
      <c r="D38" s="174">
        <v>992630</v>
      </c>
      <c r="E38" s="174">
        <v>874105</v>
      </c>
      <c r="F38" s="174">
        <v>1049108</v>
      </c>
      <c r="G38" s="174">
        <v>1317612</v>
      </c>
      <c r="H38" s="174">
        <v>1170486</v>
      </c>
      <c r="I38" s="174">
        <v>1342764</v>
      </c>
      <c r="J38" s="174">
        <v>1320898</v>
      </c>
      <c r="K38" s="174">
        <v>1218744</v>
      </c>
      <c r="L38" s="407">
        <v>1492380</v>
      </c>
      <c r="M38" s="407">
        <v>1571726</v>
      </c>
      <c r="N38" s="407">
        <v>1708808</v>
      </c>
      <c r="O38" s="407">
        <v>1802465</v>
      </c>
      <c r="P38" s="407">
        <v>1912273</v>
      </c>
      <c r="Q38" s="407">
        <v>1821917</v>
      </c>
      <c r="R38" s="407">
        <v>1800852</v>
      </c>
      <c r="S38" s="407">
        <v>2269296</v>
      </c>
      <c r="T38" s="407">
        <v>2173332</v>
      </c>
      <c r="U38" s="407">
        <v>2472526</v>
      </c>
    </row>
    <row r="39" spans="1:21" ht="14" customHeight="1" thickBot="1">
      <c r="A39" s="147" t="s">
        <v>68</v>
      </c>
      <c r="B39" s="175">
        <v>900202</v>
      </c>
      <c r="C39" s="175">
        <v>811770</v>
      </c>
      <c r="D39" s="175">
        <v>977486</v>
      </c>
      <c r="E39" s="175">
        <v>946085</v>
      </c>
      <c r="F39" s="175">
        <v>1050768</v>
      </c>
      <c r="G39" s="175">
        <v>1337870</v>
      </c>
      <c r="H39" s="175">
        <v>1058644</v>
      </c>
      <c r="I39" s="175">
        <v>1326550</v>
      </c>
      <c r="J39" s="175">
        <v>1469914</v>
      </c>
      <c r="K39" s="175">
        <v>1402433</v>
      </c>
      <c r="L39" s="995">
        <v>1606726</v>
      </c>
      <c r="M39" s="995">
        <v>1524952</v>
      </c>
      <c r="N39" s="995">
        <v>1611383</v>
      </c>
      <c r="O39" s="995">
        <v>1740112</v>
      </c>
      <c r="P39" s="995">
        <v>1618330</v>
      </c>
      <c r="Q39" s="995">
        <v>1870634</v>
      </c>
      <c r="R39" s="995">
        <v>1897268</v>
      </c>
      <c r="S39" s="995">
        <v>2278805</v>
      </c>
      <c r="T39" s="995">
        <v>2234204</v>
      </c>
      <c r="U39" s="995">
        <v>2221235</v>
      </c>
    </row>
    <row r="40" spans="1:21" ht="10" customHeight="1">
      <c r="A40" s="28" t="s">
        <v>238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</row>
    <row r="41" spans="1:21" ht="10" customHeight="1">
      <c r="A41" s="982" t="s">
        <v>195</v>
      </c>
      <c r="B41" s="365"/>
      <c r="C41" s="365"/>
      <c r="D41" s="365"/>
      <c r="E41" s="365"/>
      <c r="F41" s="365"/>
      <c r="G41" s="365"/>
      <c r="H41" s="365"/>
      <c r="I41" s="365"/>
      <c r="J41" s="365"/>
      <c r="K41" s="365"/>
      <c r="L41" s="365"/>
      <c r="M41" s="365"/>
      <c r="N41" s="365"/>
      <c r="O41" s="365"/>
      <c r="P41" s="365"/>
      <c r="Q41" s="365"/>
      <c r="R41" s="365"/>
    </row>
    <row r="42" spans="1:21" ht="10" customHeight="1">
      <c r="A42" s="40" t="s">
        <v>261</v>
      </c>
      <c r="B42" s="365"/>
      <c r="C42" s="365"/>
      <c r="D42" s="365"/>
      <c r="E42" s="365"/>
      <c r="F42" s="365"/>
      <c r="G42" s="365"/>
      <c r="H42" s="365"/>
      <c r="I42" s="365"/>
      <c r="J42" s="365"/>
      <c r="K42" s="365"/>
      <c r="L42" s="365"/>
      <c r="M42" s="365"/>
      <c r="N42" s="365"/>
      <c r="O42" s="365"/>
      <c r="P42" s="365"/>
      <c r="Q42" s="365"/>
      <c r="R42" s="365"/>
    </row>
  </sheetData>
  <mergeCells count="1">
    <mergeCell ref="A1:E1"/>
  </mergeCells>
  <printOptions horizontalCentered="1" verticalCentered="1"/>
  <pageMargins left="0" right="0" top="0" bottom="0" header="0" footer="0"/>
  <pageSetup paperSize="9" orientation="portrait"/>
  <headerFooter scaleWithDoc="0" alignWithMargins="0"/>
  <rowBreaks count="1" manualBreakCount="1">
    <brk id="22" max="16383" man="1"/>
  </row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Hoja126">
    <tabColor theme="9" tint="0.59999389629810485"/>
  </sheetPr>
  <dimension ref="A1:O43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1" style="167" customWidth="1"/>
    <col min="2" max="2" width="8.3984375" style="167" customWidth="1"/>
    <col min="3" max="14" width="8.59765625" style="167" customWidth="1"/>
    <col min="15" max="16384" width="7" style="167"/>
  </cols>
  <sheetData>
    <row r="1" spans="1:14" ht="13" customHeight="1">
      <c r="A1" s="66"/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</row>
    <row r="2" spans="1:14" ht="19" customHeight="1">
      <c r="A2" s="999" t="s">
        <v>562</v>
      </c>
      <c r="B2" s="1017"/>
      <c r="C2" s="1000"/>
      <c r="D2" s="1000"/>
      <c r="E2" s="1000"/>
      <c r="F2" s="1000"/>
      <c r="G2" s="1000"/>
      <c r="H2" s="1000"/>
      <c r="I2" s="1000"/>
      <c r="J2" s="1000"/>
      <c r="K2" s="1000"/>
      <c r="L2" s="1000"/>
      <c r="M2" s="1000"/>
      <c r="N2" s="1000"/>
    </row>
    <row r="3" spans="1:14" ht="13" customHeight="1">
      <c r="A3" s="996" t="s">
        <v>540</v>
      </c>
      <c r="B3" s="1018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</row>
    <row r="4" spans="1:14" ht="4" customHeight="1" thickBot="1">
      <c r="A4" s="168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</row>
    <row r="5" spans="1:14" ht="15" customHeight="1">
      <c r="A5" s="1001" t="s">
        <v>18</v>
      </c>
      <c r="B5" s="1002" t="s">
        <v>118</v>
      </c>
      <c r="C5" s="1002" t="s">
        <v>57</v>
      </c>
      <c r="D5" s="1002" t="s">
        <v>58</v>
      </c>
      <c r="E5" s="1002" t="s">
        <v>59</v>
      </c>
      <c r="F5" s="1002" t="s">
        <v>60</v>
      </c>
      <c r="G5" s="1002" t="s">
        <v>61</v>
      </c>
      <c r="H5" s="1002" t="s">
        <v>62</v>
      </c>
      <c r="I5" s="1002" t="s">
        <v>63</v>
      </c>
      <c r="J5" s="1002" t="s">
        <v>64</v>
      </c>
      <c r="K5" s="1002" t="s">
        <v>65</v>
      </c>
      <c r="L5" s="1002" t="s">
        <v>66</v>
      </c>
      <c r="M5" s="1002" t="s">
        <v>67</v>
      </c>
      <c r="N5" s="1002" t="s">
        <v>68</v>
      </c>
    </row>
    <row r="6" spans="1:14" ht="15" customHeight="1">
      <c r="A6" s="1005" t="s">
        <v>100</v>
      </c>
      <c r="B6" s="1006">
        <f>SUM(C6:N6)</f>
        <v>6506566</v>
      </c>
      <c r="C6" s="1022">
        <f t="shared" ref="C6:N6" si="0">+C8+C16+C25+C34</f>
        <v>665925</v>
      </c>
      <c r="D6" s="1022">
        <f t="shared" si="0"/>
        <v>675847</v>
      </c>
      <c r="E6" s="1022">
        <f t="shared" si="0"/>
        <v>488934</v>
      </c>
      <c r="F6" s="1022">
        <f t="shared" si="0"/>
        <v>531003</v>
      </c>
      <c r="G6" s="1022">
        <f t="shared" si="0"/>
        <v>394270</v>
      </c>
      <c r="H6" s="1022">
        <f t="shared" si="0"/>
        <v>551422</v>
      </c>
      <c r="I6" s="1022">
        <f t="shared" si="0"/>
        <v>588491</v>
      </c>
      <c r="J6" s="1022">
        <f t="shared" si="0"/>
        <v>585468</v>
      </c>
      <c r="K6" s="1022">
        <f t="shared" si="0"/>
        <v>545789</v>
      </c>
      <c r="L6" s="1022">
        <f t="shared" si="0"/>
        <v>546467</v>
      </c>
      <c r="M6" s="1022">
        <f t="shared" si="0"/>
        <v>429668</v>
      </c>
      <c r="N6" s="1022">
        <f t="shared" si="0"/>
        <v>503282</v>
      </c>
    </row>
    <row r="7" spans="1:14" ht="4" customHeight="1">
      <c r="B7" s="173"/>
      <c r="C7" s="1023"/>
      <c r="D7" s="1023"/>
      <c r="E7" s="1023"/>
      <c r="F7" s="1023"/>
      <c r="G7" s="1023"/>
      <c r="H7" s="1023"/>
      <c r="I7" s="1023"/>
      <c r="J7" s="1023"/>
      <c r="K7" s="1023"/>
      <c r="L7" s="1023"/>
      <c r="M7" s="1023"/>
      <c r="N7" s="1023"/>
    </row>
    <row r="8" spans="1:14" ht="12" customHeight="1">
      <c r="A8" s="1015" t="s">
        <v>157</v>
      </c>
      <c r="B8" s="1009">
        <f>SUM(C8:N8)</f>
        <v>1650092</v>
      </c>
      <c r="C8" s="1024">
        <f t="shared" ref="C8:N8" si="1">SUM(C9:C14)</f>
        <v>142215</v>
      </c>
      <c r="D8" s="1024">
        <f t="shared" si="1"/>
        <v>203542</v>
      </c>
      <c r="E8" s="1024">
        <f t="shared" si="1"/>
        <v>104642</v>
      </c>
      <c r="F8" s="1024">
        <f t="shared" si="1"/>
        <v>155598</v>
      </c>
      <c r="G8" s="1024">
        <f t="shared" si="1"/>
        <v>115082</v>
      </c>
      <c r="H8" s="1024">
        <f t="shared" si="1"/>
        <v>164496</v>
      </c>
      <c r="I8" s="1024">
        <f t="shared" si="1"/>
        <v>94616</v>
      </c>
      <c r="J8" s="1024">
        <f t="shared" si="1"/>
        <v>245608</v>
      </c>
      <c r="K8" s="1024">
        <f t="shared" si="1"/>
        <v>121869</v>
      </c>
      <c r="L8" s="1024">
        <f t="shared" si="1"/>
        <v>109585</v>
      </c>
      <c r="M8" s="1024">
        <f t="shared" si="1"/>
        <v>112586</v>
      </c>
      <c r="N8" s="1024">
        <f t="shared" si="1"/>
        <v>80253</v>
      </c>
    </row>
    <row r="9" spans="1:14" ht="11.5" customHeight="1">
      <c r="A9" s="167" t="s">
        <v>21</v>
      </c>
      <c r="B9" s="1009">
        <f t="shared" ref="B9:B14" si="2">SUM(C9:N9)</f>
        <v>0</v>
      </c>
      <c r="C9" s="1023">
        <v>0</v>
      </c>
      <c r="D9" s="1023">
        <v>0</v>
      </c>
      <c r="E9" s="1023">
        <v>0</v>
      </c>
      <c r="F9" s="1023">
        <v>0</v>
      </c>
      <c r="G9" s="1023">
        <v>0</v>
      </c>
      <c r="H9" s="1023">
        <v>0</v>
      </c>
      <c r="I9" s="1023">
        <v>0</v>
      </c>
      <c r="J9" s="1023">
        <v>0</v>
      </c>
      <c r="K9" s="1023">
        <v>0</v>
      </c>
      <c r="L9" s="1023">
        <v>0</v>
      </c>
      <c r="M9" s="1023">
        <v>0</v>
      </c>
      <c r="N9" s="1023">
        <v>0</v>
      </c>
    </row>
    <row r="10" spans="1:14" ht="11.5" customHeight="1">
      <c r="A10" s="167" t="s">
        <v>22</v>
      </c>
      <c r="B10" s="1009">
        <f t="shared" si="2"/>
        <v>0</v>
      </c>
      <c r="C10" s="1023">
        <v>0</v>
      </c>
      <c r="D10" s="1023">
        <v>0</v>
      </c>
      <c r="E10" s="1023">
        <v>0</v>
      </c>
      <c r="F10" s="1023">
        <v>0</v>
      </c>
      <c r="G10" s="1023">
        <v>0</v>
      </c>
      <c r="H10" s="1023">
        <v>0</v>
      </c>
      <c r="I10" s="1023">
        <v>0</v>
      </c>
      <c r="J10" s="1023">
        <v>0</v>
      </c>
      <c r="K10" s="1023">
        <v>0</v>
      </c>
      <c r="L10" s="1023">
        <v>0</v>
      </c>
      <c r="M10" s="1023">
        <v>0</v>
      </c>
      <c r="N10" s="1023">
        <v>0</v>
      </c>
    </row>
    <row r="11" spans="1:14" ht="11.5" customHeight="1">
      <c r="A11" s="167" t="s">
        <v>23</v>
      </c>
      <c r="B11" s="1009">
        <f t="shared" si="2"/>
        <v>0</v>
      </c>
      <c r="C11" s="1023">
        <v>0</v>
      </c>
      <c r="D11" s="1023">
        <v>0</v>
      </c>
      <c r="E11" s="1023">
        <v>0</v>
      </c>
      <c r="F11" s="1023">
        <v>0</v>
      </c>
      <c r="G11" s="1023">
        <v>0</v>
      </c>
      <c r="H11" s="1023">
        <v>0</v>
      </c>
      <c r="I11" s="1023">
        <v>0</v>
      </c>
      <c r="J11" s="1023">
        <v>0</v>
      </c>
      <c r="K11" s="1023">
        <v>0</v>
      </c>
      <c r="L11" s="1023">
        <v>0</v>
      </c>
      <c r="M11" s="1023">
        <v>0</v>
      </c>
      <c r="N11" s="1023">
        <v>0</v>
      </c>
    </row>
    <row r="12" spans="1:14" ht="11.5" customHeight="1">
      <c r="A12" s="167" t="s">
        <v>24</v>
      </c>
      <c r="B12" s="1009">
        <f t="shared" si="2"/>
        <v>1647388</v>
      </c>
      <c r="C12" s="1023">
        <v>140863</v>
      </c>
      <c r="D12" s="1023">
        <v>203542</v>
      </c>
      <c r="E12" s="1023">
        <v>104642</v>
      </c>
      <c r="F12" s="1023">
        <v>155598</v>
      </c>
      <c r="G12" s="1023">
        <v>115082</v>
      </c>
      <c r="H12" s="1023">
        <v>164496</v>
      </c>
      <c r="I12" s="1023">
        <v>93264</v>
      </c>
      <c r="J12" s="1023">
        <v>245608</v>
      </c>
      <c r="K12" s="1023">
        <v>121869</v>
      </c>
      <c r="L12" s="1023">
        <v>109585</v>
      </c>
      <c r="M12" s="1023">
        <v>112586</v>
      </c>
      <c r="N12" s="1023">
        <v>80253</v>
      </c>
    </row>
    <row r="13" spans="1:14" ht="11.5" customHeight="1">
      <c r="A13" s="167" t="s">
        <v>25</v>
      </c>
      <c r="B13" s="1009">
        <f t="shared" si="2"/>
        <v>2704</v>
      </c>
      <c r="C13" s="1023">
        <v>1352</v>
      </c>
      <c r="D13" s="1023">
        <v>0</v>
      </c>
      <c r="E13" s="1023">
        <v>0</v>
      </c>
      <c r="F13" s="1023">
        <v>0</v>
      </c>
      <c r="G13" s="1023">
        <v>0</v>
      </c>
      <c r="H13" s="1023">
        <v>0</v>
      </c>
      <c r="I13" s="1023">
        <v>1352</v>
      </c>
      <c r="J13" s="1023">
        <v>0</v>
      </c>
      <c r="K13" s="1023">
        <v>0</v>
      </c>
      <c r="L13" s="1023">
        <v>0</v>
      </c>
      <c r="M13" s="1023">
        <v>0</v>
      </c>
      <c r="N13" s="1023">
        <v>0</v>
      </c>
    </row>
    <row r="14" spans="1:14" ht="11.5" customHeight="1">
      <c r="A14" s="167" t="s">
        <v>29</v>
      </c>
      <c r="B14" s="1009">
        <f t="shared" si="2"/>
        <v>0</v>
      </c>
      <c r="C14" s="1023">
        <v>0</v>
      </c>
      <c r="D14" s="1023">
        <v>0</v>
      </c>
      <c r="E14" s="1023">
        <v>0</v>
      </c>
      <c r="F14" s="1023">
        <v>0</v>
      </c>
      <c r="G14" s="1023">
        <v>0</v>
      </c>
      <c r="H14" s="1023">
        <v>0</v>
      </c>
      <c r="I14" s="1023">
        <v>0</v>
      </c>
      <c r="J14" s="1023">
        <v>0</v>
      </c>
      <c r="K14" s="1023">
        <v>0</v>
      </c>
      <c r="L14" s="1023">
        <v>0</v>
      </c>
      <c r="M14" s="1023">
        <v>0</v>
      </c>
      <c r="N14" s="1023">
        <v>0</v>
      </c>
    </row>
    <row r="15" spans="1:14" ht="4" customHeight="1">
      <c r="B15" s="1009"/>
      <c r="C15" s="1023"/>
      <c r="D15" s="1023"/>
      <c r="E15" s="1023"/>
      <c r="F15" s="1023"/>
      <c r="G15" s="1023"/>
      <c r="H15" s="1023"/>
      <c r="I15" s="1023"/>
      <c r="J15" s="1023"/>
      <c r="K15" s="1023"/>
      <c r="L15" s="1023"/>
      <c r="M15" s="1023"/>
      <c r="N15" s="1023"/>
    </row>
    <row r="16" spans="1:14" ht="12" customHeight="1">
      <c r="A16" s="1015" t="s">
        <v>163</v>
      </c>
      <c r="B16" s="1009">
        <f>SUM(C16:N16)</f>
        <v>4351434</v>
      </c>
      <c r="C16" s="1024">
        <f>SUM(C17:C23)</f>
        <v>474710</v>
      </c>
      <c r="D16" s="1024">
        <f t="shared" ref="D16:N16" si="3">SUM(D17:D23)</f>
        <v>428585</v>
      </c>
      <c r="E16" s="1024">
        <f t="shared" si="3"/>
        <v>325552</v>
      </c>
      <c r="F16" s="1024">
        <f t="shared" si="3"/>
        <v>341485</v>
      </c>
      <c r="G16" s="1024">
        <f t="shared" si="3"/>
        <v>210448</v>
      </c>
      <c r="H16" s="1024">
        <f t="shared" si="3"/>
        <v>376006</v>
      </c>
      <c r="I16" s="1024">
        <f t="shared" si="3"/>
        <v>447875</v>
      </c>
      <c r="J16" s="1024">
        <f t="shared" si="3"/>
        <v>304860</v>
      </c>
      <c r="K16" s="1024">
        <f t="shared" si="3"/>
        <v>384420</v>
      </c>
      <c r="L16" s="1024">
        <f t="shared" si="3"/>
        <v>390882</v>
      </c>
      <c r="M16" s="1024">
        <f t="shared" si="3"/>
        <v>277582</v>
      </c>
      <c r="N16" s="1024">
        <f t="shared" si="3"/>
        <v>389029</v>
      </c>
    </row>
    <row r="17" spans="1:14" ht="11.5" customHeight="1">
      <c r="A17" s="167" t="s">
        <v>30</v>
      </c>
      <c r="B17" s="1009">
        <f t="shared" ref="B17:B23" si="4">SUM(C17:N17)</f>
        <v>0</v>
      </c>
      <c r="C17" s="1023">
        <v>0</v>
      </c>
      <c r="D17" s="1023">
        <v>0</v>
      </c>
      <c r="E17" s="1023">
        <v>0</v>
      </c>
      <c r="F17" s="1023">
        <v>0</v>
      </c>
      <c r="G17" s="1023">
        <v>0</v>
      </c>
      <c r="H17" s="1023">
        <v>0</v>
      </c>
      <c r="I17" s="1023">
        <v>0</v>
      </c>
      <c r="J17" s="1023">
        <v>0</v>
      </c>
      <c r="K17" s="1023">
        <v>0</v>
      </c>
      <c r="L17" s="1023">
        <v>0</v>
      </c>
      <c r="M17" s="1023">
        <v>0</v>
      </c>
      <c r="N17" s="1023">
        <v>0</v>
      </c>
    </row>
    <row r="18" spans="1:14" ht="11.5" customHeight="1">
      <c r="A18" s="167" t="s">
        <v>31</v>
      </c>
      <c r="B18" s="1009">
        <f t="shared" si="4"/>
        <v>3687759</v>
      </c>
      <c r="C18" s="1023">
        <v>407710</v>
      </c>
      <c r="D18" s="1023">
        <v>373921</v>
      </c>
      <c r="E18" s="1023">
        <v>284152</v>
      </c>
      <c r="F18" s="1023">
        <v>317485</v>
      </c>
      <c r="G18" s="1023">
        <v>136965</v>
      </c>
      <c r="H18" s="1023">
        <v>368006</v>
      </c>
      <c r="I18" s="1023">
        <v>391375</v>
      </c>
      <c r="J18" s="1023">
        <v>189980</v>
      </c>
      <c r="K18" s="1023">
        <v>306420</v>
      </c>
      <c r="L18" s="1023">
        <v>320502</v>
      </c>
      <c r="M18" s="1023">
        <v>242402</v>
      </c>
      <c r="N18" s="1023">
        <v>348841</v>
      </c>
    </row>
    <row r="19" spans="1:14" ht="11.5" customHeight="1">
      <c r="A19" s="169" t="s">
        <v>32</v>
      </c>
      <c r="B19" s="1009">
        <f t="shared" si="4"/>
        <v>663675</v>
      </c>
      <c r="C19" s="1023">
        <v>67000</v>
      </c>
      <c r="D19" s="1023">
        <v>54664</v>
      </c>
      <c r="E19" s="1023">
        <v>41400</v>
      </c>
      <c r="F19" s="1023">
        <v>24000</v>
      </c>
      <c r="G19" s="1023">
        <v>73483</v>
      </c>
      <c r="H19" s="1023">
        <v>8000</v>
      </c>
      <c r="I19" s="1023">
        <v>56500</v>
      </c>
      <c r="J19" s="1023">
        <v>114880</v>
      </c>
      <c r="K19" s="1023">
        <v>78000</v>
      </c>
      <c r="L19" s="1023">
        <v>70380</v>
      </c>
      <c r="M19" s="1023">
        <v>35180</v>
      </c>
      <c r="N19" s="1023">
        <v>40188</v>
      </c>
    </row>
    <row r="20" spans="1:14" ht="11.5" customHeight="1">
      <c r="A20" s="169" t="s">
        <v>33</v>
      </c>
      <c r="B20" s="1009">
        <f t="shared" si="4"/>
        <v>0</v>
      </c>
      <c r="C20" s="1023">
        <v>0</v>
      </c>
      <c r="D20" s="1023">
        <v>0</v>
      </c>
      <c r="E20" s="1023">
        <v>0</v>
      </c>
      <c r="F20" s="1023">
        <v>0</v>
      </c>
      <c r="G20" s="1023">
        <v>0</v>
      </c>
      <c r="H20" s="1023">
        <v>0</v>
      </c>
      <c r="I20" s="1023">
        <v>0</v>
      </c>
      <c r="J20" s="1023">
        <v>0</v>
      </c>
      <c r="K20" s="1023">
        <v>0</v>
      </c>
      <c r="L20" s="1023">
        <v>0</v>
      </c>
      <c r="M20" s="1023">
        <v>0</v>
      </c>
      <c r="N20" s="1023">
        <v>0</v>
      </c>
    </row>
    <row r="21" spans="1:14" ht="11.5" customHeight="1">
      <c r="A21" s="169" t="s">
        <v>36</v>
      </c>
      <c r="B21" s="1009">
        <f t="shared" si="4"/>
        <v>0</v>
      </c>
      <c r="C21" s="1023">
        <v>0</v>
      </c>
      <c r="D21" s="1023">
        <v>0</v>
      </c>
      <c r="E21" s="1023">
        <v>0</v>
      </c>
      <c r="F21" s="1023">
        <v>0</v>
      </c>
      <c r="G21" s="1023">
        <v>0</v>
      </c>
      <c r="H21" s="1023">
        <v>0</v>
      </c>
      <c r="I21" s="1023">
        <v>0</v>
      </c>
      <c r="J21" s="1023">
        <v>0</v>
      </c>
      <c r="K21" s="1023">
        <v>0</v>
      </c>
      <c r="L21" s="1023">
        <v>0</v>
      </c>
      <c r="M21" s="1023">
        <v>0</v>
      </c>
      <c r="N21" s="1023">
        <v>0</v>
      </c>
    </row>
    <row r="22" spans="1:14" ht="11.5" customHeight="1">
      <c r="A22" s="169" t="s">
        <v>35</v>
      </c>
      <c r="B22" s="1009">
        <f t="shared" si="4"/>
        <v>0</v>
      </c>
      <c r="C22" s="1023">
        <v>0</v>
      </c>
      <c r="D22" s="1023">
        <v>0</v>
      </c>
      <c r="E22" s="1023">
        <v>0</v>
      </c>
      <c r="F22" s="1023">
        <v>0</v>
      </c>
      <c r="G22" s="1023">
        <v>0</v>
      </c>
      <c r="H22" s="1023">
        <v>0</v>
      </c>
      <c r="I22" s="1023">
        <v>0</v>
      </c>
      <c r="J22" s="1023">
        <v>0</v>
      </c>
      <c r="K22" s="1023">
        <v>0</v>
      </c>
      <c r="L22" s="1023">
        <v>0</v>
      </c>
      <c r="M22" s="1023">
        <v>0</v>
      </c>
      <c r="N22" s="1023">
        <v>0</v>
      </c>
    </row>
    <row r="23" spans="1:14" ht="11.5" customHeight="1">
      <c r="A23" s="167" t="s">
        <v>34</v>
      </c>
      <c r="B23" s="1009">
        <f t="shared" si="4"/>
        <v>0</v>
      </c>
      <c r="C23" s="1023">
        <v>0</v>
      </c>
      <c r="D23" s="1023">
        <v>0</v>
      </c>
      <c r="E23" s="1023">
        <v>0</v>
      </c>
      <c r="F23" s="1023">
        <v>0</v>
      </c>
      <c r="G23" s="1023">
        <v>0</v>
      </c>
      <c r="H23" s="1023">
        <v>0</v>
      </c>
      <c r="I23" s="1023">
        <v>0</v>
      </c>
      <c r="J23" s="1023">
        <v>0</v>
      </c>
      <c r="K23" s="1023">
        <v>0</v>
      </c>
      <c r="L23" s="1023">
        <v>0</v>
      </c>
      <c r="M23" s="1023">
        <v>0</v>
      </c>
      <c r="N23" s="1023">
        <v>0</v>
      </c>
    </row>
    <row r="24" spans="1:14" ht="4" customHeight="1">
      <c r="B24" s="1009"/>
      <c r="C24" s="1023"/>
      <c r="D24" s="1023"/>
      <c r="E24" s="1023"/>
      <c r="F24" s="1023"/>
      <c r="G24" s="1023"/>
      <c r="H24" s="1023"/>
      <c r="I24" s="1023"/>
      <c r="J24" s="1023"/>
      <c r="K24" s="1023"/>
      <c r="L24" s="1023"/>
      <c r="M24" s="1023"/>
      <c r="N24" s="1023"/>
    </row>
    <row r="25" spans="1:14" ht="12" customHeight="1">
      <c r="A25" s="1015" t="s">
        <v>164</v>
      </c>
      <c r="B25" s="1009">
        <f>SUM(C25:N25)</f>
        <v>443880</v>
      </c>
      <c r="C25" s="1024">
        <f>SUM(C26:C32)</f>
        <v>38000</v>
      </c>
      <c r="D25" s="1024">
        <f t="shared" ref="D25:N25" si="5">SUM(D26:D32)</f>
        <v>38000</v>
      </c>
      <c r="E25" s="1024">
        <f t="shared" si="5"/>
        <v>58740</v>
      </c>
      <c r="F25" s="1024">
        <f t="shared" si="5"/>
        <v>17200</v>
      </c>
      <c r="G25" s="1024">
        <f t="shared" si="5"/>
        <v>68740</v>
      </c>
      <c r="H25" s="1024">
        <f t="shared" si="5"/>
        <v>5200</v>
      </c>
      <c r="I25" s="1024">
        <f t="shared" si="5"/>
        <v>35000</v>
      </c>
      <c r="J25" s="1024">
        <f t="shared" si="5"/>
        <v>35000</v>
      </c>
      <c r="K25" s="1024">
        <f t="shared" si="5"/>
        <v>39500</v>
      </c>
      <c r="L25" s="1024">
        <f t="shared" si="5"/>
        <v>35000</v>
      </c>
      <c r="M25" s="1024">
        <f t="shared" si="5"/>
        <v>39500</v>
      </c>
      <c r="N25" s="1024">
        <f t="shared" si="5"/>
        <v>34000</v>
      </c>
    </row>
    <row r="26" spans="1:14" ht="11.5" customHeight="1">
      <c r="A26" s="169" t="s">
        <v>560</v>
      </c>
      <c r="B26" s="1009">
        <f t="shared" ref="B26:B32" si="6">SUM(C26:N26)</f>
        <v>421000</v>
      </c>
      <c r="C26" s="1023">
        <v>38000</v>
      </c>
      <c r="D26" s="1023">
        <v>38000</v>
      </c>
      <c r="E26" s="1023">
        <v>52500</v>
      </c>
      <c r="F26" s="1023">
        <v>12000</v>
      </c>
      <c r="G26" s="1023">
        <v>62500</v>
      </c>
      <c r="H26" s="1023">
        <v>0</v>
      </c>
      <c r="I26" s="1023">
        <v>35000</v>
      </c>
      <c r="J26" s="1023">
        <v>35000</v>
      </c>
      <c r="K26" s="1023">
        <v>39500</v>
      </c>
      <c r="L26" s="1023">
        <v>35000</v>
      </c>
      <c r="M26" s="1023">
        <v>39500</v>
      </c>
      <c r="N26" s="1023">
        <v>34000</v>
      </c>
    </row>
    <row r="27" spans="1:14" ht="11.5" customHeight="1">
      <c r="A27" s="169" t="s">
        <v>38</v>
      </c>
      <c r="B27" s="1010">
        <v>0</v>
      </c>
      <c r="C27" s="1023">
        <v>0</v>
      </c>
      <c r="D27" s="1023">
        <v>0</v>
      </c>
      <c r="E27" s="1023">
        <v>0</v>
      </c>
      <c r="F27" s="1023">
        <v>0</v>
      </c>
      <c r="G27" s="1023">
        <v>0</v>
      </c>
      <c r="H27" s="1023">
        <v>0</v>
      </c>
      <c r="I27" s="1023">
        <v>0</v>
      </c>
      <c r="J27" s="1023">
        <v>0</v>
      </c>
      <c r="K27" s="1023">
        <v>0</v>
      </c>
      <c r="L27" s="1023">
        <v>0</v>
      </c>
      <c r="M27" s="1023">
        <v>0</v>
      </c>
      <c r="N27" s="1023">
        <v>0</v>
      </c>
    </row>
    <row r="28" spans="1:14" ht="11.5" customHeight="1">
      <c r="A28" s="169" t="s">
        <v>39</v>
      </c>
      <c r="B28" s="1009">
        <f t="shared" si="6"/>
        <v>22880</v>
      </c>
      <c r="C28" s="1023">
        <v>0</v>
      </c>
      <c r="D28" s="1023">
        <v>0</v>
      </c>
      <c r="E28" s="1023">
        <v>6240</v>
      </c>
      <c r="F28" s="1023">
        <v>5200</v>
      </c>
      <c r="G28" s="1023">
        <v>6240</v>
      </c>
      <c r="H28" s="1023">
        <v>5200</v>
      </c>
      <c r="I28" s="1023">
        <v>0</v>
      </c>
      <c r="J28" s="1023">
        <v>0</v>
      </c>
      <c r="K28" s="1023">
        <v>0</v>
      </c>
      <c r="L28" s="1023">
        <v>0</v>
      </c>
      <c r="M28" s="1023">
        <v>0</v>
      </c>
      <c r="N28" s="1023">
        <v>0</v>
      </c>
    </row>
    <row r="29" spans="1:14" ht="11.5" customHeight="1">
      <c r="A29" s="169" t="s">
        <v>40</v>
      </c>
      <c r="B29" s="1009">
        <f t="shared" si="6"/>
        <v>0</v>
      </c>
      <c r="C29" s="1023">
        <v>0</v>
      </c>
      <c r="D29" s="1023">
        <v>0</v>
      </c>
      <c r="E29" s="1023">
        <v>0</v>
      </c>
      <c r="F29" s="1023">
        <v>0</v>
      </c>
      <c r="G29" s="1023">
        <v>0</v>
      </c>
      <c r="H29" s="1023">
        <v>0</v>
      </c>
      <c r="I29" s="1023">
        <v>0</v>
      </c>
      <c r="J29" s="1023">
        <v>0</v>
      </c>
      <c r="K29" s="1023">
        <v>0</v>
      </c>
      <c r="L29" s="1023">
        <v>0</v>
      </c>
      <c r="M29" s="1023">
        <v>0</v>
      </c>
      <c r="N29" s="1023">
        <v>0</v>
      </c>
    </row>
    <row r="30" spans="1:14" ht="11.5" customHeight="1">
      <c r="A30" s="169" t="s">
        <v>41</v>
      </c>
      <c r="B30" s="1009">
        <f t="shared" si="6"/>
        <v>0</v>
      </c>
      <c r="C30" s="1023">
        <v>0</v>
      </c>
      <c r="D30" s="1023">
        <v>0</v>
      </c>
      <c r="E30" s="1023">
        <v>0</v>
      </c>
      <c r="F30" s="1023">
        <v>0</v>
      </c>
      <c r="G30" s="1023">
        <v>0</v>
      </c>
      <c r="H30" s="1023">
        <v>0</v>
      </c>
      <c r="I30" s="1023">
        <v>0</v>
      </c>
      <c r="J30" s="1023">
        <v>0</v>
      </c>
      <c r="K30" s="1023">
        <v>0</v>
      </c>
      <c r="L30" s="1023">
        <v>0</v>
      </c>
      <c r="M30" s="1023">
        <v>0</v>
      </c>
      <c r="N30" s="1023">
        <v>0</v>
      </c>
    </row>
    <row r="31" spans="1:14" ht="11.5" customHeight="1">
      <c r="A31" s="169" t="s">
        <v>44</v>
      </c>
      <c r="B31" s="1009">
        <f t="shared" si="6"/>
        <v>0</v>
      </c>
      <c r="C31" s="1023">
        <v>0</v>
      </c>
      <c r="D31" s="1023">
        <v>0</v>
      </c>
      <c r="E31" s="1023">
        <v>0</v>
      </c>
      <c r="F31" s="1023">
        <v>0</v>
      </c>
      <c r="G31" s="1023">
        <v>0</v>
      </c>
      <c r="H31" s="1023">
        <v>0</v>
      </c>
      <c r="I31" s="1023">
        <v>0</v>
      </c>
      <c r="J31" s="1023">
        <v>0</v>
      </c>
      <c r="K31" s="1023">
        <v>0</v>
      </c>
      <c r="L31" s="1023">
        <v>0</v>
      </c>
      <c r="M31" s="1023">
        <v>0</v>
      </c>
      <c r="N31" s="1023">
        <v>0</v>
      </c>
    </row>
    <row r="32" spans="1:14" ht="11.5" customHeight="1">
      <c r="A32" s="169" t="s">
        <v>45</v>
      </c>
      <c r="B32" s="1009">
        <f t="shared" si="6"/>
        <v>0</v>
      </c>
      <c r="C32" s="1023">
        <v>0</v>
      </c>
      <c r="D32" s="1023">
        <v>0</v>
      </c>
      <c r="E32" s="1023">
        <v>0</v>
      </c>
      <c r="F32" s="1023">
        <v>0</v>
      </c>
      <c r="G32" s="1023">
        <v>0</v>
      </c>
      <c r="H32" s="1023">
        <v>0</v>
      </c>
      <c r="I32" s="1023">
        <v>0</v>
      </c>
      <c r="J32" s="1023">
        <v>0</v>
      </c>
      <c r="K32" s="1023">
        <v>0</v>
      </c>
      <c r="L32" s="1023">
        <v>0</v>
      </c>
      <c r="M32" s="1023">
        <v>0</v>
      </c>
      <c r="N32" s="1023">
        <v>0</v>
      </c>
    </row>
    <row r="33" spans="1:15" ht="4" customHeight="1">
      <c r="B33" s="1009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</row>
    <row r="34" spans="1:15" ht="12" customHeight="1">
      <c r="A34" s="1015" t="s">
        <v>170</v>
      </c>
      <c r="B34" s="1009">
        <f>SUM(C34:N34)</f>
        <v>61160</v>
      </c>
      <c r="C34" s="1024">
        <f>SUM(C35:C38)</f>
        <v>11000</v>
      </c>
      <c r="D34" s="1024">
        <f t="shared" ref="D34:N34" si="7">SUM(D35:D38)</f>
        <v>5720</v>
      </c>
      <c r="E34" s="1024">
        <f t="shared" si="7"/>
        <v>0</v>
      </c>
      <c r="F34" s="1024">
        <f t="shared" si="7"/>
        <v>16720</v>
      </c>
      <c r="G34" s="1024">
        <f t="shared" si="7"/>
        <v>0</v>
      </c>
      <c r="H34" s="1024">
        <f t="shared" si="7"/>
        <v>5720</v>
      </c>
      <c r="I34" s="1024">
        <f t="shared" si="7"/>
        <v>11000</v>
      </c>
      <c r="J34" s="1024">
        <f t="shared" si="7"/>
        <v>0</v>
      </c>
      <c r="K34" s="1024">
        <f t="shared" si="7"/>
        <v>0</v>
      </c>
      <c r="L34" s="1024">
        <f t="shared" si="7"/>
        <v>11000</v>
      </c>
      <c r="M34" s="1024">
        <f t="shared" si="7"/>
        <v>0</v>
      </c>
      <c r="N34" s="1024">
        <f t="shared" si="7"/>
        <v>0</v>
      </c>
    </row>
    <row r="35" spans="1:15" ht="11.5" customHeight="1">
      <c r="A35" s="169" t="s">
        <v>46</v>
      </c>
      <c r="B35" s="1009">
        <f>SUM(C35:N35)</f>
        <v>44000</v>
      </c>
      <c r="C35" s="1023">
        <v>11000</v>
      </c>
      <c r="D35" s="1023">
        <v>0</v>
      </c>
      <c r="E35" s="1023">
        <v>0</v>
      </c>
      <c r="F35" s="1023">
        <v>11000</v>
      </c>
      <c r="G35" s="1023">
        <v>0</v>
      </c>
      <c r="H35" s="1023">
        <v>0</v>
      </c>
      <c r="I35" s="1023">
        <v>11000</v>
      </c>
      <c r="J35" s="1023">
        <v>0</v>
      </c>
      <c r="K35" s="1023">
        <v>0</v>
      </c>
      <c r="L35" s="1023">
        <v>11000</v>
      </c>
      <c r="M35" s="1023">
        <v>0</v>
      </c>
      <c r="N35" s="1023">
        <v>0</v>
      </c>
    </row>
    <row r="36" spans="1:15" ht="11.5" customHeight="1">
      <c r="A36" s="169" t="s">
        <v>47</v>
      </c>
      <c r="B36" s="1009">
        <f>SUM(C36:N36)</f>
        <v>0</v>
      </c>
      <c r="C36" s="1023">
        <v>0</v>
      </c>
      <c r="D36" s="1023">
        <v>0</v>
      </c>
      <c r="E36" s="1023">
        <v>0</v>
      </c>
      <c r="F36" s="1023">
        <v>0</v>
      </c>
      <c r="G36" s="1023">
        <v>0</v>
      </c>
      <c r="H36" s="1023">
        <v>0</v>
      </c>
      <c r="I36" s="1023">
        <v>0</v>
      </c>
      <c r="J36" s="1023">
        <v>0</v>
      </c>
      <c r="K36" s="1023">
        <v>0</v>
      </c>
      <c r="L36" s="1023">
        <v>0</v>
      </c>
      <c r="M36" s="1023">
        <v>0</v>
      </c>
      <c r="N36" s="1023">
        <v>0</v>
      </c>
    </row>
    <row r="37" spans="1:15" ht="11.5" customHeight="1">
      <c r="A37" s="169" t="s">
        <v>48</v>
      </c>
      <c r="B37" s="1009">
        <f>SUM(C37:N37)</f>
        <v>0</v>
      </c>
      <c r="C37" s="1023">
        <v>0</v>
      </c>
      <c r="D37" s="1023">
        <v>0</v>
      </c>
      <c r="E37" s="1023">
        <v>0</v>
      </c>
      <c r="F37" s="1023">
        <v>0</v>
      </c>
      <c r="G37" s="1023">
        <v>0</v>
      </c>
      <c r="H37" s="1023">
        <v>0</v>
      </c>
      <c r="I37" s="1023">
        <v>0</v>
      </c>
      <c r="J37" s="1023">
        <v>0</v>
      </c>
      <c r="K37" s="1023">
        <v>0</v>
      </c>
      <c r="L37" s="1023">
        <v>0</v>
      </c>
      <c r="M37" s="1023">
        <v>0</v>
      </c>
      <c r="N37" s="1023">
        <v>0</v>
      </c>
    </row>
    <row r="38" spans="1:15" ht="11.5" customHeight="1">
      <c r="A38" s="169" t="s">
        <v>49</v>
      </c>
      <c r="B38" s="1009">
        <f>SUM(C38:N38)</f>
        <v>17160</v>
      </c>
      <c r="C38" s="1023">
        <v>0</v>
      </c>
      <c r="D38" s="1023">
        <v>5720</v>
      </c>
      <c r="E38" s="1023">
        <v>0</v>
      </c>
      <c r="F38" s="1023">
        <v>5720</v>
      </c>
      <c r="G38" s="1023">
        <v>0</v>
      </c>
      <c r="H38" s="1023">
        <v>5720</v>
      </c>
      <c r="I38" s="1023">
        <v>0</v>
      </c>
      <c r="J38" s="1023">
        <v>0</v>
      </c>
      <c r="K38" s="1023">
        <v>0</v>
      </c>
      <c r="L38" s="1023">
        <v>0</v>
      </c>
      <c r="M38" s="1023">
        <v>0</v>
      </c>
      <c r="N38" s="1023">
        <v>0</v>
      </c>
    </row>
    <row r="39" spans="1:15" ht="4" customHeight="1" thickBot="1">
      <c r="A39" s="171"/>
      <c r="B39" s="1011"/>
      <c r="C39" s="1025"/>
      <c r="D39" s="1025"/>
      <c r="E39" s="1025"/>
      <c r="F39" s="1025"/>
      <c r="G39" s="1025"/>
      <c r="H39" s="1025"/>
      <c r="I39" s="1025"/>
      <c r="J39" s="1025"/>
      <c r="K39" s="1025"/>
      <c r="L39" s="1025"/>
      <c r="M39" s="1025"/>
      <c r="N39" s="1025"/>
    </row>
    <row r="40" spans="1:15" ht="10" customHeight="1">
      <c r="A40" s="28" t="s">
        <v>238</v>
      </c>
      <c r="B40" s="970"/>
      <c r="C40" s="970"/>
      <c r="D40" s="970"/>
      <c r="E40" s="970"/>
      <c r="F40" s="970"/>
      <c r="G40" s="970"/>
      <c r="H40" s="970"/>
      <c r="I40" s="970"/>
      <c r="J40" s="970"/>
      <c r="K40" s="970"/>
      <c r="L40" s="970"/>
      <c r="M40" s="970"/>
      <c r="N40" s="970"/>
      <c r="O40" s="970"/>
    </row>
    <row r="41" spans="1:15" ht="10" customHeight="1">
      <c r="A41" s="982" t="s">
        <v>195</v>
      </c>
      <c r="B41" s="970"/>
      <c r="C41" s="970"/>
      <c r="D41" s="970"/>
      <c r="E41" s="970"/>
      <c r="F41" s="970"/>
      <c r="G41" s="970"/>
      <c r="H41" s="970"/>
      <c r="I41" s="970"/>
      <c r="J41" s="970"/>
      <c r="K41" s="970"/>
      <c r="L41" s="970"/>
      <c r="M41" s="970"/>
      <c r="N41" s="970"/>
      <c r="O41" s="970"/>
    </row>
    <row r="42" spans="1:15" ht="10" customHeight="1">
      <c r="A42" s="40" t="s">
        <v>261</v>
      </c>
      <c r="B42" s="970"/>
      <c r="C42" s="970"/>
      <c r="D42" s="970"/>
      <c r="E42" s="970"/>
      <c r="F42" s="970"/>
      <c r="G42" s="970"/>
      <c r="H42" s="970"/>
      <c r="I42" s="970"/>
      <c r="J42" s="970"/>
      <c r="K42" s="970"/>
      <c r="L42" s="970"/>
      <c r="M42" s="970"/>
      <c r="N42" s="970"/>
      <c r="O42" s="970"/>
    </row>
    <row r="43" spans="1:15" ht="13" customHeight="1">
      <c r="A43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Hoja127">
    <tabColor theme="9" tint="0.59999389629810485"/>
  </sheetPr>
  <dimension ref="A2:O43"/>
  <sheetViews>
    <sheetView showGridLines="0" zoomScaleNormal="100" workbookViewId="0">
      <selection activeCell="C6" sqref="C6:N40"/>
    </sheetView>
  </sheetViews>
  <sheetFormatPr baseColWidth="10" defaultColWidth="7" defaultRowHeight="13" customHeight="1"/>
  <cols>
    <col min="1" max="1" width="11" style="167" customWidth="1"/>
    <col min="2" max="14" width="9.59765625" style="167" customWidth="1"/>
    <col min="15" max="16384" width="7" style="167"/>
  </cols>
  <sheetData>
    <row r="2" spans="1:14" ht="19" customHeight="1">
      <c r="A2" s="1019" t="s">
        <v>563</v>
      </c>
      <c r="B2" s="1020"/>
      <c r="C2" s="1000"/>
      <c r="D2" s="1000"/>
      <c r="E2" s="1000"/>
      <c r="F2" s="1000"/>
      <c r="G2" s="1000"/>
      <c r="H2" s="1000"/>
      <c r="I2" s="1000"/>
      <c r="J2" s="1000"/>
      <c r="K2" s="1000"/>
      <c r="L2" s="1000"/>
      <c r="M2" s="1000"/>
      <c r="N2" s="1000"/>
    </row>
    <row r="3" spans="1:14" ht="13" customHeight="1">
      <c r="A3" s="996" t="s">
        <v>540</v>
      </c>
      <c r="B3" s="1021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</row>
    <row r="4" spans="1:14" ht="4" customHeight="1" thickBot="1">
      <c r="A4" s="168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</row>
    <row r="5" spans="1:14" ht="15" customHeight="1">
      <c r="A5" s="1003" t="s">
        <v>18</v>
      </c>
      <c r="B5" s="1004" t="s">
        <v>118</v>
      </c>
      <c r="C5" s="1004" t="s">
        <v>57</v>
      </c>
      <c r="D5" s="1004" t="s">
        <v>58</v>
      </c>
      <c r="E5" s="1004" t="s">
        <v>59</v>
      </c>
      <c r="F5" s="1004" t="s">
        <v>60</v>
      </c>
      <c r="G5" s="1004" t="s">
        <v>61</v>
      </c>
      <c r="H5" s="1004" t="s">
        <v>62</v>
      </c>
      <c r="I5" s="1004" t="s">
        <v>63</v>
      </c>
      <c r="J5" s="1004" t="s">
        <v>64</v>
      </c>
      <c r="K5" s="1004" t="s">
        <v>65</v>
      </c>
      <c r="L5" s="1004" t="s">
        <v>66</v>
      </c>
      <c r="M5" s="1004" t="s">
        <v>67</v>
      </c>
      <c r="N5" s="1004" t="s">
        <v>68</v>
      </c>
    </row>
    <row r="6" spans="1:14" ht="15" customHeight="1">
      <c r="A6" s="1007" t="s">
        <v>100</v>
      </c>
      <c r="B6" s="1008">
        <f>SUM(C6:N6)</f>
        <v>794391606</v>
      </c>
      <c r="C6" s="1088">
        <f t="shared" ref="C6:N6" si="0">+C8+C16+C25+C34</f>
        <v>66290890</v>
      </c>
      <c r="D6" s="1088">
        <f t="shared" si="0"/>
        <v>60247330</v>
      </c>
      <c r="E6" s="1088">
        <f t="shared" si="0"/>
        <v>66162350</v>
      </c>
      <c r="F6" s="1088">
        <f t="shared" si="0"/>
        <v>63136311</v>
      </c>
      <c r="G6" s="1088">
        <f t="shared" si="0"/>
        <v>67346453</v>
      </c>
      <c r="H6" s="1088">
        <f t="shared" si="0"/>
        <v>64094616</v>
      </c>
      <c r="I6" s="1088">
        <f t="shared" si="0"/>
        <v>68356454</v>
      </c>
      <c r="J6" s="1088">
        <f t="shared" si="0"/>
        <v>68250344</v>
      </c>
      <c r="K6" s="1088">
        <f t="shared" si="0"/>
        <v>67158159</v>
      </c>
      <c r="L6" s="1088">
        <f t="shared" si="0"/>
        <v>70394038</v>
      </c>
      <c r="M6" s="1088">
        <f t="shared" si="0"/>
        <v>66323231</v>
      </c>
      <c r="N6" s="1088">
        <f t="shared" si="0"/>
        <v>66631430</v>
      </c>
    </row>
    <row r="7" spans="1:14" ht="4" customHeight="1">
      <c r="C7" s="1089"/>
      <c r="D7" s="1089"/>
      <c r="E7" s="1089"/>
      <c r="F7" s="1089"/>
      <c r="G7" s="1089"/>
      <c r="H7" s="1089"/>
      <c r="I7" s="1089"/>
      <c r="J7" s="1089"/>
      <c r="K7" s="1089"/>
      <c r="L7" s="1089"/>
      <c r="M7" s="1089"/>
      <c r="N7" s="1089"/>
    </row>
    <row r="8" spans="1:14" ht="12" customHeight="1">
      <c r="A8" s="1016" t="s">
        <v>157</v>
      </c>
      <c r="B8" s="1012">
        <f>SUM(B9:B14)</f>
        <v>173438189</v>
      </c>
      <c r="C8" s="1090">
        <f>SUM(C9:C14)</f>
        <v>13630801</v>
      </c>
      <c r="D8" s="1090">
        <f t="shared" ref="D8:N8" si="1">SUM(D9:D14)</f>
        <v>12500786</v>
      </c>
      <c r="E8" s="1090">
        <f t="shared" si="1"/>
        <v>14186390</v>
      </c>
      <c r="F8" s="1090">
        <f t="shared" si="1"/>
        <v>12562855</v>
      </c>
      <c r="G8" s="1090">
        <f t="shared" si="1"/>
        <v>15895296</v>
      </c>
      <c r="H8" s="1090">
        <f t="shared" si="1"/>
        <v>13254806</v>
      </c>
      <c r="I8" s="1090">
        <f t="shared" si="1"/>
        <v>15366618</v>
      </c>
      <c r="J8" s="1090">
        <f t="shared" si="1"/>
        <v>14701024</v>
      </c>
      <c r="K8" s="1090">
        <f t="shared" si="1"/>
        <v>15426267</v>
      </c>
      <c r="L8" s="1090">
        <f t="shared" si="1"/>
        <v>15330519</v>
      </c>
      <c r="M8" s="1090">
        <f t="shared" si="1"/>
        <v>15230948</v>
      </c>
      <c r="N8" s="1090">
        <f t="shared" si="1"/>
        <v>15351879</v>
      </c>
    </row>
    <row r="9" spans="1:14" ht="12" customHeight="1">
      <c r="A9" s="165" t="s">
        <v>158</v>
      </c>
      <c r="B9" s="1013">
        <f t="shared" ref="B9:B14" si="2">SUM(C9:N9)</f>
        <v>11079</v>
      </c>
      <c r="C9" s="1091">
        <v>3221</v>
      </c>
      <c r="D9" s="1091">
        <v>829</v>
      </c>
      <c r="E9" s="1091">
        <v>129</v>
      </c>
      <c r="F9" s="1091">
        <v>486</v>
      </c>
      <c r="G9" s="1091">
        <v>414</v>
      </c>
      <c r="H9" s="1091">
        <v>600</v>
      </c>
      <c r="I9" s="1091">
        <v>1529</v>
      </c>
      <c r="J9" s="1091">
        <v>728</v>
      </c>
      <c r="K9" s="1091">
        <v>1443</v>
      </c>
      <c r="L9" s="1091">
        <v>771</v>
      </c>
      <c r="M9" s="1091">
        <v>686</v>
      </c>
      <c r="N9" s="1091">
        <v>243</v>
      </c>
    </row>
    <row r="10" spans="1:14" ht="12" customHeight="1">
      <c r="A10" s="165" t="s">
        <v>159</v>
      </c>
      <c r="B10" s="1013">
        <f t="shared" si="2"/>
        <v>15205098</v>
      </c>
      <c r="C10" s="1091">
        <v>1121377</v>
      </c>
      <c r="D10" s="1091">
        <v>1147005</v>
      </c>
      <c r="E10" s="1091">
        <v>1180689</v>
      </c>
      <c r="F10" s="1091">
        <v>1233903</v>
      </c>
      <c r="G10" s="1091">
        <v>1210260</v>
      </c>
      <c r="H10" s="1091">
        <v>1258332</v>
      </c>
      <c r="I10" s="1091">
        <v>1399511</v>
      </c>
      <c r="J10" s="1091">
        <v>1332385</v>
      </c>
      <c r="K10" s="1091">
        <v>1449382</v>
      </c>
      <c r="L10" s="1091">
        <v>1278398</v>
      </c>
      <c r="M10" s="1091">
        <v>1259043</v>
      </c>
      <c r="N10" s="1091">
        <v>1334813</v>
      </c>
    </row>
    <row r="11" spans="1:14" ht="12" customHeight="1">
      <c r="A11" s="165" t="s">
        <v>160</v>
      </c>
      <c r="B11" s="1013">
        <f t="shared" si="2"/>
        <v>11587702</v>
      </c>
      <c r="C11" s="1091">
        <v>671892</v>
      </c>
      <c r="D11" s="1091">
        <v>1034325</v>
      </c>
      <c r="E11" s="1091">
        <v>868914</v>
      </c>
      <c r="F11" s="1091">
        <v>872293</v>
      </c>
      <c r="G11" s="1091">
        <v>1266100</v>
      </c>
      <c r="H11" s="1091">
        <v>631907</v>
      </c>
      <c r="I11" s="1091">
        <v>1340285</v>
      </c>
      <c r="J11" s="1091">
        <v>737515</v>
      </c>
      <c r="K11" s="1091">
        <v>1266028</v>
      </c>
      <c r="L11" s="1091">
        <v>747058</v>
      </c>
      <c r="M11" s="1091">
        <v>1246514</v>
      </c>
      <c r="N11" s="1091">
        <v>904871</v>
      </c>
    </row>
    <row r="12" spans="1:14" ht="12" customHeight="1">
      <c r="A12" s="165" t="s">
        <v>161</v>
      </c>
      <c r="B12" s="1013">
        <f t="shared" si="2"/>
        <v>146228597</v>
      </c>
      <c r="C12" s="1091">
        <v>11793690</v>
      </c>
      <c r="D12" s="1091">
        <v>10285281</v>
      </c>
      <c r="E12" s="1091">
        <v>12102464</v>
      </c>
      <c r="F12" s="1091">
        <v>10415429</v>
      </c>
      <c r="G12" s="1091">
        <v>13386037</v>
      </c>
      <c r="H12" s="1091">
        <v>11332458</v>
      </c>
      <c r="I12" s="1091">
        <v>12603306</v>
      </c>
      <c r="J12" s="1091">
        <v>12606433</v>
      </c>
      <c r="K12" s="1091">
        <v>12680054</v>
      </c>
      <c r="L12" s="1091">
        <v>13267131</v>
      </c>
      <c r="M12" s="1091">
        <v>12684536</v>
      </c>
      <c r="N12" s="1091">
        <v>13071778</v>
      </c>
    </row>
    <row r="13" spans="1:14" ht="12" customHeight="1">
      <c r="A13" s="165" t="s">
        <v>101</v>
      </c>
      <c r="B13" s="1013">
        <f t="shared" si="2"/>
        <v>357813</v>
      </c>
      <c r="C13" s="1091">
        <v>34421</v>
      </c>
      <c r="D13" s="1091">
        <v>31346</v>
      </c>
      <c r="E13" s="1091">
        <v>29994</v>
      </c>
      <c r="F13" s="1091">
        <v>35115</v>
      </c>
      <c r="G13" s="1091">
        <v>29414</v>
      </c>
      <c r="H13" s="1091">
        <v>27309</v>
      </c>
      <c r="I13" s="1091">
        <v>18387</v>
      </c>
      <c r="J13" s="1091">
        <v>20192</v>
      </c>
      <c r="K13" s="1091">
        <v>28731</v>
      </c>
      <c r="L13" s="1091">
        <v>33161</v>
      </c>
      <c r="M13" s="1091">
        <v>33969</v>
      </c>
      <c r="N13" s="1091">
        <v>35774</v>
      </c>
    </row>
    <row r="14" spans="1:14" ht="12" customHeight="1">
      <c r="A14" s="165" t="s">
        <v>162</v>
      </c>
      <c r="B14" s="1013">
        <f t="shared" si="2"/>
        <v>47900</v>
      </c>
      <c r="C14" s="1091">
        <v>6200</v>
      </c>
      <c r="D14" s="1091">
        <v>2000</v>
      </c>
      <c r="E14" s="1091">
        <v>4200</v>
      </c>
      <c r="F14" s="1091">
        <v>5629</v>
      </c>
      <c r="G14" s="1091">
        <v>3071</v>
      </c>
      <c r="H14" s="1091">
        <v>4200</v>
      </c>
      <c r="I14" s="1091">
        <v>3600</v>
      </c>
      <c r="J14" s="1091">
        <v>3771</v>
      </c>
      <c r="K14" s="1091">
        <v>629</v>
      </c>
      <c r="L14" s="1091">
        <v>4000</v>
      </c>
      <c r="M14" s="1091">
        <v>6200</v>
      </c>
      <c r="N14" s="1091">
        <v>4400</v>
      </c>
    </row>
    <row r="15" spans="1:14" ht="4" customHeight="1">
      <c r="A15" s="165"/>
      <c r="B15" s="1013"/>
      <c r="C15" s="1089"/>
      <c r="D15" s="1089"/>
      <c r="E15" s="1089"/>
      <c r="F15" s="1089"/>
      <c r="G15" s="1089"/>
      <c r="H15" s="1089"/>
      <c r="I15" s="1089"/>
      <c r="J15" s="1089"/>
      <c r="K15" s="1089"/>
      <c r="L15" s="1089"/>
      <c r="M15" s="1089"/>
      <c r="N15" s="1089"/>
    </row>
    <row r="16" spans="1:14" ht="13" customHeight="1">
      <c r="A16" s="1016" t="s">
        <v>163</v>
      </c>
      <c r="B16" s="1012">
        <f>SUM(B17:B23)</f>
        <v>495528345</v>
      </c>
      <c r="C16" s="1090">
        <f t="shared" ref="C16:N16" si="3">SUM(C17:C23)</f>
        <v>41902950</v>
      </c>
      <c r="D16" s="1090">
        <f t="shared" si="3"/>
        <v>37730940</v>
      </c>
      <c r="E16" s="1090">
        <f t="shared" si="3"/>
        <v>41167722</v>
      </c>
      <c r="F16" s="1090">
        <f t="shared" si="3"/>
        <v>40455152</v>
      </c>
      <c r="G16" s="1090">
        <f t="shared" si="3"/>
        <v>40572288</v>
      </c>
      <c r="H16" s="1090">
        <f t="shared" si="3"/>
        <v>40310215</v>
      </c>
      <c r="I16" s="1090">
        <f t="shared" si="3"/>
        <v>42333830</v>
      </c>
      <c r="J16" s="1090">
        <f t="shared" si="3"/>
        <v>43391548</v>
      </c>
      <c r="K16" s="1090">
        <f t="shared" si="3"/>
        <v>41587224</v>
      </c>
      <c r="L16" s="1090">
        <f t="shared" si="3"/>
        <v>44403224</v>
      </c>
      <c r="M16" s="1090">
        <f t="shared" si="3"/>
        <v>40282792</v>
      </c>
      <c r="N16" s="1090">
        <f t="shared" si="3"/>
        <v>41390460</v>
      </c>
    </row>
    <row r="17" spans="1:14" ht="13" customHeight="1">
      <c r="A17" s="165" t="s">
        <v>174</v>
      </c>
      <c r="B17" s="1013">
        <f t="shared" ref="B17:B23" si="4">SUM(C17:N17)</f>
        <v>16431057</v>
      </c>
      <c r="C17" s="1091">
        <v>1425779</v>
      </c>
      <c r="D17" s="1091">
        <v>1198136</v>
      </c>
      <c r="E17" s="1091">
        <v>708071</v>
      </c>
      <c r="F17" s="1091">
        <v>2142100</v>
      </c>
      <c r="G17" s="1091">
        <v>151200</v>
      </c>
      <c r="H17" s="1091">
        <v>2303900</v>
      </c>
      <c r="I17" s="1091">
        <v>1027700</v>
      </c>
      <c r="J17" s="1091">
        <v>2123029</v>
      </c>
      <c r="K17" s="1091">
        <v>1248671</v>
      </c>
      <c r="L17" s="1091">
        <v>1667986</v>
      </c>
      <c r="M17" s="1091">
        <v>1151871</v>
      </c>
      <c r="N17" s="1091">
        <v>1282614</v>
      </c>
    </row>
    <row r="18" spans="1:14" ht="13" customHeight="1">
      <c r="A18" s="165" t="s">
        <v>175</v>
      </c>
      <c r="B18" s="1013">
        <f t="shared" si="4"/>
        <v>450699473</v>
      </c>
      <c r="C18" s="1091">
        <v>37365210</v>
      </c>
      <c r="D18" s="1091">
        <v>33682305</v>
      </c>
      <c r="E18" s="1091">
        <v>37908571</v>
      </c>
      <c r="F18" s="1091">
        <v>35962351</v>
      </c>
      <c r="G18" s="1091">
        <v>38951073</v>
      </c>
      <c r="H18" s="1091">
        <v>35672060</v>
      </c>
      <c r="I18" s="1091">
        <v>39442945</v>
      </c>
      <c r="J18" s="1091">
        <v>39036933</v>
      </c>
      <c r="K18" s="1091">
        <v>37896789</v>
      </c>
      <c r="L18" s="1091">
        <v>39534350</v>
      </c>
      <c r="M18" s="1091">
        <v>37204264</v>
      </c>
      <c r="N18" s="1091">
        <v>38042622</v>
      </c>
    </row>
    <row r="19" spans="1:14" ht="13" customHeight="1">
      <c r="A19" s="165" t="s">
        <v>176</v>
      </c>
      <c r="B19" s="1013">
        <f t="shared" si="4"/>
        <v>28100391</v>
      </c>
      <c r="C19" s="1091">
        <v>3076761</v>
      </c>
      <c r="D19" s="1091">
        <v>2834599</v>
      </c>
      <c r="E19" s="1091">
        <v>2528880</v>
      </c>
      <c r="F19" s="1091">
        <v>2322101</v>
      </c>
      <c r="G19" s="1091">
        <v>1447815</v>
      </c>
      <c r="H19" s="1091">
        <v>2321635</v>
      </c>
      <c r="I19" s="1091">
        <v>1854335</v>
      </c>
      <c r="J19" s="1091">
        <v>2188586</v>
      </c>
      <c r="K19" s="1091">
        <v>2395664</v>
      </c>
      <c r="L19" s="1091">
        <v>3181388</v>
      </c>
      <c r="M19" s="1091">
        <v>1902703</v>
      </c>
      <c r="N19" s="1091">
        <v>2045924</v>
      </c>
    </row>
    <row r="20" spans="1:14" ht="13" customHeight="1">
      <c r="A20" s="165" t="s">
        <v>177</v>
      </c>
      <c r="B20" s="1013">
        <f t="shared" si="4"/>
        <v>47154</v>
      </c>
      <c r="C20" s="1091">
        <v>11700</v>
      </c>
      <c r="D20" s="1091">
        <v>2000</v>
      </c>
      <c r="E20" s="1091">
        <v>1000</v>
      </c>
      <c r="F20" s="1091">
        <v>1000</v>
      </c>
      <c r="G20" s="1091">
        <v>2000</v>
      </c>
      <c r="H20" s="1091">
        <v>2000</v>
      </c>
      <c r="I20" s="1091">
        <v>1900</v>
      </c>
      <c r="J20" s="1091">
        <v>8900</v>
      </c>
      <c r="K20" s="1091">
        <v>2700</v>
      </c>
      <c r="L20" s="1091">
        <v>4400</v>
      </c>
      <c r="M20" s="1091">
        <v>3054</v>
      </c>
      <c r="N20" s="1091">
        <v>6500</v>
      </c>
    </row>
    <row r="21" spans="1:14" ht="13" customHeight="1">
      <c r="A21" s="165" t="s">
        <v>178</v>
      </c>
      <c r="B21" s="1013">
        <f t="shared" si="4"/>
        <v>0</v>
      </c>
      <c r="C21" s="1091">
        <v>0</v>
      </c>
      <c r="D21" s="1091">
        <v>0</v>
      </c>
      <c r="E21" s="1091">
        <v>0</v>
      </c>
      <c r="F21" s="1091">
        <v>0</v>
      </c>
      <c r="G21" s="1091">
        <v>0</v>
      </c>
      <c r="H21" s="1091">
        <v>0</v>
      </c>
      <c r="I21" s="1091">
        <v>0</v>
      </c>
      <c r="J21" s="1091">
        <v>0</v>
      </c>
      <c r="K21" s="1091">
        <v>0</v>
      </c>
      <c r="L21" s="1091">
        <v>0</v>
      </c>
      <c r="M21" s="1091">
        <v>0</v>
      </c>
      <c r="N21" s="1091">
        <v>0</v>
      </c>
    </row>
    <row r="22" spans="1:14" ht="13" customHeight="1">
      <c r="A22" s="165" t="s">
        <v>179</v>
      </c>
      <c r="B22" s="1013">
        <f t="shared" si="4"/>
        <v>225300</v>
      </c>
      <c r="C22" s="1091">
        <v>21600</v>
      </c>
      <c r="D22" s="1091">
        <v>13600</v>
      </c>
      <c r="E22" s="1091">
        <v>20800</v>
      </c>
      <c r="F22" s="1091">
        <v>27400</v>
      </c>
      <c r="G22" s="1091">
        <v>19900</v>
      </c>
      <c r="H22" s="1091">
        <v>10000</v>
      </c>
      <c r="I22" s="1091">
        <v>6500</v>
      </c>
      <c r="J22" s="1091">
        <v>29100</v>
      </c>
      <c r="K22" s="1091">
        <v>43000</v>
      </c>
      <c r="L22" s="1091">
        <v>10700</v>
      </c>
      <c r="M22" s="1091">
        <v>14200</v>
      </c>
      <c r="N22" s="1091">
        <v>8500</v>
      </c>
    </row>
    <row r="23" spans="1:14" ht="13" customHeight="1">
      <c r="A23" s="165" t="s">
        <v>180</v>
      </c>
      <c r="B23" s="1013">
        <f t="shared" si="4"/>
        <v>24970</v>
      </c>
      <c r="C23" s="1091">
        <v>1900</v>
      </c>
      <c r="D23" s="1091">
        <v>300</v>
      </c>
      <c r="E23" s="1091">
        <v>400</v>
      </c>
      <c r="F23" s="1091">
        <v>200</v>
      </c>
      <c r="G23" s="1091">
        <v>300</v>
      </c>
      <c r="H23" s="1091">
        <v>620</v>
      </c>
      <c r="I23" s="1091">
        <v>450</v>
      </c>
      <c r="J23" s="1091">
        <v>5000</v>
      </c>
      <c r="K23" s="1091">
        <v>400</v>
      </c>
      <c r="L23" s="1091">
        <v>4400</v>
      </c>
      <c r="M23" s="1091">
        <v>6700</v>
      </c>
      <c r="N23" s="1091">
        <v>4300</v>
      </c>
    </row>
    <row r="24" spans="1:14" ht="4" customHeight="1">
      <c r="A24" s="165"/>
      <c r="B24" s="1013"/>
      <c r="C24" s="1089"/>
      <c r="D24" s="1089"/>
      <c r="E24" s="1089"/>
      <c r="F24" s="1089"/>
      <c r="G24" s="1089"/>
      <c r="H24" s="1089"/>
      <c r="I24" s="1089"/>
      <c r="J24" s="1089"/>
      <c r="K24" s="1089"/>
      <c r="L24" s="1089"/>
      <c r="M24" s="1089"/>
      <c r="N24" s="1089"/>
    </row>
    <row r="25" spans="1:14" ht="13" customHeight="1">
      <c r="A25" s="1016" t="s">
        <v>164</v>
      </c>
      <c r="B25" s="1012">
        <f>SUM(B26:B32)</f>
        <v>87503467</v>
      </c>
      <c r="C25" s="1090">
        <f t="shared" ref="C25:N25" si="5">SUM(C26:C32)</f>
        <v>7305316</v>
      </c>
      <c r="D25" s="1090">
        <f t="shared" si="5"/>
        <v>6543316</v>
      </c>
      <c r="E25" s="1090">
        <f t="shared" si="5"/>
        <v>7259301</v>
      </c>
      <c r="F25" s="1090">
        <f t="shared" si="5"/>
        <v>7173545</v>
      </c>
      <c r="G25" s="1090">
        <f t="shared" si="5"/>
        <v>7646976</v>
      </c>
      <c r="H25" s="1090">
        <f t="shared" si="5"/>
        <v>7580508</v>
      </c>
      <c r="I25" s="1090">
        <f t="shared" si="5"/>
        <v>7569505</v>
      </c>
      <c r="J25" s="1090">
        <f t="shared" si="5"/>
        <v>7202360</v>
      </c>
      <c r="K25" s="1090">
        <f t="shared" si="5"/>
        <v>7015490</v>
      </c>
      <c r="L25" s="1090">
        <f t="shared" si="5"/>
        <v>7500964</v>
      </c>
      <c r="M25" s="1090">
        <f t="shared" si="5"/>
        <v>7558663</v>
      </c>
      <c r="N25" s="1090">
        <f t="shared" si="5"/>
        <v>7147523</v>
      </c>
    </row>
    <row r="26" spans="1:14" ht="13" customHeight="1">
      <c r="A26" s="165" t="s">
        <v>181</v>
      </c>
      <c r="B26" s="1013">
        <f t="shared" ref="B26:B32" si="6">SUM(C26:N26)</f>
        <v>80022651</v>
      </c>
      <c r="C26" s="1091">
        <v>6565943</v>
      </c>
      <c r="D26" s="1091">
        <v>5934876</v>
      </c>
      <c r="E26" s="1091">
        <v>6654010</v>
      </c>
      <c r="F26" s="1091">
        <v>6536599</v>
      </c>
      <c r="G26" s="1091">
        <v>7030116</v>
      </c>
      <c r="H26" s="1091">
        <v>7004571</v>
      </c>
      <c r="I26" s="1091">
        <v>6889722</v>
      </c>
      <c r="J26" s="1091">
        <v>6590631</v>
      </c>
      <c r="K26" s="1091">
        <v>6426842</v>
      </c>
      <c r="L26" s="1091">
        <v>6892412</v>
      </c>
      <c r="M26" s="1091">
        <v>6920093</v>
      </c>
      <c r="N26" s="1091">
        <v>6576836</v>
      </c>
    </row>
    <row r="27" spans="1:14" ht="13" customHeight="1">
      <c r="A27" s="165" t="s">
        <v>165</v>
      </c>
      <c r="B27" s="1013">
        <f t="shared" si="6"/>
        <v>1200</v>
      </c>
      <c r="C27" s="1091">
        <v>0</v>
      </c>
      <c r="D27" s="1091">
        <v>0</v>
      </c>
      <c r="E27" s="1091">
        <v>0</v>
      </c>
      <c r="F27" s="1091">
        <v>0</v>
      </c>
      <c r="G27" s="1091">
        <v>0</v>
      </c>
      <c r="H27" s="1091">
        <v>0</v>
      </c>
      <c r="I27" s="1091">
        <v>0</v>
      </c>
      <c r="J27" s="1091">
        <v>200</v>
      </c>
      <c r="K27" s="1091">
        <v>500</v>
      </c>
      <c r="L27" s="1091">
        <v>500</v>
      </c>
      <c r="M27" s="1091">
        <v>0</v>
      </c>
      <c r="N27" s="1091">
        <v>0</v>
      </c>
    </row>
    <row r="28" spans="1:14" ht="13" customHeight="1">
      <c r="A28" s="165" t="s">
        <v>182</v>
      </c>
      <c r="B28" s="1013">
        <f t="shared" si="6"/>
        <v>6501806</v>
      </c>
      <c r="C28" s="1091">
        <v>650873</v>
      </c>
      <c r="D28" s="1091">
        <v>513551</v>
      </c>
      <c r="E28" s="1091">
        <v>502655</v>
      </c>
      <c r="F28" s="1091">
        <v>567246</v>
      </c>
      <c r="G28" s="1091">
        <v>534103</v>
      </c>
      <c r="H28" s="1091">
        <v>508554</v>
      </c>
      <c r="I28" s="1091">
        <v>579123</v>
      </c>
      <c r="J28" s="1091">
        <v>540144</v>
      </c>
      <c r="K28" s="1091">
        <v>492134</v>
      </c>
      <c r="L28" s="1091">
        <v>518181</v>
      </c>
      <c r="M28" s="1091">
        <v>566841</v>
      </c>
      <c r="N28" s="1091">
        <v>528401</v>
      </c>
    </row>
    <row r="29" spans="1:14" ht="13" customHeight="1">
      <c r="A29" s="165" t="s">
        <v>166</v>
      </c>
      <c r="B29" s="1013">
        <f t="shared" si="6"/>
        <v>1900</v>
      </c>
      <c r="C29" s="1091">
        <v>1900</v>
      </c>
      <c r="D29" s="1091">
        <v>0</v>
      </c>
      <c r="E29" s="1091">
        <v>0</v>
      </c>
      <c r="F29" s="1091">
        <v>0</v>
      </c>
      <c r="G29" s="1091">
        <v>0</v>
      </c>
      <c r="H29" s="1091">
        <v>0</v>
      </c>
      <c r="I29" s="1091">
        <v>0</v>
      </c>
      <c r="J29" s="1091">
        <v>0</v>
      </c>
      <c r="K29" s="1091">
        <v>0</v>
      </c>
      <c r="L29" s="1091">
        <v>0</v>
      </c>
      <c r="M29" s="1091">
        <v>0</v>
      </c>
      <c r="N29" s="1091">
        <v>0</v>
      </c>
    </row>
    <row r="30" spans="1:14" ht="13" customHeight="1">
      <c r="A30" s="165" t="s">
        <v>167</v>
      </c>
      <c r="B30" s="1013">
        <f t="shared" si="6"/>
        <v>7400</v>
      </c>
      <c r="C30" s="1091">
        <v>0</v>
      </c>
      <c r="D30" s="1091">
        <v>600</v>
      </c>
      <c r="E30" s="1091">
        <v>1000</v>
      </c>
      <c r="F30" s="1091">
        <v>500</v>
      </c>
      <c r="G30" s="1091">
        <v>0</v>
      </c>
      <c r="H30" s="1091">
        <v>0</v>
      </c>
      <c r="I30" s="1091">
        <v>0</v>
      </c>
      <c r="J30" s="1091">
        <v>300</v>
      </c>
      <c r="K30" s="1091">
        <v>2000</v>
      </c>
      <c r="L30" s="1091">
        <v>0</v>
      </c>
      <c r="M30" s="1091">
        <v>3000</v>
      </c>
      <c r="N30" s="1091">
        <v>0</v>
      </c>
    </row>
    <row r="31" spans="1:14" ht="13" customHeight="1">
      <c r="A31" s="165" t="s">
        <v>168</v>
      </c>
      <c r="B31" s="1013">
        <f t="shared" si="6"/>
        <v>954150</v>
      </c>
      <c r="C31" s="1091">
        <v>84400</v>
      </c>
      <c r="D31" s="1091">
        <v>93718</v>
      </c>
      <c r="E31" s="1091">
        <v>100007</v>
      </c>
      <c r="F31" s="1089">
        <v>67600</v>
      </c>
      <c r="G31" s="1091">
        <v>80700</v>
      </c>
      <c r="H31" s="1091">
        <v>66200</v>
      </c>
      <c r="I31" s="1091">
        <v>99311</v>
      </c>
      <c r="J31" s="1091">
        <v>69914</v>
      </c>
      <c r="K31" s="1091">
        <v>93271</v>
      </c>
      <c r="L31" s="1091">
        <v>89014</v>
      </c>
      <c r="M31" s="1091">
        <v>67872</v>
      </c>
      <c r="N31" s="1091">
        <v>42143</v>
      </c>
    </row>
    <row r="32" spans="1:14" ht="13" customHeight="1">
      <c r="A32" s="165" t="s">
        <v>169</v>
      </c>
      <c r="B32" s="1013">
        <f t="shared" si="6"/>
        <v>14360</v>
      </c>
      <c r="C32" s="1091">
        <v>2200</v>
      </c>
      <c r="D32" s="1091">
        <v>571</v>
      </c>
      <c r="E32" s="1091">
        <v>1629</v>
      </c>
      <c r="F32" s="1089">
        <v>1600</v>
      </c>
      <c r="G32" s="1091">
        <v>2057</v>
      </c>
      <c r="H32" s="1091">
        <v>1183</v>
      </c>
      <c r="I32" s="1091">
        <v>1349</v>
      </c>
      <c r="J32" s="1091">
        <v>1171</v>
      </c>
      <c r="K32" s="1091">
        <v>743</v>
      </c>
      <c r="L32" s="1091">
        <v>857</v>
      </c>
      <c r="M32" s="1091">
        <v>857</v>
      </c>
      <c r="N32" s="1091">
        <v>143</v>
      </c>
    </row>
    <row r="33" spans="1:15" ht="4" customHeight="1">
      <c r="B33" s="1013"/>
      <c r="C33" s="1089"/>
      <c r="D33" s="1089"/>
      <c r="E33" s="1089"/>
      <c r="F33" s="1089"/>
      <c r="G33" s="1089"/>
      <c r="H33" s="1089"/>
      <c r="I33" s="1089"/>
      <c r="J33" s="1089"/>
      <c r="K33" s="1089"/>
      <c r="L33" s="1089"/>
      <c r="M33" s="1089"/>
      <c r="N33" s="1089"/>
    </row>
    <row r="34" spans="1:15" ht="13" customHeight="1">
      <c r="A34" s="1016" t="s">
        <v>170</v>
      </c>
      <c r="B34" s="1012">
        <f>SUM(B35:B38)</f>
        <v>37921605</v>
      </c>
      <c r="C34" s="1090">
        <f t="shared" ref="C34:N34" si="7">SUM(C35:C38)</f>
        <v>3451823</v>
      </c>
      <c r="D34" s="1090">
        <f t="shared" si="7"/>
        <v>3472288</v>
      </c>
      <c r="E34" s="1090">
        <f t="shared" si="7"/>
        <v>3548937</v>
      </c>
      <c r="F34" s="1090">
        <f t="shared" si="7"/>
        <v>2944759</v>
      </c>
      <c r="G34" s="1090">
        <f t="shared" si="7"/>
        <v>3231893</v>
      </c>
      <c r="H34" s="1090">
        <f t="shared" si="7"/>
        <v>2949087</v>
      </c>
      <c r="I34" s="1090">
        <f t="shared" si="7"/>
        <v>3086501</v>
      </c>
      <c r="J34" s="1090">
        <f t="shared" si="7"/>
        <v>2955412</v>
      </c>
      <c r="K34" s="1090">
        <f t="shared" si="7"/>
        <v>3129178</v>
      </c>
      <c r="L34" s="1090">
        <f t="shared" si="7"/>
        <v>3159331</v>
      </c>
      <c r="M34" s="1090">
        <f t="shared" si="7"/>
        <v>3250828</v>
      </c>
      <c r="N34" s="1090">
        <f t="shared" si="7"/>
        <v>2741568</v>
      </c>
    </row>
    <row r="35" spans="1:15" ht="13" customHeight="1">
      <c r="A35" s="165" t="s">
        <v>183</v>
      </c>
      <c r="B35" s="1013">
        <f>SUM(C35:N35)</f>
        <v>16360727</v>
      </c>
      <c r="C35" s="1091">
        <v>1389051</v>
      </c>
      <c r="D35" s="1091">
        <v>1246847</v>
      </c>
      <c r="E35" s="1091">
        <v>1462569</v>
      </c>
      <c r="F35" s="1091">
        <v>1331649</v>
      </c>
      <c r="G35" s="1091">
        <v>1383574</v>
      </c>
      <c r="H35" s="1091">
        <v>1355552</v>
      </c>
      <c r="I35" s="1091">
        <v>1377797</v>
      </c>
      <c r="J35" s="1091">
        <v>1197660</v>
      </c>
      <c r="K35" s="1091">
        <v>1383099</v>
      </c>
      <c r="L35" s="1091">
        <v>1441639</v>
      </c>
      <c r="M35" s="1091">
        <v>1437542</v>
      </c>
      <c r="N35" s="1091">
        <v>1353748</v>
      </c>
    </row>
    <row r="36" spans="1:15" ht="13" customHeight="1">
      <c r="A36" s="165" t="s">
        <v>171</v>
      </c>
      <c r="B36" s="1013">
        <f>SUM(C36:N36)</f>
        <v>10765032</v>
      </c>
      <c r="C36" s="1091">
        <v>871334</v>
      </c>
      <c r="D36" s="1091">
        <v>905909</v>
      </c>
      <c r="E36" s="1091">
        <v>932565</v>
      </c>
      <c r="F36" s="1091">
        <v>925317</v>
      </c>
      <c r="G36" s="1091">
        <v>977184</v>
      </c>
      <c r="H36" s="1091">
        <v>850343</v>
      </c>
      <c r="I36" s="1091">
        <v>862926</v>
      </c>
      <c r="J36" s="1091">
        <v>956180</v>
      </c>
      <c r="K36" s="1091">
        <v>878669</v>
      </c>
      <c r="L36" s="1091">
        <v>876616</v>
      </c>
      <c r="M36" s="1091">
        <v>966228</v>
      </c>
      <c r="N36" s="1091">
        <v>761761</v>
      </c>
    </row>
    <row r="37" spans="1:15" ht="13" customHeight="1">
      <c r="A37" s="165" t="s">
        <v>172</v>
      </c>
      <c r="B37" s="1013">
        <f>SUM(C37:N37)</f>
        <v>6684222</v>
      </c>
      <c r="C37" s="1091">
        <v>823060</v>
      </c>
      <c r="D37" s="1091">
        <v>990679</v>
      </c>
      <c r="E37" s="1091">
        <v>824660</v>
      </c>
      <c r="F37" s="1091">
        <v>333092</v>
      </c>
      <c r="G37" s="1091">
        <v>570027</v>
      </c>
      <c r="H37" s="1091">
        <v>403896</v>
      </c>
      <c r="I37" s="1091">
        <v>488553</v>
      </c>
      <c r="J37" s="1091">
        <v>452504</v>
      </c>
      <c r="K37" s="1091">
        <v>528205</v>
      </c>
      <c r="L37" s="1091">
        <v>481590</v>
      </c>
      <c r="M37" s="1091">
        <v>486215</v>
      </c>
      <c r="N37" s="1091">
        <v>301741</v>
      </c>
    </row>
    <row r="38" spans="1:15" ht="13" customHeight="1">
      <c r="A38" s="167" t="s">
        <v>184</v>
      </c>
      <c r="B38" s="1013">
        <f>SUM(C38:N38)</f>
        <v>4111624</v>
      </c>
      <c r="C38" s="1092">
        <v>368378</v>
      </c>
      <c r="D38" s="1092">
        <v>328853</v>
      </c>
      <c r="E38" s="1092">
        <v>329143</v>
      </c>
      <c r="F38" s="1092">
        <v>354701</v>
      </c>
      <c r="G38" s="1092">
        <v>301108</v>
      </c>
      <c r="H38" s="1092">
        <v>339296</v>
      </c>
      <c r="I38" s="1092">
        <v>357225</v>
      </c>
      <c r="J38" s="1092">
        <v>349068</v>
      </c>
      <c r="K38" s="1092">
        <v>339205</v>
      </c>
      <c r="L38" s="1092">
        <v>359486</v>
      </c>
      <c r="M38" s="1092">
        <v>360843</v>
      </c>
      <c r="N38" s="1092">
        <v>324318</v>
      </c>
    </row>
    <row r="39" spans="1:15" ht="4" customHeight="1" thickBot="1">
      <c r="A39" s="171"/>
      <c r="B39" s="1014"/>
      <c r="C39" s="1026"/>
      <c r="D39" s="1026"/>
      <c r="E39" s="1026"/>
      <c r="F39" s="1026"/>
      <c r="G39" s="1026"/>
      <c r="H39" s="1026"/>
      <c r="I39" s="1026"/>
      <c r="J39" s="1026"/>
      <c r="K39" s="1026"/>
      <c r="L39" s="1026"/>
      <c r="M39" s="1026"/>
      <c r="N39" s="1026"/>
    </row>
    <row r="40" spans="1:15" ht="10" customHeight="1">
      <c r="A40" s="28" t="s">
        <v>238</v>
      </c>
      <c r="B40" s="970"/>
      <c r="C40" s="970"/>
      <c r="D40" s="970"/>
      <c r="E40" s="970"/>
      <c r="F40" s="970"/>
      <c r="G40" s="970"/>
      <c r="H40" s="970"/>
      <c r="I40" s="970"/>
      <c r="J40" s="970"/>
      <c r="K40" s="970"/>
      <c r="L40" s="970"/>
      <c r="M40" s="970"/>
      <c r="N40" s="970"/>
      <c r="O40" s="970"/>
    </row>
    <row r="41" spans="1:15" ht="10" customHeight="1">
      <c r="A41" s="982" t="s">
        <v>195</v>
      </c>
      <c r="B41" s="970"/>
      <c r="C41" s="970"/>
      <c r="D41" s="970"/>
      <c r="E41" s="970"/>
      <c r="F41" s="970"/>
      <c r="G41" s="970"/>
      <c r="H41" s="970"/>
      <c r="I41" s="970"/>
      <c r="J41" s="970"/>
      <c r="K41" s="970"/>
      <c r="L41" s="970"/>
      <c r="M41" s="970"/>
      <c r="N41" s="970"/>
      <c r="O41" s="970"/>
    </row>
    <row r="42" spans="1:15" ht="10" customHeight="1">
      <c r="A42" s="40" t="s">
        <v>261</v>
      </c>
      <c r="B42" s="970"/>
      <c r="C42" s="970"/>
      <c r="D42" s="970"/>
      <c r="E42" s="970"/>
      <c r="F42" s="970"/>
      <c r="G42" s="970"/>
      <c r="H42" s="970"/>
      <c r="I42" s="970"/>
      <c r="J42" s="970"/>
      <c r="K42" s="970"/>
      <c r="L42" s="970"/>
      <c r="M42" s="970"/>
      <c r="N42" s="970"/>
      <c r="O42" s="970"/>
    </row>
    <row r="43" spans="1:15" ht="13" customHeight="1">
      <c r="A43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Hoja128">
    <tabColor theme="9" tint="0.59999389629810485"/>
  </sheetPr>
  <dimension ref="A2:P43"/>
  <sheetViews>
    <sheetView showGridLines="0" zoomScale="150" zoomScaleNormal="150" workbookViewId="0">
      <selection activeCell="D16" sqref="D16"/>
    </sheetView>
  </sheetViews>
  <sheetFormatPr baseColWidth="10" defaultColWidth="7" defaultRowHeight="13" customHeight="1"/>
  <cols>
    <col min="1" max="1" width="12" style="167" customWidth="1"/>
    <col min="2" max="2" width="8.3984375" style="167" customWidth="1"/>
    <col min="3" max="3" width="9" style="167" customWidth="1"/>
    <col min="4" max="14" width="8.59765625" style="167" customWidth="1"/>
    <col min="15" max="16384" width="7" style="167"/>
  </cols>
  <sheetData>
    <row r="2" spans="1:16" ht="19" customHeight="1">
      <c r="A2" s="1019" t="s">
        <v>561</v>
      </c>
      <c r="B2" s="1020"/>
      <c r="C2" s="1000"/>
      <c r="D2" s="1000"/>
      <c r="E2" s="1000"/>
      <c r="F2" s="1000"/>
      <c r="G2" s="1000"/>
      <c r="H2" s="1000"/>
      <c r="I2" s="1000"/>
      <c r="J2" s="1000"/>
      <c r="K2" s="1000"/>
      <c r="L2" s="1000"/>
      <c r="M2" s="1000"/>
      <c r="N2" s="1000"/>
      <c r="P2" s="66" t="s">
        <v>173</v>
      </c>
    </row>
    <row r="3" spans="1:16" ht="13" customHeight="1">
      <c r="A3" s="996" t="s">
        <v>540</v>
      </c>
      <c r="B3" s="1021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</row>
    <row r="4" spans="1:16" ht="4" customHeight="1" thickBot="1">
      <c r="A4" s="168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</row>
    <row r="5" spans="1:16" ht="15" customHeight="1">
      <c r="A5" s="1003" t="s">
        <v>18</v>
      </c>
      <c r="B5" s="1004" t="s">
        <v>118</v>
      </c>
      <c r="C5" s="1004" t="s">
        <v>57</v>
      </c>
      <c r="D5" s="1004" t="s">
        <v>58</v>
      </c>
      <c r="E5" s="1004" t="s">
        <v>59</v>
      </c>
      <c r="F5" s="1004" t="s">
        <v>60</v>
      </c>
      <c r="G5" s="1004" t="s">
        <v>61</v>
      </c>
      <c r="H5" s="1004" t="s">
        <v>62</v>
      </c>
      <c r="I5" s="1004" t="s">
        <v>63</v>
      </c>
      <c r="J5" s="1004" t="s">
        <v>64</v>
      </c>
      <c r="K5" s="1004" t="s">
        <v>65</v>
      </c>
      <c r="L5" s="1004" t="s">
        <v>66</v>
      </c>
      <c r="M5" s="1004" t="s">
        <v>67</v>
      </c>
      <c r="N5" s="1004" t="s">
        <v>68</v>
      </c>
    </row>
    <row r="6" spans="1:16" ht="15" customHeight="1">
      <c r="A6" s="1007" t="s">
        <v>100</v>
      </c>
      <c r="B6" s="1008">
        <f>SUM(C6:N6)</f>
        <v>26179287</v>
      </c>
      <c r="C6" s="1088">
        <f t="shared" ref="C6:N6" si="0">+C8+C16+C25+C34</f>
        <v>1980049</v>
      </c>
      <c r="D6" s="1088">
        <f t="shared" si="0"/>
        <v>1978628</v>
      </c>
      <c r="E6" s="1088">
        <f t="shared" si="0"/>
        <v>2063350</v>
      </c>
      <c r="F6" s="1088">
        <f t="shared" si="0"/>
        <v>2103284</v>
      </c>
      <c r="G6" s="1088">
        <f t="shared" si="0"/>
        <v>1904276</v>
      </c>
      <c r="H6" s="1088">
        <f t="shared" si="0"/>
        <v>1965667</v>
      </c>
      <c r="I6" s="1088">
        <f t="shared" si="0"/>
        <v>2253191</v>
      </c>
      <c r="J6" s="1088">
        <f t="shared" si="0"/>
        <v>2358577</v>
      </c>
      <c r="K6" s="1088">
        <f t="shared" si="0"/>
        <v>2359478</v>
      </c>
      <c r="L6" s="1088">
        <f t="shared" si="0"/>
        <v>2519026</v>
      </c>
      <c r="M6" s="1088">
        <f t="shared" si="0"/>
        <v>2472526</v>
      </c>
      <c r="N6" s="1088">
        <f t="shared" si="0"/>
        <v>2221235</v>
      </c>
    </row>
    <row r="7" spans="1:16" ht="4" customHeight="1">
      <c r="C7" s="1089"/>
      <c r="D7" s="1089"/>
      <c r="E7" s="1089"/>
      <c r="F7" s="1089"/>
      <c r="G7" s="1089"/>
      <c r="H7" s="1089"/>
      <c r="I7" s="1089"/>
      <c r="J7" s="1089"/>
      <c r="K7" s="1089"/>
      <c r="L7" s="1089"/>
      <c r="M7" s="1089"/>
      <c r="N7" s="1089"/>
    </row>
    <row r="8" spans="1:16" ht="12" customHeight="1">
      <c r="A8" s="1016" t="s">
        <v>157</v>
      </c>
      <c r="B8" s="1012">
        <f>SUM(B9:B14)</f>
        <v>5163643</v>
      </c>
      <c r="C8" s="1090">
        <f t="shared" ref="C8:N8" si="1">SUM(C9:C14)</f>
        <v>458591</v>
      </c>
      <c r="D8" s="1090">
        <f t="shared" si="1"/>
        <v>359900</v>
      </c>
      <c r="E8" s="1090">
        <f t="shared" si="1"/>
        <v>360604</v>
      </c>
      <c r="F8" s="1090">
        <f t="shared" si="1"/>
        <v>579096</v>
      </c>
      <c r="G8" s="1090">
        <f t="shared" si="1"/>
        <v>353139</v>
      </c>
      <c r="H8" s="1090">
        <f t="shared" si="1"/>
        <v>289362</v>
      </c>
      <c r="I8" s="1090">
        <f t="shared" si="1"/>
        <v>310737</v>
      </c>
      <c r="J8" s="1090">
        <f t="shared" si="1"/>
        <v>459172</v>
      </c>
      <c r="K8" s="1090">
        <f t="shared" si="1"/>
        <v>617280</v>
      </c>
      <c r="L8" s="1090">
        <f t="shared" si="1"/>
        <v>605413</v>
      </c>
      <c r="M8" s="1090">
        <f t="shared" si="1"/>
        <v>403497</v>
      </c>
      <c r="N8" s="1090">
        <f t="shared" si="1"/>
        <v>366852</v>
      </c>
    </row>
    <row r="9" spans="1:16" ht="12" customHeight="1">
      <c r="A9" s="165" t="s">
        <v>158</v>
      </c>
      <c r="B9" s="1013">
        <f t="shared" ref="B9:B14" si="2">SUM(C9:N9)</f>
        <v>6407</v>
      </c>
      <c r="C9" s="1089">
        <v>0</v>
      </c>
      <c r="D9" s="1089">
        <v>0</v>
      </c>
      <c r="E9" s="1089">
        <v>0</v>
      </c>
      <c r="F9" s="1089">
        <v>0</v>
      </c>
      <c r="G9" s="1089">
        <v>3090</v>
      </c>
      <c r="H9" s="1089">
        <v>3317</v>
      </c>
      <c r="I9" s="1089">
        <v>0</v>
      </c>
      <c r="J9" s="1089">
        <v>0</v>
      </c>
      <c r="K9" s="1089">
        <v>0</v>
      </c>
      <c r="L9" s="1089">
        <v>0</v>
      </c>
      <c r="M9" s="1089">
        <v>0</v>
      </c>
      <c r="N9" s="1089">
        <v>0</v>
      </c>
    </row>
    <row r="10" spans="1:16" ht="12" customHeight="1">
      <c r="A10" s="165" t="s">
        <v>159</v>
      </c>
      <c r="B10" s="1013">
        <f t="shared" si="2"/>
        <v>374474</v>
      </c>
      <c r="C10" s="1089">
        <v>34692</v>
      </c>
      <c r="D10" s="1089">
        <v>0</v>
      </c>
      <c r="E10" s="1089">
        <v>5100</v>
      </c>
      <c r="F10" s="1089">
        <v>408</v>
      </c>
      <c r="G10" s="1089">
        <v>62445</v>
      </c>
      <c r="H10" s="1089">
        <v>67017</v>
      </c>
      <c r="I10" s="1089">
        <v>42409</v>
      </c>
      <c r="J10" s="1089">
        <v>51580</v>
      </c>
      <c r="K10" s="1089">
        <v>9785</v>
      </c>
      <c r="L10" s="1089">
        <v>62678</v>
      </c>
      <c r="M10" s="1089">
        <v>11373</v>
      </c>
      <c r="N10" s="1089">
        <v>26987</v>
      </c>
    </row>
    <row r="11" spans="1:16" ht="12" customHeight="1">
      <c r="A11" s="165" t="s">
        <v>160</v>
      </c>
      <c r="B11" s="1013">
        <f t="shared" si="2"/>
        <v>299232</v>
      </c>
      <c r="C11" s="1089">
        <v>39678</v>
      </c>
      <c r="D11" s="1089">
        <v>0</v>
      </c>
      <c r="E11" s="1089">
        <v>21203</v>
      </c>
      <c r="F11" s="1089">
        <v>13260</v>
      </c>
      <c r="G11" s="1089">
        <v>12875</v>
      </c>
      <c r="H11" s="1089">
        <v>13818</v>
      </c>
      <c r="I11" s="1089">
        <v>33806</v>
      </c>
      <c r="J11" s="1089">
        <v>14000</v>
      </c>
      <c r="K11" s="1089">
        <v>56135</v>
      </c>
      <c r="L11" s="1089">
        <v>50812</v>
      </c>
      <c r="M11" s="1089">
        <v>23045</v>
      </c>
      <c r="N11" s="1089">
        <v>20600</v>
      </c>
    </row>
    <row r="12" spans="1:16" ht="12" customHeight="1">
      <c r="A12" s="165" t="s">
        <v>161</v>
      </c>
      <c r="B12" s="1013">
        <f t="shared" si="2"/>
        <v>4423974</v>
      </c>
      <c r="C12" s="1089">
        <v>376495</v>
      </c>
      <c r="D12" s="1089">
        <v>359900</v>
      </c>
      <c r="E12" s="1089">
        <v>334301</v>
      </c>
      <c r="F12" s="1089">
        <v>553341</v>
      </c>
      <c r="G12" s="1089">
        <v>274729</v>
      </c>
      <c r="H12" s="1089">
        <v>205210</v>
      </c>
      <c r="I12" s="1089">
        <v>218351</v>
      </c>
      <c r="J12" s="1089">
        <v>392470</v>
      </c>
      <c r="K12" s="1089">
        <v>551360</v>
      </c>
      <c r="L12" s="1089">
        <v>477713</v>
      </c>
      <c r="M12" s="1089">
        <v>360839</v>
      </c>
      <c r="N12" s="1089">
        <v>319265</v>
      </c>
    </row>
    <row r="13" spans="1:16" ht="12" customHeight="1">
      <c r="A13" s="165" t="s">
        <v>101</v>
      </c>
      <c r="B13" s="1013">
        <f t="shared" si="2"/>
        <v>59556</v>
      </c>
      <c r="C13" s="1089">
        <v>7726</v>
      </c>
      <c r="D13" s="1089">
        <v>0</v>
      </c>
      <c r="E13" s="1089">
        <v>0</v>
      </c>
      <c r="F13" s="1089">
        <v>12087</v>
      </c>
      <c r="G13" s="1089">
        <v>0</v>
      </c>
      <c r="H13" s="1089">
        <v>0</v>
      </c>
      <c r="I13" s="1089">
        <v>16171</v>
      </c>
      <c r="J13" s="1089">
        <v>1122</v>
      </c>
      <c r="K13" s="1089">
        <v>0</v>
      </c>
      <c r="L13" s="1089">
        <v>14210</v>
      </c>
      <c r="M13" s="1089">
        <v>8240</v>
      </c>
      <c r="N13" s="1089">
        <v>0</v>
      </c>
    </row>
    <row r="14" spans="1:16" ht="12" customHeight="1">
      <c r="A14" s="165" t="s">
        <v>162</v>
      </c>
      <c r="B14" s="1013">
        <f t="shared" si="2"/>
        <v>0</v>
      </c>
      <c r="C14" s="1089">
        <v>0</v>
      </c>
      <c r="D14" s="1089">
        <v>0</v>
      </c>
      <c r="E14" s="1089">
        <v>0</v>
      </c>
      <c r="F14" s="1089">
        <v>0</v>
      </c>
      <c r="G14" s="1089">
        <v>0</v>
      </c>
      <c r="H14" s="1089">
        <v>0</v>
      </c>
      <c r="I14" s="1089">
        <v>0</v>
      </c>
      <c r="J14" s="1089">
        <v>0</v>
      </c>
      <c r="K14" s="1089">
        <v>0</v>
      </c>
      <c r="L14" s="1089">
        <v>0</v>
      </c>
      <c r="M14" s="1089">
        <v>0</v>
      </c>
      <c r="N14" s="1089">
        <v>0</v>
      </c>
    </row>
    <row r="15" spans="1:16" ht="4" customHeight="1">
      <c r="A15" s="165"/>
      <c r="B15" s="1013"/>
      <c r="C15" s="1089"/>
      <c r="D15" s="1089">
        <v>0</v>
      </c>
      <c r="E15" s="1089">
        <v>0</v>
      </c>
      <c r="F15" s="1089">
        <v>0</v>
      </c>
      <c r="G15" s="1089">
        <v>0</v>
      </c>
      <c r="H15" s="1089">
        <v>0</v>
      </c>
      <c r="I15" s="1089">
        <v>0</v>
      </c>
      <c r="J15" s="1089">
        <v>0</v>
      </c>
      <c r="K15" s="1089">
        <v>0</v>
      </c>
      <c r="L15" s="1089">
        <v>0</v>
      </c>
      <c r="M15" s="1089">
        <v>0</v>
      </c>
      <c r="N15" s="1089">
        <v>0</v>
      </c>
    </row>
    <row r="16" spans="1:16" ht="13" customHeight="1">
      <c r="A16" s="1016" t="s">
        <v>163</v>
      </c>
      <c r="B16" s="1012">
        <f>SUM(B17:B23)</f>
        <v>17935566</v>
      </c>
      <c r="C16" s="1090">
        <f t="shared" ref="C16:N16" si="3">SUM(C17:C23)</f>
        <v>1301451</v>
      </c>
      <c r="D16" s="1090">
        <f t="shared" si="3"/>
        <v>1480808</v>
      </c>
      <c r="E16" s="1090">
        <f t="shared" si="3"/>
        <v>1472958</v>
      </c>
      <c r="F16" s="1090">
        <f t="shared" si="3"/>
        <v>1273239</v>
      </c>
      <c r="G16" s="1090">
        <f t="shared" si="3"/>
        <v>1264984</v>
      </c>
      <c r="H16" s="1090">
        <f t="shared" si="3"/>
        <v>1379783</v>
      </c>
      <c r="I16" s="1090">
        <f t="shared" si="3"/>
        <v>1652427</v>
      </c>
      <c r="J16" s="1090">
        <f t="shared" si="3"/>
        <v>1648443</v>
      </c>
      <c r="K16" s="1090">
        <f t="shared" si="3"/>
        <v>1397906</v>
      </c>
      <c r="L16" s="1090">
        <f t="shared" si="3"/>
        <v>1690222</v>
      </c>
      <c r="M16" s="1090">
        <f t="shared" si="3"/>
        <v>1783742</v>
      </c>
      <c r="N16" s="1090">
        <f t="shared" si="3"/>
        <v>1589603</v>
      </c>
    </row>
    <row r="17" spans="1:14" ht="13" customHeight="1">
      <c r="A17" s="165" t="s">
        <v>174</v>
      </c>
      <c r="B17" s="1013">
        <f t="shared" ref="B17:B23" si="4">SUM(C17:N17)</f>
        <v>13818</v>
      </c>
      <c r="C17" s="1089">
        <v>714</v>
      </c>
      <c r="D17" s="1089">
        <v>408</v>
      </c>
      <c r="E17" s="1089">
        <v>0</v>
      </c>
      <c r="F17" s="1089">
        <v>206</v>
      </c>
      <c r="G17" s="1089">
        <v>0</v>
      </c>
      <c r="H17" s="1089">
        <v>0</v>
      </c>
      <c r="I17" s="1089">
        <v>0</v>
      </c>
      <c r="J17" s="1089">
        <v>1122</v>
      </c>
      <c r="K17" s="1089">
        <v>11059</v>
      </c>
      <c r="L17" s="1089">
        <v>309</v>
      </c>
      <c r="M17" s="1089">
        <v>0</v>
      </c>
      <c r="N17" s="1089">
        <v>0</v>
      </c>
    </row>
    <row r="18" spans="1:14" ht="13" customHeight="1">
      <c r="A18" s="165" t="s">
        <v>175</v>
      </c>
      <c r="B18" s="1013">
        <f t="shared" si="4"/>
        <v>6986833</v>
      </c>
      <c r="C18" s="1089">
        <v>325586</v>
      </c>
      <c r="D18" s="1089">
        <v>757195</v>
      </c>
      <c r="E18" s="1089">
        <v>497301</v>
      </c>
      <c r="F18" s="1089">
        <v>587120</v>
      </c>
      <c r="G18" s="1089">
        <v>456420</v>
      </c>
      <c r="H18" s="1089">
        <v>500378</v>
      </c>
      <c r="I18" s="1089">
        <v>829206</v>
      </c>
      <c r="J18" s="1089">
        <v>633004</v>
      </c>
      <c r="K18" s="1089">
        <v>403568</v>
      </c>
      <c r="L18" s="1089">
        <v>585272</v>
      </c>
      <c r="M18" s="1089">
        <v>803789</v>
      </c>
      <c r="N18" s="1089">
        <v>607994</v>
      </c>
    </row>
    <row r="19" spans="1:14" ht="13" customHeight="1">
      <c r="A19" s="165" t="s">
        <v>176</v>
      </c>
      <c r="B19" s="1013">
        <f t="shared" si="4"/>
        <v>10885516</v>
      </c>
      <c r="C19" s="1089">
        <v>954241</v>
      </c>
      <c r="D19" s="1089">
        <v>723205</v>
      </c>
      <c r="E19" s="1089">
        <v>971400</v>
      </c>
      <c r="F19" s="1089">
        <v>682547</v>
      </c>
      <c r="G19" s="1089">
        <v>807534</v>
      </c>
      <c r="H19" s="1089">
        <v>878299</v>
      </c>
      <c r="I19" s="1089">
        <v>819717</v>
      </c>
      <c r="J19" s="1089">
        <v>1011971</v>
      </c>
      <c r="K19" s="1089">
        <v>978124</v>
      </c>
      <c r="L19" s="1089">
        <v>1098461</v>
      </c>
      <c r="M19" s="1089">
        <v>979953</v>
      </c>
      <c r="N19" s="1089">
        <v>980064</v>
      </c>
    </row>
    <row r="20" spans="1:14" ht="13" customHeight="1">
      <c r="A20" s="165" t="s">
        <v>177</v>
      </c>
      <c r="B20" s="1013">
        <f t="shared" si="4"/>
        <v>25545</v>
      </c>
      <c r="C20" s="1089">
        <v>20910</v>
      </c>
      <c r="D20" s="1089">
        <v>0</v>
      </c>
      <c r="E20" s="1089">
        <v>0</v>
      </c>
      <c r="F20" s="1089">
        <v>0</v>
      </c>
      <c r="G20" s="1089">
        <v>0</v>
      </c>
      <c r="H20" s="1089">
        <v>0</v>
      </c>
      <c r="I20" s="1089">
        <v>0</v>
      </c>
      <c r="J20" s="1089">
        <v>0</v>
      </c>
      <c r="K20" s="1089">
        <v>0</v>
      </c>
      <c r="L20" s="1089">
        <v>4635</v>
      </c>
      <c r="M20" s="1089">
        <v>0</v>
      </c>
      <c r="N20" s="1089">
        <v>0</v>
      </c>
    </row>
    <row r="21" spans="1:14" ht="13" customHeight="1">
      <c r="A21" s="165" t="s">
        <v>178</v>
      </c>
      <c r="B21" s="1013">
        <f t="shared" si="4"/>
        <v>0</v>
      </c>
      <c r="C21" s="1089">
        <v>0</v>
      </c>
      <c r="D21" s="1089">
        <v>0</v>
      </c>
      <c r="E21" s="1089">
        <v>0</v>
      </c>
      <c r="F21" s="1089">
        <v>0</v>
      </c>
      <c r="G21" s="1089">
        <v>0</v>
      </c>
      <c r="H21" s="1089">
        <v>0</v>
      </c>
      <c r="I21" s="1089">
        <v>0</v>
      </c>
      <c r="J21" s="1089">
        <v>0</v>
      </c>
      <c r="K21" s="1089">
        <v>0</v>
      </c>
      <c r="L21" s="1089">
        <v>0</v>
      </c>
      <c r="M21" s="1089">
        <v>0</v>
      </c>
      <c r="N21" s="1089">
        <v>0</v>
      </c>
    </row>
    <row r="22" spans="1:14" ht="13" customHeight="1">
      <c r="A22" s="165" t="s">
        <v>179</v>
      </c>
      <c r="B22" s="1013">
        <f t="shared" si="4"/>
        <v>23854</v>
      </c>
      <c r="C22" s="1089">
        <v>0</v>
      </c>
      <c r="D22" s="1089">
        <v>0</v>
      </c>
      <c r="E22" s="1089">
        <v>4257</v>
      </c>
      <c r="F22" s="1089">
        <v>3366</v>
      </c>
      <c r="G22" s="1089">
        <v>1030</v>
      </c>
      <c r="H22" s="1089">
        <v>1106</v>
      </c>
      <c r="I22" s="1089">
        <v>3504</v>
      </c>
      <c r="J22" s="1089">
        <v>2346</v>
      </c>
      <c r="K22" s="1089">
        <v>5155</v>
      </c>
      <c r="L22" s="1089">
        <v>1545</v>
      </c>
      <c r="M22" s="1089">
        <v>0</v>
      </c>
      <c r="N22" s="1089">
        <v>1545</v>
      </c>
    </row>
    <row r="23" spans="1:14" ht="13" customHeight="1">
      <c r="A23" s="165" t="s">
        <v>180</v>
      </c>
      <c r="B23" s="1013">
        <f t="shared" si="4"/>
        <v>0</v>
      </c>
      <c r="C23" s="1089">
        <v>0</v>
      </c>
      <c r="D23" s="1089">
        <v>0</v>
      </c>
      <c r="E23" s="1089">
        <v>0</v>
      </c>
      <c r="F23" s="1089">
        <v>0</v>
      </c>
      <c r="G23" s="1089">
        <v>0</v>
      </c>
      <c r="H23" s="1089">
        <v>0</v>
      </c>
      <c r="I23" s="1089">
        <v>0</v>
      </c>
      <c r="J23" s="1089">
        <v>0</v>
      </c>
      <c r="K23" s="1089">
        <v>0</v>
      </c>
      <c r="L23" s="1089">
        <v>0</v>
      </c>
      <c r="M23" s="1089">
        <v>0</v>
      </c>
      <c r="N23" s="1089">
        <v>0</v>
      </c>
    </row>
    <row r="24" spans="1:14" ht="4" customHeight="1">
      <c r="A24" s="165"/>
      <c r="B24" s="1013"/>
      <c r="C24" s="1089"/>
      <c r="D24" s="1089"/>
      <c r="E24" s="1089"/>
      <c r="F24" s="1089"/>
      <c r="G24" s="1089"/>
      <c r="H24" s="1089"/>
      <c r="I24" s="1089"/>
      <c r="J24" s="1089"/>
      <c r="K24" s="1089"/>
      <c r="L24" s="1089"/>
      <c r="M24" s="1089"/>
      <c r="N24" s="1089"/>
    </row>
    <row r="25" spans="1:14" ht="13" customHeight="1">
      <c r="A25" s="1016" t="s">
        <v>164</v>
      </c>
      <c r="B25" s="1012">
        <f>SUM(B26:B32)</f>
        <v>1502802</v>
      </c>
      <c r="C25" s="1090">
        <f t="shared" ref="C25:N25" si="5">SUM(C26:C32)</f>
        <v>146575</v>
      </c>
      <c r="D25" s="1090">
        <f t="shared" si="5"/>
        <v>75603</v>
      </c>
      <c r="E25" s="1090">
        <f t="shared" si="5"/>
        <v>106833</v>
      </c>
      <c r="F25" s="1090">
        <f t="shared" si="5"/>
        <v>169857</v>
      </c>
      <c r="G25" s="1090">
        <f t="shared" si="5"/>
        <v>92897</v>
      </c>
      <c r="H25" s="1090">
        <f t="shared" si="5"/>
        <v>102183</v>
      </c>
      <c r="I25" s="1090">
        <f t="shared" si="5"/>
        <v>163395</v>
      </c>
      <c r="J25" s="1090">
        <f t="shared" si="5"/>
        <v>114448</v>
      </c>
      <c r="K25" s="1090">
        <f t="shared" si="5"/>
        <v>97031</v>
      </c>
      <c r="L25" s="1090">
        <f t="shared" si="5"/>
        <v>114719</v>
      </c>
      <c r="M25" s="1090">
        <f t="shared" si="5"/>
        <v>212315</v>
      </c>
      <c r="N25" s="1090">
        <f t="shared" si="5"/>
        <v>106946</v>
      </c>
    </row>
    <row r="26" spans="1:14" ht="13" customHeight="1">
      <c r="A26" s="165" t="s">
        <v>181</v>
      </c>
      <c r="B26" s="1013">
        <f t="shared" ref="B26:B32" si="6">SUM(C26:N26)</f>
        <v>1135654</v>
      </c>
      <c r="C26" s="1089">
        <v>134743</v>
      </c>
      <c r="D26" s="1089">
        <v>59241</v>
      </c>
      <c r="E26" s="1089">
        <v>76529</v>
      </c>
      <c r="F26" s="1089">
        <v>126331</v>
      </c>
      <c r="G26" s="1089">
        <v>61894</v>
      </c>
      <c r="H26" s="1089">
        <v>65709</v>
      </c>
      <c r="I26" s="1089">
        <v>134336</v>
      </c>
      <c r="J26" s="1089">
        <v>76411</v>
      </c>
      <c r="K26" s="1089">
        <v>61831</v>
      </c>
      <c r="L26" s="1089">
        <v>86394</v>
      </c>
      <c r="M26" s="1089">
        <v>175597</v>
      </c>
      <c r="N26" s="1089">
        <v>76638</v>
      </c>
    </row>
    <row r="27" spans="1:14" ht="13" customHeight="1">
      <c r="A27" s="165" t="s">
        <v>165</v>
      </c>
      <c r="B27" s="1013">
        <f t="shared" si="6"/>
        <v>36960</v>
      </c>
      <c r="C27" s="1089">
        <v>0</v>
      </c>
      <c r="D27" s="1089">
        <v>0</v>
      </c>
      <c r="E27" s="1089">
        <v>6120</v>
      </c>
      <c r="F27" s="1089">
        <v>6180</v>
      </c>
      <c r="G27" s="1089">
        <v>0</v>
      </c>
      <c r="H27" s="1089">
        <v>0</v>
      </c>
      <c r="I27" s="1089">
        <v>6180</v>
      </c>
      <c r="J27" s="1089">
        <v>6120</v>
      </c>
      <c r="K27" s="1089">
        <v>6180</v>
      </c>
      <c r="L27" s="1089">
        <v>0</v>
      </c>
      <c r="M27" s="1089">
        <v>0</v>
      </c>
      <c r="N27" s="1089">
        <v>6180</v>
      </c>
    </row>
    <row r="28" spans="1:14" ht="13" customHeight="1">
      <c r="A28" s="165" t="s">
        <v>182</v>
      </c>
      <c r="B28" s="1013">
        <f t="shared" si="6"/>
        <v>300762</v>
      </c>
      <c r="C28" s="1089">
        <v>9690</v>
      </c>
      <c r="D28" s="1089">
        <v>16362</v>
      </c>
      <c r="E28" s="1089">
        <v>23062</v>
      </c>
      <c r="F28" s="1089">
        <v>33888</v>
      </c>
      <c r="G28" s="1089">
        <v>30591</v>
      </c>
      <c r="H28" s="1089">
        <v>36031</v>
      </c>
      <c r="I28" s="1089">
        <v>15875</v>
      </c>
      <c r="J28" s="1089">
        <v>30591</v>
      </c>
      <c r="K28" s="1089">
        <v>26445</v>
      </c>
      <c r="L28" s="1089">
        <v>26986</v>
      </c>
      <c r="M28" s="1089">
        <v>33113</v>
      </c>
      <c r="N28" s="1089">
        <v>18128</v>
      </c>
    </row>
    <row r="29" spans="1:14" ht="13" customHeight="1">
      <c r="A29" s="165" t="s">
        <v>166</v>
      </c>
      <c r="B29" s="1013">
        <f t="shared" si="6"/>
        <v>7370</v>
      </c>
      <c r="C29" s="1093">
        <v>1122</v>
      </c>
      <c r="D29" s="1093">
        <v>0</v>
      </c>
      <c r="E29" s="1093">
        <v>1122</v>
      </c>
      <c r="F29" s="1093">
        <v>1122</v>
      </c>
      <c r="G29" s="1093">
        <v>0</v>
      </c>
      <c r="H29" s="1093">
        <v>0</v>
      </c>
      <c r="I29" s="1093">
        <v>1339</v>
      </c>
      <c r="J29" s="1093">
        <v>1326</v>
      </c>
      <c r="K29" s="1093">
        <v>0</v>
      </c>
      <c r="L29" s="1093">
        <v>1339</v>
      </c>
      <c r="M29" s="1093">
        <v>0</v>
      </c>
      <c r="N29" s="1093">
        <v>0</v>
      </c>
    </row>
    <row r="30" spans="1:14" ht="13" customHeight="1">
      <c r="A30" s="165" t="s">
        <v>167</v>
      </c>
      <c r="B30" s="1013">
        <f t="shared" si="6"/>
        <v>5650</v>
      </c>
      <c r="C30" s="1093">
        <v>0</v>
      </c>
      <c r="D30" s="1093">
        <v>0</v>
      </c>
      <c r="E30" s="1093">
        <v>0</v>
      </c>
      <c r="F30" s="1093">
        <v>500</v>
      </c>
      <c r="G30" s="1093">
        <v>0</v>
      </c>
      <c r="H30" s="1093">
        <v>0</v>
      </c>
      <c r="I30" s="1093">
        <v>0</v>
      </c>
      <c r="J30" s="1093">
        <v>0</v>
      </c>
      <c r="K30" s="1093">
        <v>2060</v>
      </c>
      <c r="L30" s="1093">
        <v>0</v>
      </c>
      <c r="M30" s="1093">
        <v>3090</v>
      </c>
      <c r="N30" s="1093">
        <v>0</v>
      </c>
    </row>
    <row r="31" spans="1:14" ht="13" customHeight="1">
      <c r="A31" s="165" t="s">
        <v>168</v>
      </c>
      <c r="B31" s="1013">
        <f t="shared" si="6"/>
        <v>13501</v>
      </c>
      <c r="C31" s="1093">
        <v>0</v>
      </c>
      <c r="D31" s="1093">
        <v>0</v>
      </c>
      <c r="E31" s="1093">
        <v>0</v>
      </c>
      <c r="F31" s="1093">
        <v>1836</v>
      </c>
      <c r="G31" s="1093">
        <v>0</v>
      </c>
      <c r="H31" s="1093">
        <v>0</v>
      </c>
      <c r="I31" s="1093">
        <v>5150</v>
      </c>
      <c r="J31" s="1093">
        <v>0</v>
      </c>
      <c r="K31" s="1093">
        <v>515</v>
      </c>
      <c r="L31" s="1093">
        <v>0</v>
      </c>
      <c r="M31" s="1093">
        <v>0</v>
      </c>
      <c r="N31" s="1093">
        <v>6000</v>
      </c>
    </row>
    <row r="32" spans="1:14" ht="13" customHeight="1">
      <c r="A32" s="165" t="s">
        <v>169</v>
      </c>
      <c r="B32" s="1013">
        <f t="shared" si="6"/>
        <v>2905</v>
      </c>
      <c r="C32" s="1093">
        <v>1020</v>
      </c>
      <c r="D32" s="1093">
        <v>0</v>
      </c>
      <c r="E32" s="1093">
        <v>0</v>
      </c>
      <c r="F32" s="1093">
        <v>0</v>
      </c>
      <c r="G32" s="1093">
        <v>412</v>
      </c>
      <c r="H32" s="1093">
        <v>443</v>
      </c>
      <c r="I32" s="1093">
        <v>515</v>
      </c>
      <c r="J32" s="1093">
        <v>0</v>
      </c>
      <c r="K32" s="1093">
        <v>0</v>
      </c>
      <c r="L32" s="1093">
        <v>0</v>
      </c>
      <c r="M32" s="1093">
        <v>515</v>
      </c>
      <c r="N32" s="1093">
        <v>0</v>
      </c>
    </row>
    <row r="33" spans="1:15" ht="4" customHeight="1">
      <c r="B33" s="1013"/>
      <c r="C33" s="1089"/>
      <c r="D33" s="1089"/>
      <c r="E33" s="1089"/>
      <c r="F33" s="1089"/>
      <c r="G33" s="1089"/>
      <c r="H33" s="1089"/>
      <c r="I33" s="1089"/>
      <c r="J33" s="1089"/>
      <c r="K33" s="1089"/>
      <c r="L33" s="1089"/>
      <c r="M33" s="1089"/>
      <c r="N33" s="1089"/>
    </row>
    <row r="34" spans="1:15" ht="13" customHeight="1">
      <c r="A34" s="1016" t="s">
        <v>170</v>
      </c>
      <c r="B34" s="1012">
        <f>SUM(B35:B38)</f>
        <v>1577276</v>
      </c>
      <c r="C34" s="1090">
        <f t="shared" ref="C34:N34" si="7">SUM(C35:C38)</f>
        <v>73432</v>
      </c>
      <c r="D34" s="1090">
        <f t="shared" si="7"/>
        <v>62317</v>
      </c>
      <c r="E34" s="1090">
        <f t="shared" si="7"/>
        <v>122955</v>
      </c>
      <c r="F34" s="1090">
        <f t="shared" si="7"/>
        <v>81092</v>
      </c>
      <c r="G34" s="1090">
        <f t="shared" si="7"/>
        <v>193256</v>
      </c>
      <c r="H34" s="1090">
        <f t="shared" si="7"/>
        <v>194339</v>
      </c>
      <c r="I34" s="1090">
        <f t="shared" si="7"/>
        <v>126632</v>
      </c>
      <c r="J34" s="1090">
        <f t="shared" si="7"/>
        <v>136514</v>
      </c>
      <c r="K34" s="1090">
        <f t="shared" si="7"/>
        <v>247261</v>
      </c>
      <c r="L34" s="1090">
        <f t="shared" si="7"/>
        <v>108672</v>
      </c>
      <c r="M34" s="1090">
        <f t="shared" si="7"/>
        <v>72972</v>
      </c>
      <c r="N34" s="1090">
        <f t="shared" si="7"/>
        <v>157834</v>
      </c>
    </row>
    <row r="35" spans="1:15" ht="13" customHeight="1">
      <c r="A35" s="165" t="s">
        <v>183</v>
      </c>
      <c r="B35" s="1013">
        <f>SUM(C35:N35)</f>
        <v>847822</v>
      </c>
      <c r="C35" s="1089">
        <v>0</v>
      </c>
      <c r="D35" s="1089">
        <v>26714</v>
      </c>
      <c r="E35" s="1089">
        <v>39406</v>
      </c>
      <c r="F35" s="1089">
        <v>55692</v>
      </c>
      <c r="G35" s="1089">
        <v>134530</v>
      </c>
      <c r="H35" s="1089">
        <v>114644</v>
      </c>
      <c r="I35" s="1089">
        <v>42205</v>
      </c>
      <c r="J35" s="1089">
        <v>99474</v>
      </c>
      <c r="K35" s="1089">
        <v>217167</v>
      </c>
      <c r="L35" s="1089">
        <v>33684</v>
      </c>
      <c r="M35" s="1089">
        <v>25265</v>
      </c>
      <c r="N35" s="1089">
        <v>59041</v>
      </c>
    </row>
    <row r="36" spans="1:15" ht="13" customHeight="1">
      <c r="A36" s="165" t="s">
        <v>171</v>
      </c>
      <c r="B36" s="1013">
        <f>SUM(C36:N36)</f>
        <v>312558</v>
      </c>
      <c r="C36" s="1089">
        <v>17343</v>
      </c>
      <c r="D36" s="1089">
        <v>23868</v>
      </c>
      <c r="E36" s="1089">
        <v>36006</v>
      </c>
      <c r="F36" s="1089">
        <v>19482</v>
      </c>
      <c r="G36" s="1089">
        <v>25750</v>
      </c>
      <c r="H36" s="1089">
        <v>27636</v>
      </c>
      <c r="I36" s="1089">
        <v>42539</v>
      </c>
      <c r="J36" s="1089">
        <v>27440</v>
      </c>
      <c r="K36" s="1089">
        <v>9476</v>
      </c>
      <c r="L36" s="1089">
        <v>32960</v>
      </c>
      <c r="M36" s="1089">
        <v>26265</v>
      </c>
      <c r="N36" s="1089">
        <v>23793</v>
      </c>
    </row>
    <row r="37" spans="1:15" ht="13" customHeight="1">
      <c r="A37" s="165" t="s">
        <v>172</v>
      </c>
      <c r="B37" s="1013">
        <f>SUM(C37:N37)</f>
        <v>188561</v>
      </c>
      <c r="C37" s="1089">
        <v>36501</v>
      </c>
      <c r="D37" s="1089">
        <v>11735</v>
      </c>
      <c r="E37" s="1089">
        <v>8775</v>
      </c>
      <c r="F37" s="1089">
        <v>5918</v>
      </c>
      <c r="G37" s="1089">
        <v>14801</v>
      </c>
      <c r="H37" s="1089">
        <v>32553</v>
      </c>
      <c r="I37" s="1089">
        <v>618</v>
      </c>
      <c r="J37" s="1089">
        <v>600</v>
      </c>
      <c r="K37" s="1089">
        <v>20618</v>
      </c>
      <c r="L37" s="1089">
        <v>0</v>
      </c>
      <c r="M37" s="1089">
        <v>21442</v>
      </c>
      <c r="N37" s="1089">
        <v>35000</v>
      </c>
    </row>
    <row r="38" spans="1:15" ht="13" customHeight="1">
      <c r="A38" s="167" t="s">
        <v>184</v>
      </c>
      <c r="B38" s="1013">
        <f>SUM(C38:N38)</f>
        <v>228335</v>
      </c>
      <c r="C38" s="1089">
        <v>19588</v>
      </c>
      <c r="D38" s="1089">
        <v>0</v>
      </c>
      <c r="E38" s="1089">
        <v>38768</v>
      </c>
      <c r="F38" s="1089">
        <v>0</v>
      </c>
      <c r="G38" s="1089">
        <v>18175</v>
      </c>
      <c r="H38" s="1089">
        <v>19506</v>
      </c>
      <c r="I38" s="1089">
        <v>41270</v>
      </c>
      <c r="J38" s="1089">
        <v>9000</v>
      </c>
      <c r="K38" s="1089">
        <v>0</v>
      </c>
      <c r="L38" s="1089">
        <v>42028</v>
      </c>
      <c r="M38" s="1089">
        <v>0</v>
      </c>
      <c r="N38" s="1089">
        <v>40000</v>
      </c>
    </row>
    <row r="39" spans="1:15" ht="4" customHeight="1" thickBot="1">
      <c r="A39" s="171"/>
      <c r="B39" s="1014"/>
      <c r="C39" s="1026"/>
      <c r="D39" s="1026"/>
      <c r="E39" s="1026"/>
      <c r="F39" s="1026"/>
      <c r="G39" s="1026"/>
      <c r="H39" s="1026"/>
      <c r="I39" s="1026"/>
      <c r="J39" s="1026"/>
      <c r="K39" s="1026"/>
      <c r="L39" s="1026"/>
      <c r="M39" s="1026"/>
      <c r="N39" s="1026"/>
    </row>
    <row r="40" spans="1:15" ht="10" customHeight="1">
      <c r="A40" s="28" t="s">
        <v>238</v>
      </c>
      <c r="B40" s="970"/>
      <c r="C40" s="970"/>
      <c r="D40" s="970"/>
      <c r="E40" s="970"/>
      <c r="F40" s="970"/>
      <c r="G40" s="970"/>
      <c r="H40" s="970"/>
      <c r="I40" s="970"/>
      <c r="J40" s="970"/>
      <c r="K40" s="970"/>
      <c r="L40" s="970"/>
      <c r="M40" s="970"/>
      <c r="N40" s="970"/>
      <c r="O40" s="970"/>
    </row>
    <row r="41" spans="1:15" ht="10" customHeight="1">
      <c r="A41" s="982" t="s">
        <v>195</v>
      </c>
      <c r="B41" s="970"/>
      <c r="C41" s="970"/>
      <c r="D41" s="970"/>
      <c r="E41" s="970"/>
      <c r="F41" s="970"/>
      <c r="G41" s="970"/>
      <c r="H41" s="970"/>
      <c r="I41" s="970"/>
      <c r="J41" s="970"/>
      <c r="K41" s="970"/>
      <c r="L41" s="970"/>
      <c r="M41" s="970"/>
      <c r="N41" s="970"/>
      <c r="O41" s="970"/>
    </row>
    <row r="42" spans="1:15" ht="10" customHeight="1">
      <c r="A42" s="40" t="s">
        <v>261</v>
      </c>
      <c r="B42" s="970"/>
      <c r="C42" s="970"/>
      <c r="D42" s="970"/>
      <c r="E42" s="970"/>
      <c r="F42" s="970"/>
      <c r="G42" s="970"/>
      <c r="H42" s="970"/>
      <c r="I42" s="970"/>
      <c r="J42" s="970"/>
      <c r="K42" s="970"/>
      <c r="L42" s="970"/>
      <c r="M42" s="970"/>
      <c r="N42" s="970"/>
      <c r="O42" s="970"/>
    </row>
    <row r="43" spans="1:15" ht="13" customHeight="1">
      <c r="A43" s="14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Hoja129">
    <tabColor theme="9" tint="0.59999389629810485"/>
  </sheetPr>
  <dimension ref="A2:R35"/>
  <sheetViews>
    <sheetView showGridLines="0" zoomScale="150" zoomScaleNormal="150" workbookViewId="0">
      <selection activeCell="F6" sqref="F6:Q10"/>
    </sheetView>
  </sheetViews>
  <sheetFormatPr baseColWidth="10" defaultColWidth="7" defaultRowHeight="13" customHeight="1"/>
  <cols>
    <col min="1" max="1" width="1.796875" style="150" customWidth="1"/>
    <col min="2" max="2" width="11.19921875" style="150" customWidth="1"/>
    <col min="3" max="5" width="8" style="150" hidden="1" customWidth="1"/>
    <col min="6" max="17" width="9" style="150" customWidth="1"/>
    <col min="18" max="16384" width="7" style="150"/>
  </cols>
  <sheetData>
    <row r="2" spans="1:18" ht="15" customHeight="1">
      <c r="A2" s="452" t="s">
        <v>255</v>
      </c>
      <c r="B2" s="450"/>
      <c r="C2" s="450"/>
      <c r="D2" s="450"/>
      <c r="E2" s="450"/>
      <c r="F2" s="450"/>
    </row>
    <row r="3" spans="1:18" ht="13" customHeight="1">
      <c r="A3" s="1031" t="s">
        <v>568</v>
      </c>
      <c r="B3" s="450"/>
      <c r="C3" s="450"/>
      <c r="D3" s="450"/>
      <c r="E3" s="450"/>
      <c r="F3" s="450"/>
    </row>
    <row r="4" spans="1:18" ht="4" customHeight="1" thickBot="1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8" ht="15" customHeight="1">
      <c r="A5" s="1145" t="s">
        <v>18</v>
      </c>
      <c r="B5" s="1145"/>
      <c r="C5" s="1027">
        <v>2005</v>
      </c>
      <c r="D5" s="1027">
        <v>2006</v>
      </c>
      <c r="E5" s="1027">
        <v>2007</v>
      </c>
      <c r="F5" s="1027">
        <v>2008</v>
      </c>
      <c r="G5" s="1027">
        <v>2009</v>
      </c>
      <c r="H5" s="1027">
        <v>2010</v>
      </c>
      <c r="I5" s="1027">
        <v>2011</v>
      </c>
      <c r="J5" s="1027">
        <v>2012</v>
      </c>
      <c r="K5" s="1027">
        <v>2013</v>
      </c>
      <c r="L5" s="1027">
        <v>2014</v>
      </c>
      <c r="M5" s="1027">
        <v>2015</v>
      </c>
      <c r="N5" s="1027">
        <v>2016</v>
      </c>
      <c r="O5" s="1027">
        <v>2017</v>
      </c>
      <c r="P5" s="1027" t="s">
        <v>221</v>
      </c>
      <c r="Q5" s="1027" t="s">
        <v>239</v>
      </c>
    </row>
    <row r="6" spans="1:18" ht="15" customHeight="1">
      <c r="A6" s="1102" t="s">
        <v>106</v>
      </c>
      <c r="B6" s="1102"/>
      <c r="C6" s="1028">
        <f>(C8+C9+C10+C11+C12+C13+C14+C15+C16+C17+C18+C19+C20+C21+C22+C23+C24+C25+C26+C27+C28+C29+C30+C31)</f>
        <v>5249783</v>
      </c>
      <c r="D6" s="1028">
        <f>(D8+D9+D10+D11+D12+D13+D14+D15+D16+D17+D18+D19+D20+D21+D22+D23+D24+D25+D26+D27+D28+D29+D30+D31)</f>
        <v>5241101</v>
      </c>
      <c r="E6" s="1029">
        <v>120227.6</v>
      </c>
      <c r="F6" s="1033">
        <v>131179.1</v>
      </c>
      <c r="G6" s="1033">
        <v>137838</v>
      </c>
      <c r="H6" s="1033">
        <v>130779</v>
      </c>
      <c r="I6" s="1033">
        <v>128943.5</v>
      </c>
      <c r="J6" s="1033">
        <v>138554.1</v>
      </c>
      <c r="K6" s="1033">
        <v>138179.79999999999</v>
      </c>
      <c r="L6" s="1033">
        <v>144703.70000000001</v>
      </c>
      <c r="M6" s="1033">
        <v>151000.9</v>
      </c>
      <c r="N6" s="1033">
        <v>158263.20000000001</v>
      </c>
      <c r="O6" s="1033">
        <v>156637.70000000001</v>
      </c>
      <c r="P6" s="1033">
        <v>160959.29999999999</v>
      </c>
      <c r="Q6" s="1033">
        <v>168172.6</v>
      </c>
    </row>
    <row r="7" spans="1:18" ht="4" customHeight="1">
      <c r="A7" s="151"/>
      <c r="B7" s="152"/>
      <c r="C7" s="160"/>
      <c r="D7" s="160"/>
      <c r="E7" s="160"/>
      <c r="F7" s="1034"/>
      <c r="G7" s="1034"/>
      <c r="H7" s="1034"/>
      <c r="I7" s="1034"/>
      <c r="J7" s="1034"/>
      <c r="K7" s="1034"/>
      <c r="L7" s="1034"/>
      <c r="M7" s="1034"/>
      <c r="N7" s="1034"/>
      <c r="O7" s="1034"/>
      <c r="P7" s="1034"/>
      <c r="Q7" s="1034"/>
    </row>
    <row r="8" spans="1:18" ht="12.75" customHeight="1">
      <c r="A8" s="151"/>
      <c r="B8" s="29" t="s">
        <v>21</v>
      </c>
      <c r="C8" s="161">
        <v>13800</v>
      </c>
      <c r="D8" s="161">
        <v>14000</v>
      </c>
      <c r="E8" s="164">
        <v>97.2</v>
      </c>
      <c r="F8" s="1035">
        <v>80.900000000000006</v>
      </c>
      <c r="G8" s="1035">
        <v>89.5</v>
      </c>
      <c r="H8" s="1035">
        <v>90.1</v>
      </c>
      <c r="I8" s="1035">
        <v>199.5</v>
      </c>
      <c r="J8" s="1035">
        <v>190.5</v>
      </c>
      <c r="K8" s="1035">
        <v>199.5</v>
      </c>
      <c r="L8" s="1035">
        <v>195.3</v>
      </c>
      <c r="M8" s="1035">
        <v>175.4</v>
      </c>
      <c r="N8" s="1035">
        <v>159.80000000000001</v>
      </c>
      <c r="O8" s="1035">
        <v>154.30000000000001</v>
      </c>
      <c r="P8" s="1035">
        <v>160.19999999999999</v>
      </c>
      <c r="Q8" s="1035">
        <v>157.19999999999999</v>
      </c>
    </row>
    <row r="9" spans="1:18" ht="12.75" customHeight="1">
      <c r="A9" s="151"/>
      <c r="B9" s="29" t="s">
        <v>22</v>
      </c>
      <c r="C9" s="161">
        <v>234260</v>
      </c>
      <c r="D9" s="161">
        <v>234260</v>
      </c>
      <c r="E9" s="164">
        <v>6494.4</v>
      </c>
      <c r="F9" s="1035">
        <v>5800</v>
      </c>
      <c r="G9" s="1035">
        <v>5358.8</v>
      </c>
      <c r="H9" s="1035">
        <v>4791.5</v>
      </c>
      <c r="I9" s="1035">
        <v>5088.6000000000004</v>
      </c>
      <c r="J9" s="1035">
        <v>4373.6000000000004</v>
      </c>
      <c r="K9" s="1035">
        <v>5581</v>
      </c>
      <c r="L9" s="1035">
        <v>6136</v>
      </c>
      <c r="M9" s="1035">
        <v>6015.3</v>
      </c>
      <c r="N9" s="1035">
        <v>6049.9</v>
      </c>
      <c r="O9" s="1035">
        <v>6138.3</v>
      </c>
      <c r="P9" s="1035">
        <v>5987.1</v>
      </c>
      <c r="Q9" s="1035">
        <v>5858.2</v>
      </c>
    </row>
    <row r="10" spans="1:18" ht="12.75" customHeight="1">
      <c r="A10" s="151"/>
      <c r="B10" s="29" t="s">
        <v>23</v>
      </c>
      <c r="C10" s="161">
        <v>86000</v>
      </c>
      <c r="D10" s="161">
        <v>87500</v>
      </c>
      <c r="E10" s="164">
        <v>2084.6999999999998</v>
      </c>
      <c r="F10" s="1035">
        <v>2138.8000000000002</v>
      </c>
      <c r="G10" s="1035">
        <v>2480.5</v>
      </c>
      <c r="H10" s="1035">
        <v>2215.5</v>
      </c>
      <c r="I10" s="1035">
        <v>2502.1999999999998</v>
      </c>
      <c r="J10" s="1035">
        <v>1865.2</v>
      </c>
      <c r="K10" s="1035">
        <v>2295.8000000000002</v>
      </c>
      <c r="L10" s="1035">
        <v>2387.6999999999998</v>
      </c>
      <c r="M10" s="1035">
        <v>2410.4</v>
      </c>
      <c r="N10" s="1035">
        <v>1865.2</v>
      </c>
      <c r="O10" s="1035">
        <v>1868.5</v>
      </c>
      <c r="P10" s="1035">
        <v>2048</v>
      </c>
      <c r="Q10" s="1035">
        <v>2489.5</v>
      </c>
    </row>
    <row r="11" spans="1:18" ht="12.75" customHeight="1">
      <c r="A11" s="151"/>
      <c r="B11" s="29" t="s">
        <v>24</v>
      </c>
      <c r="C11" s="161">
        <v>253482</v>
      </c>
      <c r="D11" s="161">
        <v>253925</v>
      </c>
      <c r="E11" s="164">
        <v>13000.9</v>
      </c>
      <c r="F11" s="1035">
        <v>13581.5</v>
      </c>
      <c r="G11" s="1035">
        <v>14270.2</v>
      </c>
      <c r="H11" s="1035">
        <v>15837.4</v>
      </c>
      <c r="I11" s="1035">
        <v>17116.900000000001</v>
      </c>
      <c r="J11" s="1035">
        <v>20057.5</v>
      </c>
      <c r="K11" s="1035">
        <v>20270.599999999999</v>
      </c>
      <c r="L11" s="1035">
        <v>24038.6</v>
      </c>
      <c r="M11" s="1035">
        <v>24045</v>
      </c>
      <c r="N11" s="1035">
        <v>26281.5</v>
      </c>
      <c r="O11" s="1035">
        <v>25241.200000000001</v>
      </c>
      <c r="P11" s="1035">
        <v>24685.3</v>
      </c>
      <c r="Q11" s="1035">
        <v>24963.3</v>
      </c>
    </row>
    <row r="12" spans="1:18" ht="12.75" customHeight="1">
      <c r="A12" s="151"/>
      <c r="B12" s="29" t="s">
        <v>25</v>
      </c>
      <c r="C12" s="161">
        <v>567252</v>
      </c>
      <c r="D12" s="161">
        <v>585191</v>
      </c>
      <c r="E12" s="164">
        <v>1268.3</v>
      </c>
      <c r="F12" s="1035">
        <v>1101.2</v>
      </c>
      <c r="G12" s="1035">
        <v>1140.5999999999999</v>
      </c>
      <c r="H12" s="1035">
        <v>1119.5</v>
      </c>
      <c r="I12" s="1035">
        <v>1332</v>
      </c>
      <c r="J12" s="1035">
        <v>1105.2</v>
      </c>
      <c r="K12" s="1035">
        <v>1046.3</v>
      </c>
      <c r="L12" s="1035">
        <v>1056.4000000000001</v>
      </c>
      <c r="M12" s="1035">
        <v>1052.4000000000001</v>
      </c>
      <c r="N12" s="1035">
        <v>899.9</v>
      </c>
      <c r="O12" s="1035">
        <v>839.4</v>
      </c>
      <c r="P12" s="1035">
        <v>901.6</v>
      </c>
      <c r="Q12" s="1035">
        <v>870.5</v>
      </c>
    </row>
    <row r="13" spans="1:18" ht="12.75" customHeight="1">
      <c r="A13" s="151"/>
      <c r="B13" s="29" t="s">
        <v>29</v>
      </c>
      <c r="C13" s="161">
        <v>201868</v>
      </c>
      <c r="D13" s="161">
        <v>203000</v>
      </c>
      <c r="E13" s="164">
        <v>953.6</v>
      </c>
      <c r="F13" s="1035">
        <v>1008.2</v>
      </c>
      <c r="G13" s="1035">
        <v>1200</v>
      </c>
      <c r="H13" s="1035">
        <v>1106.3</v>
      </c>
      <c r="I13" s="1035">
        <v>1374</v>
      </c>
      <c r="J13" s="1035">
        <v>1137.4000000000001</v>
      </c>
      <c r="K13" s="1035">
        <v>1379.9</v>
      </c>
      <c r="L13" s="1035">
        <v>1389.7</v>
      </c>
      <c r="M13" s="1035">
        <v>1423.3</v>
      </c>
      <c r="N13" s="1035">
        <v>1471.6</v>
      </c>
      <c r="O13" s="1035">
        <v>1521.5</v>
      </c>
      <c r="P13" s="1035">
        <v>1530.4</v>
      </c>
      <c r="Q13" s="1035">
        <v>1526</v>
      </c>
      <c r="R13" s="129"/>
    </row>
    <row r="14" spans="1:18" ht="12.75" customHeight="1">
      <c r="A14" s="151"/>
      <c r="B14" s="29" t="s">
        <v>30</v>
      </c>
      <c r="C14" s="161">
        <v>342051</v>
      </c>
      <c r="D14" s="161">
        <v>301166</v>
      </c>
      <c r="E14" s="164">
        <v>1705.7</v>
      </c>
      <c r="F14" s="1035">
        <v>1714</v>
      </c>
      <c r="G14" s="1035">
        <v>3250.5</v>
      </c>
      <c r="H14" s="1035">
        <v>3013.8</v>
      </c>
      <c r="I14" s="1035">
        <v>1713.1</v>
      </c>
      <c r="J14" s="1035">
        <v>2863.5</v>
      </c>
      <c r="K14" s="1035">
        <v>2620.6</v>
      </c>
      <c r="L14" s="1035">
        <v>2619.9</v>
      </c>
      <c r="M14" s="1035">
        <v>2620.1999999999998</v>
      </c>
      <c r="N14" s="1035">
        <v>2630.2</v>
      </c>
      <c r="O14" s="1035">
        <v>2640.3</v>
      </c>
      <c r="P14" s="1035">
        <v>2625.4</v>
      </c>
      <c r="Q14" s="1035">
        <v>2632.9</v>
      </c>
      <c r="R14" s="129"/>
    </row>
    <row r="15" spans="1:18" ht="12.75" customHeight="1">
      <c r="A15" s="151"/>
      <c r="B15" s="29" t="s">
        <v>31</v>
      </c>
      <c r="C15" s="161">
        <v>263480</v>
      </c>
      <c r="D15" s="161">
        <v>258000</v>
      </c>
      <c r="E15" s="164">
        <v>36554</v>
      </c>
      <c r="F15" s="1035">
        <v>42522.6</v>
      </c>
      <c r="G15" s="1035">
        <v>43800.5</v>
      </c>
      <c r="H15" s="1035">
        <v>41334.300000000003</v>
      </c>
      <c r="I15" s="1035">
        <v>40320.1</v>
      </c>
      <c r="J15" s="1035">
        <v>52827.199999999997</v>
      </c>
      <c r="K15" s="1035">
        <v>50450.7</v>
      </c>
      <c r="L15" s="1035">
        <v>51973.3</v>
      </c>
      <c r="M15" s="1035">
        <v>56920.3</v>
      </c>
      <c r="N15" s="1035">
        <v>60602.3</v>
      </c>
      <c r="O15" s="1035">
        <v>58064.4</v>
      </c>
      <c r="P15" s="1035">
        <v>60834.3</v>
      </c>
      <c r="Q15" s="1035">
        <v>68879.399999999994</v>
      </c>
      <c r="R15" s="129"/>
    </row>
    <row r="16" spans="1:18" ht="12.75" customHeight="1">
      <c r="A16" s="151"/>
      <c r="B16" s="29" t="s">
        <v>32</v>
      </c>
      <c r="C16" s="161">
        <v>36448</v>
      </c>
      <c r="D16" s="162">
        <v>36595</v>
      </c>
      <c r="E16" s="164">
        <v>7140.3</v>
      </c>
      <c r="F16" s="1035">
        <v>8131</v>
      </c>
      <c r="G16" s="1035">
        <v>10300</v>
      </c>
      <c r="H16" s="1035">
        <v>10725.3</v>
      </c>
      <c r="I16" s="1035">
        <v>11340.6</v>
      </c>
      <c r="J16" s="1035">
        <v>9340.6</v>
      </c>
      <c r="K16" s="1035">
        <v>10450.700000000001</v>
      </c>
      <c r="L16" s="1035">
        <v>10901.9</v>
      </c>
      <c r="M16" s="1035">
        <v>12536.8</v>
      </c>
      <c r="N16" s="1035">
        <v>13527.8</v>
      </c>
      <c r="O16" s="1035">
        <v>14767.1</v>
      </c>
      <c r="P16" s="1035">
        <v>16492.400000000001</v>
      </c>
      <c r="Q16" s="1035">
        <v>17467.3</v>
      </c>
      <c r="R16" s="129"/>
    </row>
    <row r="17" spans="1:18" ht="12.75" customHeight="1">
      <c r="A17" s="151"/>
      <c r="B17" s="29" t="s">
        <v>33</v>
      </c>
      <c r="C17" s="161">
        <v>269149</v>
      </c>
      <c r="D17" s="161">
        <v>293273</v>
      </c>
      <c r="E17" s="164">
        <v>1684</v>
      </c>
      <c r="F17" s="1035">
        <v>1714.3</v>
      </c>
      <c r="G17" s="1035">
        <v>1860</v>
      </c>
      <c r="H17" s="1035">
        <v>1677.7</v>
      </c>
      <c r="I17" s="1035">
        <v>1720.4</v>
      </c>
      <c r="J17" s="1035">
        <v>1530.4</v>
      </c>
      <c r="K17" s="1035">
        <v>1670.9</v>
      </c>
      <c r="L17" s="1035">
        <v>1729.4</v>
      </c>
      <c r="M17" s="1035">
        <v>1750.4</v>
      </c>
      <c r="N17" s="1035">
        <v>1756.9</v>
      </c>
      <c r="O17" s="1035">
        <v>1763.4</v>
      </c>
      <c r="P17" s="1035">
        <v>1759.5</v>
      </c>
      <c r="Q17" s="1035">
        <v>1761.4</v>
      </c>
      <c r="R17" s="129"/>
    </row>
    <row r="18" spans="1:18" ht="12.75" customHeight="1">
      <c r="A18" s="151"/>
      <c r="B18" s="29" t="s">
        <v>34</v>
      </c>
      <c r="C18" s="161">
        <v>101588</v>
      </c>
      <c r="D18" s="161">
        <v>124095</v>
      </c>
      <c r="E18" s="164">
        <v>105.4</v>
      </c>
      <c r="F18" s="1035">
        <v>105.8</v>
      </c>
      <c r="G18" s="1035">
        <v>106.8</v>
      </c>
      <c r="H18" s="1035">
        <v>109.7</v>
      </c>
      <c r="I18" s="1035">
        <v>110.8</v>
      </c>
      <c r="J18" s="1035">
        <v>120.1</v>
      </c>
      <c r="K18" s="1035">
        <v>130.5</v>
      </c>
      <c r="L18" s="1035">
        <v>135</v>
      </c>
      <c r="M18" s="1035">
        <v>136.5</v>
      </c>
      <c r="N18" s="1035">
        <v>139</v>
      </c>
      <c r="O18" s="1035">
        <v>141.5</v>
      </c>
      <c r="P18" s="1035">
        <v>138.30000000000001</v>
      </c>
      <c r="Q18" s="1035">
        <v>139.9</v>
      </c>
      <c r="R18" s="129"/>
    </row>
    <row r="19" spans="1:18" ht="12.75" customHeight="1">
      <c r="A19" s="151"/>
      <c r="B19" s="29" t="s">
        <v>35</v>
      </c>
      <c r="C19" s="161">
        <v>222660</v>
      </c>
      <c r="D19" s="161">
        <v>221770</v>
      </c>
      <c r="E19" s="164">
        <v>4850.1000000000004</v>
      </c>
      <c r="F19" s="1035">
        <v>3311.1</v>
      </c>
      <c r="G19" s="1035">
        <v>3600</v>
      </c>
      <c r="H19" s="1035">
        <v>3198.5</v>
      </c>
      <c r="I19" s="1035">
        <v>3510.8</v>
      </c>
      <c r="J19" s="1035">
        <v>2939.4</v>
      </c>
      <c r="K19" s="1035">
        <v>3450.3</v>
      </c>
      <c r="L19" s="1035">
        <v>3588.3</v>
      </c>
      <c r="M19" s="1035">
        <v>3650.4</v>
      </c>
      <c r="N19" s="1035">
        <v>3563</v>
      </c>
      <c r="O19" s="1035">
        <v>3554.4</v>
      </c>
      <c r="P19" s="1035">
        <v>3570.4</v>
      </c>
      <c r="Q19" s="1035">
        <v>3562.4</v>
      </c>
      <c r="R19" s="129"/>
    </row>
    <row r="20" spans="1:18" ht="12.75" customHeight="1">
      <c r="A20" s="151"/>
      <c r="B20" s="29" t="s">
        <v>36</v>
      </c>
      <c r="C20" s="161">
        <v>190580</v>
      </c>
      <c r="D20" s="161">
        <v>192967</v>
      </c>
      <c r="E20" s="164">
        <v>416.7</v>
      </c>
      <c r="F20" s="1035">
        <v>409.9</v>
      </c>
      <c r="G20" s="1035">
        <v>422.5</v>
      </c>
      <c r="H20" s="1035">
        <v>421.2</v>
      </c>
      <c r="I20" s="1035">
        <v>401.2</v>
      </c>
      <c r="J20" s="1035">
        <v>390.2</v>
      </c>
      <c r="K20" s="1035">
        <v>392.1</v>
      </c>
      <c r="L20" s="1035">
        <v>405.8</v>
      </c>
      <c r="M20" s="1035">
        <v>355.3</v>
      </c>
      <c r="N20" s="1035">
        <v>384.4</v>
      </c>
      <c r="O20" s="1035">
        <v>392.9</v>
      </c>
      <c r="P20" s="1035">
        <v>385.2</v>
      </c>
      <c r="Q20" s="1035">
        <v>389</v>
      </c>
      <c r="R20" s="129"/>
    </row>
    <row r="21" spans="1:18" ht="12.75" customHeight="1">
      <c r="A21" s="151"/>
      <c r="B21" s="29" t="s">
        <v>37</v>
      </c>
      <c r="C21" s="161">
        <v>268845</v>
      </c>
      <c r="D21" s="161">
        <v>263905</v>
      </c>
      <c r="E21" s="164">
        <v>31940.400000000001</v>
      </c>
      <c r="F21" s="1035">
        <v>33050.300000000003</v>
      </c>
      <c r="G21" s="1035">
        <v>32220.400000000001</v>
      </c>
      <c r="H21" s="1035">
        <v>27076.7</v>
      </c>
      <c r="I21" s="1035">
        <v>23026.5</v>
      </c>
      <c r="J21" s="1035">
        <v>20835.8</v>
      </c>
      <c r="K21" s="1035">
        <v>19743.400000000001</v>
      </c>
      <c r="L21" s="1035">
        <v>19475.900000000001</v>
      </c>
      <c r="M21" s="1035">
        <v>18079.400000000001</v>
      </c>
      <c r="N21" s="1035">
        <v>18854.599999999999</v>
      </c>
      <c r="O21" s="1035">
        <v>19046.599999999999</v>
      </c>
      <c r="P21" s="1035">
        <v>19470.3</v>
      </c>
      <c r="Q21" s="1035">
        <v>17146.599999999999</v>
      </c>
      <c r="R21" s="129"/>
    </row>
    <row r="22" spans="1:18" ht="12.75" customHeight="1">
      <c r="A22" s="151"/>
      <c r="B22" s="29" t="s">
        <v>38</v>
      </c>
      <c r="C22" s="161">
        <v>31022</v>
      </c>
      <c r="D22" s="161">
        <v>30221</v>
      </c>
      <c r="E22" s="164">
        <v>103.1</v>
      </c>
      <c r="F22" s="1035">
        <v>110.2</v>
      </c>
      <c r="G22" s="1035">
        <v>120.3</v>
      </c>
      <c r="H22" s="1035">
        <v>112.6</v>
      </c>
      <c r="I22" s="1035">
        <v>105.9</v>
      </c>
      <c r="J22" s="1035">
        <v>104.2</v>
      </c>
      <c r="K22" s="1035">
        <v>110.5</v>
      </c>
      <c r="L22" s="1035">
        <v>34.4</v>
      </c>
      <c r="M22" s="1035">
        <v>50.1</v>
      </c>
      <c r="N22" s="1035">
        <v>55</v>
      </c>
      <c r="O22" s="1035">
        <v>60.3</v>
      </c>
      <c r="P22" s="1035">
        <v>59.8</v>
      </c>
      <c r="Q22" s="1035">
        <v>60</v>
      </c>
      <c r="R22" s="129"/>
    </row>
    <row r="23" spans="1:18" ht="12.75" customHeight="1">
      <c r="A23" s="151"/>
      <c r="B23" s="29" t="s">
        <v>39</v>
      </c>
      <c r="C23" s="161">
        <v>29706</v>
      </c>
      <c r="D23" s="161">
        <v>29250</v>
      </c>
      <c r="E23" s="164">
        <v>607</v>
      </c>
      <c r="F23" s="1035">
        <v>665.7</v>
      </c>
      <c r="G23" s="1035">
        <v>690</v>
      </c>
      <c r="H23" s="1035">
        <v>730</v>
      </c>
      <c r="I23" s="1035">
        <v>822</v>
      </c>
      <c r="J23" s="1035">
        <v>905</v>
      </c>
      <c r="K23" s="1035">
        <v>851</v>
      </c>
      <c r="L23" s="1035">
        <v>883.5</v>
      </c>
      <c r="M23" s="1035">
        <v>1118</v>
      </c>
      <c r="N23" s="1035">
        <v>1150.8</v>
      </c>
      <c r="O23" s="1035">
        <v>1184.5999999999999</v>
      </c>
      <c r="P23" s="1035">
        <v>1185.4000000000001</v>
      </c>
      <c r="Q23" s="1035">
        <v>1185</v>
      </c>
      <c r="R23" s="129"/>
    </row>
    <row r="24" spans="1:18" ht="12.75" customHeight="1">
      <c r="A24" s="151"/>
      <c r="B24" s="29" t="s">
        <v>40</v>
      </c>
      <c r="C24" s="161">
        <v>445510</v>
      </c>
      <c r="D24" s="161">
        <v>402448</v>
      </c>
      <c r="E24" s="164">
        <v>596.1</v>
      </c>
      <c r="F24" s="1035">
        <v>553.4</v>
      </c>
      <c r="G24" s="1035">
        <v>650.20000000000005</v>
      </c>
      <c r="H24" s="1035">
        <v>509.1</v>
      </c>
      <c r="I24" s="1035">
        <v>610.1</v>
      </c>
      <c r="J24" s="1035">
        <v>720.1</v>
      </c>
      <c r="K24" s="1035">
        <v>750.5</v>
      </c>
      <c r="L24" s="1035">
        <v>820.4</v>
      </c>
      <c r="M24" s="1035">
        <v>850.1</v>
      </c>
      <c r="N24" s="1035">
        <v>847</v>
      </c>
      <c r="O24" s="1035">
        <v>843.9</v>
      </c>
      <c r="P24" s="1035">
        <v>485.1</v>
      </c>
      <c r="Q24" s="1035">
        <v>664.5</v>
      </c>
      <c r="R24" s="129"/>
    </row>
    <row r="25" spans="1:18" ht="12.75" customHeight="1">
      <c r="A25" s="151"/>
      <c r="B25" s="29" t="s">
        <v>41</v>
      </c>
      <c r="C25" s="161">
        <v>323150</v>
      </c>
      <c r="D25" s="161">
        <v>324950</v>
      </c>
      <c r="E25" s="164">
        <v>578.1</v>
      </c>
      <c r="F25" s="1035">
        <v>580.6</v>
      </c>
      <c r="G25" s="1035">
        <v>599.29999999999995</v>
      </c>
      <c r="H25" s="1035">
        <v>559.6</v>
      </c>
      <c r="I25" s="1035">
        <v>531.4</v>
      </c>
      <c r="J25" s="1035">
        <v>546.5</v>
      </c>
      <c r="K25" s="1035">
        <v>302.7</v>
      </c>
      <c r="L25" s="1035">
        <v>311.8</v>
      </c>
      <c r="M25" s="1035">
        <v>319.8</v>
      </c>
      <c r="N25" s="1035">
        <v>311.39999999999998</v>
      </c>
      <c r="O25" s="1035">
        <v>307.60000000000002</v>
      </c>
      <c r="P25" s="1035">
        <v>311.89999999999998</v>
      </c>
      <c r="Q25" s="1035">
        <v>309.7</v>
      </c>
      <c r="R25" s="123"/>
    </row>
    <row r="26" spans="1:18" ht="12.75" customHeight="1">
      <c r="A26" s="151"/>
      <c r="B26" s="29" t="s">
        <v>44</v>
      </c>
      <c r="C26" s="161">
        <v>511848</v>
      </c>
      <c r="D26" s="161">
        <v>513739</v>
      </c>
      <c r="E26" s="164">
        <v>900</v>
      </c>
      <c r="F26" s="1035">
        <v>1200</v>
      </c>
      <c r="G26" s="1035">
        <v>1620</v>
      </c>
      <c r="H26" s="1035">
        <v>1241.5</v>
      </c>
      <c r="I26" s="1035">
        <v>933</v>
      </c>
      <c r="J26" s="1035">
        <v>910.3</v>
      </c>
      <c r="K26" s="1035">
        <v>950.5</v>
      </c>
      <c r="L26" s="1035">
        <v>1120.5</v>
      </c>
      <c r="M26" s="1035">
        <v>1240.7</v>
      </c>
      <c r="N26" s="1035">
        <v>1203.9000000000001</v>
      </c>
      <c r="O26" s="1035">
        <v>1192.2</v>
      </c>
      <c r="P26" s="1035">
        <v>1210.3</v>
      </c>
      <c r="Q26" s="1035">
        <v>1201.3</v>
      </c>
    </row>
    <row r="27" spans="1:18" ht="12.75" customHeight="1">
      <c r="A27" s="151"/>
      <c r="B27" s="29" t="s">
        <v>45</v>
      </c>
      <c r="C27" s="161">
        <v>608200</v>
      </c>
      <c r="D27" s="161">
        <v>617340</v>
      </c>
      <c r="E27" s="164">
        <v>1809.9</v>
      </c>
      <c r="F27" s="1035">
        <v>1897.2</v>
      </c>
      <c r="G27" s="1035">
        <v>1889.1</v>
      </c>
      <c r="H27" s="1035">
        <v>1926.1</v>
      </c>
      <c r="I27" s="1035">
        <v>1941.2</v>
      </c>
      <c r="J27" s="1035">
        <v>1949</v>
      </c>
      <c r="K27" s="1035">
        <v>2010.5</v>
      </c>
      <c r="L27" s="1035">
        <v>1856.3</v>
      </c>
      <c r="M27" s="1035">
        <v>1856.3</v>
      </c>
      <c r="N27" s="1035">
        <v>1726.6</v>
      </c>
      <c r="O27" s="1035">
        <v>1727.2</v>
      </c>
      <c r="P27" s="1035">
        <v>1687.2</v>
      </c>
      <c r="Q27" s="1035">
        <v>1698.8</v>
      </c>
    </row>
    <row r="28" spans="1:18" ht="12.75" customHeight="1">
      <c r="A28" s="151"/>
      <c r="B28" s="150" t="s">
        <v>46</v>
      </c>
      <c r="C28" s="161">
        <v>128598</v>
      </c>
      <c r="D28" s="161">
        <v>135292</v>
      </c>
      <c r="E28" s="164">
        <v>2599.1999999999998</v>
      </c>
      <c r="F28" s="1035">
        <v>2832</v>
      </c>
      <c r="G28" s="1035">
        <v>3250</v>
      </c>
      <c r="H28" s="1035">
        <v>3283.9</v>
      </c>
      <c r="I28" s="1035">
        <v>4114.3999999999996</v>
      </c>
      <c r="J28" s="1035">
        <v>3905.1</v>
      </c>
      <c r="K28" s="1035">
        <v>4025.1</v>
      </c>
      <c r="L28" s="1035">
        <v>4186.1000000000004</v>
      </c>
      <c r="M28" s="1035">
        <v>4250.3</v>
      </c>
      <c r="N28" s="1035">
        <v>4366</v>
      </c>
      <c r="O28" s="1035">
        <v>4484.8999999999996</v>
      </c>
      <c r="P28" s="1035">
        <v>4589</v>
      </c>
      <c r="Q28" s="1035">
        <v>4537</v>
      </c>
    </row>
    <row r="29" spans="1:18" ht="12.75" customHeight="1">
      <c r="A29" s="151"/>
      <c r="B29" s="30" t="s">
        <v>47</v>
      </c>
      <c r="C29" s="161">
        <v>31586</v>
      </c>
      <c r="D29" s="161">
        <v>31586</v>
      </c>
      <c r="E29" s="164">
        <v>1021.9</v>
      </c>
      <c r="F29" s="1035">
        <v>2050.9</v>
      </c>
      <c r="G29" s="1035">
        <v>2101.4</v>
      </c>
      <c r="H29" s="1035">
        <v>3002.1</v>
      </c>
      <c r="I29" s="1035">
        <v>3750</v>
      </c>
      <c r="J29" s="1035">
        <v>3978.1</v>
      </c>
      <c r="K29" s="1035">
        <v>3196.7</v>
      </c>
      <c r="L29" s="1035">
        <v>3750</v>
      </c>
      <c r="M29" s="1035">
        <v>3820</v>
      </c>
      <c r="N29" s="1035">
        <v>3985.9</v>
      </c>
      <c r="O29" s="1035">
        <v>4159</v>
      </c>
      <c r="P29" s="1035">
        <v>4208.1000000000004</v>
      </c>
      <c r="Q29" s="1035">
        <v>4183.5</v>
      </c>
    </row>
    <row r="30" spans="1:18" ht="12.75" customHeight="1">
      <c r="A30" s="151"/>
      <c r="B30" s="29" t="s">
        <v>48</v>
      </c>
      <c r="C30" s="161">
        <v>44500</v>
      </c>
      <c r="D30" s="161">
        <v>41400</v>
      </c>
      <c r="E30" s="164">
        <v>3412.3</v>
      </c>
      <c r="F30" s="1035">
        <v>6312.2</v>
      </c>
      <c r="G30" s="1035">
        <v>6500.6</v>
      </c>
      <c r="H30" s="1035">
        <v>6396.5</v>
      </c>
      <c r="I30" s="1035">
        <v>5940.2</v>
      </c>
      <c r="J30" s="1035">
        <v>5568.3</v>
      </c>
      <c r="K30" s="1035">
        <v>5846.1</v>
      </c>
      <c r="L30" s="1035">
        <v>5254.6</v>
      </c>
      <c r="M30" s="1035">
        <v>5833.5</v>
      </c>
      <c r="N30" s="1035">
        <v>5944.7</v>
      </c>
      <c r="O30" s="1035">
        <v>6058</v>
      </c>
      <c r="P30" s="1035">
        <v>6147.1</v>
      </c>
      <c r="Q30" s="1035">
        <v>6002.5</v>
      </c>
    </row>
    <row r="31" spans="1:18" ht="12.75" customHeight="1">
      <c r="A31" s="151"/>
      <c r="B31" s="30" t="s">
        <v>49</v>
      </c>
      <c r="C31" s="163">
        <v>44200</v>
      </c>
      <c r="D31" s="163">
        <v>45228</v>
      </c>
      <c r="E31" s="164">
        <v>304.39999999999998</v>
      </c>
      <c r="F31" s="1035">
        <v>307.39999999999998</v>
      </c>
      <c r="G31" s="1035">
        <v>316.89999999999998</v>
      </c>
      <c r="H31" s="1035">
        <v>300.10000000000002</v>
      </c>
      <c r="I31" s="1035">
        <v>438.5</v>
      </c>
      <c r="J31" s="1035">
        <v>391</v>
      </c>
      <c r="K31" s="1035">
        <v>454.1</v>
      </c>
      <c r="L31" s="1035">
        <v>453</v>
      </c>
      <c r="M31" s="1035">
        <v>490.9</v>
      </c>
      <c r="N31" s="1035">
        <v>486</v>
      </c>
      <c r="O31" s="1035">
        <v>486</v>
      </c>
      <c r="P31" s="1035">
        <v>487.1</v>
      </c>
      <c r="Q31" s="1035">
        <v>486.5</v>
      </c>
    </row>
    <row r="32" spans="1:18" ht="2" customHeight="1" thickBot="1">
      <c r="A32" s="15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</row>
    <row r="33" spans="1:17" ht="10" customHeight="1">
      <c r="A33" s="28" t="s">
        <v>238</v>
      </c>
      <c r="B33" s="40"/>
      <c r="C33" s="449"/>
      <c r="D33" s="449"/>
      <c r="E33" s="449"/>
      <c r="F33" s="449"/>
      <c r="G33" s="449"/>
      <c r="H33" s="449"/>
      <c r="I33" s="449"/>
      <c r="J33" s="449"/>
      <c r="K33" s="449"/>
      <c r="L33" s="64"/>
      <c r="M33" s="64"/>
      <c r="N33" s="64"/>
      <c r="O33" s="64"/>
      <c r="P33" s="64"/>
      <c r="Q33" s="64"/>
    </row>
    <row r="34" spans="1:17" ht="10" customHeight="1">
      <c r="A34" s="28" t="s">
        <v>192</v>
      </c>
      <c r="B34" s="40"/>
      <c r="C34" s="449"/>
      <c r="D34" s="449"/>
      <c r="E34" s="449"/>
      <c r="F34" s="449"/>
      <c r="G34" s="449"/>
      <c r="H34" s="463"/>
      <c r="I34" s="463"/>
      <c r="J34" s="463"/>
      <c r="K34" s="463"/>
      <c r="L34" s="152"/>
      <c r="M34" s="152"/>
      <c r="N34" s="152"/>
      <c r="O34" s="152"/>
      <c r="P34" s="152"/>
      <c r="Q34" s="152"/>
    </row>
    <row r="35" spans="1:17" ht="10" customHeight="1">
      <c r="A35" s="40" t="s">
        <v>261</v>
      </c>
      <c r="B35" s="320"/>
      <c r="C35" s="449"/>
      <c r="D35" s="449"/>
      <c r="E35" s="449"/>
      <c r="F35" s="449"/>
      <c r="G35" s="449"/>
      <c r="H35" s="463"/>
      <c r="I35" s="463"/>
      <c r="J35" s="463"/>
      <c r="K35" s="463"/>
      <c r="L35" s="152"/>
      <c r="M35" s="152"/>
      <c r="N35" s="152"/>
      <c r="O35" s="152"/>
      <c r="P35" s="152"/>
      <c r="Q35" s="15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Hoja130">
    <tabColor theme="9" tint="0.59999389629810485"/>
  </sheetPr>
  <dimension ref="A2:Q35"/>
  <sheetViews>
    <sheetView showGridLines="0" zoomScale="150" zoomScaleNormal="150" workbookViewId="0">
      <selection activeCell="F7" sqref="F7:Q18"/>
    </sheetView>
  </sheetViews>
  <sheetFormatPr baseColWidth="10" defaultColWidth="7" defaultRowHeight="13" customHeight="1"/>
  <cols>
    <col min="1" max="1" width="1.796875" style="150" customWidth="1"/>
    <col min="2" max="2" width="10.19921875" style="150" customWidth="1"/>
    <col min="3" max="5" width="8" style="150" hidden="1" customWidth="1"/>
    <col min="6" max="17" width="9" style="150" customWidth="1"/>
    <col min="18" max="16384" width="7" style="150"/>
  </cols>
  <sheetData>
    <row r="2" spans="1:17" ht="15" customHeight="1">
      <c r="A2" s="468" t="s">
        <v>332</v>
      </c>
      <c r="B2" s="469"/>
      <c r="C2" s="469"/>
      <c r="D2" s="469"/>
      <c r="E2" s="469"/>
      <c r="F2" s="469"/>
    </row>
    <row r="3" spans="1:17" ht="13" customHeight="1">
      <c r="A3" s="1031" t="s">
        <v>568</v>
      </c>
      <c r="B3" s="469"/>
      <c r="C3" s="469"/>
      <c r="D3" s="469"/>
      <c r="E3" s="469"/>
      <c r="F3" s="469"/>
    </row>
    <row r="4" spans="1:17" ht="4" customHeight="1" thickBot="1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ht="15" customHeight="1">
      <c r="A5" s="1145" t="s">
        <v>18</v>
      </c>
      <c r="B5" s="1145"/>
      <c r="C5" s="1027">
        <v>2005</v>
      </c>
      <c r="D5" s="1027">
        <v>2006</v>
      </c>
      <c r="E5" s="1027">
        <v>2007</v>
      </c>
      <c r="F5" s="1027">
        <v>2008</v>
      </c>
      <c r="G5" s="1027">
        <v>2009</v>
      </c>
      <c r="H5" s="1027">
        <v>2010</v>
      </c>
      <c r="I5" s="1027">
        <v>2011</v>
      </c>
      <c r="J5" s="1027">
        <v>2012</v>
      </c>
      <c r="K5" s="1027">
        <v>2013</v>
      </c>
      <c r="L5" s="1027">
        <v>2014</v>
      </c>
      <c r="M5" s="1027">
        <v>2015</v>
      </c>
      <c r="N5" s="1027">
        <v>2016</v>
      </c>
      <c r="O5" s="1027">
        <v>2017</v>
      </c>
      <c r="P5" s="1027" t="s">
        <v>221</v>
      </c>
      <c r="Q5" s="1027" t="s">
        <v>239</v>
      </c>
    </row>
    <row r="6" spans="1:17" ht="15" customHeight="1">
      <c r="A6" s="1146" t="s">
        <v>106</v>
      </c>
      <c r="B6" s="1146"/>
      <c r="C6" s="1028">
        <f>(C8+C9+C10+C11+C12+C13+C14+C15+C16+C17+C18+C19+C20+C21+C22+C23+C24+C25+C26+C27+C28+C29+C30+C31)</f>
        <v>1074578</v>
      </c>
      <c r="D6" s="1028">
        <f>(D8+D9+D10+D11+D12+D13+D14+D15+D16+D17+D18+D19+D20+D21+D22+D23+D24+D25+D26+D27+D28+D29+D30+D31)</f>
        <v>1127320</v>
      </c>
      <c r="E6" s="1029">
        <v>394749.6</v>
      </c>
      <c r="F6" s="1036">
        <v>435909.3</v>
      </c>
      <c r="G6" s="1036">
        <v>476340.3</v>
      </c>
      <c r="H6" s="1036">
        <v>504986.8</v>
      </c>
      <c r="I6" s="1036">
        <v>535421.1</v>
      </c>
      <c r="J6" s="1036">
        <v>575566.4</v>
      </c>
      <c r="K6" s="1036">
        <v>594004.19999999995</v>
      </c>
      <c r="L6" s="1036">
        <v>621140.1</v>
      </c>
      <c r="M6" s="1036">
        <v>645016.19999999995</v>
      </c>
      <c r="N6" s="1036">
        <v>690892.3</v>
      </c>
      <c r="O6" s="1036">
        <v>707599.5</v>
      </c>
      <c r="P6" s="1036">
        <v>755841.1</v>
      </c>
      <c r="Q6" s="1036">
        <v>786549.7</v>
      </c>
    </row>
    <row r="7" spans="1:17" ht="4" customHeight="1">
      <c r="A7" s="151"/>
      <c r="B7" s="152"/>
      <c r="C7" s="160"/>
      <c r="D7" s="160"/>
      <c r="E7" s="160"/>
      <c r="F7" s="1034"/>
      <c r="G7" s="1034"/>
      <c r="H7" s="1034"/>
      <c r="I7" s="1034"/>
      <c r="J7" s="1034"/>
      <c r="K7" s="1034"/>
      <c r="L7" s="1034"/>
      <c r="M7" s="1034"/>
      <c r="N7" s="1034"/>
      <c r="O7" s="1034"/>
      <c r="P7" s="1034"/>
      <c r="Q7" s="1034"/>
    </row>
    <row r="8" spans="1:17" ht="12.75" customHeight="1">
      <c r="A8" s="151"/>
      <c r="B8" s="29" t="s">
        <v>21</v>
      </c>
      <c r="C8" s="161">
        <v>2573</v>
      </c>
      <c r="D8" s="161">
        <v>2418</v>
      </c>
      <c r="E8" s="164">
        <v>53.9</v>
      </c>
      <c r="F8" s="1035">
        <v>59.4</v>
      </c>
      <c r="G8" s="1035">
        <v>60.1</v>
      </c>
      <c r="H8" s="1035">
        <v>71.400000000000006</v>
      </c>
      <c r="I8" s="1035">
        <v>72.900000000000006</v>
      </c>
      <c r="J8" s="1035">
        <v>103.9</v>
      </c>
      <c r="K8" s="1035">
        <v>76.8</v>
      </c>
      <c r="L8" s="1035">
        <v>66</v>
      </c>
      <c r="M8" s="1035">
        <v>163.30000000000001</v>
      </c>
      <c r="N8" s="1035">
        <v>142.1</v>
      </c>
      <c r="O8" s="1035">
        <v>71.900000000000006</v>
      </c>
      <c r="P8" s="1035">
        <v>132.6</v>
      </c>
      <c r="Q8" s="1035">
        <v>132.1</v>
      </c>
    </row>
    <row r="9" spans="1:17" ht="12.75" customHeight="1">
      <c r="A9" s="151"/>
      <c r="B9" s="29" t="s">
        <v>22</v>
      </c>
      <c r="C9" s="161">
        <v>67649</v>
      </c>
      <c r="D9" s="161">
        <v>70283</v>
      </c>
      <c r="E9" s="164">
        <v>5694.5</v>
      </c>
      <c r="F9" s="1035">
        <v>5992.6</v>
      </c>
      <c r="G9" s="1035">
        <v>6495.2</v>
      </c>
      <c r="H9" s="1035">
        <v>7126.9</v>
      </c>
      <c r="I9" s="1035">
        <v>8433.4</v>
      </c>
      <c r="J9" s="1035">
        <v>10569.4</v>
      </c>
      <c r="K9" s="1035">
        <v>12323.2</v>
      </c>
      <c r="L9" s="1035">
        <v>11227.3</v>
      </c>
      <c r="M9" s="1035">
        <v>13713.3</v>
      </c>
      <c r="N9" s="1035">
        <v>14070.9</v>
      </c>
      <c r="O9" s="1035">
        <v>13281.8</v>
      </c>
      <c r="P9" s="1035">
        <v>14746</v>
      </c>
      <c r="Q9" s="1035">
        <v>14783.9</v>
      </c>
    </row>
    <row r="10" spans="1:17" ht="12.75" customHeight="1">
      <c r="A10" s="151"/>
      <c r="B10" s="29" t="s">
        <v>23</v>
      </c>
      <c r="C10" s="161">
        <v>22582</v>
      </c>
      <c r="D10" s="161">
        <v>22280</v>
      </c>
      <c r="E10" s="164">
        <v>1394.2</v>
      </c>
      <c r="F10" s="1035">
        <v>1540.2</v>
      </c>
      <c r="G10" s="1035">
        <v>2237</v>
      </c>
      <c r="H10" s="1035">
        <v>2265.5</v>
      </c>
      <c r="I10" s="1035">
        <v>3242.1</v>
      </c>
      <c r="J10" s="1035">
        <v>2619.4</v>
      </c>
      <c r="K10" s="1035">
        <v>6292.4</v>
      </c>
      <c r="L10" s="1035">
        <v>8131.7</v>
      </c>
      <c r="M10" s="1035">
        <v>8612.7000000000007</v>
      </c>
      <c r="N10" s="1035">
        <v>8462.4</v>
      </c>
      <c r="O10" s="1035">
        <v>10413.799999999999</v>
      </c>
      <c r="P10" s="1035">
        <v>11540</v>
      </c>
      <c r="Q10" s="1035">
        <v>12079.4</v>
      </c>
    </row>
    <row r="11" spans="1:17" ht="12.75" customHeight="1">
      <c r="A11" s="151"/>
      <c r="B11" s="29" t="s">
        <v>24</v>
      </c>
      <c r="C11" s="161">
        <v>38590</v>
      </c>
      <c r="D11" s="161">
        <v>39984</v>
      </c>
      <c r="E11" s="164">
        <v>75265.7</v>
      </c>
      <c r="F11" s="1035">
        <v>79000.800000000003</v>
      </c>
      <c r="G11" s="1035">
        <v>89147</v>
      </c>
      <c r="H11" s="1035">
        <v>98500.6</v>
      </c>
      <c r="I11" s="1035">
        <v>104714.1</v>
      </c>
      <c r="J11" s="1035">
        <v>111207.9</v>
      </c>
      <c r="K11" s="1035">
        <v>116405.1</v>
      </c>
      <c r="L11" s="1035">
        <v>116738.4</v>
      </c>
      <c r="M11" s="1035">
        <v>124122.3</v>
      </c>
      <c r="N11" s="1035">
        <v>126816.1</v>
      </c>
      <c r="O11" s="1035">
        <v>123377.9</v>
      </c>
      <c r="P11" s="1035">
        <v>134659.5</v>
      </c>
      <c r="Q11" s="1035">
        <v>140699</v>
      </c>
    </row>
    <row r="12" spans="1:17" ht="12.75" customHeight="1">
      <c r="A12" s="151"/>
      <c r="B12" s="29" t="s">
        <v>25</v>
      </c>
      <c r="C12" s="161">
        <v>137225</v>
      </c>
      <c r="D12" s="161">
        <v>159044</v>
      </c>
      <c r="E12" s="164">
        <v>1264.3</v>
      </c>
      <c r="F12" s="1035">
        <v>1268</v>
      </c>
      <c r="G12" s="1035">
        <v>1275.9000000000001</v>
      </c>
      <c r="H12" s="1035">
        <v>1415.4</v>
      </c>
      <c r="I12" s="1035">
        <v>1444.5</v>
      </c>
      <c r="J12" s="1035">
        <v>1643.7</v>
      </c>
      <c r="K12" s="1035">
        <v>1407</v>
      </c>
      <c r="L12" s="1035">
        <v>1356.2</v>
      </c>
      <c r="M12" s="1035">
        <v>1811.9</v>
      </c>
      <c r="N12" s="1035">
        <v>1859</v>
      </c>
      <c r="O12" s="1035">
        <v>1834</v>
      </c>
      <c r="P12" s="1035">
        <v>1773.9</v>
      </c>
      <c r="Q12" s="1035">
        <v>1768.8</v>
      </c>
    </row>
    <row r="13" spans="1:17" ht="12.75" customHeight="1">
      <c r="A13" s="151"/>
      <c r="B13" s="29" t="s">
        <v>29</v>
      </c>
      <c r="C13" s="161">
        <v>38436</v>
      </c>
      <c r="D13" s="161">
        <v>41714</v>
      </c>
      <c r="E13" s="164">
        <v>269.89999999999998</v>
      </c>
      <c r="F13" s="1035">
        <v>310.8</v>
      </c>
      <c r="G13" s="1035">
        <v>305.89999999999998</v>
      </c>
      <c r="H13" s="1035">
        <v>310.89999999999998</v>
      </c>
      <c r="I13" s="1035">
        <v>275.60000000000002</v>
      </c>
      <c r="J13" s="1035">
        <v>326.60000000000002</v>
      </c>
      <c r="K13" s="1035">
        <v>305.8</v>
      </c>
      <c r="L13" s="1035">
        <v>294.8</v>
      </c>
      <c r="M13" s="1035">
        <v>301.10000000000002</v>
      </c>
      <c r="N13" s="1035">
        <v>884.5</v>
      </c>
      <c r="O13" s="1035">
        <v>102.8</v>
      </c>
      <c r="P13" s="1035">
        <v>102.8</v>
      </c>
      <c r="Q13" s="1035">
        <v>102.8</v>
      </c>
    </row>
    <row r="14" spans="1:17" ht="12.75" customHeight="1">
      <c r="A14" s="151"/>
      <c r="B14" s="29" t="s">
        <v>30</v>
      </c>
      <c r="C14" s="161">
        <v>50607</v>
      </c>
      <c r="D14" s="161">
        <v>52411</v>
      </c>
      <c r="E14" s="164">
        <v>10033.299999999999</v>
      </c>
      <c r="F14" s="1035">
        <v>11008.9</v>
      </c>
      <c r="G14" s="1035">
        <v>10220.1</v>
      </c>
      <c r="H14" s="1035">
        <v>12573.7</v>
      </c>
      <c r="I14" s="1035">
        <v>13805.1</v>
      </c>
      <c r="J14" s="1035">
        <v>14802.6</v>
      </c>
      <c r="K14" s="1035">
        <v>14804</v>
      </c>
      <c r="L14" s="1035">
        <v>13774.9</v>
      </c>
      <c r="M14" s="1035">
        <v>14757.6</v>
      </c>
      <c r="N14" s="1035">
        <v>15171.8</v>
      </c>
      <c r="O14" s="1035">
        <v>17683.2</v>
      </c>
      <c r="P14" s="1035">
        <v>16441.599999999999</v>
      </c>
      <c r="Q14" s="1035">
        <v>17185.7</v>
      </c>
    </row>
    <row r="15" spans="1:17" ht="12.75" customHeight="1">
      <c r="A15" s="151"/>
      <c r="B15" s="29" t="s">
        <v>31</v>
      </c>
      <c r="C15" s="161">
        <v>106742</v>
      </c>
      <c r="D15" s="161">
        <v>110598</v>
      </c>
      <c r="E15" s="164">
        <v>221965.9</v>
      </c>
      <c r="F15" s="1035">
        <v>251298.8</v>
      </c>
      <c r="G15" s="1035">
        <v>272814.90000000002</v>
      </c>
      <c r="H15" s="1035">
        <v>286946.59999999998</v>
      </c>
      <c r="I15" s="1035">
        <v>298027.2</v>
      </c>
      <c r="J15" s="1035">
        <v>312563</v>
      </c>
      <c r="K15" s="1035">
        <v>306514.2</v>
      </c>
      <c r="L15" s="1035">
        <v>320636.2</v>
      </c>
      <c r="M15" s="1035">
        <v>323489.09999999998</v>
      </c>
      <c r="N15" s="1035">
        <v>360396.2</v>
      </c>
      <c r="O15" s="1035">
        <v>377518.8</v>
      </c>
      <c r="P15" s="1035">
        <v>399961.7</v>
      </c>
      <c r="Q15" s="1035">
        <v>416797.8</v>
      </c>
    </row>
    <row r="16" spans="1:17" ht="12.75" customHeight="1">
      <c r="A16" s="151"/>
      <c r="B16" s="29" t="s">
        <v>32</v>
      </c>
      <c r="C16" s="161">
        <v>7578</v>
      </c>
      <c r="D16" s="161">
        <v>7754</v>
      </c>
      <c r="E16" s="164">
        <v>15077</v>
      </c>
      <c r="F16" s="1035">
        <v>16897.599999999999</v>
      </c>
      <c r="G16" s="1035">
        <v>16261.4</v>
      </c>
      <c r="H16" s="1035">
        <v>17184.8</v>
      </c>
      <c r="I16" s="1035">
        <v>19736.099999999999</v>
      </c>
      <c r="J16" s="1035">
        <v>24660.3</v>
      </c>
      <c r="K16" s="1035">
        <v>26825.4</v>
      </c>
      <c r="L16" s="1035">
        <v>33583.1</v>
      </c>
      <c r="M16" s="1035">
        <v>31909.4</v>
      </c>
      <c r="N16" s="1035">
        <v>34075.5</v>
      </c>
      <c r="O16" s="1035">
        <v>34888.800000000003</v>
      </c>
      <c r="P16" s="1035">
        <v>41472.300000000003</v>
      </c>
      <c r="Q16" s="1035">
        <v>45451.199999999997</v>
      </c>
    </row>
    <row r="17" spans="1:17" ht="12.75" customHeight="1">
      <c r="A17" s="151"/>
      <c r="B17" s="29" t="s">
        <v>33</v>
      </c>
      <c r="C17" s="161">
        <v>59649</v>
      </c>
      <c r="D17" s="161">
        <v>63816</v>
      </c>
      <c r="E17" s="164">
        <v>516.20000000000005</v>
      </c>
      <c r="F17" s="1035">
        <v>521</v>
      </c>
      <c r="G17" s="1035">
        <v>522.5</v>
      </c>
      <c r="H17" s="1035">
        <v>498</v>
      </c>
      <c r="I17" s="1035">
        <v>520.29999999999995</v>
      </c>
      <c r="J17" s="1035">
        <v>691.7</v>
      </c>
      <c r="K17" s="1035">
        <v>857.1</v>
      </c>
      <c r="L17" s="1035">
        <v>661.6</v>
      </c>
      <c r="M17" s="1035">
        <v>860.9</v>
      </c>
      <c r="N17" s="1035">
        <v>833.7</v>
      </c>
      <c r="O17" s="1035">
        <v>638</v>
      </c>
      <c r="P17" s="1035">
        <v>650.4</v>
      </c>
      <c r="Q17" s="1035">
        <v>646.1</v>
      </c>
    </row>
    <row r="18" spans="1:17" ht="12.75" customHeight="1">
      <c r="A18" s="151"/>
      <c r="B18" s="29" t="s">
        <v>34</v>
      </c>
      <c r="C18" s="161">
        <v>24789</v>
      </c>
      <c r="D18" s="161">
        <v>21165</v>
      </c>
      <c r="E18" s="164">
        <v>176.5</v>
      </c>
      <c r="F18" s="1035">
        <v>170.5</v>
      </c>
      <c r="G18" s="1035">
        <v>126.6</v>
      </c>
      <c r="H18" s="1035">
        <v>112.3</v>
      </c>
      <c r="I18" s="1035">
        <v>372.7</v>
      </c>
      <c r="J18" s="1035">
        <v>271.5</v>
      </c>
      <c r="K18" s="1035">
        <v>456.5</v>
      </c>
      <c r="L18" s="1035">
        <v>411.5</v>
      </c>
      <c r="M18" s="1035">
        <v>542.5</v>
      </c>
      <c r="N18" s="1035">
        <v>501.5</v>
      </c>
      <c r="O18" s="1035">
        <v>205.6</v>
      </c>
      <c r="P18" s="1035">
        <v>309</v>
      </c>
      <c r="Q18" s="1035">
        <v>300.10000000000002</v>
      </c>
    </row>
    <row r="19" spans="1:17" ht="12.75" customHeight="1">
      <c r="A19" s="151"/>
      <c r="B19" s="29" t="s">
        <v>35</v>
      </c>
      <c r="C19" s="161">
        <v>38200</v>
      </c>
      <c r="D19" s="161">
        <v>37880</v>
      </c>
      <c r="E19" s="164">
        <v>715.3</v>
      </c>
      <c r="F19" s="1035">
        <v>3129.9</v>
      </c>
      <c r="G19" s="1035">
        <v>3854</v>
      </c>
      <c r="H19" s="1035">
        <v>4327.6000000000004</v>
      </c>
      <c r="I19" s="1035">
        <v>3550.3</v>
      </c>
      <c r="J19" s="1035">
        <v>3961.2</v>
      </c>
      <c r="K19" s="1035">
        <v>4363.3</v>
      </c>
      <c r="L19" s="1035">
        <v>4281.5</v>
      </c>
      <c r="M19" s="1035">
        <v>5106.1000000000004</v>
      </c>
      <c r="N19" s="1035">
        <v>8647</v>
      </c>
      <c r="O19" s="1035">
        <v>5570.9</v>
      </c>
      <c r="P19" s="1035">
        <v>5002.2</v>
      </c>
      <c r="Q19" s="1035">
        <v>5131.3</v>
      </c>
    </row>
    <row r="20" spans="1:17" ht="12.75" customHeight="1">
      <c r="A20" s="151"/>
      <c r="B20" s="29" t="s">
        <v>36</v>
      </c>
      <c r="C20" s="161">
        <v>26421</v>
      </c>
      <c r="D20" s="161">
        <v>24031</v>
      </c>
      <c r="E20" s="164">
        <v>403.1</v>
      </c>
      <c r="F20" s="1035">
        <v>405.1</v>
      </c>
      <c r="G20" s="1035">
        <v>407.1</v>
      </c>
      <c r="H20" s="1035">
        <v>409.1</v>
      </c>
      <c r="I20" s="1035">
        <v>411.2</v>
      </c>
      <c r="J20" s="1035">
        <v>413.2</v>
      </c>
      <c r="K20" s="1035">
        <v>415.3</v>
      </c>
      <c r="L20" s="1035">
        <v>417.4</v>
      </c>
      <c r="M20" s="1035">
        <v>489.3</v>
      </c>
      <c r="N20" s="1035">
        <v>500.3</v>
      </c>
      <c r="O20" s="1035">
        <v>505.9</v>
      </c>
      <c r="P20" s="1035">
        <v>509.6</v>
      </c>
      <c r="Q20" s="1035">
        <v>508.6</v>
      </c>
    </row>
    <row r="21" spans="1:17" ht="12.75" customHeight="1">
      <c r="A21" s="151"/>
      <c r="B21" s="29" t="s">
        <v>37</v>
      </c>
      <c r="C21" s="161">
        <v>55525</v>
      </c>
      <c r="D21" s="161">
        <v>55736</v>
      </c>
      <c r="E21" s="164">
        <v>33523</v>
      </c>
      <c r="F21" s="1035">
        <v>36888.5</v>
      </c>
      <c r="G21" s="1035">
        <v>39821</v>
      </c>
      <c r="H21" s="1035">
        <v>38769</v>
      </c>
      <c r="I21" s="1035">
        <v>43970</v>
      </c>
      <c r="J21" s="1035">
        <v>50849.1</v>
      </c>
      <c r="K21" s="1035">
        <v>57761.9</v>
      </c>
      <c r="L21" s="1035">
        <v>61244.5</v>
      </c>
      <c r="M21" s="1035">
        <v>63492</v>
      </c>
      <c r="N21" s="1035">
        <v>67328.2</v>
      </c>
      <c r="O21" s="1035">
        <v>69740.800000000003</v>
      </c>
      <c r="P21" s="1035">
        <v>74439.600000000006</v>
      </c>
      <c r="Q21" s="1035">
        <v>75369.600000000006</v>
      </c>
    </row>
    <row r="22" spans="1:17" ht="12.75" customHeight="1">
      <c r="A22" s="151"/>
      <c r="B22" s="29" t="s">
        <v>38</v>
      </c>
      <c r="C22" s="161">
        <v>6677</v>
      </c>
      <c r="D22" s="161">
        <v>7103</v>
      </c>
      <c r="E22" s="164">
        <v>79.900000000000006</v>
      </c>
      <c r="F22" s="1035">
        <v>99.1</v>
      </c>
      <c r="G22" s="1035">
        <v>149.80000000000001</v>
      </c>
      <c r="H22" s="1035">
        <v>89.7</v>
      </c>
      <c r="I22" s="1035">
        <v>67.3</v>
      </c>
      <c r="J22" s="1035">
        <v>81.599999999999994</v>
      </c>
      <c r="K22" s="1035">
        <v>91.8</v>
      </c>
      <c r="L22" s="1035">
        <v>122.6</v>
      </c>
      <c r="M22" s="1035">
        <v>109.1</v>
      </c>
      <c r="N22" s="1035">
        <v>95.8</v>
      </c>
      <c r="O22" s="1035">
        <v>86.1</v>
      </c>
      <c r="P22" s="1035">
        <v>94</v>
      </c>
      <c r="Q22" s="1035">
        <v>95.6</v>
      </c>
    </row>
    <row r="23" spans="1:17" ht="12.75" customHeight="1">
      <c r="A23" s="151"/>
      <c r="B23" s="29" t="s">
        <v>39</v>
      </c>
      <c r="C23" s="161">
        <v>6140</v>
      </c>
      <c r="D23" s="161">
        <v>5963</v>
      </c>
      <c r="E23" s="164">
        <v>4724.3999999999996</v>
      </c>
      <c r="F23" s="1035">
        <v>3230.5</v>
      </c>
      <c r="G23" s="1035">
        <v>3684.6</v>
      </c>
      <c r="H23" s="1035">
        <v>4765.8999999999996</v>
      </c>
      <c r="I23" s="1035">
        <v>4788.8</v>
      </c>
      <c r="J23" s="1035">
        <v>4259</v>
      </c>
      <c r="K23" s="1035">
        <v>7068</v>
      </c>
      <c r="L23" s="1035">
        <v>7626.6</v>
      </c>
      <c r="M23" s="1035">
        <v>11301.3</v>
      </c>
      <c r="N23" s="1035">
        <v>10035.9</v>
      </c>
      <c r="O23" s="1035">
        <v>9438.7999999999993</v>
      </c>
      <c r="P23" s="1035">
        <v>9123.6</v>
      </c>
      <c r="Q23" s="1035">
        <v>8886.2000000000007</v>
      </c>
    </row>
    <row r="24" spans="1:17" ht="12.75" customHeight="1">
      <c r="A24" s="151"/>
      <c r="B24" s="29" t="s">
        <v>40</v>
      </c>
      <c r="C24" s="161">
        <v>85922</v>
      </c>
      <c r="D24" s="161">
        <v>79926</v>
      </c>
      <c r="E24" s="164">
        <v>419.7</v>
      </c>
      <c r="F24" s="1035">
        <v>420.3</v>
      </c>
      <c r="G24" s="1035">
        <v>425.4</v>
      </c>
      <c r="H24" s="1035">
        <v>424.5</v>
      </c>
      <c r="I24" s="1035">
        <v>451.9</v>
      </c>
      <c r="J24" s="1035">
        <v>434.4</v>
      </c>
      <c r="K24" s="1035">
        <v>471.6</v>
      </c>
      <c r="L24" s="1035">
        <v>440.3</v>
      </c>
      <c r="M24" s="1035">
        <v>518.70000000000005</v>
      </c>
      <c r="N24" s="1035">
        <v>541.5</v>
      </c>
      <c r="O24" s="1035">
        <v>549.20000000000005</v>
      </c>
      <c r="P24" s="1035">
        <v>547.79999999999995</v>
      </c>
      <c r="Q24" s="1035">
        <v>544.5</v>
      </c>
    </row>
    <row r="25" spans="1:17" ht="12.75" customHeight="1">
      <c r="A25" s="151"/>
      <c r="B25" s="29" t="s">
        <v>41</v>
      </c>
      <c r="C25" s="161">
        <v>33857</v>
      </c>
      <c r="D25" s="161">
        <v>41333</v>
      </c>
      <c r="E25" s="164">
        <v>326.89999999999998</v>
      </c>
      <c r="F25" s="1035">
        <v>326.2</v>
      </c>
      <c r="G25" s="1035">
        <v>331.9</v>
      </c>
      <c r="H25" s="1035">
        <v>337.2</v>
      </c>
      <c r="I25" s="1035">
        <v>375.4</v>
      </c>
      <c r="J25" s="1035">
        <v>349.7</v>
      </c>
      <c r="K25" s="1035">
        <v>357.4</v>
      </c>
      <c r="L25" s="1035">
        <v>369.4</v>
      </c>
      <c r="M25" s="1035">
        <v>416.8</v>
      </c>
      <c r="N25" s="1035">
        <v>412</v>
      </c>
      <c r="O25" s="1035">
        <v>407</v>
      </c>
      <c r="P25" s="1035">
        <v>411.5</v>
      </c>
      <c r="Q25" s="1035">
        <v>405.7</v>
      </c>
    </row>
    <row r="26" spans="1:17" ht="12.75" customHeight="1">
      <c r="A26" s="151"/>
      <c r="B26" s="29" t="s">
        <v>44</v>
      </c>
      <c r="C26" s="161">
        <v>84508</v>
      </c>
      <c r="D26" s="161">
        <v>95765</v>
      </c>
      <c r="E26" s="164">
        <v>1211.2</v>
      </c>
      <c r="F26" s="1035">
        <v>947.7</v>
      </c>
      <c r="G26" s="1035">
        <v>941.8</v>
      </c>
      <c r="H26" s="1035">
        <v>1044.9000000000001</v>
      </c>
      <c r="I26" s="1035">
        <v>1517.6</v>
      </c>
      <c r="J26" s="1035">
        <v>1381</v>
      </c>
      <c r="K26" s="1035">
        <v>1369.9</v>
      </c>
      <c r="L26" s="1035">
        <v>1684.6</v>
      </c>
      <c r="M26" s="1035">
        <v>2235.9</v>
      </c>
      <c r="N26" s="1035">
        <v>2226.9</v>
      </c>
      <c r="O26" s="1035">
        <v>1986.1</v>
      </c>
      <c r="P26" s="1035">
        <v>1878.7</v>
      </c>
      <c r="Q26" s="1035">
        <v>1899.5</v>
      </c>
    </row>
    <row r="27" spans="1:17" ht="12.75" customHeight="1">
      <c r="A27" s="151"/>
      <c r="B27" s="29" t="s">
        <v>45</v>
      </c>
      <c r="C27" s="161">
        <v>119310</v>
      </c>
      <c r="D27" s="161">
        <v>121140</v>
      </c>
      <c r="E27" s="164">
        <v>1068.0999999999999</v>
      </c>
      <c r="F27" s="1035">
        <v>1070.2</v>
      </c>
      <c r="G27" s="1035">
        <v>1074.5999999999999</v>
      </c>
      <c r="H27" s="1035">
        <v>1082.9000000000001</v>
      </c>
      <c r="I27" s="1035">
        <v>1106.5</v>
      </c>
      <c r="J27" s="1035">
        <v>1094.4000000000001</v>
      </c>
      <c r="K27" s="1035">
        <v>1107.5999999999999</v>
      </c>
      <c r="L27" s="1035">
        <v>1135.8</v>
      </c>
      <c r="M27" s="1035">
        <v>1335.5</v>
      </c>
      <c r="N27" s="1035">
        <v>1346.8</v>
      </c>
      <c r="O27" s="1035">
        <v>1351</v>
      </c>
      <c r="P27" s="1035">
        <v>1358</v>
      </c>
      <c r="Q27" s="1035">
        <v>1354.6</v>
      </c>
    </row>
    <row r="28" spans="1:17" ht="12.75" customHeight="1">
      <c r="A28" s="151"/>
      <c r="B28" s="150" t="s">
        <v>46</v>
      </c>
      <c r="C28" s="161">
        <v>40306</v>
      </c>
      <c r="D28" s="161">
        <v>44465</v>
      </c>
      <c r="E28" s="164">
        <v>7595.5</v>
      </c>
      <c r="F28" s="1035">
        <v>8376.2999999999993</v>
      </c>
      <c r="G28" s="1035">
        <v>9659.7000000000007</v>
      </c>
      <c r="H28" s="1035">
        <v>9929.7000000000007</v>
      </c>
      <c r="I28" s="1035">
        <v>12001.6</v>
      </c>
      <c r="J28" s="1035">
        <v>13441</v>
      </c>
      <c r="K28" s="1035">
        <v>13449.2</v>
      </c>
      <c r="L28" s="1035">
        <v>15898.5</v>
      </c>
      <c r="M28" s="1035">
        <v>16253.5</v>
      </c>
      <c r="N28" s="1035">
        <v>16892.2</v>
      </c>
      <c r="O28" s="1035">
        <v>17537</v>
      </c>
      <c r="P28" s="1035">
        <v>17897.099999999999</v>
      </c>
      <c r="Q28" s="1035">
        <v>18414.900000000001</v>
      </c>
    </row>
    <row r="29" spans="1:17" ht="12.75" customHeight="1">
      <c r="A29" s="151"/>
      <c r="B29" s="30" t="s">
        <v>47</v>
      </c>
      <c r="C29" s="161">
        <v>4757</v>
      </c>
      <c r="D29" s="161">
        <v>5098</v>
      </c>
      <c r="E29" s="164">
        <v>6436.3</v>
      </c>
      <c r="F29" s="1035">
        <v>6762</v>
      </c>
      <c r="G29" s="1035">
        <v>9906.9</v>
      </c>
      <c r="H29" s="1035">
        <v>10359.9</v>
      </c>
      <c r="I29" s="1035">
        <v>9125.6</v>
      </c>
      <c r="J29" s="1035">
        <v>10460</v>
      </c>
      <c r="K29" s="1035">
        <v>10427.799999999999</v>
      </c>
      <c r="L29" s="1035">
        <v>10348.4</v>
      </c>
      <c r="M29" s="1035">
        <v>11812.8</v>
      </c>
      <c r="N29" s="1035">
        <v>11160.2</v>
      </c>
      <c r="O29" s="1035">
        <v>10952.7</v>
      </c>
      <c r="P29" s="1035">
        <v>11883.2</v>
      </c>
      <c r="Q29" s="1035">
        <v>12043</v>
      </c>
    </row>
    <row r="30" spans="1:17" ht="12.75" customHeight="1">
      <c r="A30" s="151"/>
      <c r="B30" s="29" t="s">
        <v>48</v>
      </c>
      <c r="C30" s="161">
        <v>9699</v>
      </c>
      <c r="D30" s="161">
        <v>9643</v>
      </c>
      <c r="E30" s="164">
        <v>5614.8</v>
      </c>
      <c r="F30" s="1035">
        <v>5123.2</v>
      </c>
      <c r="G30" s="1035">
        <v>5184.5</v>
      </c>
      <c r="H30" s="1035">
        <v>5002.8999999999996</v>
      </c>
      <c r="I30" s="1035">
        <v>5778.3</v>
      </c>
      <c r="J30" s="1035">
        <v>7103</v>
      </c>
      <c r="K30" s="1035">
        <v>8181.1</v>
      </c>
      <c r="L30" s="1035">
        <v>7976.3</v>
      </c>
      <c r="M30" s="1035">
        <v>8597</v>
      </c>
      <c r="N30" s="1035">
        <v>4983.7</v>
      </c>
      <c r="O30" s="1035">
        <v>5591.7</v>
      </c>
      <c r="P30" s="1035">
        <v>6692.2</v>
      </c>
      <c r="Q30" s="1035">
        <v>7328.1</v>
      </c>
    </row>
    <row r="31" spans="1:17" ht="12.75" customHeight="1">
      <c r="A31" s="151"/>
      <c r="B31" s="30" t="s">
        <v>49</v>
      </c>
      <c r="C31" s="163">
        <v>6836</v>
      </c>
      <c r="D31" s="163">
        <v>7770</v>
      </c>
      <c r="E31" s="164">
        <v>920</v>
      </c>
      <c r="F31" s="1035">
        <v>1062</v>
      </c>
      <c r="G31" s="1035">
        <v>1432.4</v>
      </c>
      <c r="H31" s="1035">
        <v>1437.4</v>
      </c>
      <c r="I31" s="1035">
        <v>1632.7</v>
      </c>
      <c r="J31" s="1035">
        <v>2278.8000000000002</v>
      </c>
      <c r="K31" s="1035">
        <v>2671.8</v>
      </c>
      <c r="L31" s="1035">
        <v>2712.4</v>
      </c>
      <c r="M31" s="1035">
        <v>3064.1</v>
      </c>
      <c r="N31" s="1035">
        <v>3508.1</v>
      </c>
      <c r="O31" s="1035">
        <v>3865.8</v>
      </c>
      <c r="P31" s="1035">
        <v>4214.2</v>
      </c>
      <c r="Q31" s="1035">
        <v>4328.3999999999996</v>
      </c>
    </row>
    <row r="32" spans="1:17" ht="5" customHeight="1" thickBot="1">
      <c r="A32" s="15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</row>
    <row r="33" spans="1:17" ht="10" customHeight="1">
      <c r="A33" s="28" t="s">
        <v>238</v>
      </c>
      <c r="B33" s="40"/>
      <c r="C33" s="449"/>
      <c r="D33" s="449"/>
      <c r="E33" s="449"/>
      <c r="F33" s="449"/>
      <c r="G33" s="449"/>
      <c r="H33" s="449"/>
      <c r="I33" s="449"/>
      <c r="J33" s="449"/>
      <c r="K33" s="449"/>
      <c r="L33" s="64"/>
      <c r="M33" s="64"/>
      <c r="N33" s="64"/>
      <c r="O33" s="64"/>
      <c r="P33" s="64"/>
      <c r="Q33" s="64"/>
    </row>
    <row r="34" spans="1:17" ht="10" customHeight="1">
      <c r="A34" s="28" t="s">
        <v>192</v>
      </c>
      <c r="B34" s="40"/>
      <c r="C34" s="449"/>
      <c r="D34" s="449"/>
      <c r="E34" s="449"/>
      <c r="F34" s="449"/>
      <c r="G34" s="449"/>
      <c r="H34" s="463"/>
      <c r="I34" s="463"/>
      <c r="J34" s="463"/>
      <c r="K34" s="463"/>
      <c r="L34" s="152"/>
      <c r="M34" s="152"/>
      <c r="N34" s="152"/>
      <c r="O34" s="152"/>
      <c r="P34" s="152"/>
      <c r="Q34" s="152"/>
    </row>
    <row r="35" spans="1:17" ht="10" customHeight="1">
      <c r="A35" s="40" t="s">
        <v>261</v>
      </c>
      <c r="B35" s="320"/>
      <c r="C35" s="449"/>
      <c r="D35" s="449"/>
      <c r="E35" s="449"/>
      <c r="F35" s="449"/>
      <c r="G35" s="449"/>
      <c r="H35" s="463"/>
      <c r="I35" s="463"/>
      <c r="J35" s="463"/>
      <c r="K35" s="463"/>
      <c r="L35" s="152"/>
      <c r="M35" s="152"/>
      <c r="N35" s="152"/>
      <c r="O35" s="152"/>
      <c r="P35" s="152"/>
      <c r="Q35" s="15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Hoja131">
    <tabColor theme="9" tint="0.59999389629810485"/>
  </sheetPr>
  <dimension ref="A2:Q35"/>
  <sheetViews>
    <sheetView showGridLines="0" topLeftCell="A5" zoomScale="150" zoomScaleNormal="150" workbookViewId="0">
      <selection activeCell="I63" sqref="I63"/>
    </sheetView>
  </sheetViews>
  <sheetFormatPr baseColWidth="10" defaultColWidth="7" defaultRowHeight="13" customHeight="1"/>
  <cols>
    <col min="1" max="1" width="1.796875" style="150" customWidth="1"/>
    <col min="2" max="2" width="10" style="150" customWidth="1"/>
    <col min="3" max="5" width="8" style="150" hidden="1" customWidth="1"/>
    <col min="6" max="17" width="9" style="150" customWidth="1"/>
    <col min="18" max="16384" width="7" style="150"/>
  </cols>
  <sheetData>
    <row r="2" spans="1:17" ht="15" customHeight="1">
      <c r="A2" s="468" t="s">
        <v>331</v>
      </c>
      <c r="B2" s="469"/>
      <c r="C2" s="469"/>
      <c r="D2" s="469"/>
      <c r="E2" s="469"/>
      <c r="F2" s="469"/>
    </row>
    <row r="3" spans="1:17" ht="13" customHeight="1">
      <c r="A3" s="1032" t="s">
        <v>569</v>
      </c>
      <c r="B3" s="469"/>
      <c r="C3" s="469"/>
      <c r="D3" s="469"/>
      <c r="E3" s="469"/>
      <c r="F3" s="469"/>
    </row>
    <row r="4" spans="1:17" ht="4" customHeight="1" thickBot="1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ht="15" customHeight="1">
      <c r="A5" s="1145" t="s">
        <v>18</v>
      </c>
      <c r="B5" s="1145"/>
      <c r="C5" s="1027">
        <v>2005</v>
      </c>
      <c r="D5" s="1027">
        <v>2006</v>
      </c>
      <c r="E5" s="1027">
        <v>2007</v>
      </c>
      <c r="F5" s="1027">
        <v>2008</v>
      </c>
      <c r="G5" s="1027">
        <v>2009</v>
      </c>
      <c r="H5" s="1027">
        <v>2010</v>
      </c>
      <c r="I5" s="1027">
        <v>2011</v>
      </c>
      <c r="J5" s="1027">
        <v>2012</v>
      </c>
      <c r="K5" s="1027">
        <v>2013</v>
      </c>
      <c r="L5" s="1027">
        <v>2014</v>
      </c>
      <c r="M5" s="1027">
        <v>2015</v>
      </c>
      <c r="N5" s="1027">
        <v>2016</v>
      </c>
      <c r="O5" s="1027">
        <v>2017</v>
      </c>
      <c r="P5" s="1027" t="s">
        <v>221</v>
      </c>
      <c r="Q5" s="1027" t="s">
        <v>239</v>
      </c>
    </row>
    <row r="6" spans="1:17" ht="15" customHeight="1">
      <c r="A6" s="1146" t="s">
        <v>106</v>
      </c>
      <c r="B6" s="1146"/>
      <c r="C6" s="1028">
        <f>(C8+C9+C10+C11+C12+C13+C14+C15+C16+C17+C18+C19+C20+C21+C22+C23+C24+C25+C26+C27+C28+C29+C30+C31)</f>
        <v>152496</v>
      </c>
      <c r="D6" s="1028">
        <f>(D8+D9+D10+D11+D12+D13+D14+D15+D16+D17+D18+D19+D20+D21+D22+D23+D24+D25+D26+D27+D28+D29+D30+D31)</f>
        <v>161580</v>
      </c>
      <c r="E6" s="1029">
        <v>770.4</v>
      </c>
      <c r="F6" s="1037">
        <v>877.2</v>
      </c>
      <c r="G6" s="1037">
        <v>964.4</v>
      </c>
      <c r="H6" s="1037">
        <v>1019.9</v>
      </c>
      <c r="I6" s="1037">
        <v>1108.3</v>
      </c>
      <c r="J6" s="1037">
        <v>1211.0999999999999</v>
      </c>
      <c r="K6" s="1037">
        <v>1254.3</v>
      </c>
      <c r="L6" s="1037">
        <v>1317.4</v>
      </c>
      <c r="M6" s="1037">
        <v>1423.6</v>
      </c>
      <c r="N6" s="1037">
        <v>1513.9</v>
      </c>
      <c r="O6" s="1037">
        <v>1569.3</v>
      </c>
      <c r="P6" s="1037">
        <v>1687.6</v>
      </c>
      <c r="Q6" s="1037">
        <v>1762.9</v>
      </c>
    </row>
    <row r="7" spans="1:17" ht="4" customHeight="1">
      <c r="A7" s="151"/>
      <c r="B7" s="152"/>
      <c r="C7" s="160"/>
      <c r="D7" s="160"/>
      <c r="E7" s="160"/>
      <c r="F7" s="1038"/>
      <c r="G7" s="1038"/>
      <c r="H7" s="1038"/>
      <c r="I7" s="1038"/>
      <c r="J7" s="1038"/>
      <c r="K7" s="1038"/>
      <c r="L7" s="1038"/>
      <c r="M7" s="1038"/>
      <c r="N7" s="1038"/>
      <c r="O7" s="1038"/>
      <c r="P7" s="1038"/>
      <c r="Q7" s="1038"/>
    </row>
    <row r="8" spans="1:17" ht="12.75" customHeight="1">
      <c r="A8" s="151"/>
      <c r="B8" s="29" t="s">
        <v>21</v>
      </c>
      <c r="C8" s="161">
        <v>356</v>
      </c>
      <c r="D8" s="161">
        <v>336</v>
      </c>
      <c r="E8" s="164">
        <v>0.1</v>
      </c>
      <c r="F8" s="1039">
        <v>0.1</v>
      </c>
      <c r="G8" s="1039">
        <v>0.1</v>
      </c>
      <c r="H8" s="1039">
        <v>0.1</v>
      </c>
      <c r="I8" s="1039">
        <v>0.1</v>
      </c>
      <c r="J8" s="1039">
        <v>0.2</v>
      </c>
      <c r="K8" s="1039">
        <v>0.2</v>
      </c>
      <c r="L8" s="1039">
        <v>0.1</v>
      </c>
      <c r="M8" s="1039">
        <v>0.3</v>
      </c>
      <c r="N8" s="1039">
        <v>0.3</v>
      </c>
      <c r="O8" s="1039">
        <v>0.2</v>
      </c>
      <c r="P8" s="1039">
        <v>0.3</v>
      </c>
      <c r="Q8" s="1039">
        <v>0.3</v>
      </c>
    </row>
    <row r="9" spans="1:17" ht="12.75" customHeight="1">
      <c r="A9" s="151"/>
      <c r="B9" s="29" t="s">
        <v>22</v>
      </c>
      <c r="C9" s="161">
        <v>10238</v>
      </c>
      <c r="D9" s="161">
        <v>10778</v>
      </c>
      <c r="E9" s="164">
        <v>10.5</v>
      </c>
      <c r="F9" s="1039">
        <v>11.4</v>
      </c>
      <c r="G9" s="1039">
        <v>13.2</v>
      </c>
      <c r="H9" s="1039">
        <v>14.4</v>
      </c>
      <c r="I9" s="1039">
        <v>17.100000000000001</v>
      </c>
      <c r="J9" s="1039">
        <v>21.8</v>
      </c>
      <c r="K9" s="1039">
        <v>25.6</v>
      </c>
      <c r="L9" s="1039">
        <v>23.4</v>
      </c>
      <c r="M9" s="1039">
        <v>29.8</v>
      </c>
      <c r="N9" s="1039">
        <v>29.6</v>
      </c>
      <c r="O9" s="1039">
        <v>28.9</v>
      </c>
      <c r="P9" s="1039">
        <v>32.6</v>
      </c>
      <c r="Q9" s="1039">
        <v>33.1</v>
      </c>
    </row>
    <row r="10" spans="1:17" ht="12.75" customHeight="1">
      <c r="A10" s="151"/>
      <c r="B10" s="29" t="s">
        <v>23</v>
      </c>
      <c r="C10" s="161">
        <v>2939</v>
      </c>
      <c r="D10" s="161">
        <v>3172</v>
      </c>
      <c r="E10" s="164">
        <v>2.7</v>
      </c>
      <c r="F10" s="1039">
        <v>3.2</v>
      </c>
      <c r="G10" s="1039">
        <v>4.4000000000000004</v>
      </c>
      <c r="H10" s="1039">
        <v>5.0999999999999996</v>
      </c>
      <c r="I10" s="1039">
        <v>7.3</v>
      </c>
      <c r="J10" s="1039">
        <v>5.3</v>
      </c>
      <c r="K10" s="1039">
        <v>12.9</v>
      </c>
      <c r="L10" s="1039">
        <v>16.8</v>
      </c>
      <c r="M10" s="1039">
        <v>18.600000000000001</v>
      </c>
      <c r="N10" s="1039">
        <v>19.2</v>
      </c>
      <c r="O10" s="1039">
        <v>22.7</v>
      </c>
      <c r="P10" s="1039">
        <v>25.4</v>
      </c>
      <c r="Q10" s="1039">
        <v>26.4</v>
      </c>
    </row>
    <row r="11" spans="1:17" ht="12.75" customHeight="1">
      <c r="A11" s="151"/>
      <c r="B11" s="29" t="s">
        <v>24</v>
      </c>
      <c r="C11" s="161">
        <v>5255</v>
      </c>
      <c r="D11" s="161">
        <v>5492</v>
      </c>
      <c r="E11" s="164">
        <v>150.1</v>
      </c>
      <c r="F11" s="1039">
        <v>160.9</v>
      </c>
      <c r="G11" s="1039">
        <v>180.5</v>
      </c>
      <c r="H11" s="1039">
        <v>201</v>
      </c>
      <c r="I11" s="1039">
        <v>215.8</v>
      </c>
      <c r="J11" s="1039">
        <v>233</v>
      </c>
      <c r="K11" s="1039">
        <v>244.6</v>
      </c>
      <c r="L11" s="1039">
        <v>246.5</v>
      </c>
      <c r="M11" s="1039">
        <v>272.10000000000002</v>
      </c>
      <c r="N11" s="1039">
        <v>272</v>
      </c>
      <c r="O11" s="1039">
        <v>270.8</v>
      </c>
      <c r="P11" s="1039">
        <v>299</v>
      </c>
      <c r="Q11" s="1039">
        <v>316.89999999999998</v>
      </c>
    </row>
    <row r="12" spans="1:17" ht="12.75" customHeight="1">
      <c r="A12" s="151"/>
      <c r="B12" s="29" t="s">
        <v>25</v>
      </c>
      <c r="C12" s="161">
        <v>20836</v>
      </c>
      <c r="D12" s="161">
        <v>24037</v>
      </c>
      <c r="E12" s="164">
        <v>2.1</v>
      </c>
      <c r="F12" s="1039">
        <v>2.1</v>
      </c>
      <c r="G12" s="1039">
        <v>2.1</v>
      </c>
      <c r="H12" s="1039">
        <v>2.4</v>
      </c>
      <c r="I12" s="1039">
        <v>2.5</v>
      </c>
      <c r="J12" s="1039">
        <v>2.9</v>
      </c>
      <c r="K12" s="1039">
        <v>2.4</v>
      </c>
      <c r="L12" s="1039">
        <v>2.2999999999999998</v>
      </c>
      <c r="M12" s="1039">
        <v>3.5</v>
      </c>
      <c r="N12" s="1039">
        <v>3.6</v>
      </c>
      <c r="O12" s="1039">
        <v>3.6</v>
      </c>
      <c r="P12" s="1039">
        <v>3.5</v>
      </c>
      <c r="Q12" s="1039">
        <v>3.7</v>
      </c>
    </row>
    <row r="13" spans="1:17" ht="12.75" customHeight="1">
      <c r="A13" s="151"/>
      <c r="B13" s="29" t="s">
        <v>29</v>
      </c>
      <c r="C13" s="161">
        <v>5682</v>
      </c>
      <c r="D13" s="161">
        <v>6278</v>
      </c>
      <c r="E13" s="164">
        <v>0.4</v>
      </c>
      <c r="F13" s="1039">
        <v>0.5</v>
      </c>
      <c r="G13" s="1039">
        <v>0.5</v>
      </c>
      <c r="H13" s="1039">
        <v>0.5</v>
      </c>
      <c r="I13" s="1039">
        <v>0.4</v>
      </c>
      <c r="J13" s="1039">
        <v>0.6</v>
      </c>
      <c r="K13" s="1039">
        <v>0.5</v>
      </c>
      <c r="L13" s="1039">
        <v>0.5</v>
      </c>
      <c r="M13" s="1039">
        <v>0.6</v>
      </c>
      <c r="N13" s="1039">
        <v>1.8</v>
      </c>
      <c r="O13" s="1039">
        <v>3.7</v>
      </c>
      <c r="P13" s="1039">
        <v>0.8</v>
      </c>
      <c r="Q13" s="1039">
        <v>0.8</v>
      </c>
    </row>
    <row r="14" spans="1:17" ht="12.75" customHeight="1">
      <c r="A14" s="151"/>
      <c r="B14" s="29" t="s">
        <v>30</v>
      </c>
      <c r="C14" s="997">
        <v>6599</v>
      </c>
      <c r="D14" s="997">
        <v>6835</v>
      </c>
      <c r="E14" s="998">
        <v>18.5</v>
      </c>
      <c r="F14" s="1039">
        <v>21.1</v>
      </c>
      <c r="G14" s="1039">
        <v>20.8</v>
      </c>
      <c r="H14" s="1039">
        <v>25.5</v>
      </c>
      <c r="I14" s="1039">
        <v>28.2</v>
      </c>
      <c r="J14" s="1039">
        <v>30.8</v>
      </c>
      <c r="K14" s="1039">
        <v>31.1</v>
      </c>
      <c r="L14" s="1039">
        <v>29.1</v>
      </c>
      <c r="M14" s="1039">
        <v>32.700000000000003</v>
      </c>
      <c r="N14" s="1039">
        <v>34</v>
      </c>
      <c r="O14" s="1039">
        <v>39.4</v>
      </c>
      <c r="P14" s="1039">
        <v>37.299999999999997</v>
      </c>
      <c r="Q14" s="1039">
        <v>38.4</v>
      </c>
    </row>
    <row r="15" spans="1:17" ht="12.75" customHeight="1">
      <c r="A15" s="151"/>
      <c r="B15" s="29" t="s">
        <v>31</v>
      </c>
      <c r="C15" s="997">
        <v>19359</v>
      </c>
      <c r="D15" s="997">
        <v>20479</v>
      </c>
      <c r="E15" s="998">
        <v>439.9</v>
      </c>
      <c r="F15" s="1039">
        <v>514.20000000000005</v>
      </c>
      <c r="G15" s="1039">
        <v>562.1</v>
      </c>
      <c r="H15" s="1039">
        <v>586.79999999999995</v>
      </c>
      <c r="I15" s="1039">
        <v>625</v>
      </c>
      <c r="J15" s="1039">
        <v>667.2</v>
      </c>
      <c r="K15" s="1039">
        <v>657.6</v>
      </c>
      <c r="L15" s="1039">
        <v>690.4</v>
      </c>
      <c r="M15" s="1039">
        <v>725.4</v>
      </c>
      <c r="N15" s="1039">
        <v>807.5</v>
      </c>
      <c r="O15" s="1039">
        <v>848.2</v>
      </c>
      <c r="P15" s="1039">
        <v>902.5</v>
      </c>
      <c r="Q15" s="1039">
        <v>942.8</v>
      </c>
    </row>
    <row r="16" spans="1:17" ht="12.75" customHeight="1">
      <c r="A16" s="151"/>
      <c r="B16" s="29" t="s">
        <v>32</v>
      </c>
      <c r="C16" s="997">
        <v>1092</v>
      </c>
      <c r="D16" s="997">
        <v>1134</v>
      </c>
      <c r="E16" s="998">
        <v>29.3</v>
      </c>
      <c r="F16" s="1039">
        <v>33.9</v>
      </c>
      <c r="G16" s="1039">
        <v>31.5</v>
      </c>
      <c r="H16" s="1039">
        <v>33</v>
      </c>
      <c r="I16" s="1039">
        <v>38.9</v>
      </c>
      <c r="J16" s="1039">
        <v>49.5</v>
      </c>
      <c r="K16" s="1039">
        <v>53.8</v>
      </c>
      <c r="L16" s="1039">
        <v>68.3</v>
      </c>
      <c r="M16" s="1039">
        <v>66.599999999999994</v>
      </c>
      <c r="N16" s="1039">
        <v>69.599999999999994</v>
      </c>
      <c r="O16" s="1039">
        <v>72.400000000000006</v>
      </c>
      <c r="P16" s="1039">
        <v>88.8</v>
      </c>
      <c r="Q16" s="1039">
        <v>95.5</v>
      </c>
    </row>
    <row r="17" spans="1:17" ht="12.75" customHeight="1">
      <c r="A17" s="151"/>
      <c r="B17" s="29" t="s">
        <v>33</v>
      </c>
      <c r="C17" s="161">
        <v>9010</v>
      </c>
      <c r="D17" s="161">
        <v>10026</v>
      </c>
      <c r="E17" s="164">
        <v>0.9</v>
      </c>
      <c r="F17" s="1039">
        <v>0.9</v>
      </c>
      <c r="G17" s="1039">
        <v>0.9</v>
      </c>
      <c r="H17" s="1039">
        <v>0.9</v>
      </c>
      <c r="I17" s="1039">
        <v>0.9</v>
      </c>
      <c r="J17" s="1039">
        <v>1.3</v>
      </c>
      <c r="K17" s="1039">
        <v>1.6</v>
      </c>
      <c r="L17" s="1039">
        <v>1.2</v>
      </c>
      <c r="M17" s="1039">
        <v>1.7</v>
      </c>
      <c r="N17" s="1039">
        <v>1.6</v>
      </c>
      <c r="O17" s="1039">
        <v>1.2</v>
      </c>
      <c r="P17" s="1039">
        <v>1.3</v>
      </c>
      <c r="Q17" s="1039">
        <v>1.3</v>
      </c>
    </row>
    <row r="18" spans="1:17" ht="12.75" customHeight="1">
      <c r="A18" s="151"/>
      <c r="B18" s="29" t="s">
        <v>34</v>
      </c>
      <c r="C18" s="161">
        <v>3372</v>
      </c>
      <c r="D18" s="161">
        <v>3040</v>
      </c>
      <c r="E18" s="164">
        <v>0.3</v>
      </c>
      <c r="F18" s="1039">
        <v>0.3</v>
      </c>
      <c r="G18" s="1039">
        <v>0.2</v>
      </c>
      <c r="H18" s="1039">
        <v>0.2</v>
      </c>
      <c r="I18" s="1039">
        <v>0.7</v>
      </c>
      <c r="J18" s="1039">
        <v>0.5</v>
      </c>
      <c r="K18" s="1039">
        <v>0.9</v>
      </c>
      <c r="L18" s="1039">
        <v>0.8</v>
      </c>
      <c r="M18" s="1039">
        <v>1.1000000000000001</v>
      </c>
      <c r="N18" s="1039">
        <v>1.1000000000000001</v>
      </c>
      <c r="O18" s="1039">
        <v>0.4</v>
      </c>
      <c r="P18" s="1039">
        <v>0.6</v>
      </c>
      <c r="Q18" s="1039">
        <v>0.6</v>
      </c>
    </row>
    <row r="19" spans="1:17" ht="12.75" customHeight="1">
      <c r="A19" s="151"/>
      <c r="B19" s="29" t="s">
        <v>35</v>
      </c>
      <c r="C19" s="161">
        <v>4781</v>
      </c>
      <c r="D19" s="161">
        <v>4782</v>
      </c>
      <c r="E19" s="164">
        <v>1.2</v>
      </c>
      <c r="F19" s="1039">
        <v>5.8</v>
      </c>
      <c r="G19" s="1039">
        <v>7.1</v>
      </c>
      <c r="H19" s="1039">
        <v>8</v>
      </c>
      <c r="I19" s="1039">
        <v>7.1</v>
      </c>
      <c r="J19" s="1039">
        <v>8</v>
      </c>
      <c r="K19" s="1039">
        <v>8.9</v>
      </c>
      <c r="L19" s="1039">
        <v>8.6999999999999993</v>
      </c>
      <c r="M19" s="1039">
        <v>11</v>
      </c>
      <c r="N19" s="1039">
        <v>18.5</v>
      </c>
      <c r="O19" s="1039">
        <v>12.1</v>
      </c>
      <c r="P19" s="1039">
        <v>11</v>
      </c>
      <c r="Q19" s="1039">
        <v>11.2</v>
      </c>
    </row>
    <row r="20" spans="1:17" ht="12.75" customHeight="1">
      <c r="A20" s="151"/>
      <c r="B20" s="29" t="s">
        <v>36</v>
      </c>
      <c r="C20" s="161">
        <v>2855</v>
      </c>
      <c r="D20" s="161">
        <v>2597</v>
      </c>
      <c r="E20" s="164">
        <v>0.6</v>
      </c>
      <c r="F20" s="1039">
        <v>0.6</v>
      </c>
      <c r="G20" s="1039">
        <v>0.6</v>
      </c>
      <c r="H20" s="1039">
        <v>0.6</v>
      </c>
      <c r="I20" s="1039">
        <v>0.6</v>
      </c>
      <c r="J20" s="1039">
        <v>0.6</v>
      </c>
      <c r="K20" s="1039">
        <v>0.6</v>
      </c>
      <c r="L20" s="1039">
        <v>0.6</v>
      </c>
      <c r="M20" s="1039">
        <v>0.9</v>
      </c>
      <c r="N20" s="1039">
        <v>0.9</v>
      </c>
      <c r="O20" s="1039">
        <v>0.9</v>
      </c>
      <c r="P20" s="1039">
        <v>1</v>
      </c>
      <c r="Q20" s="1039">
        <v>1</v>
      </c>
    </row>
    <row r="21" spans="1:17" ht="12.75" customHeight="1">
      <c r="A21" s="151"/>
      <c r="B21" s="29" t="s">
        <v>37</v>
      </c>
      <c r="C21" s="161">
        <v>8733</v>
      </c>
      <c r="D21" s="161">
        <v>8763</v>
      </c>
      <c r="E21" s="164">
        <v>62.2</v>
      </c>
      <c r="F21" s="1039">
        <v>70.8</v>
      </c>
      <c r="G21" s="1039">
        <v>74.8</v>
      </c>
      <c r="H21" s="1039">
        <v>73</v>
      </c>
      <c r="I21" s="1039">
        <v>90.3</v>
      </c>
      <c r="J21" s="1039">
        <v>106.4</v>
      </c>
      <c r="K21" s="1039">
        <v>121.3</v>
      </c>
      <c r="L21" s="1039">
        <v>129.19999999999999</v>
      </c>
      <c r="M21" s="1039">
        <v>139.30000000000001</v>
      </c>
      <c r="N21" s="1039">
        <v>145.9</v>
      </c>
      <c r="O21" s="1039">
        <v>153.4</v>
      </c>
      <c r="P21" s="1039">
        <v>165.7</v>
      </c>
      <c r="Q21" s="1039">
        <v>168.9</v>
      </c>
    </row>
    <row r="22" spans="1:17" ht="12.75" customHeight="1">
      <c r="A22" s="151"/>
      <c r="B22" s="29" t="s">
        <v>38</v>
      </c>
      <c r="C22" s="161">
        <v>1355</v>
      </c>
      <c r="D22" s="161">
        <v>1429</v>
      </c>
      <c r="E22" s="164">
        <v>0.1</v>
      </c>
      <c r="F22" s="1039">
        <v>0.2</v>
      </c>
      <c r="G22" s="1039">
        <v>0.2</v>
      </c>
      <c r="H22" s="1039">
        <v>0.2</v>
      </c>
      <c r="I22" s="1039">
        <v>0.1</v>
      </c>
      <c r="J22" s="1039">
        <v>0.1</v>
      </c>
      <c r="K22" s="1039">
        <v>0.2</v>
      </c>
      <c r="L22" s="1039">
        <v>0.2</v>
      </c>
      <c r="M22" s="1039">
        <v>0.2</v>
      </c>
      <c r="N22" s="1039">
        <v>0.2</v>
      </c>
      <c r="O22" s="1039">
        <v>0.2</v>
      </c>
      <c r="P22" s="1039">
        <v>0.2</v>
      </c>
      <c r="Q22" s="1039">
        <v>0.2</v>
      </c>
    </row>
    <row r="23" spans="1:17" ht="12.75" customHeight="1">
      <c r="A23" s="151"/>
      <c r="B23" s="29" t="s">
        <v>39</v>
      </c>
      <c r="C23" s="161">
        <v>1093</v>
      </c>
      <c r="D23" s="161">
        <v>1071</v>
      </c>
      <c r="E23" s="164">
        <v>8.6999999999999993</v>
      </c>
      <c r="F23" s="1039">
        <v>6.2</v>
      </c>
      <c r="G23" s="1039">
        <v>7.5</v>
      </c>
      <c r="H23" s="1039">
        <v>9.6</v>
      </c>
      <c r="I23" s="1039">
        <v>9.6999999999999993</v>
      </c>
      <c r="J23" s="1039">
        <v>8.9</v>
      </c>
      <c r="K23" s="1039">
        <v>14.8</v>
      </c>
      <c r="L23" s="1039">
        <v>16</v>
      </c>
      <c r="M23" s="1039">
        <v>24.7</v>
      </c>
      <c r="N23" s="1039">
        <v>21.9</v>
      </c>
      <c r="O23" s="1039">
        <v>20.6</v>
      </c>
      <c r="P23" s="1039">
        <v>20.2</v>
      </c>
      <c r="Q23" s="1039">
        <v>20.2</v>
      </c>
    </row>
    <row r="24" spans="1:17" ht="12.75" customHeight="1">
      <c r="A24" s="151"/>
      <c r="B24" s="29" t="s">
        <v>40</v>
      </c>
      <c r="C24" s="161">
        <v>9405</v>
      </c>
      <c r="D24" s="161">
        <v>8786</v>
      </c>
      <c r="E24" s="164">
        <v>0.6</v>
      </c>
      <c r="F24" s="1039">
        <v>0.6</v>
      </c>
      <c r="G24" s="1039">
        <v>0.6</v>
      </c>
      <c r="H24" s="1039">
        <v>0.6</v>
      </c>
      <c r="I24" s="1039">
        <v>0.7</v>
      </c>
      <c r="J24" s="1039">
        <v>0.6</v>
      </c>
      <c r="K24" s="1039">
        <v>0.7</v>
      </c>
      <c r="L24" s="1039">
        <v>0.7</v>
      </c>
      <c r="M24" s="1039">
        <v>1</v>
      </c>
      <c r="N24" s="1039">
        <v>1</v>
      </c>
      <c r="O24" s="1039">
        <v>1.1000000000000001</v>
      </c>
      <c r="P24" s="1039">
        <v>1.1000000000000001</v>
      </c>
      <c r="Q24" s="1039">
        <v>1.1000000000000001</v>
      </c>
    </row>
    <row r="25" spans="1:17" ht="12.75" customHeight="1">
      <c r="A25" s="151"/>
      <c r="B25" s="29" t="s">
        <v>41</v>
      </c>
      <c r="C25" s="161">
        <v>3879</v>
      </c>
      <c r="D25" s="161">
        <v>4268</v>
      </c>
      <c r="E25" s="164">
        <v>0.5</v>
      </c>
      <c r="F25" s="1039">
        <v>0.5</v>
      </c>
      <c r="G25" s="1039">
        <v>0.5</v>
      </c>
      <c r="H25" s="1039">
        <v>0.5</v>
      </c>
      <c r="I25" s="1039">
        <v>0.6</v>
      </c>
      <c r="J25" s="1039">
        <v>0.5</v>
      </c>
      <c r="K25" s="1039">
        <v>0.5</v>
      </c>
      <c r="L25" s="1039">
        <v>0.6</v>
      </c>
      <c r="M25" s="1039">
        <v>0.8</v>
      </c>
      <c r="N25" s="1039">
        <v>0.8</v>
      </c>
      <c r="O25" s="1039">
        <v>0.8</v>
      </c>
      <c r="P25" s="1039">
        <v>0.8</v>
      </c>
      <c r="Q25" s="1039">
        <v>0.8</v>
      </c>
    </row>
    <row r="26" spans="1:17" ht="12.75" customHeight="1">
      <c r="A26" s="151"/>
      <c r="B26" s="29" t="s">
        <v>44</v>
      </c>
      <c r="C26" s="161">
        <v>10312</v>
      </c>
      <c r="D26" s="161">
        <v>11894</v>
      </c>
      <c r="E26" s="164">
        <v>2</v>
      </c>
      <c r="F26" s="1039">
        <v>1.6</v>
      </c>
      <c r="G26" s="1039">
        <v>1.6</v>
      </c>
      <c r="H26" s="1039">
        <v>1.8</v>
      </c>
      <c r="I26" s="1039">
        <v>2.8</v>
      </c>
      <c r="J26" s="1039">
        <v>2.5</v>
      </c>
      <c r="K26" s="1039">
        <v>2.5</v>
      </c>
      <c r="L26" s="1039">
        <v>3.2</v>
      </c>
      <c r="M26" s="1039">
        <v>4.7</v>
      </c>
      <c r="N26" s="1039">
        <v>4.4000000000000004</v>
      </c>
      <c r="O26" s="1039">
        <v>4.0999999999999996</v>
      </c>
      <c r="P26" s="1039">
        <v>3.9</v>
      </c>
      <c r="Q26" s="1039">
        <v>4.0999999999999996</v>
      </c>
    </row>
    <row r="27" spans="1:17" ht="12.75" customHeight="1">
      <c r="A27" s="151"/>
      <c r="B27" s="29" t="s">
        <v>45</v>
      </c>
      <c r="C27" s="161">
        <v>17230</v>
      </c>
      <c r="D27" s="161">
        <v>17401</v>
      </c>
      <c r="E27" s="164">
        <v>1.7</v>
      </c>
      <c r="F27" s="1039">
        <v>1.7</v>
      </c>
      <c r="G27" s="1039">
        <v>1.7</v>
      </c>
      <c r="H27" s="1039">
        <v>1.7</v>
      </c>
      <c r="I27" s="1039">
        <v>1.7</v>
      </c>
      <c r="J27" s="1039">
        <v>1.7</v>
      </c>
      <c r="K27" s="1039">
        <v>1.7</v>
      </c>
      <c r="L27" s="1039">
        <v>1.8</v>
      </c>
      <c r="M27" s="1039">
        <v>2.5</v>
      </c>
      <c r="N27" s="1039">
        <v>2.5</v>
      </c>
      <c r="O27" s="1039">
        <v>2.5</v>
      </c>
      <c r="P27" s="1039">
        <v>2.6</v>
      </c>
      <c r="Q27" s="1039">
        <v>2.7</v>
      </c>
    </row>
    <row r="28" spans="1:17" ht="12.75" customHeight="1">
      <c r="A28" s="151"/>
      <c r="B28" s="150" t="s">
        <v>46</v>
      </c>
      <c r="C28" s="161">
        <v>4917</v>
      </c>
      <c r="D28" s="161">
        <v>5575</v>
      </c>
      <c r="E28" s="164">
        <v>14</v>
      </c>
      <c r="F28" s="1039">
        <v>16</v>
      </c>
      <c r="G28" s="1039">
        <v>19.600000000000001</v>
      </c>
      <c r="H28" s="1039">
        <v>20</v>
      </c>
      <c r="I28" s="1039">
        <v>24.3</v>
      </c>
      <c r="J28" s="1039">
        <v>27.7</v>
      </c>
      <c r="K28" s="1039">
        <v>27.8</v>
      </c>
      <c r="L28" s="1039">
        <v>33.1</v>
      </c>
      <c r="M28" s="1039">
        <v>35.200000000000003</v>
      </c>
      <c r="N28" s="1039">
        <v>35.799999999999997</v>
      </c>
      <c r="O28" s="1039">
        <v>38</v>
      </c>
      <c r="P28" s="1039">
        <v>38.9</v>
      </c>
      <c r="Q28" s="1039">
        <v>40.4</v>
      </c>
    </row>
    <row r="29" spans="1:17" ht="12.75" customHeight="1">
      <c r="A29" s="151"/>
      <c r="B29" s="30" t="s">
        <v>47</v>
      </c>
      <c r="C29" s="161">
        <v>520</v>
      </c>
      <c r="D29" s="161">
        <v>561</v>
      </c>
      <c r="E29" s="164">
        <v>11.9</v>
      </c>
      <c r="F29" s="1039">
        <v>12.9</v>
      </c>
      <c r="G29" s="1039">
        <v>20.2</v>
      </c>
      <c r="H29" s="1039">
        <v>20.9</v>
      </c>
      <c r="I29" s="1039">
        <v>18.399999999999999</v>
      </c>
      <c r="J29" s="1039">
        <v>21.6</v>
      </c>
      <c r="K29" s="1039">
        <v>21.6</v>
      </c>
      <c r="L29" s="1039">
        <v>21.6</v>
      </c>
      <c r="M29" s="1039">
        <v>25.6</v>
      </c>
      <c r="N29" s="1039">
        <v>23.9</v>
      </c>
      <c r="O29" s="1039">
        <v>23.7</v>
      </c>
      <c r="P29" s="1039">
        <v>26.1</v>
      </c>
      <c r="Q29" s="1039">
        <v>26.9</v>
      </c>
    </row>
    <row r="30" spans="1:17" ht="12.75" customHeight="1">
      <c r="A30" s="151"/>
      <c r="B30" s="29" t="s">
        <v>48</v>
      </c>
      <c r="C30" s="161">
        <v>1585</v>
      </c>
      <c r="D30" s="161">
        <v>1581</v>
      </c>
      <c r="E30" s="164">
        <v>10.3</v>
      </c>
      <c r="F30" s="1039">
        <v>9.8000000000000007</v>
      </c>
      <c r="G30" s="1039">
        <v>10.6</v>
      </c>
      <c r="H30" s="1039">
        <v>10.1</v>
      </c>
      <c r="I30" s="1039">
        <v>11.7</v>
      </c>
      <c r="J30" s="1039">
        <v>14.7</v>
      </c>
      <c r="K30" s="1039">
        <v>17</v>
      </c>
      <c r="L30" s="1039">
        <v>16.7</v>
      </c>
      <c r="M30" s="1039">
        <v>18.600000000000001</v>
      </c>
      <c r="N30" s="1039">
        <v>10.4</v>
      </c>
      <c r="O30" s="1039">
        <v>12</v>
      </c>
      <c r="P30" s="1039">
        <v>14.7</v>
      </c>
      <c r="Q30" s="1039">
        <v>15.7</v>
      </c>
    </row>
    <row r="31" spans="1:17" ht="12.75" customHeight="1">
      <c r="A31" s="151"/>
      <c r="B31" s="30" t="s">
        <v>49</v>
      </c>
      <c r="C31" s="163">
        <v>1093</v>
      </c>
      <c r="D31" s="163">
        <v>1265</v>
      </c>
      <c r="E31" s="164">
        <v>1.7</v>
      </c>
      <c r="F31" s="1039">
        <v>2.1</v>
      </c>
      <c r="G31" s="1039">
        <v>2.9</v>
      </c>
      <c r="H31" s="1039">
        <v>2.9</v>
      </c>
      <c r="I31" s="1039">
        <v>3.3</v>
      </c>
      <c r="J31" s="1039">
        <v>4.7</v>
      </c>
      <c r="K31" s="1039">
        <v>5.6</v>
      </c>
      <c r="L31" s="1039">
        <v>5.6</v>
      </c>
      <c r="M31" s="1039">
        <v>6.7</v>
      </c>
      <c r="N31" s="1039">
        <v>7.4</v>
      </c>
      <c r="O31" s="1039">
        <v>8.4</v>
      </c>
      <c r="P31" s="1039">
        <v>9.3000000000000007</v>
      </c>
      <c r="Q31" s="1039">
        <v>9.6999999999999993</v>
      </c>
    </row>
    <row r="32" spans="1:17" ht="5" customHeight="1" thickBot="1">
      <c r="A32" s="15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</row>
    <row r="33" spans="1:17" ht="10" customHeight="1">
      <c r="A33" s="28" t="s">
        <v>238</v>
      </c>
      <c r="B33" s="40"/>
      <c r="C33" s="449"/>
      <c r="D33" s="449"/>
      <c r="E33" s="449"/>
      <c r="F33" s="449"/>
      <c r="G33" s="449"/>
      <c r="H33" s="449"/>
      <c r="I33" s="449"/>
      <c r="J33" s="449"/>
      <c r="K33" s="449"/>
      <c r="L33" s="64"/>
      <c r="M33" s="64"/>
      <c r="N33" s="64"/>
      <c r="O33" s="64"/>
      <c r="P33" s="64"/>
      <c r="Q33" s="64"/>
    </row>
    <row r="34" spans="1:17" ht="10" customHeight="1">
      <c r="A34" s="28" t="s">
        <v>192</v>
      </c>
      <c r="B34" s="40"/>
      <c r="C34" s="449"/>
      <c r="D34" s="449"/>
      <c r="E34" s="449"/>
      <c r="F34" s="449"/>
      <c r="G34" s="449"/>
      <c r="H34" s="463"/>
      <c r="I34" s="463"/>
      <c r="J34" s="463"/>
      <c r="K34" s="463"/>
      <c r="L34" s="152"/>
      <c r="M34" s="152"/>
      <c r="N34" s="152"/>
      <c r="O34" s="152"/>
      <c r="P34" s="152"/>
      <c r="Q34" s="152"/>
    </row>
    <row r="35" spans="1:17" ht="10" customHeight="1">
      <c r="A35" s="40" t="s">
        <v>261</v>
      </c>
      <c r="B35" s="320"/>
      <c r="C35" s="449"/>
      <c r="D35" s="449"/>
      <c r="E35" s="449"/>
      <c r="F35" s="449"/>
      <c r="G35" s="449"/>
      <c r="H35" s="463"/>
      <c r="I35" s="463"/>
      <c r="J35" s="463"/>
      <c r="K35" s="463"/>
      <c r="L35" s="152"/>
      <c r="M35" s="152"/>
      <c r="N35" s="152"/>
      <c r="O35" s="152"/>
      <c r="P35" s="152"/>
      <c r="Q35" s="15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Hoja132">
    <tabColor theme="9" tint="0.59999389629810485"/>
  </sheetPr>
  <dimension ref="A2:S37"/>
  <sheetViews>
    <sheetView showGridLines="0" zoomScale="150" zoomScaleNormal="150" workbookViewId="0">
      <selection activeCell="I61" sqref="I61"/>
    </sheetView>
  </sheetViews>
  <sheetFormatPr baseColWidth="10" defaultColWidth="7" defaultRowHeight="13" customHeight="1"/>
  <cols>
    <col min="1" max="1" width="1.3984375" style="150" customWidth="1"/>
    <col min="2" max="2" width="10" style="150" customWidth="1"/>
    <col min="3" max="3" width="2.3984375" style="150" hidden="1" customWidth="1"/>
    <col min="4" max="15" width="9" style="150" customWidth="1"/>
    <col min="16" max="16384" width="7" style="150"/>
  </cols>
  <sheetData>
    <row r="2" spans="1:19" ht="13" customHeight="1">
      <c r="A2" s="452" t="s">
        <v>254</v>
      </c>
      <c r="B2" s="450"/>
      <c r="C2" s="450"/>
      <c r="D2" s="450"/>
      <c r="E2" s="450"/>
      <c r="F2" s="450"/>
      <c r="G2" s="450"/>
      <c r="H2" s="450"/>
      <c r="I2" s="450"/>
      <c r="J2" s="450"/>
    </row>
    <row r="3" spans="1:19" ht="13" customHeight="1">
      <c r="A3" s="451" t="s">
        <v>564</v>
      </c>
      <c r="B3" s="451"/>
      <c r="C3" s="450"/>
      <c r="D3" s="450"/>
      <c r="E3" s="450"/>
      <c r="F3" s="450"/>
      <c r="G3" s="450"/>
      <c r="H3" s="450"/>
      <c r="I3" s="450"/>
      <c r="J3" s="450"/>
    </row>
    <row r="4" spans="1:19" ht="4" customHeight="1" thickBot="1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</row>
    <row r="5" spans="1:19" ht="15" customHeight="1">
      <c r="A5" s="1145" t="s">
        <v>18</v>
      </c>
      <c r="B5" s="1145"/>
      <c r="C5" s="1043">
        <v>2007</v>
      </c>
      <c r="D5" s="1027">
        <v>2008</v>
      </c>
      <c r="E5" s="1027">
        <v>2009</v>
      </c>
      <c r="F5" s="1027">
        <v>2010</v>
      </c>
      <c r="G5" s="1027">
        <v>2011</v>
      </c>
      <c r="H5" s="1027">
        <v>2012</v>
      </c>
      <c r="I5" s="1027">
        <v>2013</v>
      </c>
      <c r="J5" s="1027">
        <v>2014</v>
      </c>
      <c r="K5" s="1027">
        <v>2015</v>
      </c>
      <c r="L5" s="1027">
        <v>2016</v>
      </c>
      <c r="M5" s="1027">
        <v>2017</v>
      </c>
      <c r="N5" s="1027" t="s">
        <v>221</v>
      </c>
      <c r="O5" s="1027" t="s">
        <v>239</v>
      </c>
    </row>
    <row r="6" spans="1:19" ht="15" customHeight="1">
      <c r="A6" s="1102" t="s">
        <v>106</v>
      </c>
      <c r="B6" s="1102"/>
      <c r="C6" s="1045">
        <v>3.63</v>
      </c>
      <c r="D6" s="1046">
        <v>4.18</v>
      </c>
      <c r="E6" s="1046">
        <v>4.33</v>
      </c>
      <c r="F6" s="1046">
        <v>4.6399999999999997</v>
      </c>
      <c r="G6" s="1046">
        <v>4.67</v>
      </c>
      <c r="H6" s="1046">
        <v>4.7</v>
      </c>
      <c r="I6" s="1046">
        <v>4.75</v>
      </c>
      <c r="J6" s="1046">
        <v>4.78</v>
      </c>
      <c r="K6" s="1046">
        <v>4.82</v>
      </c>
      <c r="L6" s="1046">
        <v>4.84</v>
      </c>
      <c r="M6" s="1046">
        <v>4.84</v>
      </c>
      <c r="N6" s="1046">
        <v>4.8600000000000003</v>
      </c>
      <c r="O6" s="1046">
        <v>4.6500000000000004</v>
      </c>
    </row>
    <row r="7" spans="1:19" ht="4" customHeight="1">
      <c r="A7" s="151"/>
      <c r="B7" s="152"/>
      <c r="C7" s="153"/>
      <c r="D7" s="494"/>
      <c r="E7" s="494"/>
      <c r="F7" s="494"/>
      <c r="G7" s="494"/>
      <c r="H7" s="494"/>
      <c r="I7" s="494"/>
      <c r="J7" s="494"/>
      <c r="K7" s="494"/>
      <c r="L7" s="494"/>
      <c r="M7" s="494"/>
      <c r="N7" s="494"/>
      <c r="O7" s="494"/>
    </row>
    <row r="8" spans="1:19" ht="12.75" customHeight="1">
      <c r="A8" s="151"/>
      <c r="B8" s="29" t="s">
        <v>21</v>
      </c>
      <c r="C8" s="154">
        <v>3.79</v>
      </c>
      <c r="D8" s="495">
        <v>4.08</v>
      </c>
      <c r="E8" s="495">
        <v>4.21</v>
      </c>
      <c r="F8" s="495">
        <v>4.1100000000000003</v>
      </c>
      <c r="G8" s="495">
        <v>4.1100000000000003</v>
      </c>
      <c r="H8" s="495">
        <v>4.2300000000000004</v>
      </c>
      <c r="I8" s="495">
        <v>4.12</v>
      </c>
      <c r="J8" s="495">
        <v>4.51</v>
      </c>
      <c r="K8" s="495">
        <v>4.95</v>
      </c>
      <c r="L8" s="495">
        <v>4.8600000000000003</v>
      </c>
      <c r="M8" s="495">
        <v>4.6500000000000004</v>
      </c>
      <c r="N8" s="495">
        <v>4.8499999999999996</v>
      </c>
      <c r="O8" s="495">
        <v>4.7699999999999996</v>
      </c>
      <c r="S8" s="155"/>
    </row>
    <row r="9" spans="1:19" ht="12.75" customHeight="1">
      <c r="A9" s="151"/>
      <c r="B9" s="29" t="s">
        <v>22</v>
      </c>
      <c r="C9" s="154">
        <v>3.83</v>
      </c>
      <c r="D9" s="495">
        <v>3.87</v>
      </c>
      <c r="E9" s="495">
        <v>4.18</v>
      </c>
      <c r="F9" s="495">
        <v>4.25</v>
      </c>
      <c r="G9" s="495">
        <v>3.84</v>
      </c>
      <c r="H9" s="495">
        <v>4.33</v>
      </c>
      <c r="I9" s="495">
        <v>4.33</v>
      </c>
      <c r="J9" s="495">
        <v>4.59</v>
      </c>
      <c r="K9" s="495">
        <v>5</v>
      </c>
      <c r="L9" s="495">
        <v>4.9400000000000004</v>
      </c>
      <c r="M9" s="495">
        <v>4.83</v>
      </c>
      <c r="N9" s="495">
        <v>4.92</v>
      </c>
      <c r="O9" s="495">
        <v>4.79</v>
      </c>
      <c r="S9" s="155"/>
    </row>
    <row r="10" spans="1:19" ht="12.75" customHeight="1">
      <c r="A10" s="151"/>
      <c r="B10" s="29" t="s">
        <v>23</v>
      </c>
      <c r="C10" s="154">
        <v>3.67</v>
      </c>
      <c r="D10" s="495">
        <v>3.92</v>
      </c>
      <c r="E10" s="495">
        <v>4.18</v>
      </c>
      <c r="F10" s="495">
        <v>4.3099999999999996</v>
      </c>
      <c r="G10" s="495">
        <v>4.28</v>
      </c>
      <c r="H10" s="495">
        <v>4.53</v>
      </c>
      <c r="I10" s="495">
        <v>4.58</v>
      </c>
      <c r="J10" s="495">
        <v>4.71</v>
      </c>
      <c r="K10" s="495">
        <v>5.0199999999999996</v>
      </c>
      <c r="L10" s="495">
        <v>4.97</v>
      </c>
      <c r="M10" s="495">
        <v>4.9400000000000004</v>
      </c>
      <c r="N10" s="495">
        <v>4.92</v>
      </c>
      <c r="O10" s="495">
        <v>4.7699999999999996</v>
      </c>
      <c r="S10" s="155"/>
    </row>
    <row r="11" spans="1:19" ht="12.75" customHeight="1">
      <c r="A11" s="151"/>
      <c r="B11" s="29" t="s">
        <v>24</v>
      </c>
      <c r="C11" s="156">
        <v>3.97</v>
      </c>
      <c r="D11" s="495">
        <v>4.1500000000000004</v>
      </c>
      <c r="E11" s="495">
        <v>5.03</v>
      </c>
      <c r="F11" s="495">
        <v>4.66</v>
      </c>
      <c r="G11" s="495">
        <v>4.8499999999999996</v>
      </c>
      <c r="H11" s="495">
        <v>4.74</v>
      </c>
      <c r="I11" s="495">
        <v>4.72</v>
      </c>
      <c r="J11" s="495">
        <v>4.74</v>
      </c>
      <c r="K11" s="495">
        <v>5.04</v>
      </c>
      <c r="L11" s="495">
        <v>4.9400000000000004</v>
      </c>
      <c r="M11" s="495">
        <v>4.91</v>
      </c>
      <c r="N11" s="495">
        <v>4.91</v>
      </c>
      <c r="O11" s="495">
        <v>4.75</v>
      </c>
      <c r="S11" s="155"/>
    </row>
    <row r="12" spans="1:19" ht="12.75" customHeight="1">
      <c r="A12" s="151"/>
      <c r="B12" s="29" t="s">
        <v>25</v>
      </c>
      <c r="C12" s="154">
        <v>3.71</v>
      </c>
      <c r="D12" s="495">
        <v>3.88</v>
      </c>
      <c r="E12" s="495">
        <v>4.04</v>
      </c>
      <c r="F12" s="495">
        <v>4.7699999999999996</v>
      </c>
      <c r="G12" s="495">
        <v>4.2300000000000004</v>
      </c>
      <c r="H12" s="495">
        <v>4.3499999999999996</v>
      </c>
      <c r="I12" s="495">
        <v>4.5999999999999996</v>
      </c>
      <c r="J12" s="495">
        <v>4.79</v>
      </c>
      <c r="K12" s="495">
        <v>5.0599999999999996</v>
      </c>
      <c r="L12" s="495">
        <v>4.9400000000000004</v>
      </c>
      <c r="M12" s="495">
        <v>4.8600000000000003</v>
      </c>
      <c r="N12" s="495">
        <v>4.87</v>
      </c>
      <c r="O12" s="495">
        <v>4.9000000000000004</v>
      </c>
      <c r="S12" s="155"/>
    </row>
    <row r="13" spans="1:19" ht="12.75" customHeight="1">
      <c r="A13" s="151"/>
      <c r="B13" s="29" t="s">
        <v>29</v>
      </c>
      <c r="C13" s="154">
        <v>3.8</v>
      </c>
      <c r="D13" s="495">
        <v>3.96</v>
      </c>
      <c r="E13" s="495">
        <v>4.2</v>
      </c>
      <c r="F13" s="495">
        <v>4.09</v>
      </c>
      <c r="G13" s="495">
        <v>4.38</v>
      </c>
      <c r="H13" s="495">
        <v>4.63</v>
      </c>
      <c r="I13" s="495">
        <v>4.59</v>
      </c>
      <c r="J13" s="495">
        <v>4.8499999999999996</v>
      </c>
      <c r="K13" s="495">
        <v>4.95</v>
      </c>
      <c r="L13" s="495">
        <v>4.91</v>
      </c>
      <c r="M13" s="495">
        <v>4.83</v>
      </c>
      <c r="N13" s="495">
        <v>4.84</v>
      </c>
      <c r="O13" s="495">
        <v>4.84</v>
      </c>
      <c r="S13" s="155"/>
    </row>
    <row r="14" spans="1:19" ht="12.75" customHeight="1">
      <c r="A14" s="151"/>
      <c r="B14" s="29" t="s">
        <v>30</v>
      </c>
      <c r="C14" s="156">
        <v>3.63</v>
      </c>
      <c r="D14" s="495">
        <v>3.74</v>
      </c>
      <c r="E14" s="495">
        <v>4.46</v>
      </c>
      <c r="F14" s="495">
        <v>4.32</v>
      </c>
      <c r="G14" s="495">
        <v>4.3899999999999997</v>
      </c>
      <c r="H14" s="495">
        <v>4.66</v>
      </c>
      <c r="I14" s="495">
        <v>4.71</v>
      </c>
      <c r="J14" s="495">
        <v>4.99</v>
      </c>
      <c r="K14" s="495">
        <v>5.08</v>
      </c>
      <c r="L14" s="495">
        <v>4.91</v>
      </c>
      <c r="M14" s="495">
        <v>4.76</v>
      </c>
      <c r="N14" s="495">
        <v>4.8099999999999996</v>
      </c>
      <c r="O14" s="495">
        <v>4.76</v>
      </c>
      <c r="S14" s="155"/>
    </row>
    <row r="15" spans="1:19" ht="12.75" customHeight="1">
      <c r="A15" s="151"/>
      <c r="B15" s="29" t="s">
        <v>31</v>
      </c>
      <c r="C15" s="156">
        <v>3.5</v>
      </c>
      <c r="D15" s="495">
        <v>4.25</v>
      </c>
      <c r="E15" s="495">
        <v>4.04</v>
      </c>
      <c r="F15" s="495">
        <v>4.71</v>
      </c>
      <c r="G15" s="495">
        <v>4.7</v>
      </c>
      <c r="H15" s="495">
        <v>4.6500000000000004</v>
      </c>
      <c r="I15" s="495">
        <v>4.7</v>
      </c>
      <c r="J15" s="495">
        <v>4.7</v>
      </c>
      <c r="K15" s="495">
        <v>4.8499999999999996</v>
      </c>
      <c r="L15" s="495">
        <v>4.8</v>
      </c>
      <c r="M15" s="495">
        <v>4.83</v>
      </c>
      <c r="N15" s="495">
        <v>4.8600000000000003</v>
      </c>
      <c r="O15" s="495">
        <v>4.55</v>
      </c>
      <c r="S15" s="155"/>
    </row>
    <row r="16" spans="1:19" ht="12.75" customHeight="1">
      <c r="A16" s="151"/>
      <c r="B16" s="29" t="s">
        <v>32</v>
      </c>
      <c r="C16" s="154">
        <v>3.85</v>
      </c>
      <c r="D16" s="495">
        <v>4.3099999999999996</v>
      </c>
      <c r="E16" s="495">
        <v>4.26</v>
      </c>
      <c r="F16" s="495">
        <v>4.66</v>
      </c>
      <c r="G16" s="495">
        <v>4.6100000000000003</v>
      </c>
      <c r="H16" s="495">
        <v>4.67</v>
      </c>
      <c r="I16" s="495">
        <v>4.6399999999999997</v>
      </c>
      <c r="J16" s="495">
        <v>4.79</v>
      </c>
      <c r="K16" s="495">
        <v>4.9000000000000004</v>
      </c>
      <c r="L16" s="495">
        <v>4.8600000000000003</v>
      </c>
      <c r="M16" s="495">
        <v>4.79</v>
      </c>
      <c r="N16" s="495">
        <v>4.74</v>
      </c>
      <c r="O16" s="495">
        <v>4.5999999999999996</v>
      </c>
      <c r="S16" s="155"/>
    </row>
    <row r="17" spans="1:19" ht="12.75" customHeight="1">
      <c r="A17" s="151"/>
      <c r="B17" s="29" t="s">
        <v>33</v>
      </c>
      <c r="C17" s="154">
        <v>3.66</v>
      </c>
      <c r="D17" s="495">
        <v>3.9</v>
      </c>
      <c r="E17" s="495">
        <v>4.13</v>
      </c>
      <c r="F17" s="495">
        <v>4.08</v>
      </c>
      <c r="G17" s="495">
        <v>4.55</v>
      </c>
      <c r="H17" s="495">
        <v>4.55</v>
      </c>
      <c r="I17" s="495">
        <v>4.6100000000000003</v>
      </c>
      <c r="J17" s="495">
        <v>4.99</v>
      </c>
      <c r="K17" s="495">
        <v>5.0199999999999996</v>
      </c>
      <c r="L17" s="495">
        <v>4.8899999999999997</v>
      </c>
      <c r="M17" s="495">
        <v>4.8</v>
      </c>
      <c r="N17" s="495">
        <v>4.8099999999999996</v>
      </c>
      <c r="O17" s="495">
        <v>4.87</v>
      </c>
      <c r="S17" s="155"/>
    </row>
    <row r="18" spans="1:19" ht="12.75" customHeight="1">
      <c r="A18" s="151"/>
      <c r="B18" s="29" t="s">
        <v>34</v>
      </c>
      <c r="C18" s="156">
        <v>3.87</v>
      </c>
      <c r="D18" s="495">
        <v>3.84</v>
      </c>
      <c r="E18" s="495">
        <v>3.94</v>
      </c>
      <c r="F18" s="495">
        <v>4.04</v>
      </c>
      <c r="G18" s="495">
        <v>4.3600000000000003</v>
      </c>
      <c r="H18" s="495">
        <v>4.51</v>
      </c>
      <c r="I18" s="495">
        <v>4.54</v>
      </c>
      <c r="J18" s="495">
        <v>4.9000000000000004</v>
      </c>
      <c r="K18" s="495">
        <v>5</v>
      </c>
      <c r="L18" s="495">
        <v>4.92</v>
      </c>
      <c r="M18" s="495">
        <v>4.8099999999999996</v>
      </c>
      <c r="N18" s="495">
        <v>4.8600000000000003</v>
      </c>
      <c r="O18" s="495">
        <v>4.95</v>
      </c>
      <c r="S18" s="155"/>
    </row>
    <row r="19" spans="1:19" ht="12.75" customHeight="1">
      <c r="A19" s="151"/>
      <c r="B19" s="29" t="s">
        <v>35</v>
      </c>
      <c r="C19" s="156">
        <v>3.82</v>
      </c>
      <c r="D19" s="495">
        <v>3.93</v>
      </c>
      <c r="E19" s="495">
        <v>4.1100000000000003</v>
      </c>
      <c r="F19" s="495">
        <v>4.66</v>
      </c>
      <c r="G19" s="495">
        <v>4.58</v>
      </c>
      <c r="H19" s="495">
        <v>4.79</v>
      </c>
      <c r="I19" s="495">
        <v>4.71</v>
      </c>
      <c r="J19" s="495">
        <v>5.0999999999999996</v>
      </c>
      <c r="K19" s="495">
        <v>5.13</v>
      </c>
      <c r="L19" s="495">
        <v>4.96</v>
      </c>
      <c r="M19" s="495">
        <v>4.79</v>
      </c>
      <c r="N19" s="495">
        <v>4.88</v>
      </c>
      <c r="O19" s="495">
        <v>4.95</v>
      </c>
      <c r="S19" s="155"/>
    </row>
    <row r="20" spans="1:19" ht="12.75" customHeight="1">
      <c r="A20" s="151"/>
      <c r="B20" s="29" t="s">
        <v>36</v>
      </c>
      <c r="C20" s="156">
        <v>3.92</v>
      </c>
      <c r="D20" s="495">
        <v>3.88</v>
      </c>
      <c r="E20" s="495">
        <v>4.21</v>
      </c>
      <c r="F20" s="495">
        <v>4.09</v>
      </c>
      <c r="G20" s="495">
        <v>4.4000000000000004</v>
      </c>
      <c r="H20" s="495">
        <v>4.55</v>
      </c>
      <c r="I20" s="495">
        <v>4.62</v>
      </c>
      <c r="J20" s="495">
        <v>4.91</v>
      </c>
      <c r="K20" s="495">
        <v>5.09</v>
      </c>
      <c r="L20" s="495">
        <v>4.95</v>
      </c>
      <c r="M20" s="495">
        <v>4.66</v>
      </c>
      <c r="N20" s="495">
        <v>4.7300000000000004</v>
      </c>
      <c r="O20" s="495">
        <v>4.87</v>
      </c>
      <c r="S20" s="155"/>
    </row>
    <row r="21" spans="1:19" ht="12.75" customHeight="1">
      <c r="A21" s="151"/>
      <c r="B21" s="29" t="s">
        <v>37</v>
      </c>
      <c r="C21" s="156">
        <v>3.41</v>
      </c>
      <c r="D21" s="495">
        <v>4</v>
      </c>
      <c r="E21" s="495">
        <v>4.79</v>
      </c>
      <c r="F21" s="495">
        <v>4.41</v>
      </c>
      <c r="G21" s="495">
        <v>4.25</v>
      </c>
      <c r="H21" s="495">
        <v>4.62</v>
      </c>
      <c r="I21" s="495">
        <v>4.72</v>
      </c>
      <c r="J21" s="495">
        <v>4.74</v>
      </c>
      <c r="K21" s="495">
        <v>4.82</v>
      </c>
      <c r="L21" s="495">
        <v>4.96</v>
      </c>
      <c r="M21" s="495">
        <v>4.93</v>
      </c>
      <c r="N21" s="495">
        <v>4.9400000000000004</v>
      </c>
      <c r="O21" s="495">
        <v>4.76</v>
      </c>
      <c r="S21" s="155"/>
    </row>
    <row r="22" spans="1:19" ht="12.75" customHeight="1">
      <c r="A22" s="151"/>
      <c r="B22" s="29" t="s">
        <v>38</v>
      </c>
      <c r="C22" s="156">
        <v>3.6</v>
      </c>
      <c r="D22" s="495">
        <v>3.86</v>
      </c>
      <c r="E22" s="495">
        <v>4.2300000000000004</v>
      </c>
      <c r="F22" s="495">
        <v>4.16</v>
      </c>
      <c r="G22" s="495">
        <v>4.13</v>
      </c>
      <c r="H22" s="495">
        <v>4.53</v>
      </c>
      <c r="I22" s="495">
        <v>4.7</v>
      </c>
      <c r="J22" s="495">
        <v>4.57</v>
      </c>
      <c r="K22" s="495">
        <v>4.82</v>
      </c>
      <c r="L22" s="495">
        <v>4.82</v>
      </c>
      <c r="M22" s="495">
        <v>4.74</v>
      </c>
      <c r="N22" s="495">
        <v>4.8499999999999996</v>
      </c>
      <c r="O22" s="495">
        <v>4.9400000000000004</v>
      </c>
      <c r="S22" s="155"/>
    </row>
    <row r="23" spans="1:19" ht="12.75" customHeight="1">
      <c r="A23" s="151"/>
      <c r="B23" s="29" t="s">
        <v>39</v>
      </c>
      <c r="C23" s="156">
        <v>3.54</v>
      </c>
      <c r="D23" s="495">
        <v>3.93</v>
      </c>
      <c r="E23" s="495">
        <v>4.46</v>
      </c>
      <c r="F23" s="495">
        <v>4.3099999999999996</v>
      </c>
      <c r="G23" s="495">
        <v>4.38</v>
      </c>
      <c r="H23" s="495">
        <v>4.68</v>
      </c>
      <c r="I23" s="495">
        <v>4.7300000000000004</v>
      </c>
      <c r="J23" s="495">
        <v>5.03</v>
      </c>
      <c r="K23" s="495">
        <v>5.12</v>
      </c>
      <c r="L23" s="495">
        <v>4.96</v>
      </c>
      <c r="M23" s="495">
        <v>4.8</v>
      </c>
      <c r="N23" s="495">
        <v>4.88</v>
      </c>
      <c r="O23" s="495">
        <v>4.87</v>
      </c>
      <c r="S23" s="155"/>
    </row>
    <row r="24" spans="1:19" ht="12.75" customHeight="1">
      <c r="A24" s="151"/>
      <c r="B24" s="29" t="s">
        <v>40</v>
      </c>
      <c r="C24" s="156">
        <v>3.71</v>
      </c>
      <c r="D24" s="495">
        <v>3.91</v>
      </c>
      <c r="E24" s="495">
        <v>4.24</v>
      </c>
      <c r="F24" s="495">
        <v>4.4400000000000004</v>
      </c>
      <c r="G24" s="495">
        <v>4.58</v>
      </c>
      <c r="H24" s="495">
        <v>4.87</v>
      </c>
      <c r="I24" s="495">
        <v>4.68</v>
      </c>
      <c r="J24" s="495">
        <v>5.1100000000000003</v>
      </c>
      <c r="K24" s="495">
        <v>5.3</v>
      </c>
      <c r="L24" s="495">
        <v>5</v>
      </c>
      <c r="M24" s="495">
        <v>4.82</v>
      </c>
      <c r="N24" s="495">
        <v>4.87</v>
      </c>
      <c r="O24" s="495">
        <v>4.8600000000000003</v>
      </c>
      <c r="S24" s="155"/>
    </row>
    <row r="25" spans="1:19" ht="12.75" customHeight="1">
      <c r="A25" s="151"/>
      <c r="B25" s="29" t="s">
        <v>41</v>
      </c>
      <c r="C25" s="156">
        <v>3.61</v>
      </c>
      <c r="D25" s="495">
        <v>3.82</v>
      </c>
      <c r="E25" s="495">
        <v>4.18</v>
      </c>
      <c r="F25" s="495">
        <v>4.12</v>
      </c>
      <c r="G25" s="495">
        <v>4.6500000000000004</v>
      </c>
      <c r="H25" s="495">
        <v>4.9400000000000004</v>
      </c>
      <c r="I25" s="495">
        <v>4.79</v>
      </c>
      <c r="J25" s="495">
        <v>5.0599999999999996</v>
      </c>
      <c r="K25" s="495">
        <v>4.93</v>
      </c>
      <c r="L25" s="495">
        <v>4.8600000000000003</v>
      </c>
      <c r="M25" s="495">
        <v>4.75</v>
      </c>
      <c r="N25" s="495">
        <v>4.84</v>
      </c>
      <c r="O25" s="495">
        <v>4.97</v>
      </c>
      <c r="S25" s="155"/>
    </row>
    <row r="26" spans="1:19" ht="12.75" customHeight="1">
      <c r="A26" s="151"/>
      <c r="B26" s="29" t="s">
        <v>44</v>
      </c>
      <c r="C26" s="156">
        <v>3.68</v>
      </c>
      <c r="D26" s="495">
        <v>3.86</v>
      </c>
      <c r="E26" s="495">
        <v>4.3</v>
      </c>
      <c r="F26" s="495">
        <v>4.53</v>
      </c>
      <c r="G26" s="495">
        <v>5.44</v>
      </c>
      <c r="H26" s="495">
        <v>5.13</v>
      </c>
      <c r="I26" s="495">
        <v>4.79</v>
      </c>
      <c r="J26" s="495">
        <v>5.07</v>
      </c>
      <c r="K26" s="495">
        <v>5.43</v>
      </c>
      <c r="L26" s="495">
        <v>5.31</v>
      </c>
      <c r="M26" s="495">
        <v>4.9400000000000004</v>
      </c>
      <c r="N26" s="495">
        <v>4.9400000000000004</v>
      </c>
      <c r="O26" s="495">
        <v>4.8899999999999997</v>
      </c>
      <c r="S26" s="155"/>
    </row>
    <row r="27" spans="1:19" ht="12.75" customHeight="1">
      <c r="A27" s="151"/>
      <c r="B27" s="29" t="s">
        <v>45</v>
      </c>
      <c r="C27" s="154">
        <v>3.64</v>
      </c>
      <c r="D27" s="495">
        <v>3.87</v>
      </c>
      <c r="E27" s="495">
        <v>4.1399999999999997</v>
      </c>
      <c r="F27" s="495">
        <v>4.3600000000000003</v>
      </c>
      <c r="G27" s="495">
        <v>4.8</v>
      </c>
      <c r="H27" s="495">
        <v>4.91</v>
      </c>
      <c r="I27" s="495">
        <v>4.9800000000000004</v>
      </c>
      <c r="J27" s="495">
        <v>5.19</v>
      </c>
      <c r="K27" s="495">
        <v>5.26</v>
      </c>
      <c r="L27" s="495">
        <v>5.14</v>
      </c>
      <c r="M27" s="495">
        <v>4.9000000000000004</v>
      </c>
      <c r="N27" s="495">
        <v>4.8899999999999997</v>
      </c>
      <c r="O27" s="495">
        <v>4.9800000000000004</v>
      </c>
      <c r="S27" s="155"/>
    </row>
    <row r="28" spans="1:19" ht="12.75" customHeight="1">
      <c r="A28" s="151"/>
      <c r="B28" s="150" t="s">
        <v>46</v>
      </c>
      <c r="C28" s="154">
        <v>3.39</v>
      </c>
      <c r="D28" s="495">
        <v>3.84</v>
      </c>
      <c r="E28" s="495">
        <v>4.1399999999999997</v>
      </c>
      <c r="F28" s="495">
        <v>4.3499999999999996</v>
      </c>
      <c r="G28" s="495">
        <v>5.04</v>
      </c>
      <c r="H28" s="495">
        <v>5.4</v>
      </c>
      <c r="I28" s="495">
        <v>5.16</v>
      </c>
      <c r="J28" s="495">
        <v>5.3</v>
      </c>
      <c r="K28" s="495">
        <v>5.37</v>
      </c>
      <c r="L28" s="495">
        <v>5.48</v>
      </c>
      <c r="M28" s="495">
        <v>4.95</v>
      </c>
      <c r="N28" s="495">
        <v>4.9400000000000004</v>
      </c>
      <c r="O28" s="495">
        <v>4.8099999999999996</v>
      </c>
      <c r="S28" s="155"/>
    </row>
    <row r="29" spans="1:19" ht="12.75" customHeight="1">
      <c r="A29" s="151"/>
      <c r="B29" s="30" t="s">
        <v>47</v>
      </c>
      <c r="C29" s="154">
        <v>4.29</v>
      </c>
      <c r="D29" s="495">
        <v>4.25</v>
      </c>
      <c r="E29" s="495">
        <v>4.57</v>
      </c>
      <c r="F29" s="495">
        <v>4.46</v>
      </c>
      <c r="G29" s="495">
        <v>4.8499999999999996</v>
      </c>
      <c r="H29" s="495">
        <v>5.26</v>
      </c>
      <c r="I29" s="495">
        <v>6.61</v>
      </c>
      <c r="J29" s="495">
        <v>5.55</v>
      </c>
      <c r="K29" s="495">
        <v>5.5</v>
      </c>
      <c r="L29" s="495">
        <v>5.56</v>
      </c>
      <c r="M29" s="495">
        <v>5.09</v>
      </c>
      <c r="N29" s="495">
        <v>5.07</v>
      </c>
      <c r="O29" s="495">
        <v>5.03</v>
      </c>
      <c r="S29" s="155"/>
    </row>
    <row r="30" spans="1:19" ht="12.75" customHeight="1">
      <c r="A30" s="151"/>
      <c r="B30" s="29" t="s">
        <v>48</v>
      </c>
      <c r="C30" s="154">
        <v>4.1500000000000004</v>
      </c>
      <c r="D30" s="495">
        <v>4.38</v>
      </c>
      <c r="E30" s="495">
        <v>4.54</v>
      </c>
      <c r="F30" s="495">
        <v>4.55</v>
      </c>
      <c r="G30" s="495">
        <v>4.82</v>
      </c>
      <c r="H30" s="495">
        <v>5.16</v>
      </c>
      <c r="I30" s="495">
        <v>5.37</v>
      </c>
      <c r="J30" s="495">
        <v>5.67</v>
      </c>
      <c r="K30" s="495">
        <v>5.54</v>
      </c>
      <c r="L30" s="495">
        <v>5.6</v>
      </c>
      <c r="M30" s="495">
        <v>5.0999999999999996</v>
      </c>
      <c r="N30" s="495">
        <v>5.1100000000000003</v>
      </c>
      <c r="O30" s="495">
        <v>5.05</v>
      </c>
      <c r="S30" s="155"/>
    </row>
    <row r="31" spans="1:19" ht="12.75" customHeight="1">
      <c r="A31" s="151"/>
      <c r="B31" s="30" t="s">
        <v>49</v>
      </c>
      <c r="C31" s="154">
        <v>4.28</v>
      </c>
      <c r="D31" s="495">
        <v>4.09</v>
      </c>
      <c r="E31" s="495">
        <v>4.59</v>
      </c>
      <c r="F31" s="495">
        <v>4.6100000000000003</v>
      </c>
      <c r="G31" s="495">
        <v>4.95</v>
      </c>
      <c r="H31" s="495">
        <v>5.14</v>
      </c>
      <c r="I31" s="495">
        <v>5.36</v>
      </c>
      <c r="J31" s="495">
        <v>5.64</v>
      </c>
      <c r="K31" s="495">
        <v>5.57</v>
      </c>
      <c r="L31" s="495">
        <v>5.54</v>
      </c>
      <c r="M31" s="495">
        <v>5.14</v>
      </c>
      <c r="N31" s="495">
        <v>5.14</v>
      </c>
      <c r="O31" s="495">
        <v>5.1100000000000003</v>
      </c>
      <c r="S31" s="155"/>
    </row>
    <row r="32" spans="1:19" ht="4" customHeight="1" thickBot="1">
      <c r="A32" s="157"/>
      <c r="B32" s="65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</row>
    <row r="33" spans="1:15" ht="10" customHeight="1">
      <c r="A33" s="28" t="s">
        <v>238</v>
      </c>
      <c r="B33" s="40"/>
      <c r="C33" s="449"/>
      <c r="D33" s="449"/>
      <c r="E33" s="449"/>
      <c r="F33" s="449"/>
      <c r="G33" s="449"/>
      <c r="H33" s="64"/>
      <c r="I33" s="64"/>
      <c r="J33" s="64"/>
      <c r="K33" s="64"/>
      <c r="L33" s="64"/>
      <c r="M33" s="64"/>
      <c r="N33" s="64"/>
      <c r="O33" s="64"/>
    </row>
    <row r="34" spans="1:15" ht="10" customHeight="1">
      <c r="A34" s="28" t="s">
        <v>192</v>
      </c>
      <c r="B34" s="40"/>
      <c r="C34" s="449"/>
      <c r="D34" s="449"/>
      <c r="E34" s="449"/>
      <c r="F34" s="463"/>
      <c r="G34" s="463"/>
      <c r="H34" s="152"/>
      <c r="I34" s="152"/>
      <c r="J34" s="152"/>
      <c r="K34" s="152"/>
      <c r="L34" s="152"/>
      <c r="M34" s="152"/>
    </row>
    <row r="35" spans="1:15" ht="10" customHeight="1">
      <c r="A35" s="40" t="s">
        <v>261</v>
      </c>
      <c r="B35" s="320"/>
      <c r="C35" s="449"/>
      <c r="D35" s="449"/>
      <c r="E35" s="449"/>
      <c r="F35" s="463"/>
      <c r="G35" s="463"/>
      <c r="H35" s="152"/>
      <c r="I35" s="152"/>
      <c r="J35" s="152"/>
      <c r="K35" s="152"/>
      <c r="L35" s="152"/>
      <c r="M35" s="152"/>
    </row>
    <row r="37" spans="1:15" ht="13" customHeight="1"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Hoja133">
    <tabColor theme="9" tint="0.59999389629810485"/>
  </sheetPr>
  <dimension ref="A2:O35"/>
  <sheetViews>
    <sheetView showGridLines="0" zoomScale="150" zoomScaleNormal="150" workbookViewId="0">
      <selection activeCell="J61" sqref="J61:J62"/>
    </sheetView>
  </sheetViews>
  <sheetFormatPr baseColWidth="10" defaultColWidth="7" defaultRowHeight="13" customHeight="1"/>
  <cols>
    <col min="1" max="1" width="1.3984375" style="150" customWidth="1"/>
    <col min="2" max="2" width="10.19921875" style="150" customWidth="1"/>
    <col min="3" max="3" width="8" style="150" hidden="1" customWidth="1"/>
    <col min="4" max="15" width="9" style="150" customWidth="1"/>
    <col min="16" max="16384" width="7" style="150"/>
  </cols>
  <sheetData>
    <row r="2" spans="1:15" ht="13" customHeight="1">
      <c r="A2" s="468" t="s">
        <v>330</v>
      </c>
      <c r="B2" s="469"/>
      <c r="C2" s="469"/>
      <c r="D2" s="469"/>
      <c r="E2" s="469"/>
      <c r="F2" s="469"/>
      <c r="G2" s="469"/>
      <c r="H2" s="469"/>
      <c r="I2" s="469"/>
      <c r="J2" s="469"/>
    </row>
    <row r="3" spans="1:15" ht="13" customHeight="1">
      <c r="A3" s="470" t="s">
        <v>568</v>
      </c>
      <c r="B3" s="470"/>
      <c r="C3" s="469"/>
      <c r="D3" s="469"/>
      <c r="E3" s="469"/>
      <c r="F3" s="469"/>
      <c r="G3" s="469"/>
      <c r="H3" s="469"/>
      <c r="I3" s="469"/>
      <c r="J3" s="469"/>
    </row>
    <row r="4" spans="1:15" ht="4" customHeight="1" thickBot="1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</row>
    <row r="5" spans="1:15" ht="15" customHeight="1">
      <c r="A5" s="1147" t="s">
        <v>18</v>
      </c>
      <c r="B5" s="1147"/>
      <c r="C5" s="1044">
        <v>2007</v>
      </c>
      <c r="D5" s="1047">
        <v>2008</v>
      </c>
      <c r="E5" s="1047">
        <v>2009</v>
      </c>
      <c r="F5" s="1047">
        <v>2010</v>
      </c>
      <c r="G5" s="1047">
        <v>2011</v>
      </c>
      <c r="H5" s="1047">
        <v>2012</v>
      </c>
      <c r="I5" s="1047">
        <v>2013</v>
      </c>
      <c r="J5" s="1047">
        <v>2014</v>
      </c>
      <c r="K5" s="1047">
        <v>2015</v>
      </c>
      <c r="L5" s="1047">
        <v>2016</v>
      </c>
      <c r="M5" s="1047">
        <v>2017</v>
      </c>
      <c r="N5" s="1047" t="s">
        <v>221</v>
      </c>
      <c r="O5" s="1047" t="s">
        <v>326</v>
      </c>
    </row>
    <row r="6" spans="1:15" ht="15" customHeight="1">
      <c r="A6" s="1146" t="s">
        <v>106</v>
      </c>
      <c r="B6" s="1146"/>
      <c r="C6" s="1030">
        <v>16572.3</v>
      </c>
      <c r="D6" s="1048">
        <v>17048.7</v>
      </c>
      <c r="E6" s="1048">
        <v>17206.400000000001</v>
      </c>
      <c r="F6" s="1048">
        <v>18156.7</v>
      </c>
      <c r="G6" s="1048">
        <v>19950.7</v>
      </c>
      <c r="H6" s="1048">
        <v>19846.400000000001</v>
      </c>
      <c r="I6" s="1048">
        <v>21805.599999999999</v>
      </c>
      <c r="J6" s="1048">
        <v>22353.3</v>
      </c>
      <c r="K6" s="1048">
        <v>23883.3</v>
      </c>
      <c r="L6" s="1048">
        <v>24752.1</v>
      </c>
      <c r="M6" s="1048">
        <v>25559.8</v>
      </c>
      <c r="N6" s="1048">
        <v>27705.7</v>
      </c>
      <c r="O6" s="1048">
        <v>29469</v>
      </c>
    </row>
    <row r="7" spans="1:15" ht="4" customHeight="1">
      <c r="A7" s="151"/>
      <c r="B7" s="152"/>
      <c r="C7" s="160"/>
      <c r="D7" s="1049"/>
      <c r="E7" s="1049"/>
      <c r="F7" s="1049"/>
      <c r="G7" s="1049"/>
      <c r="H7" s="1049"/>
      <c r="I7" s="1049"/>
      <c r="J7" s="1049"/>
      <c r="K7" s="1049"/>
      <c r="L7" s="1049"/>
      <c r="M7" s="1049"/>
      <c r="N7" s="1049"/>
      <c r="O7" s="1049"/>
    </row>
    <row r="8" spans="1:15" ht="12.75" customHeight="1">
      <c r="A8" s="151"/>
      <c r="B8" s="29" t="s">
        <v>21</v>
      </c>
      <c r="C8" s="164">
        <v>13.5</v>
      </c>
      <c r="D8" s="1035">
        <v>13.6</v>
      </c>
      <c r="E8" s="1035">
        <v>13.6</v>
      </c>
      <c r="F8" s="1035">
        <v>13.8</v>
      </c>
      <c r="G8" s="1035">
        <v>13.9</v>
      </c>
      <c r="H8" s="1035">
        <v>14.1</v>
      </c>
      <c r="I8" s="1035">
        <v>14.2</v>
      </c>
      <c r="J8" s="1035">
        <v>14.6</v>
      </c>
      <c r="K8" s="1035">
        <v>15</v>
      </c>
      <c r="L8" s="1035">
        <v>16.100000000000001</v>
      </c>
      <c r="M8" s="1035">
        <v>17.8</v>
      </c>
      <c r="N8" s="1035">
        <v>15</v>
      </c>
      <c r="O8" s="1035">
        <v>15.5</v>
      </c>
    </row>
    <row r="9" spans="1:15" ht="12.75" customHeight="1">
      <c r="A9" s="151"/>
      <c r="B9" s="29" t="s">
        <v>22</v>
      </c>
      <c r="C9" s="164">
        <v>352.9</v>
      </c>
      <c r="D9" s="1035">
        <v>373</v>
      </c>
      <c r="E9" s="1035">
        <v>330.1</v>
      </c>
      <c r="F9" s="1035">
        <v>226</v>
      </c>
      <c r="G9" s="1035">
        <v>286.39999999999998</v>
      </c>
      <c r="H9" s="1035">
        <v>380.6</v>
      </c>
      <c r="I9" s="1035">
        <v>321</v>
      </c>
      <c r="J9" s="1035">
        <v>337.9</v>
      </c>
      <c r="K9" s="1035">
        <v>402.2</v>
      </c>
      <c r="L9" s="1035">
        <v>390.6</v>
      </c>
      <c r="M9" s="1035">
        <v>359.4</v>
      </c>
      <c r="N9" s="1035">
        <v>373.4</v>
      </c>
      <c r="O9" s="1035">
        <v>394.7</v>
      </c>
    </row>
    <row r="10" spans="1:15" ht="12.75" customHeight="1">
      <c r="A10" s="151"/>
      <c r="B10" s="29" t="s">
        <v>23</v>
      </c>
      <c r="C10" s="164">
        <v>429.6</v>
      </c>
      <c r="D10" s="1035">
        <v>464.2</v>
      </c>
      <c r="E10" s="1035">
        <v>532.70000000000005</v>
      </c>
      <c r="F10" s="1035">
        <v>809.7</v>
      </c>
      <c r="G10" s="1035">
        <v>1011.5</v>
      </c>
      <c r="H10" s="1035">
        <v>744.6</v>
      </c>
      <c r="I10" s="1035">
        <v>796.6</v>
      </c>
      <c r="J10" s="1035">
        <v>609.20000000000005</v>
      </c>
      <c r="K10" s="1035">
        <v>502.7</v>
      </c>
      <c r="L10" s="1035">
        <v>460.5</v>
      </c>
      <c r="M10" s="1035">
        <v>469.9</v>
      </c>
      <c r="N10" s="1035">
        <v>470.6</v>
      </c>
      <c r="O10" s="1035">
        <v>498.5</v>
      </c>
    </row>
    <row r="11" spans="1:15" ht="12.75" customHeight="1">
      <c r="A11" s="151"/>
      <c r="B11" s="29" t="s">
        <v>24</v>
      </c>
      <c r="C11" s="164">
        <v>2528.1</v>
      </c>
      <c r="D11" s="1035">
        <v>3170.4</v>
      </c>
      <c r="E11" s="1035">
        <v>3070</v>
      </c>
      <c r="F11" s="1035">
        <v>3050</v>
      </c>
      <c r="G11" s="1035">
        <v>3079.9</v>
      </c>
      <c r="H11" s="1035">
        <v>2983</v>
      </c>
      <c r="I11" s="1035">
        <v>3529.2</v>
      </c>
      <c r="J11" s="1035">
        <v>3415.5</v>
      </c>
      <c r="K11" s="1035">
        <v>4056</v>
      </c>
      <c r="L11" s="1035">
        <v>4066.5</v>
      </c>
      <c r="M11" s="1035">
        <v>3960.6</v>
      </c>
      <c r="N11" s="1035">
        <v>4415.8999999999996</v>
      </c>
      <c r="O11" s="1035">
        <v>4838.8</v>
      </c>
    </row>
    <row r="12" spans="1:15" ht="12.75" customHeight="1">
      <c r="A12" s="151"/>
      <c r="B12" s="29" t="s">
        <v>25</v>
      </c>
      <c r="C12" s="164">
        <v>380.6</v>
      </c>
      <c r="D12" s="1035">
        <v>360.1</v>
      </c>
      <c r="E12" s="1035">
        <v>363.5</v>
      </c>
      <c r="F12" s="1035">
        <v>372.2</v>
      </c>
      <c r="G12" s="1035">
        <v>386.1</v>
      </c>
      <c r="H12" s="1035">
        <v>421.1</v>
      </c>
      <c r="I12" s="1035">
        <v>422.3</v>
      </c>
      <c r="J12" s="1035">
        <v>415.2</v>
      </c>
      <c r="K12" s="1035">
        <v>417.8</v>
      </c>
      <c r="L12" s="1035">
        <v>428.8</v>
      </c>
      <c r="M12" s="1035">
        <v>408</v>
      </c>
      <c r="N12" s="1035">
        <v>413.8</v>
      </c>
      <c r="O12" s="1035">
        <v>429</v>
      </c>
    </row>
    <row r="13" spans="1:15" ht="12.75" customHeight="1">
      <c r="A13" s="151"/>
      <c r="B13" s="29" t="s">
        <v>29</v>
      </c>
      <c r="C13" s="164">
        <v>75.5</v>
      </c>
      <c r="D13" s="1035">
        <v>75.900000000000006</v>
      </c>
      <c r="E13" s="1035">
        <v>76.3</v>
      </c>
      <c r="F13" s="1035">
        <v>77</v>
      </c>
      <c r="G13" s="1035">
        <v>77.8</v>
      </c>
      <c r="H13" s="1035">
        <v>98.4</v>
      </c>
      <c r="I13" s="1035">
        <v>114.4</v>
      </c>
      <c r="J13" s="1035">
        <v>91.4</v>
      </c>
      <c r="K13" s="1035">
        <v>86.7</v>
      </c>
      <c r="L13" s="1035">
        <v>105.7</v>
      </c>
      <c r="M13" s="1035">
        <v>111.7</v>
      </c>
      <c r="N13" s="1035">
        <v>143.5</v>
      </c>
      <c r="O13" s="1035">
        <v>137.80000000000001</v>
      </c>
    </row>
    <row r="14" spans="1:15" ht="12.75" customHeight="1">
      <c r="A14" s="151"/>
      <c r="B14" s="29" t="s">
        <v>30</v>
      </c>
      <c r="C14" s="164">
        <v>262.39999999999998</v>
      </c>
      <c r="D14" s="1035">
        <v>293.89999999999998</v>
      </c>
      <c r="E14" s="1035">
        <v>338</v>
      </c>
      <c r="F14" s="1035">
        <v>603.5</v>
      </c>
      <c r="G14" s="1035">
        <v>546.4</v>
      </c>
      <c r="H14" s="1035">
        <v>281.3</v>
      </c>
      <c r="I14" s="1035">
        <v>265.8</v>
      </c>
      <c r="J14" s="1035">
        <v>198</v>
      </c>
      <c r="K14" s="1035">
        <v>192.1</v>
      </c>
      <c r="L14" s="1035">
        <v>195.2</v>
      </c>
      <c r="M14" s="1035">
        <v>197.9</v>
      </c>
      <c r="N14" s="1035">
        <v>201.1</v>
      </c>
      <c r="O14" s="1035">
        <v>206</v>
      </c>
    </row>
    <row r="15" spans="1:15" ht="12.75" customHeight="1">
      <c r="A15" s="151"/>
      <c r="B15" s="29" t="s">
        <v>31</v>
      </c>
      <c r="C15" s="164">
        <v>4749.5</v>
      </c>
      <c r="D15" s="1035">
        <v>4605.5</v>
      </c>
      <c r="E15" s="1035">
        <v>4332.5</v>
      </c>
      <c r="F15" s="1035">
        <v>4096.3</v>
      </c>
      <c r="G15" s="1035">
        <v>5452.2</v>
      </c>
      <c r="H15" s="1035">
        <v>5265.5</v>
      </c>
      <c r="I15" s="1035">
        <v>5941.7</v>
      </c>
      <c r="J15" s="1035">
        <v>6304.8</v>
      </c>
      <c r="K15" s="1035">
        <v>6242.4</v>
      </c>
      <c r="L15" s="1035">
        <v>5956.7</v>
      </c>
      <c r="M15" s="1035">
        <v>6673.7</v>
      </c>
      <c r="N15" s="1035">
        <v>7076.9</v>
      </c>
      <c r="O15" s="1035">
        <v>7383.1</v>
      </c>
    </row>
    <row r="16" spans="1:15" ht="12.75" customHeight="1">
      <c r="A16" s="151"/>
      <c r="B16" s="29" t="s">
        <v>32</v>
      </c>
      <c r="C16" s="164">
        <v>4557</v>
      </c>
      <c r="D16" s="1035">
        <v>4375.8999999999996</v>
      </c>
      <c r="E16" s="1035">
        <v>4705.8</v>
      </c>
      <c r="F16" s="1035">
        <v>4964.1000000000004</v>
      </c>
      <c r="G16" s="1035">
        <v>5015.7</v>
      </c>
      <c r="H16" s="1035">
        <v>5738.5</v>
      </c>
      <c r="I16" s="1035">
        <v>6436.2</v>
      </c>
      <c r="J16" s="1035">
        <v>7183.4</v>
      </c>
      <c r="K16" s="1035">
        <v>7925.5</v>
      </c>
      <c r="L16" s="1035">
        <v>8904.7999999999993</v>
      </c>
      <c r="M16" s="1035">
        <v>9208.5</v>
      </c>
      <c r="N16" s="1035">
        <v>10108.4</v>
      </c>
      <c r="O16" s="1035">
        <v>10940.6</v>
      </c>
    </row>
    <row r="17" spans="1:15" ht="12.75" customHeight="1">
      <c r="A17" s="151"/>
      <c r="B17" s="29" t="s">
        <v>33</v>
      </c>
      <c r="C17" s="164">
        <v>157</v>
      </c>
      <c r="D17" s="1035">
        <v>155.69999999999999</v>
      </c>
      <c r="E17" s="1035">
        <v>155.4</v>
      </c>
      <c r="F17" s="1035">
        <v>156.80000000000001</v>
      </c>
      <c r="G17" s="1035">
        <v>158.4</v>
      </c>
      <c r="H17" s="1035">
        <v>164.2</v>
      </c>
      <c r="I17" s="1035">
        <v>180</v>
      </c>
      <c r="J17" s="1035">
        <v>188.6</v>
      </c>
      <c r="K17" s="1035">
        <v>179.4</v>
      </c>
      <c r="L17" s="1035">
        <v>189.3</v>
      </c>
      <c r="M17" s="1035">
        <v>190.1</v>
      </c>
      <c r="N17" s="1035">
        <v>199.2</v>
      </c>
      <c r="O17" s="1035">
        <v>202.7</v>
      </c>
    </row>
    <row r="18" spans="1:15" ht="12.75" customHeight="1">
      <c r="A18" s="151"/>
      <c r="B18" s="29" t="s">
        <v>34</v>
      </c>
      <c r="C18" s="164">
        <v>34.5</v>
      </c>
      <c r="D18" s="1035">
        <v>34.6</v>
      </c>
      <c r="E18" s="1035">
        <v>34.799999999999997</v>
      </c>
      <c r="F18" s="1035">
        <v>35.200000000000003</v>
      </c>
      <c r="G18" s="1035">
        <v>35.5</v>
      </c>
      <c r="H18" s="1035">
        <v>35.9</v>
      </c>
      <c r="I18" s="1035">
        <v>36.6</v>
      </c>
      <c r="J18" s="1035">
        <v>36.700000000000003</v>
      </c>
      <c r="K18" s="1035">
        <v>36.9</v>
      </c>
      <c r="L18" s="1035">
        <v>37.4</v>
      </c>
      <c r="M18" s="1035">
        <v>36.9</v>
      </c>
      <c r="N18" s="1035">
        <v>37.799999999999997</v>
      </c>
      <c r="O18" s="1035">
        <v>38.799999999999997</v>
      </c>
    </row>
    <row r="19" spans="1:15" ht="12.75" customHeight="1">
      <c r="A19" s="151"/>
      <c r="B19" s="29" t="s">
        <v>35</v>
      </c>
      <c r="C19" s="164">
        <v>136.9</v>
      </c>
      <c r="D19" s="1035">
        <v>138.1</v>
      </c>
      <c r="E19" s="1035">
        <v>134.69999999999999</v>
      </c>
      <c r="F19" s="1035">
        <v>136.6</v>
      </c>
      <c r="G19" s="1035">
        <v>149.5</v>
      </c>
      <c r="H19" s="1035">
        <v>168.2</v>
      </c>
      <c r="I19" s="1035">
        <v>178</v>
      </c>
      <c r="J19" s="1035">
        <v>168.4</v>
      </c>
      <c r="K19" s="1035">
        <v>191.6</v>
      </c>
      <c r="L19" s="1035">
        <v>183.3</v>
      </c>
      <c r="M19" s="1035">
        <v>167.2</v>
      </c>
      <c r="N19" s="1035">
        <v>169.9</v>
      </c>
      <c r="O19" s="1035">
        <v>170.1</v>
      </c>
    </row>
    <row r="20" spans="1:15" ht="12.75" customHeight="1">
      <c r="A20" s="151"/>
      <c r="B20" s="29" t="s">
        <v>36</v>
      </c>
      <c r="C20" s="164">
        <v>127.9</v>
      </c>
      <c r="D20" s="1035">
        <v>128.6</v>
      </c>
      <c r="E20" s="1035">
        <v>129.19999999999999</v>
      </c>
      <c r="F20" s="1035">
        <v>130.5</v>
      </c>
      <c r="G20" s="1035">
        <v>131.80000000000001</v>
      </c>
      <c r="H20" s="1035">
        <v>133.1</v>
      </c>
      <c r="I20" s="1035">
        <v>134.4</v>
      </c>
      <c r="J20" s="1035">
        <v>135.19999999999999</v>
      </c>
      <c r="K20" s="1035">
        <v>135.19999999999999</v>
      </c>
      <c r="L20" s="1035">
        <v>137.80000000000001</v>
      </c>
      <c r="M20" s="1035">
        <v>139.9</v>
      </c>
      <c r="N20" s="1035">
        <v>140.1</v>
      </c>
      <c r="O20" s="1035">
        <v>142.80000000000001</v>
      </c>
    </row>
    <row r="21" spans="1:15" ht="12.75" customHeight="1">
      <c r="A21" s="151"/>
      <c r="B21" s="29" t="s">
        <v>37</v>
      </c>
      <c r="C21" s="164">
        <v>411</v>
      </c>
      <c r="D21" s="1035">
        <v>437.1</v>
      </c>
      <c r="E21" s="1035">
        <v>555.70000000000005</v>
      </c>
      <c r="F21" s="1035">
        <v>831.2</v>
      </c>
      <c r="G21" s="1035">
        <v>839.4</v>
      </c>
      <c r="H21" s="1035">
        <v>654.70000000000005</v>
      </c>
      <c r="I21" s="1035">
        <v>523.6</v>
      </c>
      <c r="J21" s="1035">
        <v>658.8</v>
      </c>
      <c r="K21" s="1035">
        <v>732.2</v>
      </c>
      <c r="L21" s="1035">
        <v>747.3</v>
      </c>
      <c r="M21" s="1035">
        <v>675.7</v>
      </c>
      <c r="N21" s="1035">
        <v>973.3</v>
      </c>
      <c r="O21" s="1035">
        <v>1050.3</v>
      </c>
    </row>
    <row r="22" spans="1:15" ht="12.75" customHeight="1">
      <c r="A22" s="151"/>
      <c r="B22" s="29" t="s">
        <v>38</v>
      </c>
      <c r="C22" s="164">
        <v>43</v>
      </c>
      <c r="D22" s="1035">
        <v>42.9</v>
      </c>
      <c r="E22" s="1035">
        <v>31.7</v>
      </c>
      <c r="F22" s="1035">
        <v>56.3</v>
      </c>
      <c r="G22" s="1035">
        <v>45.3</v>
      </c>
      <c r="H22" s="1035">
        <v>42.9</v>
      </c>
      <c r="I22" s="1035">
        <v>57.2</v>
      </c>
      <c r="J22" s="1035">
        <v>62.9</v>
      </c>
      <c r="K22" s="1035">
        <v>51.2</v>
      </c>
      <c r="L22" s="1035">
        <v>27.7</v>
      </c>
      <c r="M22" s="1035">
        <v>25.3</v>
      </c>
      <c r="N22" s="1035">
        <v>35</v>
      </c>
      <c r="O22" s="1035">
        <v>33.1</v>
      </c>
    </row>
    <row r="23" spans="1:15" ht="12.75" customHeight="1">
      <c r="A23" s="151"/>
      <c r="B23" s="29" t="s">
        <v>39</v>
      </c>
      <c r="C23" s="164">
        <v>183.9</v>
      </c>
      <c r="D23" s="1035">
        <v>193.1</v>
      </c>
      <c r="E23" s="1035">
        <v>219.5</v>
      </c>
      <c r="F23" s="1035">
        <v>289.2</v>
      </c>
      <c r="G23" s="1035">
        <v>305</v>
      </c>
      <c r="H23" s="1035">
        <v>266.39999999999998</v>
      </c>
      <c r="I23" s="1035">
        <v>272.10000000000002</v>
      </c>
      <c r="J23" s="1035">
        <v>231.2</v>
      </c>
      <c r="K23" s="1035">
        <v>282.2</v>
      </c>
      <c r="L23" s="1035">
        <v>327.5</v>
      </c>
      <c r="M23" s="1035">
        <v>308.7</v>
      </c>
      <c r="N23" s="1035">
        <v>321.89999999999998</v>
      </c>
      <c r="O23" s="1035">
        <v>333.3</v>
      </c>
    </row>
    <row r="24" spans="1:15" ht="12.75" customHeight="1">
      <c r="A24" s="151"/>
      <c r="B24" s="29" t="s">
        <v>40</v>
      </c>
      <c r="C24" s="164">
        <v>137.69999999999999</v>
      </c>
      <c r="D24" s="1035">
        <v>137.9</v>
      </c>
      <c r="E24" s="1035">
        <v>138.6</v>
      </c>
      <c r="F24" s="1035">
        <v>140</v>
      </c>
      <c r="G24" s="1035">
        <v>141.5</v>
      </c>
      <c r="H24" s="1035">
        <v>146.9</v>
      </c>
      <c r="I24" s="1035">
        <v>148.69999999999999</v>
      </c>
      <c r="J24" s="1035">
        <v>151.19999999999999</v>
      </c>
      <c r="K24" s="1035">
        <v>151</v>
      </c>
      <c r="L24" s="1035">
        <v>166</v>
      </c>
      <c r="M24" s="1035">
        <v>160</v>
      </c>
      <c r="N24" s="1035">
        <v>161.30000000000001</v>
      </c>
      <c r="O24" s="1035">
        <v>162.9</v>
      </c>
    </row>
    <row r="25" spans="1:15" ht="12.75" customHeight="1">
      <c r="A25" s="151"/>
      <c r="B25" s="29" t="s">
        <v>41</v>
      </c>
      <c r="C25" s="164">
        <v>102.9</v>
      </c>
      <c r="D25" s="1035">
        <v>103.1</v>
      </c>
      <c r="E25" s="1035">
        <v>103.6</v>
      </c>
      <c r="F25" s="1035">
        <v>104.6</v>
      </c>
      <c r="G25" s="1035">
        <v>106.8</v>
      </c>
      <c r="H25" s="1035">
        <v>118.6</v>
      </c>
      <c r="I25" s="1035">
        <v>131.69999999999999</v>
      </c>
      <c r="J25" s="1035">
        <v>114.3</v>
      </c>
      <c r="K25" s="1035">
        <v>111.6</v>
      </c>
      <c r="L25" s="1035">
        <v>111.6</v>
      </c>
      <c r="M25" s="1035">
        <v>112.3</v>
      </c>
      <c r="N25" s="1035">
        <v>112.3</v>
      </c>
      <c r="O25" s="1035">
        <v>114.8</v>
      </c>
    </row>
    <row r="26" spans="1:15" ht="12.75" customHeight="1">
      <c r="A26" s="151"/>
      <c r="B26" s="29" t="s">
        <v>44</v>
      </c>
      <c r="C26" s="164">
        <v>246.4</v>
      </c>
      <c r="D26" s="1035">
        <v>219.4</v>
      </c>
      <c r="E26" s="1035">
        <v>215.3</v>
      </c>
      <c r="F26" s="1035">
        <v>217.5</v>
      </c>
      <c r="G26" s="1035">
        <v>224.1</v>
      </c>
      <c r="H26" s="1035">
        <v>244.7</v>
      </c>
      <c r="I26" s="1035">
        <v>267</v>
      </c>
      <c r="J26" s="1035">
        <v>257.3</v>
      </c>
      <c r="K26" s="1035">
        <v>269</v>
      </c>
      <c r="L26" s="1035">
        <v>269.10000000000002</v>
      </c>
      <c r="M26" s="1035">
        <v>249.1</v>
      </c>
      <c r="N26" s="1035">
        <v>243.9</v>
      </c>
      <c r="O26" s="1035">
        <v>247.4</v>
      </c>
    </row>
    <row r="27" spans="1:15" ht="12.75" customHeight="1">
      <c r="A27" s="151"/>
      <c r="B27" s="29" t="s">
        <v>45</v>
      </c>
      <c r="C27" s="164">
        <v>341.9</v>
      </c>
      <c r="D27" s="1035">
        <v>341.1</v>
      </c>
      <c r="E27" s="1035">
        <v>342.6</v>
      </c>
      <c r="F27" s="1035">
        <v>346</v>
      </c>
      <c r="G27" s="1035">
        <v>349.5</v>
      </c>
      <c r="H27" s="1035">
        <v>355.1</v>
      </c>
      <c r="I27" s="1035">
        <v>368.5</v>
      </c>
      <c r="J27" s="1035">
        <v>394.3</v>
      </c>
      <c r="K27" s="1035">
        <v>396.5</v>
      </c>
      <c r="L27" s="1035">
        <v>376.7</v>
      </c>
      <c r="M27" s="1035">
        <v>368</v>
      </c>
      <c r="N27" s="1035">
        <v>374.2</v>
      </c>
      <c r="O27" s="1035">
        <v>382.3</v>
      </c>
    </row>
    <row r="28" spans="1:15" ht="12.75" customHeight="1">
      <c r="A28" s="151"/>
      <c r="B28" s="150" t="s">
        <v>46</v>
      </c>
      <c r="C28" s="164">
        <v>592.9</v>
      </c>
      <c r="D28" s="1035">
        <v>623.4</v>
      </c>
      <c r="E28" s="1035">
        <v>658.5</v>
      </c>
      <c r="F28" s="1035">
        <v>618.6</v>
      </c>
      <c r="G28" s="1035">
        <v>711.6</v>
      </c>
      <c r="H28" s="1035">
        <v>780.3</v>
      </c>
      <c r="I28" s="1035">
        <v>857.2</v>
      </c>
      <c r="J28" s="1035">
        <v>650.79999999999995</v>
      </c>
      <c r="K28" s="1035">
        <v>747.3</v>
      </c>
      <c r="L28" s="1035">
        <v>856.2</v>
      </c>
      <c r="M28" s="1035">
        <v>851.5</v>
      </c>
      <c r="N28" s="1035">
        <v>864.5</v>
      </c>
      <c r="O28" s="1035">
        <v>880.5</v>
      </c>
    </row>
    <row r="29" spans="1:15" ht="12.75" customHeight="1">
      <c r="A29" s="151"/>
      <c r="B29" s="30" t="s">
        <v>47</v>
      </c>
      <c r="C29" s="164">
        <v>358.9</v>
      </c>
      <c r="D29" s="1035">
        <v>441</v>
      </c>
      <c r="E29" s="1035">
        <v>429.5</v>
      </c>
      <c r="F29" s="1035">
        <v>546</v>
      </c>
      <c r="G29" s="1035">
        <v>549.4</v>
      </c>
      <c r="H29" s="1035">
        <v>394.7</v>
      </c>
      <c r="I29" s="1035">
        <v>357.7</v>
      </c>
      <c r="J29" s="1035">
        <v>337.6</v>
      </c>
      <c r="K29" s="1035">
        <v>329.1</v>
      </c>
      <c r="L29" s="1035">
        <v>364.6</v>
      </c>
      <c r="M29" s="1035">
        <v>389.7</v>
      </c>
      <c r="N29" s="1035">
        <v>393.9</v>
      </c>
      <c r="O29" s="1035">
        <v>399.7</v>
      </c>
    </row>
    <row r="30" spans="1:15" ht="12.75" customHeight="1">
      <c r="A30" s="151"/>
      <c r="B30" s="29" t="s">
        <v>48</v>
      </c>
      <c r="C30" s="164">
        <v>304.7</v>
      </c>
      <c r="D30" s="1035">
        <v>271.60000000000002</v>
      </c>
      <c r="E30" s="1035">
        <v>226.4</v>
      </c>
      <c r="F30" s="1035">
        <v>242.4</v>
      </c>
      <c r="G30" s="1035">
        <v>241.8</v>
      </c>
      <c r="H30" s="1035">
        <v>287.39999999999998</v>
      </c>
      <c r="I30" s="1035">
        <v>330.4</v>
      </c>
      <c r="J30" s="1035">
        <v>286.3</v>
      </c>
      <c r="K30" s="1035">
        <v>276.7</v>
      </c>
      <c r="L30" s="1035">
        <v>271.7</v>
      </c>
      <c r="M30" s="1035">
        <v>282.60000000000002</v>
      </c>
      <c r="N30" s="1035">
        <v>248.3</v>
      </c>
      <c r="O30" s="1035">
        <v>256.3</v>
      </c>
    </row>
    <row r="31" spans="1:15" ht="12.75" customHeight="1">
      <c r="A31" s="151"/>
      <c r="B31" s="30" t="s">
        <v>49</v>
      </c>
      <c r="C31" s="164">
        <v>43.8</v>
      </c>
      <c r="D31" s="1035">
        <v>48.6</v>
      </c>
      <c r="E31" s="1035">
        <v>68.3</v>
      </c>
      <c r="F31" s="1035">
        <v>93</v>
      </c>
      <c r="G31" s="1035">
        <v>91</v>
      </c>
      <c r="H31" s="1035">
        <v>126</v>
      </c>
      <c r="I31" s="1035">
        <v>121.3</v>
      </c>
      <c r="J31" s="1035">
        <v>109.6</v>
      </c>
      <c r="K31" s="1035">
        <v>153</v>
      </c>
      <c r="L31" s="1035">
        <v>161.19999999999999</v>
      </c>
      <c r="M31" s="1035">
        <v>195</v>
      </c>
      <c r="N31" s="1035">
        <v>211.3</v>
      </c>
      <c r="O31" s="1035">
        <v>209.9</v>
      </c>
    </row>
    <row r="32" spans="1:15" ht="4" customHeight="1" thickBot="1">
      <c r="A32" s="15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5" ht="10" customHeight="1">
      <c r="A33" s="28" t="s">
        <v>238</v>
      </c>
      <c r="B33" s="40"/>
      <c r="C33" s="449"/>
      <c r="D33" s="449"/>
      <c r="E33" s="449"/>
      <c r="F33" s="449"/>
      <c r="G33" s="449"/>
      <c r="H33" s="64"/>
      <c r="I33" s="64"/>
      <c r="J33" s="64"/>
      <c r="K33" s="64"/>
      <c r="L33" s="64"/>
      <c r="M33" s="64"/>
      <c r="N33" s="64"/>
      <c r="O33" s="64"/>
    </row>
    <row r="34" spans="1:15" ht="10" customHeight="1">
      <c r="A34" s="28" t="s">
        <v>192</v>
      </c>
      <c r="B34" s="40"/>
      <c r="C34" s="449"/>
      <c r="D34" s="449"/>
      <c r="E34" s="449"/>
      <c r="F34" s="463"/>
      <c r="G34" s="463"/>
      <c r="H34" s="152"/>
      <c r="I34" s="152"/>
      <c r="J34" s="152"/>
      <c r="K34" s="152"/>
      <c r="L34" s="152"/>
      <c r="M34" s="152"/>
      <c r="N34" s="152"/>
      <c r="O34" s="152"/>
    </row>
    <row r="35" spans="1:15" ht="10" customHeight="1">
      <c r="A35" s="40" t="s">
        <v>261</v>
      </c>
      <c r="B35" s="320"/>
      <c r="C35" s="449"/>
      <c r="D35" s="449"/>
      <c r="E35" s="449"/>
      <c r="F35" s="463"/>
      <c r="G35" s="463"/>
      <c r="H35" s="152"/>
      <c r="I35" s="152"/>
      <c r="J35" s="152"/>
      <c r="K35" s="152"/>
      <c r="L35" s="152"/>
      <c r="M35" s="152"/>
      <c r="N35" s="152"/>
      <c r="O35" s="15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Hoja134">
    <tabColor theme="9" tint="0.59999389629810485"/>
  </sheetPr>
  <dimension ref="A2:Q35"/>
  <sheetViews>
    <sheetView showGridLines="0" topLeftCell="B1" zoomScale="150" zoomScaleNormal="150" workbookViewId="0">
      <selection activeCell="D8" sqref="D8:E11"/>
    </sheetView>
  </sheetViews>
  <sheetFormatPr baseColWidth="10" defaultColWidth="7" defaultRowHeight="13" customHeight="1"/>
  <cols>
    <col min="1" max="1" width="1.796875" style="150" customWidth="1"/>
    <col min="2" max="2" width="10.19921875" style="150" customWidth="1"/>
    <col min="3" max="3" width="8" style="150" hidden="1" customWidth="1"/>
    <col min="4" max="5" width="9" style="150" hidden="1" customWidth="1"/>
    <col min="6" max="17" width="9" style="150" customWidth="1"/>
    <col min="18" max="16384" width="7" style="150"/>
  </cols>
  <sheetData>
    <row r="2" spans="1:17" ht="15" customHeight="1">
      <c r="A2" s="468" t="s">
        <v>329</v>
      </c>
      <c r="B2" s="469"/>
      <c r="C2" s="469"/>
      <c r="D2" s="469"/>
      <c r="E2" s="469"/>
      <c r="F2" s="469"/>
    </row>
    <row r="3" spans="1:17" ht="13" customHeight="1">
      <c r="A3" s="1032" t="s">
        <v>494</v>
      </c>
      <c r="B3" s="469"/>
      <c r="C3" s="469"/>
      <c r="D3" s="469"/>
      <c r="E3" s="469"/>
      <c r="F3" s="469"/>
    </row>
    <row r="4" spans="1:17" ht="4" customHeight="1" thickBot="1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ht="15" customHeight="1">
      <c r="A5" s="1145" t="s">
        <v>18</v>
      </c>
      <c r="B5" s="1145"/>
      <c r="C5" s="1027">
        <v>2005</v>
      </c>
      <c r="D5" s="1027">
        <v>2006</v>
      </c>
      <c r="E5" s="1027">
        <v>2007</v>
      </c>
      <c r="F5" s="1027">
        <v>2008</v>
      </c>
      <c r="G5" s="1027">
        <v>2009</v>
      </c>
      <c r="H5" s="1027">
        <v>2010</v>
      </c>
      <c r="I5" s="1027">
        <v>2011</v>
      </c>
      <c r="J5" s="1027">
        <v>2012</v>
      </c>
      <c r="K5" s="1027">
        <v>2013</v>
      </c>
      <c r="L5" s="1027">
        <v>2014</v>
      </c>
      <c r="M5" s="1027">
        <v>2015</v>
      </c>
      <c r="N5" s="1027">
        <v>2016</v>
      </c>
      <c r="O5" s="1027">
        <v>2017</v>
      </c>
      <c r="P5" s="1027" t="s">
        <v>221</v>
      </c>
      <c r="Q5" s="1027" t="s">
        <v>239</v>
      </c>
    </row>
    <row r="6" spans="1:17" ht="15" customHeight="1">
      <c r="A6" s="1146" t="s">
        <v>18</v>
      </c>
      <c r="B6" s="1146"/>
      <c r="C6" s="1028">
        <f>(C8+C9+C10+C11+C12+C13+C14+C15+C16+C17+C18+C19+C20+C21+C22+C23+C24+C25+C26+C27+C28+C29+C30+C31)</f>
        <v>1236833</v>
      </c>
      <c r="D6" s="1028">
        <f>(D8+D9+D10+D11+D12+D13+D14+D15+D16+D17+D18+D19+D20+D21+D22+D23+D24+D25+D26+D27+D28+D29+D30+D31)</f>
        <v>1346991</v>
      </c>
      <c r="E6" s="1029">
        <v>257621</v>
      </c>
      <c r="F6" s="1036">
        <v>266541</v>
      </c>
      <c r="G6" s="1036">
        <v>268707</v>
      </c>
      <c r="H6" s="1036">
        <v>285102</v>
      </c>
      <c r="I6" s="1036">
        <v>317654</v>
      </c>
      <c r="J6" s="1036">
        <v>314024</v>
      </c>
      <c r="K6" s="1036">
        <v>349791</v>
      </c>
      <c r="L6" s="1036">
        <v>358630</v>
      </c>
      <c r="M6" s="1036">
        <v>386255</v>
      </c>
      <c r="N6" s="1036">
        <v>400980</v>
      </c>
      <c r="O6" s="1036">
        <v>415336</v>
      </c>
      <c r="P6" s="1036">
        <v>452234</v>
      </c>
      <c r="Q6" s="1036">
        <v>488484</v>
      </c>
    </row>
    <row r="7" spans="1:17" ht="4" customHeight="1">
      <c r="A7" s="151"/>
      <c r="B7" s="152"/>
      <c r="C7" s="160"/>
      <c r="D7" s="160"/>
      <c r="E7" s="160"/>
      <c r="F7" s="1034"/>
      <c r="G7" s="1034"/>
      <c r="H7" s="1034"/>
      <c r="I7" s="1034"/>
      <c r="J7" s="1034"/>
      <c r="K7" s="1034"/>
      <c r="L7" s="1034"/>
      <c r="M7" s="1034"/>
      <c r="N7" s="1034"/>
      <c r="O7" s="1034"/>
      <c r="P7" s="1034"/>
      <c r="Q7" s="1034"/>
    </row>
    <row r="8" spans="1:17" ht="12.75" customHeight="1">
      <c r="A8" s="151"/>
      <c r="B8" s="29" t="s">
        <v>21</v>
      </c>
      <c r="C8" s="161">
        <v>362</v>
      </c>
      <c r="D8" s="161">
        <v>397</v>
      </c>
      <c r="E8" s="164">
        <v>87</v>
      </c>
      <c r="F8" s="1035">
        <v>87</v>
      </c>
      <c r="G8" s="1035">
        <v>87</v>
      </c>
      <c r="H8" s="1035">
        <v>88</v>
      </c>
      <c r="I8" s="1035">
        <v>89</v>
      </c>
      <c r="J8" s="1035">
        <v>90</v>
      </c>
      <c r="K8" s="1035">
        <v>91</v>
      </c>
      <c r="L8" s="1035">
        <v>97</v>
      </c>
      <c r="M8" s="1035">
        <v>105</v>
      </c>
      <c r="N8" s="1035">
        <v>124</v>
      </c>
      <c r="O8" s="1035">
        <v>153</v>
      </c>
      <c r="P8" s="1035">
        <v>98</v>
      </c>
      <c r="Q8" s="1035">
        <v>103</v>
      </c>
    </row>
    <row r="9" spans="1:17" ht="12.75" customHeight="1">
      <c r="A9" s="151"/>
      <c r="B9" s="29" t="s">
        <v>22</v>
      </c>
      <c r="C9" s="161">
        <v>29012</v>
      </c>
      <c r="D9" s="161">
        <v>33615</v>
      </c>
      <c r="E9" s="164">
        <v>4254</v>
      </c>
      <c r="F9" s="1035">
        <v>4618</v>
      </c>
      <c r="G9" s="1035">
        <v>3899</v>
      </c>
      <c r="H9" s="1035">
        <v>1942</v>
      </c>
      <c r="I9" s="1035">
        <v>2981</v>
      </c>
      <c r="J9" s="1035">
        <v>4676</v>
      </c>
      <c r="K9" s="1035">
        <v>3572</v>
      </c>
      <c r="L9" s="1035">
        <v>3952</v>
      </c>
      <c r="M9" s="1035">
        <v>5019</v>
      </c>
      <c r="N9" s="1035">
        <v>4814</v>
      </c>
      <c r="O9" s="1035">
        <v>4248</v>
      </c>
      <c r="P9" s="1035">
        <v>4422</v>
      </c>
      <c r="Q9" s="1035">
        <v>4739</v>
      </c>
    </row>
    <row r="10" spans="1:17" ht="12.75" customHeight="1">
      <c r="A10" s="151"/>
      <c r="B10" s="29" t="s">
        <v>23</v>
      </c>
      <c r="C10" s="161">
        <v>29656</v>
      </c>
      <c r="D10" s="161">
        <v>28602</v>
      </c>
      <c r="E10" s="164">
        <v>6548</v>
      </c>
      <c r="F10" s="1035">
        <v>7190</v>
      </c>
      <c r="G10" s="1035">
        <v>8261</v>
      </c>
      <c r="H10" s="1035">
        <v>13328</v>
      </c>
      <c r="I10" s="1035">
        <v>17064</v>
      </c>
      <c r="J10" s="1035">
        <v>12065</v>
      </c>
      <c r="K10" s="1035">
        <v>13116</v>
      </c>
      <c r="L10" s="1035">
        <v>9427</v>
      </c>
      <c r="M10" s="1035">
        <v>7815</v>
      </c>
      <c r="N10" s="1035">
        <v>7068</v>
      </c>
      <c r="O10" s="1035">
        <v>7233</v>
      </c>
      <c r="P10" s="1035">
        <v>7173</v>
      </c>
      <c r="Q10" s="1035">
        <v>7663</v>
      </c>
    </row>
    <row r="11" spans="1:17" ht="12.75" customHeight="1">
      <c r="A11" s="151"/>
      <c r="B11" s="29" t="s">
        <v>24</v>
      </c>
      <c r="C11" s="161">
        <v>79695</v>
      </c>
      <c r="D11" s="161">
        <v>90775</v>
      </c>
      <c r="E11" s="164">
        <v>42798</v>
      </c>
      <c r="F11" s="1035">
        <v>54478</v>
      </c>
      <c r="G11" s="1035">
        <v>52555</v>
      </c>
      <c r="H11" s="1035">
        <v>52259</v>
      </c>
      <c r="I11" s="1035">
        <v>52879</v>
      </c>
      <c r="J11" s="1035">
        <v>50781</v>
      </c>
      <c r="K11" s="1035">
        <v>60891</v>
      </c>
      <c r="L11" s="1035">
        <v>58496</v>
      </c>
      <c r="M11" s="1035">
        <v>70267</v>
      </c>
      <c r="N11" s="1035">
        <v>70027</v>
      </c>
      <c r="O11" s="1035">
        <v>68536</v>
      </c>
      <c r="P11" s="1035">
        <v>76210</v>
      </c>
      <c r="Q11" s="1035">
        <v>84438</v>
      </c>
    </row>
    <row r="12" spans="1:17" ht="12.75" customHeight="1">
      <c r="A12" s="151"/>
      <c r="B12" s="29" t="s">
        <v>25</v>
      </c>
      <c r="C12" s="161">
        <v>225648</v>
      </c>
      <c r="D12" s="161">
        <v>239969</v>
      </c>
      <c r="E12" s="164">
        <v>2179</v>
      </c>
      <c r="F12" s="1035">
        <v>1782</v>
      </c>
      <c r="G12" s="1035">
        <v>1792</v>
      </c>
      <c r="H12" s="1035">
        <v>1931</v>
      </c>
      <c r="I12" s="1035">
        <v>2128</v>
      </c>
      <c r="J12" s="1035">
        <v>2708</v>
      </c>
      <c r="K12" s="1035">
        <v>2706</v>
      </c>
      <c r="L12" s="1035">
        <v>2526</v>
      </c>
      <c r="M12" s="1035">
        <v>2590</v>
      </c>
      <c r="N12" s="1035">
        <v>2762</v>
      </c>
      <c r="O12" s="1035">
        <v>2354</v>
      </c>
      <c r="P12" s="1035">
        <v>2318</v>
      </c>
      <c r="Q12" s="1035">
        <v>2392</v>
      </c>
    </row>
    <row r="13" spans="1:17" ht="12.75" customHeight="1">
      <c r="A13" s="151"/>
      <c r="B13" s="29" t="s">
        <v>29</v>
      </c>
      <c r="C13" s="161">
        <v>58117</v>
      </c>
      <c r="D13" s="161">
        <v>59002</v>
      </c>
      <c r="E13" s="164">
        <v>357</v>
      </c>
      <c r="F13" s="1035">
        <v>359</v>
      </c>
      <c r="G13" s="1035">
        <v>361</v>
      </c>
      <c r="H13" s="1035">
        <v>364</v>
      </c>
      <c r="I13" s="1035">
        <v>368</v>
      </c>
      <c r="J13" s="1035">
        <v>704</v>
      </c>
      <c r="K13" s="1035">
        <v>957</v>
      </c>
      <c r="L13" s="1035">
        <v>537</v>
      </c>
      <c r="M13" s="1035">
        <v>498</v>
      </c>
      <c r="N13" s="1035">
        <v>840</v>
      </c>
      <c r="O13" s="1035">
        <v>915</v>
      </c>
      <c r="P13" s="1035">
        <v>1474</v>
      </c>
      <c r="Q13" s="1035">
        <v>1458</v>
      </c>
    </row>
    <row r="14" spans="1:17" ht="12.75" customHeight="1">
      <c r="A14" s="151"/>
      <c r="B14" s="29" t="s">
        <v>30</v>
      </c>
      <c r="C14" s="997">
        <v>17683</v>
      </c>
      <c r="D14" s="997">
        <v>17603</v>
      </c>
      <c r="E14" s="998">
        <v>2555</v>
      </c>
      <c r="F14" s="1035">
        <v>3117</v>
      </c>
      <c r="G14" s="1035">
        <v>3687</v>
      </c>
      <c r="H14" s="1035">
        <v>8627</v>
      </c>
      <c r="I14" s="1035">
        <v>7608</v>
      </c>
      <c r="J14" s="1035">
        <v>2814</v>
      </c>
      <c r="K14" s="1035">
        <v>2554</v>
      </c>
      <c r="L14" s="1035">
        <v>1080</v>
      </c>
      <c r="M14" s="1035">
        <v>1197</v>
      </c>
      <c r="N14" s="1035">
        <v>1236</v>
      </c>
      <c r="O14" s="1035">
        <v>1271</v>
      </c>
      <c r="P14" s="1035">
        <v>1270</v>
      </c>
      <c r="Q14" s="1035">
        <v>1324</v>
      </c>
    </row>
    <row r="15" spans="1:17" ht="12.75" customHeight="1">
      <c r="A15" s="151"/>
      <c r="B15" s="29" t="s">
        <v>31</v>
      </c>
      <c r="C15" s="997">
        <v>222553</v>
      </c>
      <c r="D15" s="997">
        <v>238193</v>
      </c>
      <c r="E15" s="998">
        <v>83226</v>
      </c>
      <c r="F15" s="1035">
        <v>80710</v>
      </c>
      <c r="G15" s="1035">
        <v>76004</v>
      </c>
      <c r="H15" s="1035">
        <v>71616</v>
      </c>
      <c r="I15" s="1035">
        <v>96060</v>
      </c>
      <c r="J15" s="1035">
        <v>92103</v>
      </c>
      <c r="K15" s="1035">
        <v>104779</v>
      </c>
      <c r="L15" s="1035">
        <v>111433</v>
      </c>
      <c r="M15" s="1035">
        <v>109786</v>
      </c>
      <c r="N15" s="1035">
        <v>104632</v>
      </c>
      <c r="O15" s="1035">
        <v>117504</v>
      </c>
      <c r="P15" s="1035">
        <v>124540</v>
      </c>
      <c r="Q15" s="1035">
        <v>131293</v>
      </c>
    </row>
    <row r="16" spans="1:17" ht="12.75" customHeight="1">
      <c r="A16" s="151"/>
      <c r="B16" s="29" t="s">
        <v>32</v>
      </c>
      <c r="C16" s="997">
        <v>17112</v>
      </c>
      <c r="D16" s="997">
        <v>18626</v>
      </c>
      <c r="E16" s="998">
        <v>80717</v>
      </c>
      <c r="F16" s="1035">
        <v>77445</v>
      </c>
      <c r="G16" s="1035">
        <v>83572</v>
      </c>
      <c r="H16" s="1035">
        <v>88097</v>
      </c>
      <c r="I16" s="1035">
        <v>88875</v>
      </c>
      <c r="J16" s="1035">
        <v>101697</v>
      </c>
      <c r="K16" s="1035">
        <v>114131</v>
      </c>
      <c r="L16" s="1035">
        <v>127638</v>
      </c>
      <c r="M16" s="1035">
        <v>140610</v>
      </c>
      <c r="N16" s="1035">
        <v>158326</v>
      </c>
      <c r="O16" s="1035">
        <v>163569</v>
      </c>
      <c r="P16" s="1035">
        <v>179607</v>
      </c>
      <c r="Q16" s="1035">
        <v>197407</v>
      </c>
    </row>
    <row r="17" spans="1:17" ht="12.75" customHeight="1">
      <c r="A17" s="151"/>
      <c r="B17" s="29" t="s">
        <v>33</v>
      </c>
      <c r="C17" s="161">
        <v>21338</v>
      </c>
      <c r="D17" s="161">
        <v>25715</v>
      </c>
      <c r="E17" s="164">
        <v>788</v>
      </c>
      <c r="F17" s="1035">
        <v>752</v>
      </c>
      <c r="G17" s="1035">
        <v>736</v>
      </c>
      <c r="H17" s="1035">
        <v>742</v>
      </c>
      <c r="I17" s="1035">
        <v>749</v>
      </c>
      <c r="J17" s="1035">
        <v>829</v>
      </c>
      <c r="K17" s="1035">
        <v>1093</v>
      </c>
      <c r="L17" s="1035">
        <v>1236</v>
      </c>
      <c r="M17" s="1035">
        <v>1069</v>
      </c>
      <c r="N17" s="1035">
        <v>1255</v>
      </c>
      <c r="O17" s="1035">
        <v>1238</v>
      </c>
      <c r="P17" s="1035">
        <v>1344</v>
      </c>
      <c r="Q17" s="1035">
        <v>1376</v>
      </c>
    </row>
    <row r="18" spans="1:17" ht="12.75" customHeight="1">
      <c r="A18" s="151"/>
      <c r="B18" s="29" t="s">
        <v>34</v>
      </c>
      <c r="C18" s="161">
        <v>18055</v>
      </c>
      <c r="D18" s="161">
        <v>18298</v>
      </c>
      <c r="E18" s="164">
        <v>163</v>
      </c>
      <c r="F18" s="1035">
        <v>164</v>
      </c>
      <c r="G18" s="1035">
        <v>165</v>
      </c>
      <c r="H18" s="1035">
        <v>166</v>
      </c>
      <c r="I18" s="1035">
        <v>168</v>
      </c>
      <c r="J18" s="1035">
        <v>170</v>
      </c>
      <c r="K18" s="1035">
        <v>177</v>
      </c>
      <c r="L18" s="1035">
        <v>177</v>
      </c>
      <c r="M18" s="1035">
        <v>182</v>
      </c>
      <c r="N18" s="1035">
        <v>187</v>
      </c>
      <c r="O18" s="1035">
        <v>178</v>
      </c>
      <c r="P18" s="1035">
        <v>179</v>
      </c>
      <c r="Q18" s="1035">
        <v>183</v>
      </c>
    </row>
    <row r="19" spans="1:17" ht="12.75" customHeight="1">
      <c r="A19" s="151"/>
      <c r="B19" s="29" t="s">
        <v>35</v>
      </c>
      <c r="C19" s="161">
        <v>18612</v>
      </c>
      <c r="D19" s="161">
        <v>19206</v>
      </c>
      <c r="E19" s="164">
        <v>702</v>
      </c>
      <c r="F19" s="1035">
        <v>715</v>
      </c>
      <c r="G19" s="1035">
        <v>643</v>
      </c>
      <c r="H19" s="1035">
        <v>659</v>
      </c>
      <c r="I19" s="1035">
        <v>866</v>
      </c>
      <c r="J19" s="1035">
        <v>1191</v>
      </c>
      <c r="K19" s="1035">
        <v>1350</v>
      </c>
      <c r="L19" s="1035">
        <v>1155</v>
      </c>
      <c r="M19" s="1035">
        <v>1586</v>
      </c>
      <c r="N19" s="1035">
        <v>1429</v>
      </c>
      <c r="O19" s="1035">
        <v>1129</v>
      </c>
      <c r="P19" s="1035">
        <v>1124</v>
      </c>
      <c r="Q19" s="1035">
        <v>1112</v>
      </c>
    </row>
    <row r="20" spans="1:17" ht="12.75" customHeight="1">
      <c r="A20" s="151"/>
      <c r="B20" s="29" t="s">
        <v>36</v>
      </c>
      <c r="C20" s="161">
        <v>13276</v>
      </c>
      <c r="D20" s="161">
        <v>14808</v>
      </c>
      <c r="E20" s="164">
        <v>605</v>
      </c>
      <c r="F20" s="1035">
        <v>608</v>
      </c>
      <c r="G20" s="1035">
        <v>611</v>
      </c>
      <c r="H20" s="1035">
        <v>617</v>
      </c>
      <c r="I20" s="1035">
        <v>623</v>
      </c>
      <c r="J20" s="1035">
        <v>629</v>
      </c>
      <c r="K20" s="1035">
        <v>635</v>
      </c>
      <c r="L20" s="1035">
        <v>639</v>
      </c>
      <c r="M20" s="1035">
        <v>643</v>
      </c>
      <c r="N20" s="1035">
        <v>680</v>
      </c>
      <c r="O20" s="1035">
        <v>710</v>
      </c>
      <c r="P20" s="1035">
        <v>662</v>
      </c>
      <c r="Q20" s="1035">
        <v>670</v>
      </c>
    </row>
    <row r="21" spans="1:17" ht="12.75" customHeight="1">
      <c r="A21" s="151"/>
      <c r="B21" s="29" t="s">
        <v>37</v>
      </c>
      <c r="C21" s="161">
        <v>296833</v>
      </c>
      <c r="D21" s="161">
        <v>328025</v>
      </c>
      <c r="E21" s="164">
        <v>6432</v>
      </c>
      <c r="F21" s="1035">
        <v>6915</v>
      </c>
      <c r="G21" s="1035">
        <v>8763</v>
      </c>
      <c r="H21" s="1035">
        <v>13918</v>
      </c>
      <c r="I21" s="1035">
        <v>14119</v>
      </c>
      <c r="J21" s="1035">
        <v>10772</v>
      </c>
      <c r="K21" s="1035">
        <v>8349</v>
      </c>
      <c r="L21" s="1035">
        <v>10806</v>
      </c>
      <c r="M21" s="1035">
        <v>12132</v>
      </c>
      <c r="N21" s="1035">
        <v>12407</v>
      </c>
      <c r="O21" s="1035">
        <v>11007</v>
      </c>
      <c r="P21" s="1035">
        <v>16454</v>
      </c>
      <c r="Q21" s="1035">
        <v>17890</v>
      </c>
    </row>
    <row r="22" spans="1:17" ht="12.75" customHeight="1">
      <c r="A22" s="151"/>
      <c r="B22" s="29" t="s">
        <v>38</v>
      </c>
      <c r="C22" s="161">
        <v>16361</v>
      </c>
      <c r="D22" s="161">
        <v>16034</v>
      </c>
      <c r="E22" s="164">
        <v>519</v>
      </c>
      <c r="F22" s="1035">
        <v>681</v>
      </c>
      <c r="G22" s="1035">
        <v>522</v>
      </c>
      <c r="H22" s="1035">
        <v>398</v>
      </c>
      <c r="I22" s="1035">
        <v>506</v>
      </c>
      <c r="J22" s="1035">
        <v>521</v>
      </c>
      <c r="K22" s="1035">
        <v>773</v>
      </c>
      <c r="L22" s="1035">
        <v>876</v>
      </c>
      <c r="M22" s="1035">
        <v>667</v>
      </c>
      <c r="N22" s="1035">
        <v>242</v>
      </c>
      <c r="O22" s="1035">
        <v>196</v>
      </c>
      <c r="P22" s="1035">
        <v>370</v>
      </c>
      <c r="Q22" s="1035">
        <v>355</v>
      </c>
    </row>
    <row r="23" spans="1:17" ht="12.75" customHeight="1">
      <c r="A23" s="151"/>
      <c r="B23" s="29" t="s">
        <v>39</v>
      </c>
      <c r="C23" s="161">
        <v>21868</v>
      </c>
      <c r="D23" s="161">
        <v>22100</v>
      </c>
      <c r="E23" s="164">
        <v>2971</v>
      </c>
      <c r="F23" s="1035">
        <v>3150</v>
      </c>
      <c r="G23" s="1035">
        <v>3454</v>
      </c>
      <c r="H23" s="1035">
        <v>4770</v>
      </c>
      <c r="I23" s="1035">
        <v>5139</v>
      </c>
      <c r="J23" s="1035">
        <v>4422</v>
      </c>
      <c r="K23" s="1035">
        <v>4520</v>
      </c>
      <c r="L23" s="1035">
        <v>3919</v>
      </c>
      <c r="M23" s="1035">
        <v>4712</v>
      </c>
      <c r="N23" s="1035">
        <v>5535</v>
      </c>
      <c r="O23" s="1035">
        <v>5182</v>
      </c>
      <c r="P23" s="1035">
        <v>5404</v>
      </c>
      <c r="Q23" s="1035">
        <v>5674</v>
      </c>
    </row>
    <row r="24" spans="1:17" ht="12.75" customHeight="1">
      <c r="A24" s="151"/>
      <c r="B24" s="29" t="s">
        <v>40</v>
      </c>
      <c r="C24" s="161">
        <v>22805</v>
      </c>
      <c r="D24" s="161">
        <v>22700</v>
      </c>
      <c r="E24" s="164">
        <v>658</v>
      </c>
      <c r="F24" s="1035">
        <v>652</v>
      </c>
      <c r="G24" s="1035">
        <v>655</v>
      </c>
      <c r="H24" s="1035">
        <v>662</v>
      </c>
      <c r="I24" s="1035">
        <v>670</v>
      </c>
      <c r="J24" s="1035">
        <v>750</v>
      </c>
      <c r="K24" s="1035">
        <v>762</v>
      </c>
      <c r="L24" s="1035">
        <v>797</v>
      </c>
      <c r="M24" s="1035">
        <v>795</v>
      </c>
      <c r="N24" s="1035">
        <v>1058</v>
      </c>
      <c r="O24" s="1035">
        <v>934</v>
      </c>
      <c r="P24" s="1035">
        <v>907</v>
      </c>
      <c r="Q24" s="1035">
        <v>895</v>
      </c>
    </row>
    <row r="25" spans="1:17" ht="12.75" customHeight="1">
      <c r="A25" s="151"/>
      <c r="B25" s="29" t="s">
        <v>41</v>
      </c>
      <c r="C25" s="161">
        <v>29143</v>
      </c>
      <c r="D25" s="161">
        <v>34380</v>
      </c>
      <c r="E25" s="164">
        <v>492</v>
      </c>
      <c r="F25" s="1035">
        <v>487</v>
      </c>
      <c r="G25" s="1035">
        <v>490</v>
      </c>
      <c r="H25" s="1035">
        <v>495</v>
      </c>
      <c r="I25" s="1035">
        <v>517</v>
      </c>
      <c r="J25" s="1035">
        <v>703</v>
      </c>
      <c r="K25" s="1035">
        <v>918</v>
      </c>
      <c r="L25" s="1035">
        <v>590</v>
      </c>
      <c r="M25" s="1035">
        <v>545</v>
      </c>
      <c r="N25" s="1035">
        <v>536</v>
      </c>
      <c r="O25" s="1035">
        <v>542</v>
      </c>
      <c r="P25" s="1035">
        <v>565</v>
      </c>
      <c r="Q25" s="1035">
        <v>587</v>
      </c>
    </row>
    <row r="26" spans="1:17" ht="12.75" customHeight="1">
      <c r="A26" s="151"/>
      <c r="B26" s="29" t="s">
        <v>44</v>
      </c>
      <c r="C26" s="161">
        <v>30479</v>
      </c>
      <c r="D26" s="161">
        <v>35953</v>
      </c>
      <c r="E26" s="164">
        <v>1608</v>
      </c>
      <c r="F26" s="1035">
        <v>1101</v>
      </c>
      <c r="G26" s="1035">
        <v>1018</v>
      </c>
      <c r="H26" s="1035">
        <v>1028</v>
      </c>
      <c r="I26" s="1035">
        <v>1117</v>
      </c>
      <c r="J26" s="1035">
        <v>1433</v>
      </c>
      <c r="K26" s="1035">
        <v>1798</v>
      </c>
      <c r="L26" s="1035">
        <v>1632</v>
      </c>
      <c r="M26" s="1035">
        <v>1854</v>
      </c>
      <c r="N26" s="1035">
        <v>1459</v>
      </c>
      <c r="O26" s="1035">
        <v>1075</v>
      </c>
      <c r="P26" s="1035">
        <v>899</v>
      </c>
      <c r="Q26" s="1035">
        <v>905</v>
      </c>
    </row>
    <row r="27" spans="1:17" ht="12.75" customHeight="1">
      <c r="A27" s="151"/>
      <c r="B27" s="29" t="s">
        <v>45</v>
      </c>
      <c r="C27" s="161">
        <v>49453</v>
      </c>
      <c r="D27" s="161">
        <v>62011</v>
      </c>
      <c r="E27" s="164">
        <v>1655</v>
      </c>
      <c r="F27" s="1035">
        <v>1616</v>
      </c>
      <c r="G27" s="1035">
        <v>1620</v>
      </c>
      <c r="H27" s="1035">
        <v>1636</v>
      </c>
      <c r="I27" s="1035">
        <v>1652</v>
      </c>
      <c r="J27" s="1035">
        <v>1706</v>
      </c>
      <c r="K27" s="1035">
        <v>1900</v>
      </c>
      <c r="L27" s="1035">
        <v>2336</v>
      </c>
      <c r="M27" s="1035">
        <v>2385</v>
      </c>
      <c r="N27" s="1035">
        <v>2006</v>
      </c>
      <c r="O27" s="1035">
        <v>1827</v>
      </c>
      <c r="P27" s="1035">
        <v>1807</v>
      </c>
      <c r="Q27" s="1035">
        <v>1830</v>
      </c>
    </row>
    <row r="28" spans="1:17" ht="12.75" customHeight="1">
      <c r="A28" s="151"/>
      <c r="B28" s="150" t="s">
        <v>46</v>
      </c>
      <c r="C28" s="161">
        <v>12182</v>
      </c>
      <c r="D28" s="161">
        <v>13426</v>
      </c>
      <c r="E28" s="164">
        <v>8751</v>
      </c>
      <c r="F28" s="1035">
        <v>9297</v>
      </c>
      <c r="G28" s="1035">
        <v>9954</v>
      </c>
      <c r="H28" s="1035">
        <v>9142</v>
      </c>
      <c r="I28" s="1035">
        <v>10816</v>
      </c>
      <c r="J28" s="1035">
        <v>12034</v>
      </c>
      <c r="K28" s="1035">
        <v>13459</v>
      </c>
      <c r="L28" s="1035">
        <v>9411</v>
      </c>
      <c r="M28" s="1035">
        <v>11423</v>
      </c>
      <c r="N28" s="1035">
        <v>13400</v>
      </c>
      <c r="O28" s="1035">
        <v>13261</v>
      </c>
      <c r="P28" s="1035">
        <v>13467</v>
      </c>
      <c r="Q28" s="1035">
        <v>13861</v>
      </c>
    </row>
    <row r="29" spans="1:17" ht="12.75" customHeight="1">
      <c r="A29" s="151"/>
      <c r="B29" s="30" t="s">
        <v>47</v>
      </c>
      <c r="C29" s="161">
        <v>1246</v>
      </c>
      <c r="D29" s="161">
        <v>1439</v>
      </c>
      <c r="E29" s="164">
        <v>4449</v>
      </c>
      <c r="F29" s="1035">
        <v>5934</v>
      </c>
      <c r="G29" s="1035">
        <v>5688</v>
      </c>
      <c r="H29" s="1035">
        <v>7745</v>
      </c>
      <c r="I29" s="1035">
        <v>7859</v>
      </c>
      <c r="J29" s="1035">
        <v>5023</v>
      </c>
      <c r="K29" s="1035">
        <v>4356</v>
      </c>
      <c r="L29" s="1035">
        <v>3973</v>
      </c>
      <c r="M29" s="1035">
        <v>3831</v>
      </c>
      <c r="N29" s="1035">
        <v>4457</v>
      </c>
      <c r="O29" s="1035">
        <v>4896</v>
      </c>
      <c r="P29" s="1035">
        <v>4918</v>
      </c>
      <c r="Q29" s="1035">
        <v>5150</v>
      </c>
    </row>
    <row r="30" spans="1:17" ht="12.75" customHeight="1">
      <c r="A30" s="151"/>
      <c r="B30" s="29" t="s">
        <v>48</v>
      </c>
      <c r="C30" s="161">
        <v>3153</v>
      </c>
      <c r="D30" s="161">
        <v>3693</v>
      </c>
      <c r="E30" s="164">
        <v>4597</v>
      </c>
      <c r="F30" s="1035">
        <v>4024</v>
      </c>
      <c r="G30" s="1035">
        <v>3234</v>
      </c>
      <c r="H30" s="1035">
        <v>3481</v>
      </c>
      <c r="I30" s="1035">
        <v>3473</v>
      </c>
      <c r="J30" s="1035">
        <v>4239</v>
      </c>
      <c r="K30" s="1035">
        <v>5023</v>
      </c>
      <c r="L30" s="1035">
        <v>4222</v>
      </c>
      <c r="M30" s="1035">
        <v>4089</v>
      </c>
      <c r="N30" s="1035">
        <v>3946</v>
      </c>
      <c r="O30" s="1035">
        <v>4175</v>
      </c>
      <c r="P30" s="1035">
        <v>3543</v>
      </c>
      <c r="Q30" s="1035">
        <v>3711</v>
      </c>
    </row>
    <row r="31" spans="1:17" ht="12.75" customHeight="1">
      <c r="A31" s="151"/>
      <c r="B31" s="30" t="s">
        <v>49</v>
      </c>
      <c r="C31" s="163">
        <v>2191</v>
      </c>
      <c r="D31" s="163">
        <v>2421</v>
      </c>
      <c r="E31" s="164">
        <v>511</v>
      </c>
      <c r="F31" s="1035">
        <v>659</v>
      </c>
      <c r="G31" s="1035">
        <v>936</v>
      </c>
      <c r="H31" s="1035">
        <v>1391</v>
      </c>
      <c r="I31" s="1035">
        <v>1329</v>
      </c>
      <c r="J31" s="1035">
        <v>1962</v>
      </c>
      <c r="K31" s="1035">
        <v>1879</v>
      </c>
      <c r="L31" s="1035">
        <v>1675</v>
      </c>
      <c r="M31" s="1035">
        <v>2454</v>
      </c>
      <c r="N31" s="1035">
        <v>2554</v>
      </c>
      <c r="O31" s="1035">
        <v>3204</v>
      </c>
      <c r="P31" s="1035">
        <v>3481</v>
      </c>
      <c r="Q31" s="1035">
        <v>3471</v>
      </c>
    </row>
    <row r="32" spans="1:17" ht="5" customHeight="1" thickBot="1">
      <c r="A32" s="15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</row>
    <row r="33" spans="1:17" ht="10" customHeight="1">
      <c r="A33" s="28" t="s">
        <v>229</v>
      </c>
      <c r="B33" s="40"/>
      <c r="C33" s="449"/>
      <c r="D33" s="449"/>
      <c r="E33" s="449"/>
      <c r="F33" s="449"/>
      <c r="G33" s="449"/>
      <c r="H33" s="449"/>
      <c r="I33" s="449"/>
      <c r="J33" s="449"/>
      <c r="K33" s="449"/>
      <c r="L33" s="64"/>
      <c r="M33" s="64"/>
      <c r="N33" s="64"/>
      <c r="O33" s="64"/>
      <c r="P33" s="64"/>
      <c r="Q33" s="64"/>
    </row>
    <row r="34" spans="1:17" ht="10" customHeight="1">
      <c r="A34" s="28" t="s">
        <v>192</v>
      </c>
      <c r="B34" s="40"/>
      <c r="C34" s="449"/>
      <c r="D34" s="449"/>
      <c r="E34" s="449"/>
      <c r="F34" s="449"/>
      <c r="G34" s="449"/>
      <c r="H34" s="463"/>
      <c r="I34" s="463"/>
      <c r="J34" s="463"/>
      <c r="K34" s="463"/>
      <c r="L34" s="152"/>
      <c r="M34" s="152"/>
      <c r="N34" s="152"/>
      <c r="O34" s="152"/>
      <c r="P34" s="152"/>
      <c r="Q34" s="152"/>
    </row>
    <row r="35" spans="1:17" ht="10" customHeight="1">
      <c r="A35" s="40" t="s">
        <v>261</v>
      </c>
      <c r="B35" s="320"/>
      <c r="C35" s="449"/>
      <c r="D35" s="449"/>
      <c r="E35" s="449"/>
      <c r="F35" s="449"/>
      <c r="G35" s="449"/>
      <c r="H35" s="463"/>
      <c r="I35" s="463"/>
      <c r="J35" s="463"/>
      <c r="K35" s="463"/>
      <c r="L35" s="152"/>
      <c r="M35" s="152"/>
      <c r="N35" s="152"/>
      <c r="O35" s="152"/>
      <c r="P35" s="152"/>
      <c r="Q35" s="15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Hoja135">
    <tabColor theme="9" tint="0.59999389629810485"/>
  </sheetPr>
  <dimension ref="A2:Q35"/>
  <sheetViews>
    <sheetView showGridLines="0" zoomScale="150" zoomScaleNormal="150" workbookViewId="0">
      <selection activeCell="K34" sqref="K34"/>
    </sheetView>
  </sheetViews>
  <sheetFormatPr baseColWidth="10" defaultColWidth="7" defaultRowHeight="13" customHeight="1"/>
  <cols>
    <col min="1" max="1" width="1.796875" style="150" customWidth="1"/>
    <col min="2" max="2" width="10" style="150" customWidth="1"/>
    <col min="3" max="5" width="8" style="150" hidden="1" customWidth="1"/>
    <col min="6" max="17" width="8.59765625" style="150" customWidth="1"/>
    <col min="18" max="16384" width="7" style="150"/>
  </cols>
  <sheetData>
    <row r="2" spans="1:17" ht="15" customHeight="1">
      <c r="A2" s="468" t="s">
        <v>328</v>
      </c>
      <c r="B2" s="469"/>
      <c r="C2" s="469"/>
      <c r="D2" s="469"/>
      <c r="E2" s="469"/>
      <c r="F2" s="469"/>
    </row>
    <row r="3" spans="1:17" ht="13" customHeight="1">
      <c r="A3" s="1032" t="s">
        <v>564</v>
      </c>
      <c r="B3" s="469"/>
      <c r="C3" s="469"/>
      <c r="D3" s="469"/>
      <c r="E3" s="469"/>
      <c r="F3" s="469"/>
    </row>
    <row r="4" spans="1:17" ht="4" customHeight="1" thickBot="1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17" ht="15" customHeight="1">
      <c r="A5" s="1145" t="s">
        <v>18</v>
      </c>
      <c r="B5" s="1145"/>
      <c r="C5" s="1027">
        <v>2005</v>
      </c>
      <c r="D5" s="1027">
        <v>2006</v>
      </c>
      <c r="E5" s="1027">
        <v>2007</v>
      </c>
      <c r="F5" s="1027">
        <v>2008</v>
      </c>
      <c r="G5" s="1027">
        <v>2009</v>
      </c>
      <c r="H5" s="1027">
        <v>2010</v>
      </c>
      <c r="I5" s="1027">
        <v>2011</v>
      </c>
      <c r="J5" s="1027">
        <v>2012</v>
      </c>
      <c r="K5" s="1027">
        <v>2013</v>
      </c>
      <c r="L5" s="1027">
        <v>2014</v>
      </c>
      <c r="M5" s="1027">
        <v>2015</v>
      </c>
      <c r="N5" s="1027">
        <v>2016</v>
      </c>
      <c r="O5" s="1027">
        <v>2017</v>
      </c>
      <c r="P5" s="1027" t="s">
        <v>221</v>
      </c>
      <c r="Q5" s="1027" t="s">
        <v>239</v>
      </c>
    </row>
    <row r="6" spans="1:17" ht="15" customHeight="1">
      <c r="A6" s="1146" t="s">
        <v>106</v>
      </c>
      <c r="B6" s="1146"/>
      <c r="C6" s="1028">
        <v>0.84</v>
      </c>
      <c r="D6" s="1028">
        <v>0.84</v>
      </c>
      <c r="E6" s="1029">
        <v>3.09</v>
      </c>
      <c r="F6" s="1040">
        <v>3.81</v>
      </c>
      <c r="G6" s="1040">
        <v>3.79</v>
      </c>
      <c r="H6" s="1040">
        <v>3.73</v>
      </c>
      <c r="I6" s="1040">
        <v>3.88</v>
      </c>
      <c r="J6" s="1040">
        <v>4.1500000000000004</v>
      </c>
      <c r="K6" s="1040">
        <v>4.33</v>
      </c>
      <c r="L6" s="1040">
        <v>4.63</v>
      </c>
      <c r="M6" s="1040">
        <v>4.66</v>
      </c>
      <c r="N6" s="1040">
        <v>4.72</v>
      </c>
      <c r="O6" s="1040">
        <v>4.75</v>
      </c>
      <c r="P6" s="1040">
        <v>4.67</v>
      </c>
      <c r="Q6" s="1040">
        <v>4.1399999999999997</v>
      </c>
    </row>
    <row r="7" spans="1:17" ht="4" customHeight="1">
      <c r="A7" s="151"/>
      <c r="B7" s="152"/>
      <c r="C7" s="160"/>
      <c r="D7" s="160"/>
      <c r="E7" s="160"/>
      <c r="F7" s="1041"/>
      <c r="G7" s="1041"/>
      <c r="H7" s="1041"/>
      <c r="I7" s="1041"/>
      <c r="J7" s="1041"/>
      <c r="K7" s="1041"/>
      <c r="L7" s="1041"/>
      <c r="M7" s="1041"/>
      <c r="N7" s="1041"/>
      <c r="O7" s="1041"/>
      <c r="P7" s="1041"/>
      <c r="Q7" s="1041"/>
    </row>
    <row r="8" spans="1:17" ht="12.75" customHeight="1">
      <c r="A8" s="151"/>
      <c r="B8" s="29" t="s">
        <v>21</v>
      </c>
      <c r="C8" s="161">
        <v>1.41</v>
      </c>
      <c r="D8" s="161">
        <v>1.46</v>
      </c>
      <c r="E8" s="164">
        <v>3.46</v>
      </c>
      <c r="F8" s="1042">
        <v>3.58</v>
      </c>
      <c r="G8" s="1042">
        <v>3.75</v>
      </c>
      <c r="H8" s="1042">
        <v>3.41</v>
      </c>
      <c r="I8" s="1042">
        <v>3.43</v>
      </c>
      <c r="J8" s="1042">
        <v>3.6</v>
      </c>
      <c r="K8" s="1042">
        <v>3.53</v>
      </c>
      <c r="L8" s="1042">
        <v>3.89</v>
      </c>
      <c r="M8" s="1042">
        <v>3.99</v>
      </c>
      <c r="N8" s="1042">
        <v>4.26</v>
      </c>
      <c r="O8" s="1042">
        <v>4.1399999999999997</v>
      </c>
      <c r="P8" s="1042">
        <v>4.1399999999999997</v>
      </c>
      <c r="Q8" s="1042">
        <v>4.13</v>
      </c>
    </row>
    <row r="9" spans="1:17" ht="12.75" customHeight="1">
      <c r="A9" s="151"/>
      <c r="B9" s="29" t="s">
        <v>22</v>
      </c>
      <c r="C9" s="161">
        <v>1.03</v>
      </c>
      <c r="D9" s="161">
        <v>1.05</v>
      </c>
      <c r="E9" s="164">
        <v>3.86</v>
      </c>
      <c r="F9" s="1042">
        <v>3.66</v>
      </c>
      <c r="G9" s="1042">
        <v>4.04</v>
      </c>
      <c r="H9" s="1042">
        <v>3.69</v>
      </c>
      <c r="I9" s="1042">
        <v>3.85</v>
      </c>
      <c r="J9" s="1042">
        <v>4.07</v>
      </c>
      <c r="K9" s="1042">
        <v>3.62</v>
      </c>
      <c r="L9" s="1042">
        <v>4.03</v>
      </c>
      <c r="M9" s="1042">
        <v>4.09</v>
      </c>
      <c r="N9" s="1042">
        <v>4.38</v>
      </c>
      <c r="O9" s="1042">
        <v>4.21</v>
      </c>
      <c r="P9" s="1042">
        <v>4.29</v>
      </c>
      <c r="Q9" s="1042">
        <v>4.1100000000000003</v>
      </c>
    </row>
    <row r="10" spans="1:17" ht="12.75" customHeight="1">
      <c r="A10" s="151"/>
      <c r="B10" s="29" t="s">
        <v>23</v>
      </c>
      <c r="C10" s="161">
        <v>0.77</v>
      </c>
      <c r="D10" s="161">
        <v>0.7</v>
      </c>
      <c r="E10" s="164">
        <v>3.43</v>
      </c>
      <c r="F10" s="1042">
        <v>3.57</v>
      </c>
      <c r="G10" s="1042">
        <v>3.87</v>
      </c>
      <c r="H10" s="1042">
        <v>3.62</v>
      </c>
      <c r="I10" s="1042">
        <v>3.86</v>
      </c>
      <c r="J10" s="1042">
        <v>4.1500000000000004</v>
      </c>
      <c r="K10" s="1042">
        <v>3.66</v>
      </c>
      <c r="L10" s="1042">
        <v>4.0999999999999996</v>
      </c>
      <c r="M10" s="1042">
        <v>4.3099999999999996</v>
      </c>
      <c r="N10" s="1042">
        <v>4.46</v>
      </c>
      <c r="O10" s="1042">
        <v>4.5599999999999996</v>
      </c>
      <c r="P10" s="1042">
        <v>4.5199999999999996</v>
      </c>
      <c r="Q10" s="1042">
        <v>4.1100000000000003</v>
      </c>
    </row>
    <row r="11" spans="1:17" ht="12.75" customHeight="1">
      <c r="A11" s="151"/>
      <c r="B11" s="29" t="s">
        <v>24</v>
      </c>
      <c r="C11" s="161">
        <v>0.88</v>
      </c>
      <c r="D11" s="161">
        <v>0.89</v>
      </c>
      <c r="E11" s="164">
        <v>2.91</v>
      </c>
      <c r="F11" s="1042">
        <v>3.73</v>
      </c>
      <c r="G11" s="1042">
        <v>3.84</v>
      </c>
      <c r="H11" s="1042">
        <v>3.81</v>
      </c>
      <c r="I11" s="1042">
        <v>4.0599999999999996</v>
      </c>
      <c r="J11" s="1042">
        <v>3.62</v>
      </c>
      <c r="K11" s="1042">
        <v>3.02</v>
      </c>
      <c r="L11" s="1042">
        <v>3.41</v>
      </c>
      <c r="M11" s="1042">
        <v>4.21</v>
      </c>
      <c r="N11" s="1042">
        <v>3.95</v>
      </c>
      <c r="O11" s="1042">
        <v>4.74</v>
      </c>
      <c r="P11" s="1042">
        <v>4.5</v>
      </c>
      <c r="Q11" s="1042">
        <v>4.1399999999999997</v>
      </c>
    </row>
    <row r="12" spans="1:17" ht="12.75" customHeight="1">
      <c r="A12" s="151"/>
      <c r="B12" s="29" t="s">
        <v>25</v>
      </c>
      <c r="C12" s="161">
        <v>0.69</v>
      </c>
      <c r="D12" s="161">
        <v>0.71</v>
      </c>
      <c r="E12" s="164">
        <v>4</v>
      </c>
      <c r="F12" s="1042">
        <v>3.96</v>
      </c>
      <c r="G12" s="1042">
        <v>4.17</v>
      </c>
      <c r="H12" s="1042">
        <v>4</v>
      </c>
      <c r="I12" s="1042">
        <v>4.08</v>
      </c>
      <c r="J12" s="1042">
        <v>4.34</v>
      </c>
      <c r="K12" s="1042">
        <v>4.9800000000000004</v>
      </c>
      <c r="L12" s="1042">
        <v>5.0999999999999996</v>
      </c>
      <c r="M12" s="1042">
        <v>5.0999999999999996</v>
      </c>
      <c r="N12" s="1042">
        <v>5.22</v>
      </c>
      <c r="O12" s="1042">
        <v>4.83</v>
      </c>
      <c r="P12" s="1042">
        <v>4.83</v>
      </c>
      <c r="Q12" s="1042">
        <v>4.16</v>
      </c>
    </row>
    <row r="13" spans="1:17" ht="12.75" customHeight="1">
      <c r="A13" s="151"/>
      <c r="B13" s="29" t="s">
        <v>29</v>
      </c>
      <c r="C13" s="161">
        <v>0.92</v>
      </c>
      <c r="D13" s="161">
        <v>0.89</v>
      </c>
      <c r="E13" s="164">
        <v>3.47</v>
      </c>
      <c r="F13" s="1042">
        <v>3.82</v>
      </c>
      <c r="G13" s="1042">
        <v>4.1100000000000003</v>
      </c>
      <c r="H13" s="1042">
        <v>4.2699999999999996</v>
      </c>
      <c r="I13" s="1042">
        <v>4.12</v>
      </c>
      <c r="J13" s="1042">
        <v>4.71</v>
      </c>
      <c r="K13" s="1042">
        <v>4.5599999999999996</v>
      </c>
      <c r="L13" s="1042">
        <v>4.75</v>
      </c>
      <c r="M13" s="1042">
        <v>5.05</v>
      </c>
      <c r="N13" s="1042">
        <v>5.15</v>
      </c>
      <c r="O13" s="1042">
        <v>4.88</v>
      </c>
      <c r="P13" s="1042">
        <v>4.92</v>
      </c>
      <c r="Q13" s="1042">
        <v>4.1100000000000003</v>
      </c>
    </row>
    <row r="14" spans="1:17" ht="12.75" customHeight="1">
      <c r="A14" s="151"/>
      <c r="B14" s="29" t="s">
        <v>30</v>
      </c>
      <c r="C14" s="997">
        <v>1.02</v>
      </c>
      <c r="D14" s="997">
        <v>1.08</v>
      </c>
      <c r="E14" s="998">
        <v>3.56</v>
      </c>
      <c r="F14" s="1042">
        <v>3.75</v>
      </c>
      <c r="G14" s="1042">
        <v>3.98</v>
      </c>
      <c r="H14" s="1042">
        <v>4.03</v>
      </c>
      <c r="I14" s="1042">
        <v>4.01</v>
      </c>
      <c r="J14" s="1042">
        <v>4.34</v>
      </c>
      <c r="K14" s="1042">
        <v>4.1100000000000003</v>
      </c>
      <c r="L14" s="1042">
        <v>4.41</v>
      </c>
      <c r="M14" s="1042">
        <v>5</v>
      </c>
      <c r="N14" s="1042">
        <v>5.17</v>
      </c>
      <c r="O14" s="1042">
        <v>4.91</v>
      </c>
      <c r="P14" s="1042">
        <v>4.79</v>
      </c>
      <c r="Q14" s="1042">
        <v>4.13</v>
      </c>
    </row>
    <row r="15" spans="1:17" ht="12.75" customHeight="1">
      <c r="A15" s="151"/>
      <c r="B15" s="29" t="s">
        <v>31</v>
      </c>
      <c r="C15" s="997">
        <v>0.9</v>
      </c>
      <c r="D15" s="997">
        <v>0.89</v>
      </c>
      <c r="E15" s="998">
        <v>2.95</v>
      </c>
      <c r="F15" s="1042">
        <v>3.7</v>
      </c>
      <c r="G15" s="1042">
        <v>3.59</v>
      </c>
      <c r="H15" s="1042">
        <v>3.61</v>
      </c>
      <c r="I15" s="1042">
        <v>3.69</v>
      </c>
      <c r="J15" s="1042">
        <v>3.97</v>
      </c>
      <c r="K15" s="1042">
        <v>4.63</v>
      </c>
      <c r="L15" s="1042">
        <v>4.8899999999999997</v>
      </c>
      <c r="M15" s="1042">
        <v>4.87</v>
      </c>
      <c r="N15" s="1042">
        <v>5.08</v>
      </c>
      <c r="O15" s="1042">
        <v>4.82</v>
      </c>
      <c r="P15" s="1042">
        <v>4.8099999999999996</v>
      </c>
      <c r="Q15" s="1042">
        <v>4.13</v>
      </c>
    </row>
    <row r="16" spans="1:17" ht="12.75" customHeight="1">
      <c r="A16" s="151"/>
      <c r="B16" s="29" t="s">
        <v>32</v>
      </c>
      <c r="C16" s="997">
        <v>0.92</v>
      </c>
      <c r="D16" s="997">
        <v>0.81</v>
      </c>
      <c r="E16" s="998">
        <v>3.08</v>
      </c>
      <c r="F16" s="1042">
        <v>4.05</v>
      </c>
      <c r="G16" s="1042">
        <v>3.81</v>
      </c>
      <c r="H16" s="1042">
        <v>3.61</v>
      </c>
      <c r="I16" s="1042">
        <v>3.84</v>
      </c>
      <c r="J16" s="1042">
        <v>4.26</v>
      </c>
      <c r="K16" s="1042">
        <v>4.5599999999999996</v>
      </c>
      <c r="L16" s="1042">
        <v>4.83</v>
      </c>
      <c r="M16" s="1042">
        <v>4.7699999999999996</v>
      </c>
      <c r="N16" s="1042">
        <v>4.84</v>
      </c>
      <c r="O16" s="1042">
        <v>4.67</v>
      </c>
      <c r="P16" s="1042">
        <v>4.6100000000000003</v>
      </c>
      <c r="Q16" s="1042">
        <v>4.13</v>
      </c>
    </row>
    <row r="17" spans="1:17" ht="12.75" customHeight="1">
      <c r="A17" s="151"/>
      <c r="B17" s="29" t="s">
        <v>33</v>
      </c>
      <c r="C17" s="161">
        <v>1.29</v>
      </c>
      <c r="D17" s="161">
        <v>1.3</v>
      </c>
      <c r="E17" s="164">
        <v>3.35</v>
      </c>
      <c r="F17" s="1042">
        <v>3.61</v>
      </c>
      <c r="G17" s="1042">
        <v>3.82</v>
      </c>
      <c r="H17" s="1042">
        <v>3.74</v>
      </c>
      <c r="I17" s="1042">
        <v>3.89</v>
      </c>
      <c r="J17" s="1042">
        <v>4.4000000000000004</v>
      </c>
      <c r="K17" s="1042">
        <v>4.22</v>
      </c>
      <c r="L17" s="1042">
        <v>4.66</v>
      </c>
      <c r="M17" s="1042">
        <v>4.6900000000000004</v>
      </c>
      <c r="N17" s="1042">
        <v>4.67</v>
      </c>
      <c r="O17" s="1042">
        <v>4.5999999999999996</v>
      </c>
      <c r="P17" s="1042">
        <v>4.62</v>
      </c>
      <c r="Q17" s="1042">
        <v>4.21</v>
      </c>
    </row>
    <row r="18" spans="1:17" ht="12.75" customHeight="1">
      <c r="A18" s="151"/>
      <c r="B18" s="29" t="s">
        <v>34</v>
      </c>
      <c r="C18" s="161">
        <v>1.19</v>
      </c>
      <c r="D18" s="161">
        <v>0.84</v>
      </c>
      <c r="E18" s="164">
        <v>3.75</v>
      </c>
      <c r="F18" s="1042">
        <v>3.79</v>
      </c>
      <c r="G18" s="1042">
        <v>3.76</v>
      </c>
      <c r="H18" s="1042">
        <v>3.8</v>
      </c>
      <c r="I18" s="1042">
        <v>3.86</v>
      </c>
      <c r="J18" s="1042">
        <v>5.1100000000000003</v>
      </c>
      <c r="K18" s="1042">
        <v>4.74</v>
      </c>
      <c r="L18" s="1042">
        <v>5.18</v>
      </c>
      <c r="M18" s="1042">
        <v>5.2</v>
      </c>
      <c r="N18" s="1042">
        <v>5.19</v>
      </c>
      <c r="O18" s="1042">
        <v>4.9400000000000004</v>
      </c>
      <c r="P18" s="1042">
        <v>4.9000000000000004</v>
      </c>
      <c r="Q18" s="1042">
        <v>4.21</v>
      </c>
    </row>
    <row r="19" spans="1:17" ht="12.75" customHeight="1">
      <c r="A19" s="151"/>
      <c r="B19" s="29" t="s">
        <v>35</v>
      </c>
      <c r="C19" s="161">
        <v>0.93</v>
      </c>
      <c r="D19" s="161">
        <v>0.96</v>
      </c>
      <c r="E19" s="164">
        <v>3.57</v>
      </c>
      <c r="F19" s="1042">
        <v>3.84</v>
      </c>
      <c r="G19" s="1042">
        <v>3.88</v>
      </c>
      <c r="H19" s="1042">
        <v>4.54</v>
      </c>
      <c r="I19" s="1042">
        <v>4.3899999999999997</v>
      </c>
      <c r="J19" s="1042">
        <v>5.04</v>
      </c>
      <c r="K19" s="1042">
        <v>4.7300000000000004</v>
      </c>
      <c r="L19" s="1042">
        <v>5.46</v>
      </c>
      <c r="M19" s="1042">
        <v>5.28</v>
      </c>
      <c r="N19" s="1042">
        <v>5.43</v>
      </c>
      <c r="O19" s="1042">
        <v>4.92</v>
      </c>
      <c r="P19" s="1042">
        <v>4.9000000000000004</v>
      </c>
      <c r="Q19" s="1042">
        <v>4.38</v>
      </c>
    </row>
    <row r="20" spans="1:17" ht="12.75" customHeight="1">
      <c r="A20" s="151"/>
      <c r="B20" s="29" t="s">
        <v>36</v>
      </c>
      <c r="C20" s="161">
        <v>1</v>
      </c>
      <c r="D20" s="161">
        <v>1.08</v>
      </c>
      <c r="E20" s="164">
        <v>3.68</v>
      </c>
      <c r="F20" s="1042">
        <v>3.9</v>
      </c>
      <c r="G20" s="1042">
        <v>3.95</v>
      </c>
      <c r="H20" s="1042">
        <v>3.88</v>
      </c>
      <c r="I20" s="1042">
        <v>3.94</v>
      </c>
      <c r="J20" s="1042">
        <v>4.6399999999999997</v>
      </c>
      <c r="K20" s="1042">
        <v>4.4000000000000004</v>
      </c>
      <c r="L20" s="1042">
        <v>5.41</v>
      </c>
      <c r="M20" s="1042">
        <v>5.31</v>
      </c>
      <c r="N20" s="1042">
        <v>5.08</v>
      </c>
      <c r="O20" s="1042">
        <v>4.9400000000000004</v>
      </c>
      <c r="P20" s="1042">
        <v>4.91</v>
      </c>
      <c r="Q20" s="1042">
        <v>4.1500000000000004</v>
      </c>
    </row>
    <row r="21" spans="1:17" ht="12.75" customHeight="1">
      <c r="A21" s="151"/>
      <c r="B21" s="29" t="s">
        <v>37</v>
      </c>
      <c r="C21" s="161">
        <v>0.71</v>
      </c>
      <c r="D21" s="161">
        <v>0.73</v>
      </c>
      <c r="E21" s="164">
        <v>2.89</v>
      </c>
      <c r="F21" s="1042">
        <v>3.69</v>
      </c>
      <c r="G21" s="1042">
        <v>3.93</v>
      </c>
      <c r="H21" s="1042">
        <v>3.82</v>
      </c>
      <c r="I21" s="1042">
        <v>3.67</v>
      </c>
      <c r="J21" s="1042">
        <v>4.5199999999999996</v>
      </c>
      <c r="K21" s="1042">
        <v>4.59</v>
      </c>
      <c r="L21" s="1042">
        <v>4.87</v>
      </c>
      <c r="M21" s="1042">
        <v>4.71</v>
      </c>
      <c r="N21" s="1042">
        <v>4.68</v>
      </c>
      <c r="O21" s="1042">
        <v>4.76</v>
      </c>
      <c r="P21" s="1042">
        <v>4.6500000000000004</v>
      </c>
      <c r="Q21" s="1042">
        <v>4.16</v>
      </c>
    </row>
    <row r="22" spans="1:17" ht="12.75" customHeight="1">
      <c r="A22" s="151"/>
      <c r="B22" s="29" t="s">
        <v>38</v>
      </c>
      <c r="C22" s="161">
        <v>0.85</v>
      </c>
      <c r="D22" s="161">
        <v>0.8</v>
      </c>
      <c r="E22" s="164">
        <v>3.65</v>
      </c>
      <c r="F22" s="1042">
        <v>3.67</v>
      </c>
      <c r="G22" s="1042">
        <v>3.87</v>
      </c>
      <c r="H22" s="1042">
        <v>3.66</v>
      </c>
      <c r="I22" s="1042">
        <v>3.65</v>
      </c>
      <c r="J22" s="1042">
        <v>4.33</v>
      </c>
      <c r="K22" s="1042">
        <v>4.45</v>
      </c>
      <c r="L22" s="1042">
        <v>4.8099999999999996</v>
      </c>
      <c r="M22" s="1042">
        <v>4.5199999999999996</v>
      </c>
      <c r="N22" s="1042">
        <v>4.57</v>
      </c>
      <c r="O22" s="1042">
        <v>4.55</v>
      </c>
      <c r="P22" s="1042">
        <v>4.58</v>
      </c>
      <c r="Q22" s="1042">
        <v>4.0999999999999996</v>
      </c>
    </row>
    <row r="23" spans="1:17" ht="12.75" customHeight="1">
      <c r="A23" s="151"/>
      <c r="B23" s="29" t="s">
        <v>39</v>
      </c>
      <c r="C23" s="161">
        <v>0.72</v>
      </c>
      <c r="D23" s="161">
        <v>0.83</v>
      </c>
      <c r="E23" s="164">
        <v>3.18</v>
      </c>
      <c r="F23" s="1042">
        <v>3.67</v>
      </c>
      <c r="G23" s="1042">
        <v>3.74</v>
      </c>
      <c r="H23" s="1042">
        <v>3.8</v>
      </c>
      <c r="I23" s="1042">
        <v>3.85</v>
      </c>
      <c r="J23" s="1042">
        <v>4.49</v>
      </c>
      <c r="K23" s="1042">
        <v>4.5199999999999996</v>
      </c>
      <c r="L23" s="1042">
        <v>4.9800000000000004</v>
      </c>
      <c r="M23" s="1042">
        <v>4.4400000000000004</v>
      </c>
      <c r="N23" s="1042">
        <v>4.7300000000000004</v>
      </c>
      <c r="O23" s="1042">
        <v>4.74</v>
      </c>
      <c r="P23" s="1042">
        <v>4.66</v>
      </c>
      <c r="Q23" s="1042">
        <v>4.12</v>
      </c>
    </row>
    <row r="24" spans="1:17" ht="12.75" customHeight="1">
      <c r="A24" s="151"/>
      <c r="B24" s="29" t="s">
        <v>40</v>
      </c>
      <c r="C24" s="161">
        <v>1.06</v>
      </c>
      <c r="D24" s="161">
        <v>1.1399999999999999</v>
      </c>
      <c r="E24" s="164">
        <v>3.74</v>
      </c>
      <c r="F24" s="1042">
        <v>4.0199999999999996</v>
      </c>
      <c r="G24" s="1042">
        <v>4.12</v>
      </c>
      <c r="H24" s="1042">
        <v>4.49</v>
      </c>
      <c r="I24" s="1042">
        <v>4.47</v>
      </c>
      <c r="J24" s="1042">
        <v>5.04</v>
      </c>
      <c r="K24" s="1042">
        <v>5.38</v>
      </c>
      <c r="L24" s="1042">
        <v>5.45</v>
      </c>
      <c r="M24" s="1042">
        <v>5.48</v>
      </c>
      <c r="N24" s="1042">
        <v>5.45</v>
      </c>
      <c r="O24" s="1042">
        <v>5.03</v>
      </c>
      <c r="P24" s="1042">
        <v>5.03</v>
      </c>
      <c r="Q24" s="1042">
        <v>4.18</v>
      </c>
    </row>
    <row r="25" spans="1:17" ht="12.75" customHeight="1">
      <c r="A25" s="151"/>
      <c r="B25" s="29" t="s">
        <v>41</v>
      </c>
      <c r="C25" s="161">
        <v>1.1100000000000001</v>
      </c>
      <c r="D25" s="161">
        <v>1.17</v>
      </c>
      <c r="E25" s="164">
        <v>3.67</v>
      </c>
      <c r="F25" s="1042">
        <v>3.84</v>
      </c>
      <c r="G25" s="1042">
        <v>4.04</v>
      </c>
      <c r="H25" s="1042">
        <v>4.24</v>
      </c>
      <c r="I25" s="1042">
        <v>4.26</v>
      </c>
      <c r="J25" s="1042">
        <v>4.5</v>
      </c>
      <c r="K25" s="1042">
        <v>4.66</v>
      </c>
      <c r="L25" s="1042">
        <v>5.69</v>
      </c>
      <c r="M25" s="1042">
        <v>5.36</v>
      </c>
      <c r="N25" s="1042">
        <v>5.27</v>
      </c>
      <c r="O25" s="1042">
        <v>5.18</v>
      </c>
      <c r="P25" s="1042">
        <v>4.93</v>
      </c>
      <c r="Q25" s="1042">
        <v>4.16</v>
      </c>
    </row>
    <row r="26" spans="1:17" ht="12.75" customHeight="1">
      <c r="A26" s="151"/>
      <c r="B26" s="29" t="s">
        <v>44</v>
      </c>
      <c r="C26" s="161">
        <v>1.05</v>
      </c>
      <c r="D26" s="161">
        <v>1.07</v>
      </c>
      <c r="E26" s="164">
        <v>3.6</v>
      </c>
      <c r="F26" s="1042">
        <v>3.84</v>
      </c>
      <c r="G26" s="1042">
        <v>4.2</v>
      </c>
      <c r="H26" s="1042">
        <v>4.43</v>
      </c>
      <c r="I26" s="1042">
        <v>4.6100000000000003</v>
      </c>
      <c r="J26" s="1042">
        <v>5</v>
      </c>
      <c r="K26" s="1042">
        <v>5.14</v>
      </c>
      <c r="L26" s="1042">
        <v>5.25</v>
      </c>
      <c r="M26" s="1042">
        <v>5.27</v>
      </c>
      <c r="N26" s="1042">
        <v>5.33</v>
      </c>
      <c r="O26" s="1042">
        <v>5.1100000000000003</v>
      </c>
      <c r="P26" s="1042">
        <v>5.01</v>
      </c>
      <c r="Q26" s="1042">
        <v>4.21</v>
      </c>
    </row>
    <row r="27" spans="1:17" ht="12.75" customHeight="1">
      <c r="A27" s="151"/>
      <c r="B27" s="29" t="s">
        <v>45</v>
      </c>
      <c r="C27" s="161">
        <v>0.85</v>
      </c>
      <c r="D27" s="161">
        <v>0.75</v>
      </c>
      <c r="E27" s="164">
        <v>3.47</v>
      </c>
      <c r="F27" s="1042">
        <v>3.8</v>
      </c>
      <c r="G27" s="1042">
        <v>4.16</v>
      </c>
      <c r="H27" s="1042">
        <v>4</v>
      </c>
      <c r="I27" s="1042">
        <v>4.4400000000000004</v>
      </c>
      <c r="J27" s="1042">
        <v>4.93</v>
      </c>
      <c r="K27" s="1042">
        <v>5.13</v>
      </c>
      <c r="L27" s="1042">
        <v>5.74</v>
      </c>
      <c r="M27" s="1042">
        <v>5.67</v>
      </c>
      <c r="N27" s="1042">
        <v>5.79</v>
      </c>
      <c r="O27" s="1042">
        <v>5.62</v>
      </c>
      <c r="P27" s="1042">
        <v>5.4</v>
      </c>
      <c r="Q27" s="1042">
        <v>4.2300000000000004</v>
      </c>
    </row>
    <row r="28" spans="1:17" ht="12.75" customHeight="1">
      <c r="A28" s="151"/>
      <c r="B28" s="150" t="s">
        <v>46</v>
      </c>
      <c r="C28" s="161">
        <v>0.93</v>
      </c>
      <c r="D28" s="161">
        <v>0.96</v>
      </c>
      <c r="E28" s="164">
        <v>3.58</v>
      </c>
      <c r="F28" s="1042">
        <v>3.81</v>
      </c>
      <c r="G28" s="1042">
        <v>4.13</v>
      </c>
      <c r="H28" s="1042">
        <v>4.1100000000000003</v>
      </c>
      <c r="I28" s="1042">
        <v>4.3</v>
      </c>
      <c r="J28" s="1042">
        <v>5</v>
      </c>
      <c r="K28" s="1042">
        <v>5.16</v>
      </c>
      <c r="L28" s="1042">
        <v>5.24</v>
      </c>
      <c r="M28" s="1042">
        <v>5.35</v>
      </c>
      <c r="N28" s="1042">
        <v>5.46</v>
      </c>
      <c r="O28" s="1042">
        <v>5.13</v>
      </c>
      <c r="P28" s="1042">
        <v>4.9400000000000004</v>
      </c>
      <c r="Q28" s="1042">
        <v>4.26</v>
      </c>
    </row>
    <row r="29" spans="1:17" ht="12.75" customHeight="1">
      <c r="A29" s="151"/>
      <c r="B29" s="30" t="s">
        <v>47</v>
      </c>
      <c r="C29" s="161">
        <v>1.43</v>
      </c>
      <c r="D29" s="161">
        <v>1.32</v>
      </c>
      <c r="E29" s="164">
        <v>3.28</v>
      </c>
      <c r="F29" s="1042">
        <v>3.67</v>
      </c>
      <c r="G29" s="1042">
        <v>4.13</v>
      </c>
      <c r="H29" s="1042">
        <v>4.09</v>
      </c>
      <c r="I29" s="1042">
        <v>4.34</v>
      </c>
      <c r="J29" s="1042">
        <v>5.0599999999999996</v>
      </c>
      <c r="K29" s="1042">
        <v>5.54</v>
      </c>
      <c r="L29" s="1042">
        <v>5.44</v>
      </c>
      <c r="M29" s="1042">
        <v>5.36</v>
      </c>
      <c r="N29" s="1042">
        <v>5.24</v>
      </c>
      <c r="O29" s="1042">
        <v>5.04</v>
      </c>
      <c r="P29" s="1042">
        <v>4.88</v>
      </c>
      <c r="Q29" s="1042">
        <v>4.26</v>
      </c>
    </row>
    <row r="30" spans="1:17" ht="12.75" customHeight="1">
      <c r="A30" s="151"/>
      <c r="B30" s="29" t="s">
        <v>48</v>
      </c>
      <c r="C30" s="161">
        <v>1.28</v>
      </c>
      <c r="D30" s="161">
        <v>1.21</v>
      </c>
      <c r="E30" s="164">
        <v>3.77</v>
      </c>
      <c r="F30" s="1042">
        <v>3.84</v>
      </c>
      <c r="G30" s="1042">
        <v>3.98</v>
      </c>
      <c r="H30" s="1042">
        <v>4.07</v>
      </c>
      <c r="I30" s="1042">
        <v>4.3</v>
      </c>
      <c r="J30" s="1042">
        <v>5.09</v>
      </c>
      <c r="K30" s="1042">
        <v>5.38</v>
      </c>
      <c r="L30" s="1042">
        <v>5.22</v>
      </c>
      <c r="M30" s="1042">
        <v>5.33</v>
      </c>
      <c r="N30" s="1042">
        <v>5.09</v>
      </c>
      <c r="O30" s="1042">
        <v>5.0199999999999996</v>
      </c>
      <c r="P30" s="1042">
        <v>4.9000000000000004</v>
      </c>
      <c r="Q30" s="1042">
        <v>4.1900000000000004</v>
      </c>
    </row>
    <row r="31" spans="1:17" ht="12.75" customHeight="1">
      <c r="A31" s="151"/>
      <c r="B31" s="30" t="s">
        <v>49</v>
      </c>
      <c r="C31" s="163">
        <v>1.41</v>
      </c>
      <c r="D31" s="163">
        <v>1.41</v>
      </c>
      <c r="E31" s="164">
        <v>3.7</v>
      </c>
      <c r="F31" s="1042">
        <v>3.99</v>
      </c>
      <c r="G31" s="1042">
        <v>4.78</v>
      </c>
      <c r="H31" s="1042">
        <v>5.39</v>
      </c>
      <c r="I31" s="1042">
        <v>4.4400000000000004</v>
      </c>
      <c r="J31" s="1042">
        <v>5.21</v>
      </c>
      <c r="K31" s="1042">
        <v>5.21</v>
      </c>
      <c r="L31" s="1042">
        <v>5.53</v>
      </c>
      <c r="M31" s="1042">
        <v>5.05</v>
      </c>
      <c r="N31" s="1042">
        <v>4.37</v>
      </c>
      <c r="O31" s="1042">
        <v>4.6100000000000003</v>
      </c>
      <c r="P31" s="1042">
        <v>4.59</v>
      </c>
      <c r="Q31" s="1042">
        <v>4.1500000000000004</v>
      </c>
    </row>
    <row r="32" spans="1:17" ht="5" customHeight="1" thickBot="1">
      <c r="A32" s="15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</row>
    <row r="33" spans="1:17" ht="10" customHeight="1">
      <c r="A33" s="28" t="s">
        <v>229</v>
      </c>
      <c r="B33" s="40"/>
      <c r="C33" s="449"/>
      <c r="D33" s="449"/>
      <c r="E33" s="449"/>
      <c r="F33" s="449"/>
      <c r="G33" s="449"/>
      <c r="H33" s="449"/>
      <c r="I33" s="449"/>
      <c r="J33" s="449"/>
      <c r="K33" s="449"/>
      <c r="L33" s="64"/>
      <c r="M33" s="64"/>
      <c r="N33" s="64"/>
      <c r="O33" s="64"/>
      <c r="P33" s="64"/>
      <c r="Q33" s="64"/>
    </row>
    <row r="34" spans="1:17" ht="10" customHeight="1">
      <c r="A34" s="28" t="s">
        <v>192</v>
      </c>
      <c r="B34" s="40"/>
      <c r="C34" s="449"/>
      <c r="D34" s="449"/>
      <c r="E34" s="449"/>
      <c r="F34" s="449"/>
      <c r="G34" s="449"/>
      <c r="H34" s="463"/>
      <c r="I34" s="463"/>
      <c r="J34" s="463"/>
      <c r="K34" s="463"/>
      <c r="L34" s="152"/>
      <c r="M34" s="152"/>
      <c r="N34" s="152"/>
      <c r="O34" s="152"/>
      <c r="P34" s="152"/>
      <c r="Q34" s="152"/>
    </row>
    <row r="35" spans="1:17" ht="10" customHeight="1">
      <c r="A35" s="40" t="s">
        <v>261</v>
      </c>
      <c r="B35" s="320"/>
      <c r="C35" s="449"/>
      <c r="D35" s="449"/>
      <c r="E35" s="449"/>
      <c r="F35" s="449"/>
      <c r="G35" s="449"/>
      <c r="H35" s="463"/>
      <c r="I35" s="463"/>
      <c r="J35" s="463"/>
      <c r="K35" s="463"/>
      <c r="L35" s="152"/>
      <c r="M35" s="152"/>
      <c r="N35" s="152"/>
      <c r="O35" s="152"/>
      <c r="P35" s="152"/>
      <c r="Q35" s="15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Hoja136">
    <tabColor theme="9" tint="0.59999389629810485"/>
  </sheetPr>
  <dimension ref="A2:S52"/>
  <sheetViews>
    <sheetView showGridLines="0" zoomScaleNormal="100" workbookViewId="0">
      <selection activeCell="I43" sqref="I43"/>
    </sheetView>
  </sheetViews>
  <sheetFormatPr baseColWidth="10" defaultColWidth="7" defaultRowHeight="13" customHeight="1"/>
  <cols>
    <col min="1" max="1" width="13.796875" style="141" customWidth="1"/>
    <col min="2" max="2" width="10.59765625" style="141" customWidth="1"/>
    <col min="3" max="3" width="9.796875" style="141" customWidth="1"/>
    <col min="4" max="15" width="8.796875" style="141" customWidth="1"/>
    <col min="16" max="16384" width="7" style="141"/>
  </cols>
  <sheetData>
    <row r="2" spans="1:16" ht="13" customHeight="1">
      <c r="A2" s="1053" t="s">
        <v>566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</row>
    <row r="3" spans="1:16" ht="4" customHeight="1" thickBo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1:16" ht="15" customHeight="1">
      <c r="A4" s="933" t="s">
        <v>115</v>
      </c>
      <c r="B4" s="933" t="s">
        <v>565</v>
      </c>
      <c r="C4" s="933" t="s">
        <v>56</v>
      </c>
      <c r="D4" s="933" t="s">
        <v>57</v>
      </c>
      <c r="E4" s="933" t="s">
        <v>58</v>
      </c>
      <c r="F4" s="933" t="s">
        <v>59</v>
      </c>
      <c r="G4" s="933" t="s">
        <v>60</v>
      </c>
      <c r="H4" s="933" t="s">
        <v>61</v>
      </c>
      <c r="I4" s="933" t="s">
        <v>62</v>
      </c>
      <c r="J4" s="933" t="s">
        <v>63</v>
      </c>
      <c r="K4" s="933" t="s">
        <v>64</v>
      </c>
      <c r="L4" s="933" t="s">
        <v>185</v>
      </c>
      <c r="M4" s="933" t="s">
        <v>66</v>
      </c>
      <c r="N4" s="933" t="s">
        <v>67</v>
      </c>
      <c r="O4" s="933" t="s">
        <v>68</v>
      </c>
    </row>
    <row r="5" spans="1:16" ht="4" customHeight="1">
      <c r="B5" s="948"/>
      <c r="C5" s="1050"/>
    </row>
    <row r="6" spans="1:16" ht="11" customHeight="1">
      <c r="A6" s="141" t="s">
        <v>129</v>
      </c>
      <c r="B6" s="948" t="s">
        <v>116</v>
      </c>
      <c r="C6" s="378">
        <f>SUM(D6:O6)</f>
        <v>311304172</v>
      </c>
      <c r="D6" s="145">
        <v>23222113</v>
      </c>
      <c r="E6" s="145">
        <v>22864448</v>
      </c>
      <c r="F6" s="145">
        <v>25837883</v>
      </c>
      <c r="G6" s="145">
        <v>24163015</v>
      </c>
      <c r="H6" s="145">
        <v>26423501</v>
      </c>
      <c r="I6" s="145">
        <v>25652933</v>
      </c>
      <c r="J6" s="145">
        <v>26246510</v>
      </c>
      <c r="K6" s="145">
        <v>27235210</v>
      </c>
      <c r="L6" s="145">
        <v>27576461</v>
      </c>
      <c r="M6" s="145">
        <v>27687716</v>
      </c>
      <c r="N6" s="145">
        <v>26635706</v>
      </c>
      <c r="O6" s="145">
        <v>27758676</v>
      </c>
    </row>
    <row r="7" spans="1:16" ht="11" customHeight="1">
      <c r="B7" s="948" t="s">
        <v>186</v>
      </c>
      <c r="C7" s="378">
        <f>SUM(D7:O7)</f>
        <v>862757152</v>
      </c>
      <c r="D7" s="145">
        <v>64126278</v>
      </c>
      <c r="E7" s="145">
        <v>62611329</v>
      </c>
      <c r="F7" s="145">
        <v>70153111</v>
      </c>
      <c r="G7" s="145">
        <v>65194432</v>
      </c>
      <c r="H7" s="145">
        <v>70847765</v>
      </c>
      <c r="I7" s="145">
        <v>71522891</v>
      </c>
      <c r="J7" s="145">
        <v>72563100</v>
      </c>
      <c r="K7" s="145">
        <v>78865807</v>
      </c>
      <c r="L7" s="145">
        <v>77260385</v>
      </c>
      <c r="M7" s="145">
        <v>78020908</v>
      </c>
      <c r="N7" s="145">
        <v>73953646</v>
      </c>
      <c r="O7" s="145">
        <v>77637500</v>
      </c>
    </row>
    <row r="8" spans="1:16" ht="11" customHeight="1">
      <c r="B8" s="948" t="s">
        <v>117</v>
      </c>
      <c r="C8" s="379">
        <f t="shared" ref="C8:O8" si="0">(C7/C6)</f>
        <v>2.7714281709016095</v>
      </c>
      <c r="D8" s="146">
        <f t="shared" si="0"/>
        <v>2.7614316578340654</v>
      </c>
      <c r="E8" s="146">
        <f t="shared" si="0"/>
        <v>2.7383704605508079</v>
      </c>
      <c r="F8" s="146">
        <f t="shared" si="0"/>
        <v>2.7151261192722331</v>
      </c>
      <c r="G8" s="146">
        <f t="shared" si="0"/>
        <v>2.6981083279549343</v>
      </c>
      <c r="H8" s="146">
        <f t="shared" si="0"/>
        <v>2.6812406501318655</v>
      </c>
      <c r="I8" s="146">
        <f t="shared" si="0"/>
        <v>2.7880979925375393</v>
      </c>
      <c r="J8" s="146">
        <f t="shared" si="0"/>
        <v>2.7646761417041734</v>
      </c>
      <c r="K8" s="146">
        <f t="shared" si="0"/>
        <v>2.8957297189924365</v>
      </c>
      <c r="L8" s="146">
        <f t="shared" si="0"/>
        <v>2.8016787578362576</v>
      </c>
      <c r="M8" s="146">
        <f t="shared" si="0"/>
        <v>2.8178889150697732</v>
      </c>
      <c r="N8" s="146">
        <f t="shared" si="0"/>
        <v>2.7764852938382787</v>
      </c>
      <c r="O8" s="146">
        <f t="shared" si="0"/>
        <v>2.79687330908722</v>
      </c>
    </row>
    <row r="9" spans="1:16" ht="4" customHeight="1">
      <c r="B9" s="948"/>
      <c r="C9" s="1050"/>
    </row>
    <row r="10" spans="1:16" ht="11" customHeight="1">
      <c r="A10" s="141" t="s">
        <v>187</v>
      </c>
      <c r="B10" s="948" t="s">
        <v>116</v>
      </c>
      <c r="C10" s="378">
        <f>SUM(D10:O10)</f>
        <v>569530</v>
      </c>
      <c r="D10" s="145">
        <v>32850</v>
      </c>
      <c r="E10" s="145">
        <v>31200</v>
      </c>
      <c r="F10" s="145">
        <v>7300</v>
      </c>
      <c r="G10" s="145">
        <v>34750</v>
      </c>
      <c r="H10" s="145">
        <v>42300</v>
      </c>
      <c r="I10" s="145">
        <v>44500</v>
      </c>
      <c r="J10" s="145">
        <v>53600</v>
      </c>
      <c r="K10" s="145">
        <v>58600</v>
      </c>
      <c r="L10" s="145">
        <v>62800</v>
      </c>
      <c r="M10" s="145">
        <v>57430</v>
      </c>
      <c r="N10" s="145">
        <v>63300</v>
      </c>
      <c r="O10" s="145">
        <v>80900</v>
      </c>
      <c r="P10" s="145"/>
    </row>
    <row r="11" spans="1:16" ht="11" customHeight="1">
      <c r="B11" s="948" t="s">
        <v>186</v>
      </c>
      <c r="C11" s="378">
        <f>SUM(D11:O11)</f>
        <v>1264390</v>
      </c>
      <c r="D11" s="145">
        <v>74308</v>
      </c>
      <c r="E11" s="145">
        <v>69885</v>
      </c>
      <c r="F11" s="145">
        <v>15968</v>
      </c>
      <c r="G11" s="145">
        <v>77695</v>
      </c>
      <c r="H11" s="145">
        <v>93878</v>
      </c>
      <c r="I11" s="145">
        <v>98738</v>
      </c>
      <c r="J11" s="145">
        <v>119322</v>
      </c>
      <c r="K11" s="145">
        <v>130150</v>
      </c>
      <c r="L11" s="145">
        <v>139019</v>
      </c>
      <c r="M11" s="145">
        <v>126538</v>
      </c>
      <c r="N11" s="145">
        <v>139907</v>
      </c>
      <c r="O11" s="145">
        <v>178982</v>
      </c>
      <c r="P11" s="145"/>
    </row>
    <row r="12" spans="1:16" ht="11" customHeight="1">
      <c r="B12" s="948" t="s">
        <v>117</v>
      </c>
      <c r="C12" s="379">
        <f t="shared" ref="C12:O12" si="1">(C11/C10)</f>
        <v>2.2200586448475059</v>
      </c>
      <c r="D12" s="146">
        <f t="shared" si="1"/>
        <v>2.2620395738203958</v>
      </c>
      <c r="E12" s="146">
        <f t="shared" si="1"/>
        <v>2.2399038461538461</v>
      </c>
      <c r="F12" s="146">
        <f t="shared" si="1"/>
        <v>2.1873972602739724</v>
      </c>
      <c r="G12" s="146">
        <f t="shared" si="1"/>
        <v>2.2358273381294964</v>
      </c>
      <c r="H12" s="146">
        <f t="shared" si="1"/>
        <v>2.219338061465721</v>
      </c>
      <c r="I12" s="146">
        <f t="shared" si="1"/>
        <v>2.2188314606741573</v>
      </c>
      <c r="J12" s="146">
        <f t="shared" si="1"/>
        <v>2.2261567164179104</v>
      </c>
      <c r="K12" s="146">
        <f t="shared" si="1"/>
        <v>2.2209897610921501</v>
      </c>
      <c r="L12" s="146">
        <f t="shared" si="1"/>
        <v>2.2136783439490446</v>
      </c>
      <c r="M12" s="146">
        <f t="shared" si="1"/>
        <v>2.2033432004178999</v>
      </c>
      <c r="N12" s="146">
        <f t="shared" si="1"/>
        <v>2.2102211690363349</v>
      </c>
      <c r="O12" s="146">
        <f t="shared" si="1"/>
        <v>2.2123856613102597</v>
      </c>
    </row>
    <row r="13" spans="1:16" ht="4" customHeight="1">
      <c r="B13" s="948"/>
      <c r="C13" s="1050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</row>
    <row r="14" spans="1:16" ht="11" customHeight="1">
      <c r="A14" s="141" t="s">
        <v>223</v>
      </c>
      <c r="B14" s="948" t="s">
        <v>116</v>
      </c>
      <c r="C14" s="378">
        <f>SUM(D14:O14)</f>
        <v>5973580</v>
      </c>
      <c r="D14" s="145">
        <v>456600</v>
      </c>
      <c r="E14" s="145">
        <v>428500</v>
      </c>
      <c r="F14" s="145">
        <v>477200</v>
      </c>
      <c r="G14" s="145">
        <v>451450</v>
      </c>
      <c r="H14" s="145">
        <v>507250</v>
      </c>
      <c r="I14" s="145">
        <v>489570</v>
      </c>
      <c r="J14" s="145">
        <v>492900</v>
      </c>
      <c r="K14" s="145">
        <v>521900</v>
      </c>
      <c r="L14" s="145">
        <v>516950</v>
      </c>
      <c r="M14" s="145">
        <v>513050</v>
      </c>
      <c r="N14" s="145">
        <v>538450</v>
      </c>
      <c r="O14" s="145">
        <v>579760</v>
      </c>
      <c r="P14" s="145"/>
    </row>
    <row r="15" spans="1:16" ht="11" customHeight="1">
      <c r="B15" s="948" t="s">
        <v>186</v>
      </c>
      <c r="C15" s="378">
        <f>SUM(D15:O15)</f>
        <v>11774506</v>
      </c>
      <c r="D15" s="145">
        <v>901248</v>
      </c>
      <c r="E15" s="145">
        <v>840372</v>
      </c>
      <c r="F15" s="145">
        <v>938429</v>
      </c>
      <c r="G15" s="145">
        <v>885435</v>
      </c>
      <c r="H15" s="145">
        <v>996494</v>
      </c>
      <c r="I15" s="145">
        <v>962704</v>
      </c>
      <c r="J15" s="145">
        <v>969384</v>
      </c>
      <c r="K15" s="145">
        <v>1027774</v>
      </c>
      <c r="L15" s="145">
        <v>1019168</v>
      </c>
      <c r="M15" s="145">
        <v>1019731</v>
      </c>
      <c r="N15" s="145">
        <v>1067465</v>
      </c>
      <c r="O15" s="145">
        <v>1146302</v>
      </c>
      <c r="P15" s="145"/>
    </row>
    <row r="16" spans="1:16" ht="11" customHeight="1">
      <c r="B16" s="948" t="s">
        <v>117</v>
      </c>
      <c r="C16" s="379">
        <f t="shared" ref="C16:O16" si="2">(C15/C14)</f>
        <v>1.971097064072131</v>
      </c>
      <c r="D16" s="146">
        <f t="shared" si="2"/>
        <v>1.9738239159001314</v>
      </c>
      <c r="E16" s="146">
        <f t="shared" si="2"/>
        <v>1.9611948658109686</v>
      </c>
      <c r="F16" s="146">
        <f t="shared" si="2"/>
        <v>1.9665318524727577</v>
      </c>
      <c r="G16" s="146">
        <f t="shared" si="2"/>
        <v>1.9613135452431056</v>
      </c>
      <c r="H16" s="146">
        <f t="shared" si="2"/>
        <v>1.9645027106949235</v>
      </c>
      <c r="I16" s="146">
        <f t="shared" si="2"/>
        <v>1.9664276814347283</v>
      </c>
      <c r="J16" s="146">
        <f t="shared" si="2"/>
        <v>1.9666950699939136</v>
      </c>
      <c r="K16" s="146">
        <f t="shared" si="2"/>
        <v>1.9692929680015328</v>
      </c>
      <c r="L16" s="146">
        <f t="shared" si="2"/>
        <v>1.9715020795047877</v>
      </c>
      <c r="M16" s="146">
        <f t="shared" si="2"/>
        <v>1.9875860052626451</v>
      </c>
      <c r="N16" s="146">
        <f t="shared" si="2"/>
        <v>1.9824774816603212</v>
      </c>
      <c r="O16" s="146">
        <f t="shared" si="2"/>
        <v>1.9772009107216779</v>
      </c>
    </row>
    <row r="17" spans="1:16" ht="4" customHeight="1">
      <c r="B17" s="948"/>
      <c r="C17" s="379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6" ht="11" customHeight="1">
      <c r="A18" s="141" t="s">
        <v>188</v>
      </c>
      <c r="B18" s="948" t="s">
        <v>116</v>
      </c>
      <c r="C18" s="378">
        <f>SUM(D18:O18)</f>
        <v>0</v>
      </c>
      <c r="D18" s="145">
        <v>0</v>
      </c>
      <c r="E18" s="145">
        <v>0</v>
      </c>
      <c r="F18" s="145">
        <v>0</v>
      </c>
      <c r="G18" s="145">
        <v>0</v>
      </c>
      <c r="H18" s="145">
        <v>0</v>
      </c>
      <c r="I18" s="145">
        <v>0</v>
      </c>
      <c r="J18" s="145">
        <v>0</v>
      </c>
      <c r="K18" s="145">
        <v>0</v>
      </c>
      <c r="L18" s="145">
        <v>0</v>
      </c>
      <c r="M18" s="145">
        <v>0</v>
      </c>
      <c r="N18" s="145">
        <v>0</v>
      </c>
      <c r="O18" s="145">
        <v>0</v>
      </c>
    </row>
    <row r="19" spans="1:16" ht="11" customHeight="1">
      <c r="B19" s="948" t="s">
        <v>186</v>
      </c>
      <c r="C19" s="378">
        <f>SUM(D19:O19)</f>
        <v>0</v>
      </c>
      <c r="D19" s="145">
        <v>0</v>
      </c>
      <c r="E19" s="145">
        <v>0</v>
      </c>
      <c r="F19" s="145">
        <v>0</v>
      </c>
      <c r="G19" s="145">
        <v>0</v>
      </c>
      <c r="H19" s="145">
        <v>0</v>
      </c>
      <c r="I19" s="145">
        <v>0</v>
      </c>
      <c r="J19" s="145">
        <v>0</v>
      </c>
      <c r="K19" s="145">
        <v>0</v>
      </c>
      <c r="L19" s="145">
        <v>0</v>
      </c>
      <c r="M19" s="145">
        <v>0</v>
      </c>
      <c r="N19" s="145">
        <v>0</v>
      </c>
      <c r="O19" s="145">
        <v>0</v>
      </c>
    </row>
    <row r="20" spans="1:16" ht="11" customHeight="1">
      <c r="B20" s="948" t="s">
        <v>117</v>
      </c>
      <c r="C20" s="379">
        <v>0</v>
      </c>
      <c r="D20" s="146">
        <v>0</v>
      </c>
      <c r="E20" s="146">
        <v>0</v>
      </c>
      <c r="F20" s="146">
        <v>0</v>
      </c>
      <c r="G20" s="146">
        <v>0</v>
      </c>
      <c r="H20" s="146">
        <v>0</v>
      </c>
      <c r="I20" s="146">
        <v>0</v>
      </c>
      <c r="J20" s="146">
        <v>0</v>
      </c>
      <c r="K20" s="146">
        <v>0</v>
      </c>
      <c r="L20" s="146">
        <v>0</v>
      </c>
      <c r="M20" s="146">
        <v>0</v>
      </c>
      <c r="N20" s="146">
        <v>0</v>
      </c>
      <c r="O20" s="146">
        <v>0</v>
      </c>
    </row>
    <row r="21" spans="1:16" ht="4" customHeight="1">
      <c r="B21" s="948"/>
      <c r="C21" s="379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6" ht="11" customHeight="1">
      <c r="A22" s="141" t="s">
        <v>189</v>
      </c>
      <c r="B22" s="948" t="s">
        <v>116</v>
      </c>
      <c r="C22" s="378">
        <f>SUM(D22:O22)</f>
        <v>0</v>
      </c>
      <c r="D22" s="145">
        <v>0</v>
      </c>
      <c r="E22" s="145">
        <v>0</v>
      </c>
      <c r="F22" s="145">
        <v>0</v>
      </c>
      <c r="G22" s="145">
        <v>0</v>
      </c>
      <c r="H22" s="145">
        <v>0</v>
      </c>
      <c r="I22" s="145">
        <v>0</v>
      </c>
      <c r="J22" s="145">
        <v>0</v>
      </c>
      <c r="K22" s="145">
        <v>0</v>
      </c>
      <c r="L22" s="145">
        <v>0</v>
      </c>
      <c r="M22" s="145">
        <v>0</v>
      </c>
      <c r="N22" s="145">
        <v>0</v>
      </c>
      <c r="O22" s="145">
        <v>0</v>
      </c>
      <c r="P22" s="145"/>
    </row>
    <row r="23" spans="1:16" ht="11" customHeight="1">
      <c r="B23" s="948" t="s">
        <v>186</v>
      </c>
      <c r="C23" s="378">
        <f>SUM(D23:O23)</f>
        <v>0</v>
      </c>
      <c r="D23" s="145">
        <v>0</v>
      </c>
      <c r="E23" s="145">
        <v>0</v>
      </c>
      <c r="F23" s="145">
        <v>0</v>
      </c>
      <c r="G23" s="145">
        <v>0</v>
      </c>
      <c r="H23" s="145">
        <v>0</v>
      </c>
      <c r="I23" s="145">
        <v>0</v>
      </c>
      <c r="J23" s="145">
        <v>0</v>
      </c>
      <c r="K23" s="145">
        <v>0</v>
      </c>
      <c r="L23" s="145">
        <v>0</v>
      </c>
      <c r="M23" s="145">
        <v>0</v>
      </c>
      <c r="N23" s="145">
        <v>0</v>
      </c>
      <c r="O23" s="145">
        <v>0</v>
      </c>
      <c r="P23" s="145"/>
    </row>
    <row r="24" spans="1:16" ht="11" customHeight="1">
      <c r="B24" s="948" t="s">
        <v>117</v>
      </c>
      <c r="C24" s="379">
        <v>0</v>
      </c>
      <c r="D24" s="146">
        <v>0</v>
      </c>
      <c r="E24" s="146">
        <v>0</v>
      </c>
      <c r="F24" s="146">
        <v>0</v>
      </c>
      <c r="G24" s="146">
        <v>0</v>
      </c>
      <c r="H24" s="146">
        <v>0</v>
      </c>
      <c r="I24" s="146">
        <v>0</v>
      </c>
      <c r="J24" s="146">
        <v>0</v>
      </c>
      <c r="K24" s="146">
        <v>0</v>
      </c>
      <c r="L24" s="146">
        <v>0</v>
      </c>
      <c r="M24" s="146">
        <v>0</v>
      </c>
      <c r="N24" s="146">
        <v>0</v>
      </c>
      <c r="O24" s="146">
        <v>0</v>
      </c>
    </row>
    <row r="25" spans="1:16" ht="4" customHeight="1">
      <c r="B25" s="948"/>
      <c r="C25" s="379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6" ht="11" customHeight="1">
      <c r="A26" s="141" t="s">
        <v>567</v>
      </c>
      <c r="B26" s="948" t="s">
        <v>116</v>
      </c>
      <c r="C26" s="378">
        <f>SUM(D26:O26)</f>
        <v>5011938</v>
      </c>
      <c r="D26" s="145">
        <v>354945</v>
      </c>
      <c r="E26" s="145">
        <v>344502</v>
      </c>
      <c r="F26" s="145">
        <v>340672</v>
      </c>
      <c r="G26" s="145">
        <v>313234</v>
      </c>
      <c r="H26" s="145">
        <v>379650</v>
      </c>
      <c r="I26" s="145">
        <v>326618</v>
      </c>
      <c r="J26" s="145">
        <v>338235</v>
      </c>
      <c r="K26" s="145">
        <v>461950</v>
      </c>
      <c r="L26" s="145">
        <v>501800</v>
      </c>
      <c r="M26" s="145">
        <v>526770</v>
      </c>
      <c r="N26" s="145">
        <v>568160</v>
      </c>
      <c r="O26" s="145">
        <v>555402</v>
      </c>
      <c r="P26" s="145"/>
    </row>
    <row r="27" spans="1:16" ht="11" customHeight="1">
      <c r="B27" s="948" t="s">
        <v>186</v>
      </c>
      <c r="C27" s="378">
        <f>SUM(D27:O27)</f>
        <v>22423480</v>
      </c>
      <c r="D27" s="145">
        <v>1578203</v>
      </c>
      <c r="E27" s="145">
        <v>1513557</v>
      </c>
      <c r="F27" s="145">
        <v>1485471</v>
      </c>
      <c r="G27" s="145">
        <v>1412693</v>
      </c>
      <c r="H27" s="145">
        <v>1707313</v>
      </c>
      <c r="I27" s="145">
        <v>1451604</v>
      </c>
      <c r="J27" s="145">
        <v>1513561</v>
      </c>
      <c r="K27" s="145">
        <v>2076798</v>
      </c>
      <c r="L27" s="145">
        <v>2282998</v>
      </c>
      <c r="M27" s="145">
        <v>2353613</v>
      </c>
      <c r="N27" s="145">
        <v>2546094</v>
      </c>
      <c r="O27" s="145">
        <v>2501575</v>
      </c>
      <c r="P27" s="145"/>
    </row>
    <row r="28" spans="1:16" ht="11" customHeight="1">
      <c r="B28" s="948" t="s">
        <v>117</v>
      </c>
      <c r="C28" s="379">
        <f t="shared" ref="C28:O28" si="3">(C27/C26)</f>
        <v>4.474013844544765</v>
      </c>
      <c r="D28" s="146">
        <f t="shared" si="3"/>
        <v>4.4463311217230839</v>
      </c>
      <c r="E28" s="146">
        <f t="shared" si="3"/>
        <v>4.393463608338994</v>
      </c>
      <c r="F28" s="146">
        <f t="shared" si="3"/>
        <v>4.3604141226751834</v>
      </c>
      <c r="G28" s="146">
        <f t="shared" si="3"/>
        <v>4.510024454561127</v>
      </c>
      <c r="H28" s="146">
        <f t="shared" si="3"/>
        <v>4.4970709864348741</v>
      </c>
      <c r="I28" s="146">
        <f t="shared" si="3"/>
        <v>4.4443478314116183</v>
      </c>
      <c r="J28" s="146">
        <f t="shared" si="3"/>
        <v>4.4748798911999055</v>
      </c>
      <c r="K28" s="146">
        <f t="shared" si="3"/>
        <v>4.4957203160515204</v>
      </c>
      <c r="L28" s="146">
        <f t="shared" si="3"/>
        <v>4.5496173774412112</v>
      </c>
      <c r="M28" s="146">
        <f t="shared" si="3"/>
        <v>4.468008808398352</v>
      </c>
      <c r="N28" s="146">
        <f t="shared" si="3"/>
        <v>4.4812975218248381</v>
      </c>
      <c r="O28" s="146">
        <f t="shared" si="3"/>
        <v>4.5040799276920138</v>
      </c>
    </row>
    <row r="29" spans="1:16" ht="4" customHeight="1">
      <c r="B29" s="948"/>
      <c r="C29" s="379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6" ht="11" customHeight="1">
      <c r="A30" s="141" t="s">
        <v>222</v>
      </c>
      <c r="B30" s="948" t="s">
        <v>116</v>
      </c>
      <c r="C30" s="378">
        <f>SUM(D30:O30)</f>
        <v>40600</v>
      </c>
      <c r="D30" s="145">
        <v>0</v>
      </c>
      <c r="E30" s="145">
        <v>0</v>
      </c>
      <c r="F30" s="145">
        <v>10500</v>
      </c>
      <c r="G30" s="145">
        <v>0</v>
      </c>
      <c r="H30" s="145">
        <v>1600</v>
      </c>
      <c r="I30" s="145">
        <v>0</v>
      </c>
      <c r="J30" s="145">
        <v>0</v>
      </c>
      <c r="K30" s="145">
        <v>1500</v>
      </c>
      <c r="L30" s="145">
        <v>1500</v>
      </c>
      <c r="M30" s="145">
        <v>2500</v>
      </c>
      <c r="N30" s="145">
        <v>23000</v>
      </c>
      <c r="O30" s="145">
        <v>0</v>
      </c>
    </row>
    <row r="31" spans="1:16" ht="11" customHeight="1">
      <c r="B31" s="948" t="s">
        <v>186</v>
      </c>
      <c r="C31" s="378">
        <f>SUM(D31:O31)</f>
        <v>94773</v>
      </c>
      <c r="D31" s="145">
        <v>0</v>
      </c>
      <c r="E31" s="145">
        <v>0</v>
      </c>
      <c r="F31" s="145">
        <v>23939</v>
      </c>
      <c r="G31" s="145">
        <v>0</v>
      </c>
      <c r="H31" s="145">
        <v>4183</v>
      </c>
      <c r="I31" s="145">
        <v>0</v>
      </c>
      <c r="J31" s="145">
        <v>0</v>
      </c>
      <c r="K31" s="145">
        <v>3574</v>
      </c>
      <c r="L31" s="145">
        <v>3465</v>
      </c>
      <c r="M31" s="145">
        <v>5963</v>
      </c>
      <c r="N31" s="145">
        <v>53649</v>
      </c>
      <c r="O31" s="145">
        <v>0</v>
      </c>
    </row>
    <row r="32" spans="1:16" ht="11" customHeight="1">
      <c r="B32" s="948" t="s">
        <v>117</v>
      </c>
      <c r="C32" s="379">
        <f>(C31/C30)</f>
        <v>2.3343103448275864</v>
      </c>
      <c r="D32" s="146">
        <v>0</v>
      </c>
      <c r="E32" s="146">
        <v>0</v>
      </c>
      <c r="F32" s="146">
        <f>(F31/F30)</f>
        <v>2.2799047619047621</v>
      </c>
      <c r="G32" s="146">
        <v>0</v>
      </c>
      <c r="H32" s="146">
        <f>(H31/H30)</f>
        <v>2.6143749999999999</v>
      </c>
      <c r="I32" s="146">
        <v>0</v>
      </c>
      <c r="J32" s="146">
        <v>0</v>
      </c>
      <c r="K32" s="146">
        <f>(K31/K30)</f>
        <v>2.3826666666666667</v>
      </c>
      <c r="L32" s="146">
        <f>(L31/L30)</f>
        <v>2.31</v>
      </c>
      <c r="M32" s="146">
        <v>0</v>
      </c>
      <c r="N32" s="146">
        <f>(N31/N30)</f>
        <v>2.3325652173913043</v>
      </c>
      <c r="O32" s="146">
        <v>0</v>
      </c>
    </row>
    <row r="33" spans="1:19" ht="4" customHeight="1">
      <c r="B33" s="948"/>
      <c r="C33" s="379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9" ht="11" customHeight="1">
      <c r="A34" s="141" t="s">
        <v>124</v>
      </c>
      <c r="B34" s="948" t="s">
        <v>116</v>
      </c>
      <c r="C34" s="378">
        <f>SUM(D34:O34)</f>
        <v>171460</v>
      </c>
      <c r="D34" s="145">
        <v>0</v>
      </c>
      <c r="E34" s="145">
        <v>0</v>
      </c>
      <c r="F34" s="145">
        <v>0</v>
      </c>
      <c r="G34" s="145">
        <v>0</v>
      </c>
      <c r="H34" s="145">
        <v>0</v>
      </c>
      <c r="I34" s="145">
        <v>0</v>
      </c>
      <c r="J34" s="145">
        <v>0</v>
      </c>
      <c r="K34" s="145">
        <v>0</v>
      </c>
      <c r="L34" s="145">
        <v>0</v>
      </c>
      <c r="M34" s="145">
        <v>0</v>
      </c>
      <c r="N34" s="145">
        <v>0</v>
      </c>
      <c r="O34" s="145">
        <v>171460</v>
      </c>
    </row>
    <row r="35" spans="1:19" ht="11" customHeight="1">
      <c r="B35" s="948" t="s">
        <v>186</v>
      </c>
      <c r="C35" s="378">
        <f>SUM(D35:O35)</f>
        <v>1447520</v>
      </c>
      <c r="D35" s="145">
        <v>0</v>
      </c>
      <c r="E35" s="145">
        <v>0</v>
      </c>
      <c r="F35" s="145">
        <v>0</v>
      </c>
      <c r="G35" s="145">
        <v>0</v>
      </c>
      <c r="H35" s="145">
        <v>0</v>
      </c>
      <c r="I35" s="145">
        <v>0</v>
      </c>
      <c r="J35" s="145">
        <v>0</v>
      </c>
      <c r="K35" s="145">
        <v>0</v>
      </c>
      <c r="L35" s="145">
        <v>0</v>
      </c>
      <c r="M35" s="145">
        <v>0</v>
      </c>
      <c r="N35" s="145">
        <v>0</v>
      </c>
      <c r="O35" s="145">
        <v>1447520</v>
      </c>
    </row>
    <row r="36" spans="1:19" ht="11" customHeight="1">
      <c r="B36" s="948" t="s">
        <v>117</v>
      </c>
      <c r="C36" s="379">
        <f>(C35/C34)</f>
        <v>8.4423189082001642</v>
      </c>
      <c r="D36" s="146">
        <v>0</v>
      </c>
      <c r="E36" s="146">
        <v>0</v>
      </c>
      <c r="F36" s="146">
        <v>0</v>
      </c>
      <c r="G36" s="146">
        <v>0</v>
      </c>
      <c r="H36" s="146">
        <v>0</v>
      </c>
      <c r="I36" s="146">
        <v>0</v>
      </c>
      <c r="J36" s="146">
        <v>0</v>
      </c>
      <c r="K36" s="146">
        <v>0</v>
      </c>
      <c r="L36" s="146">
        <v>0</v>
      </c>
      <c r="M36" s="146">
        <v>0</v>
      </c>
      <c r="N36" s="146">
        <v>0</v>
      </c>
      <c r="O36" s="146">
        <f>(O35/O34)</f>
        <v>8.4423189082001642</v>
      </c>
    </row>
    <row r="37" spans="1:19" ht="4" customHeight="1">
      <c r="B37" s="948"/>
      <c r="C37" s="379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9" ht="11" customHeight="1">
      <c r="A38" s="141" t="s">
        <v>190</v>
      </c>
      <c r="B38" s="948" t="s">
        <v>116</v>
      </c>
      <c r="C38" s="378">
        <f>SUM(D38:O38)</f>
        <v>9706</v>
      </c>
      <c r="D38" s="145">
        <v>670</v>
      </c>
      <c r="E38" s="145">
        <v>840</v>
      </c>
      <c r="F38" s="145">
        <v>1030</v>
      </c>
      <c r="G38" s="145">
        <v>677</v>
      </c>
      <c r="H38" s="145">
        <v>610</v>
      </c>
      <c r="I38" s="145">
        <v>515</v>
      </c>
      <c r="J38" s="145">
        <v>499</v>
      </c>
      <c r="K38" s="145">
        <v>1090</v>
      </c>
      <c r="L38" s="145">
        <v>8</v>
      </c>
      <c r="M38" s="145">
        <v>1005</v>
      </c>
      <c r="N38" s="145">
        <v>1149</v>
      </c>
      <c r="O38" s="145">
        <v>1613</v>
      </c>
      <c r="P38" s="145"/>
    </row>
    <row r="39" spans="1:19" ht="11" customHeight="1">
      <c r="B39" s="948" t="s">
        <v>186</v>
      </c>
      <c r="C39" s="378">
        <f>SUM(D39:O39)</f>
        <v>30048</v>
      </c>
      <c r="D39" s="145">
        <v>1833</v>
      </c>
      <c r="E39" s="145">
        <v>2456</v>
      </c>
      <c r="F39" s="145">
        <v>3277</v>
      </c>
      <c r="G39" s="145">
        <v>2154</v>
      </c>
      <c r="H39" s="145">
        <v>1900</v>
      </c>
      <c r="I39" s="145">
        <v>1627</v>
      </c>
      <c r="J39" s="145">
        <v>1557</v>
      </c>
      <c r="K39" s="145">
        <v>3450</v>
      </c>
      <c r="L39" s="145">
        <v>26</v>
      </c>
      <c r="M39" s="145">
        <v>3144</v>
      </c>
      <c r="N39" s="145">
        <v>3569</v>
      </c>
      <c r="O39" s="145">
        <v>5055</v>
      </c>
      <c r="P39" s="145"/>
    </row>
    <row r="40" spans="1:19" ht="11" customHeight="1">
      <c r="B40" s="948" t="s">
        <v>117</v>
      </c>
      <c r="C40" s="379">
        <f t="shared" ref="C40:O40" si="4">(C39/C38)</f>
        <v>3.0958170203997528</v>
      </c>
      <c r="D40" s="146">
        <f t="shared" si="4"/>
        <v>2.7358208955223882</v>
      </c>
      <c r="E40" s="146">
        <f t="shared" si="4"/>
        <v>2.9238095238095236</v>
      </c>
      <c r="F40" s="146">
        <f t="shared" si="4"/>
        <v>3.1815533980582522</v>
      </c>
      <c r="G40" s="146">
        <f t="shared" si="4"/>
        <v>3.1816838995568686</v>
      </c>
      <c r="H40" s="146">
        <f t="shared" si="4"/>
        <v>3.1147540983606556</v>
      </c>
      <c r="I40" s="146">
        <f t="shared" si="4"/>
        <v>3.1592233009708739</v>
      </c>
      <c r="J40" s="146">
        <f t="shared" si="4"/>
        <v>3.120240480961924</v>
      </c>
      <c r="K40" s="146">
        <f t="shared" si="4"/>
        <v>3.165137614678899</v>
      </c>
      <c r="L40" s="146">
        <f t="shared" si="4"/>
        <v>3.25</v>
      </c>
      <c r="M40" s="146">
        <f t="shared" si="4"/>
        <v>3.1283582089552238</v>
      </c>
      <c r="N40" s="146">
        <f t="shared" si="4"/>
        <v>3.1061792863359443</v>
      </c>
      <c r="O40" s="146">
        <f t="shared" si="4"/>
        <v>3.133911965282083</v>
      </c>
    </row>
    <row r="41" spans="1:19" ht="4" customHeight="1">
      <c r="B41" s="948"/>
      <c r="C41" s="1050"/>
    </row>
    <row r="42" spans="1:19" ht="11" customHeight="1">
      <c r="A42" s="141" t="s">
        <v>191</v>
      </c>
      <c r="B42" s="948" t="s">
        <v>116</v>
      </c>
      <c r="C42" s="378">
        <f>SUM(D42:O42)</f>
        <v>528550</v>
      </c>
      <c r="D42" s="145">
        <v>41350</v>
      </c>
      <c r="E42" s="145">
        <v>38000</v>
      </c>
      <c r="F42" s="145">
        <v>47950</v>
      </c>
      <c r="G42" s="145">
        <v>39500</v>
      </c>
      <c r="H42" s="145">
        <v>41250</v>
      </c>
      <c r="I42" s="145">
        <v>39700</v>
      </c>
      <c r="J42" s="145">
        <v>42350</v>
      </c>
      <c r="K42" s="145">
        <v>44200</v>
      </c>
      <c r="L42" s="145">
        <v>45900</v>
      </c>
      <c r="M42" s="145">
        <v>41100</v>
      </c>
      <c r="N42" s="145">
        <v>58550</v>
      </c>
      <c r="O42" s="145">
        <v>48700</v>
      </c>
    </row>
    <row r="43" spans="1:19" ht="11" customHeight="1">
      <c r="B43" s="948" t="s">
        <v>186</v>
      </c>
      <c r="C43" s="378">
        <f>SUM(D43:O43)</f>
        <v>2754979</v>
      </c>
      <c r="D43" s="145">
        <v>218539</v>
      </c>
      <c r="E43" s="145">
        <v>200308</v>
      </c>
      <c r="F43" s="145">
        <v>243335</v>
      </c>
      <c r="G43" s="145">
        <v>209201</v>
      </c>
      <c r="H43" s="145">
        <v>217048</v>
      </c>
      <c r="I43" s="145">
        <v>209080</v>
      </c>
      <c r="J43" s="145">
        <v>223206</v>
      </c>
      <c r="K43" s="145">
        <v>234485</v>
      </c>
      <c r="L43" s="145">
        <v>243092</v>
      </c>
      <c r="M43" s="145">
        <v>214310</v>
      </c>
      <c r="N43" s="145">
        <v>284145</v>
      </c>
      <c r="O43" s="145">
        <v>258230</v>
      </c>
    </row>
    <row r="44" spans="1:19" ht="11" customHeight="1" thickBot="1">
      <c r="A44" s="142"/>
      <c r="B44" s="1052" t="s">
        <v>117</v>
      </c>
      <c r="C44" s="1051">
        <f t="shared" ref="C44:O44" si="5">(C43/C42)</f>
        <v>5.2123337432598618</v>
      </c>
      <c r="D44" s="148">
        <f t="shared" si="5"/>
        <v>5.2851027811366382</v>
      </c>
      <c r="E44" s="148">
        <f t="shared" si="5"/>
        <v>5.2712631578947367</v>
      </c>
      <c r="F44" s="148">
        <f t="shared" si="5"/>
        <v>5.0747653806047968</v>
      </c>
      <c r="G44" s="148">
        <f t="shared" si="5"/>
        <v>5.2962278481012657</v>
      </c>
      <c r="H44" s="148">
        <f t="shared" si="5"/>
        <v>5.2617696969696972</v>
      </c>
      <c r="I44" s="148">
        <f t="shared" si="5"/>
        <v>5.2664987405541561</v>
      </c>
      <c r="J44" s="148">
        <f t="shared" si="5"/>
        <v>5.2705076741440378</v>
      </c>
      <c r="K44" s="148">
        <f t="shared" si="5"/>
        <v>5.3050904977375568</v>
      </c>
      <c r="L44" s="148">
        <f t="shared" si="5"/>
        <v>5.2961220043572981</v>
      </c>
      <c r="M44" s="148">
        <f t="shared" si="5"/>
        <v>5.2143552311435526</v>
      </c>
      <c r="N44" s="148">
        <f t="shared" si="5"/>
        <v>4.853031596925705</v>
      </c>
      <c r="O44" s="148">
        <f t="shared" si="5"/>
        <v>5.3024640657084188</v>
      </c>
    </row>
    <row r="45" spans="1:19" ht="10" customHeight="1">
      <c r="A45" s="28" t="s">
        <v>238</v>
      </c>
      <c r="B45" s="365"/>
      <c r="C45" s="365"/>
      <c r="D45" s="365"/>
      <c r="E45" s="365"/>
      <c r="F45" s="365"/>
      <c r="G45" s="365"/>
      <c r="H45" s="365"/>
      <c r="I45" s="365"/>
      <c r="J45" s="365"/>
      <c r="K45" s="365"/>
      <c r="L45" s="365"/>
      <c r="M45" s="365"/>
      <c r="N45" s="365"/>
      <c r="O45" s="365"/>
      <c r="P45" s="365"/>
      <c r="Q45" s="365"/>
      <c r="R45" s="365"/>
      <c r="S45" s="365"/>
    </row>
    <row r="46" spans="1:19" ht="10" customHeight="1">
      <c r="A46" s="982" t="s">
        <v>196</v>
      </c>
      <c r="B46" s="365"/>
      <c r="C46" s="365"/>
      <c r="D46" s="365"/>
      <c r="E46" s="365"/>
      <c r="F46" s="365"/>
      <c r="G46" s="365"/>
      <c r="H46" s="365"/>
      <c r="I46" s="365"/>
      <c r="J46" s="365"/>
      <c r="K46" s="365"/>
      <c r="L46" s="365"/>
      <c r="M46" s="365"/>
      <c r="N46" s="365"/>
      <c r="O46" s="365"/>
      <c r="P46" s="365"/>
      <c r="Q46" s="365"/>
      <c r="R46" s="365"/>
      <c r="S46" s="365"/>
    </row>
    <row r="47" spans="1:19" ht="10" customHeight="1">
      <c r="A47" s="40" t="s">
        <v>261</v>
      </c>
      <c r="B47" s="365"/>
      <c r="C47" s="365"/>
      <c r="D47" s="365"/>
      <c r="E47" s="365"/>
      <c r="F47" s="365"/>
      <c r="G47" s="365"/>
      <c r="H47" s="365"/>
      <c r="I47" s="365"/>
      <c r="J47" s="365"/>
      <c r="K47" s="365"/>
      <c r="L47" s="365"/>
      <c r="M47" s="365"/>
      <c r="N47" s="365"/>
      <c r="O47" s="365"/>
      <c r="P47" s="365"/>
      <c r="Q47" s="365"/>
      <c r="R47" s="365"/>
      <c r="S47" s="365"/>
    </row>
    <row r="48" spans="1:19" ht="10" customHeight="1">
      <c r="A48" s="365"/>
      <c r="B48" s="365"/>
      <c r="C48" s="365"/>
      <c r="D48" s="365"/>
      <c r="E48" s="365"/>
      <c r="F48" s="365"/>
      <c r="G48" s="365"/>
      <c r="H48" s="365"/>
      <c r="I48" s="365"/>
      <c r="J48" s="365"/>
      <c r="K48" s="365"/>
      <c r="L48" s="365"/>
      <c r="M48" s="365"/>
      <c r="N48" s="365"/>
      <c r="O48" s="365"/>
      <c r="P48" s="365"/>
      <c r="Q48" s="365"/>
      <c r="R48" s="365"/>
      <c r="S48" s="365"/>
    </row>
    <row r="50" spans="1:1" ht="13" customHeight="1">
      <c r="A50" s="10"/>
    </row>
    <row r="51" spans="1:1" ht="13" customHeight="1">
      <c r="A51" s="149"/>
    </row>
    <row r="52" spans="1:1" ht="13" customHeight="1">
      <c r="A52" s="12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4C43-BA7C-BA44-AF6A-17AB58FBE83C}">
  <dimension ref="A1:B10"/>
  <sheetViews>
    <sheetView topLeftCell="A5" zoomScale="131" zoomScaleNormal="131" workbookViewId="0">
      <selection activeCell="L18" sqref="L18"/>
    </sheetView>
  </sheetViews>
  <sheetFormatPr baseColWidth="10" defaultRowHeight="12"/>
  <sheetData>
    <row r="1" spans="1:2">
      <c r="A1" t="s">
        <v>613</v>
      </c>
    </row>
    <row r="3" spans="1:2">
      <c r="A3" t="s">
        <v>614</v>
      </c>
      <c r="B3">
        <v>2.4</v>
      </c>
    </row>
    <row r="4" spans="1:2">
      <c r="A4" t="s">
        <v>282</v>
      </c>
      <c r="B4">
        <v>5.3</v>
      </c>
    </row>
    <row r="5" spans="1:2">
      <c r="A5" t="s">
        <v>615</v>
      </c>
      <c r="B5">
        <v>6.1</v>
      </c>
    </row>
    <row r="6" spans="1:2">
      <c r="A6" t="s">
        <v>16</v>
      </c>
      <c r="B6">
        <v>3.5</v>
      </c>
    </row>
    <row r="7" spans="1:2">
      <c r="A7" t="s">
        <v>129</v>
      </c>
      <c r="B7">
        <v>14.4</v>
      </c>
    </row>
    <row r="8" spans="1:2">
      <c r="A8" t="s">
        <v>616</v>
      </c>
      <c r="B8">
        <v>15.5</v>
      </c>
    </row>
    <row r="9" spans="1:2">
      <c r="A9" t="s">
        <v>617</v>
      </c>
      <c r="B9">
        <v>36.299999999999997</v>
      </c>
    </row>
    <row r="10" spans="1:2">
      <c r="A10" t="s">
        <v>618</v>
      </c>
      <c r="B10">
        <v>19</v>
      </c>
    </row>
  </sheetData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B12F-652B-F44D-AFD0-A4AEB9E23166}">
  <dimension ref="A1:B10"/>
  <sheetViews>
    <sheetView zoomScale="131" zoomScaleNormal="131" workbookViewId="0">
      <selection activeCell="L16" sqref="L16"/>
    </sheetView>
  </sheetViews>
  <sheetFormatPr baseColWidth="10" defaultRowHeight="12"/>
  <sheetData>
    <row r="1" spans="1:2">
      <c r="A1" t="s">
        <v>619</v>
      </c>
    </row>
    <row r="3" spans="1:2">
      <c r="A3" t="s">
        <v>614</v>
      </c>
      <c r="B3">
        <v>2.1</v>
      </c>
    </row>
    <row r="4" spans="1:2">
      <c r="A4" t="s">
        <v>282</v>
      </c>
      <c r="B4">
        <v>5.3</v>
      </c>
    </row>
    <row r="5" spans="1:2">
      <c r="A5" t="s">
        <v>615</v>
      </c>
      <c r="B5">
        <v>5.6</v>
      </c>
    </row>
    <row r="6" spans="1:2">
      <c r="A6" t="s">
        <v>16</v>
      </c>
      <c r="B6">
        <v>3.3</v>
      </c>
    </row>
    <row r="7" spans="1:2">
      <c r="A7" t="s">
        <v>129</v>
      </c>
      <c r="B7">
        <v>16.5</v>
      </c>
    </row>
    <row r="8" spans="1:2">
      <c r="A8" t="s">
        <v>616</v>
      </c>
      <c r="B8">
        <v>17.7</v>
      </c>
    </row>
    <row r="9" spans="1:2">
      <c r="A9" t="s">
        <v>617</v>
      </c>
      <c r="B9">
        <v>37.1</v>
      </c>
    </row>
    <row r="10" spans="1:2">
      <c r="A10" t="s">
        <v>618</v>
      </c>
      <c r="B10">
        <v>21.1</v>
      </c>
    </row>
  </sheetData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A4AC-9075-CF4C-AC52-596BC57EB6F4}">
  <dimension ref="A1:B10"/>
  <sheetViews>
    <sheetView zoomScale="131" zoomScaleNormal="131" workbookViewId="0">
      <selection activeCell="B11" sqref="B11"/>
    </sheetView>
  </sheetViews>
  <sheetFormatPr baseColWidth="10" defaultRowHeight="12"/>
  <sheetData>
    <row r="1" spans="1:2">
      <c r="A1" t="s">
        <v>620</v>
      </c>
    </row>
    <row r="3" spans="1:2">
      <c r="A3" t="s">
        <v>614</v>
      </c>
      <c r="B3">
        <v>2.1</v>
      </c>
    </row>
    <row r="4" spans="1:2">
      <c r="A4" t="s">
        <v>282</v>
      </c>
      <c r="B4">
        <v>5</v>
      </c>
    </row>
    <row r="5" spans="1:2">
      <c r="A5" t="s">
        <v>615</v>
      </c>
      <c r="B5">
        <v>5.3</v>
      </c>
    </row>
    <row r="6" spans="1:2">
      <c r="A6" t="s">
        <v>16</v>
      </c>
      <c r="B6">
        <v>3.7</v>
      </c>
    </row>
    <row r="7" spans="1:2">
      <c r="A7" t="s">
        <v>129</v>
      </c>
      <c r="B7">
        <v>19.100000000000001</v>
      </c>
    </row>
    <row r="8" spans="1:2">
      <c r="A8" t="s">
        <v>616</v>
      </c>
      <c r="B8">
        <v>20.5</v>
      </c>
    </row>
    <row r="9" spans="1:2">
      <c r="A9" t="s">
        <v>617</v>
      </c>
      <c r="B9">
        <v>39.1</v>
      </c>
    </row>
    <row r="10" spans="1:2">
      <c r="A10" t="s">
        <v>618</v>
      </c>
      <c r="B10">
        <v>24.2</v>
      </c>
    </row>
  </sheetData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1FB0-18B3-7D45-B9AF-9E407D558F78}">
  <dimension ref="A1:B10"/>
  <sheetViews>
    <sheetView tabSelected="1" zoomScale="131" zoomScaleNormal="131" workbookViewId="0">
      <selection activeCell="B45" sqref="B45"/>
    </sheetView>
  </sheetViews>
  <sheetFormatPr baseColWidth="10" defaultRowHeight="12"/>
  <sheetData>
    <row r="1" spans="1:2">
      <c r="A1" t="s">
        <v>621</v>
      </c>
    </row>
    <row r="3" spans="1:2">
      <c r="A3" t="s">
        <v>614</v>
      </c>
      <c r="B3">
        <v>2.2000000000000002</v>
      </c>
    </row>
    <row r="4" spans="1:2">
      <c r="A4" t="s">
        <v>282</v>
      </c>
      <c r="B4">
        <v>4.7</v>
      </c>
    </row>
    <row r="5" spans="1:2">
      <c r="A5" t="s">
        <v>615</v>
      </c>
      <c r="B5">
        <v>4.4000000000000004</v>
      </c>
    </row>
    <row r="6" spans="1:2">
      <c r="A6" t="s">
        <v>16</v>
      </c>
      <c r="B6">
        <v>4</v>
      </c>
    </row>
    <row r="7" spans="1:2">
      <c r="A7" t="s">
        <v>129</v>
      </c>
      <c r="B7">
        <v>20.3</v>
      </c>
    </row>
    <row r="8" spans="1:2">
      <c r="A8" t="s">
        <v>616</v>
      </c>
      <c r="B8">
        <v>21.7</v>
      </c>
    </row>
    <row r="9" spans="1:2">
      <c r="A9" t="s">
        <v>617</v>
      </c>
      <c r="B9">
        <v>39.4</v>
      </c>
    </row>
    <row r="10" spans="1:2">
      <c r="A10" t="s">
        <v>618</v>
      </c>
      <c r="B10">
        <v>25.8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139</vt:i4>
      </vt:variant>
      <vt:variant>
        <vt:lpstr>Rangos con nombre</vt:lpstr>
      </vt:variant>
      <vt:variant>
        <vt:i4>132</vt:i4>
      </vt:variant>
    </vt:vector>
  </HeadingPairs>
  <TitlesOfParts>
    <vt:vector size="271" baseType="lpstr">
      <vt:lpstr>1. INDICADORES ECONÓMICOS</vt:lpstr>
      <vt:lpstr>C 1 - C 2 - C 3</vt:lpstr>
      <vt:lpstr>2. POBLACION Y ...</vt:lpstr>
      <vt:lpstr>C-4</vt:lpstr>
      <vt:lpstr>C 5</vt:lpstr>
      <vt:lpstr>C -6</vt:lpstr>
      <vt:lpstr>C 7</vt:lpstr>
      <vt:lpstr>C 8</vt:lpstr>
      <vt:lpstr>C 9</vt:lpstr>
      <vt:lpstr>C 10</vt:lpstr>
      <vt:lpstr>C 11</vt:lpstr>
      <vt:lpstr>C 12</vt:lpstr>
      <vt:lpstr>C 13</vt:lpstr>
      <vt:lpstr>C 14</vt:lpstr>
      <vt:lpstr>C 15</vt:lpstr>
      <vt:lpstr>C 16</vt:lpstr>
      <vt:lpstr>C 17</vt:lpstr>
      <vt:lpstr>C 18</vt:lpstr>
      <vt:lpstr>C 19</vt:lpstr>
      <vt:lpstr>C 20</vt:lpstr>
      <vt:lpstr>C 21</vt:lpstr>
      <vt:lpstr>C 22</vt:lpstr>
      <vt:lpstr>C 23</vt:lpstr>
      <vt:lpstr>C 24</vt:lpstr>
      <vt:lpstr>C 25</vt:lpstr>
      <vt:lpstr>C 26</vt:lpstr>
      <vt:lpstr>C 27</vt:lpstr>
      <vt:lpstr>C 28</vt:lpstr>
      <vt:lpstr>C 29</vt:lpstr>
      <vt:lpstr>C 30</vt:lpstr>
      <vt:lpstr>C 31</vt:lpstr>
      <vt:lpstr>C 32</vt:lpstr>
      <vt:lpstr>C 33</vt:lpstr>
      <vt:lpstr>C 34</vt:lpstr>
      <vt:lpstr>C 35</vt:lpstr>
      <vt:lpstr>C 36</vt:lpstr>
      <vt:lpstr>C 37</vt:lpstr>
      <vt:lpstr>C 38</vt:lpstr>
      <vt:lpstr>C 39</vt:lpstr>
      <vt:lpstr>C 40</vt:lpstr>
      <vt:lpstr>C 41</vt:lpstr>
      <vt:lpstr>C 42</vt:lpstr>
      <vt:lpstr>C 43</vt:lpstr>
      <vt:lpstr>C 44</vt:lpstr>
      <vt:lpstr>C 45</vt:lpstr>
      <vt:lpstr>C 46</vt:lpstr>
      <vt:lpstr>C 47</vt:lpstr>
      <vt:lpstr>C 48</vt:lpstr>
      <vt:lpstr>C 49</vt:lpstr>
      <vt:lpstr>C-50</vt:lpstr>
      <vt:lpstr>C-51</vt:lpstr>
      <vt:lpstr>C-52</vt:lpstr>
      <vt:lpstr>C-53</vt:lpstr>
      <vt:lpstr>C-54</vt:lpstr>
      <vt:lpstr>C-55</vt:lpstr>
      <vt:lpstr>C-56</vt:lpstr>
      <vt:lpstr>C-57</vt:lpstr>
      <vt:lpstr>C-58</vt:lpstr>
      <vt:lpstr>C-59</vt:lpstr>
      <vt:lpstr>C-60</vt:lpstr>
      <vt:lpstr>C-61</vt:lpstr>
      <vt:lpstr>C-62</vt:lpstr>
      <vt:lpstr>C-63</vt:lpstr>
      <vt:lpstr>C-64</vt:lpstr>
      <vt:lpstr>C-65</vt:lpstr>
      <vt:lpstr>C-66</vt:lpstr>
      <vt:lpstr>C-67</vt:lpstr>
      <vt:lpstr>C-68</vt:lpstr>
      <vt:lpstr>C-69</vt:lpstr>
      <vt:lpstr>C-70</vt:lpstr>
      <vt:lpstr>C-71</vt:lpstr>
      <vt:lpstr>C-72</vt:lpstr>
      <vt:lpstr>C-73</vt:lpstr>
      <vt:lpstr>C-74</vt:lpstr>
      <vt:lpstr>C-75</vt:lpstr>
      <vt:lpstr>C-76</vt:lpstr>
      <vt:lpstr>C-77</vt:lpstr>
      <vt:lpstr>C-78</vt:lpstr>
      <vt:lpstr>C-79</vt:lpstr>
      <vt:lpstr>C-80</vt:lpstr>
      <vt:lpstr>C-81</vt:lpstr>
      <vt:lpstr>C-82</vt:lpstr>
      <vt:lpstr>C-83</vt:lpstr>
      <vt:lpstr>C-84</vt:lpstr>
      <vt:lpstr>C-85</vt:lpstr>
      <vt:lpstr>3. BENEFICIO DE ...</vt:lpstr>
      <vt:lpstr>C 86-C87</vt:lpstr>
      <vt:lpstr>C-88</vt:lpstr>
      <vt:lpstr>C-89</vt:lpstr>
      <vt:lpstr>C 90</vt:lpstr>
      <vt:lpstr>C 91 - 99</vt:lpstr>
      <vt:lpstr>4. ABASTECIMIENTO Y ...</vt:lpstr>
      <vt:lpstr>C 100 - 101</vt:lpstr>
      <vt:lpstr>C 102 - 103</vt:lpstr>
      <vt:lpstr>C 104-105</vt:lpstr>
      <vt:lpstr>C 106 - 107</vt:lpstr>
      <vt:lpstr>C 108 - 109 </vt:lpstr>
      <vt:lpstr>5. PRECIOS AL...</vt:lpstr>
      <vt:lpstr>C 110 _ 111</vt:lpstr>
      <vt:lpstr>C-112</vt:lpstr>
      <vt:lpstr>C-113</vt:lpstr>
      <vt:lpstr>C-114</vt:lpstr>
      <vt:lpstr>C-115</vt:lpstr>
      <vt:lpstr>C-116</vt:lpstr>
      <vt:lpstr>C-117</vt:lpstr>
      <vt:lpstr>C-118</vt:lpstr>
      <vt:lpstr>C-119</vt:lpstr>
      <vt:lpstr>C-120</vt:lpstr>
      <vt:lpstr>C-121</vt:lpstr>
      <vt:lpstr>C_122</vt:lpstr>
      <vt:lpstr>C-123</vt:lpstr>
      <vt:lpstr>C-124</vt:lpstr>
      <vt:lpstr>6. ESTADÍSTICA AVÍCOLA</vt:lpstr>
      <vt:lpstr>C-125</vt:lpstr>
      <vt:lpstr>C-126</vt:lpstr>
      <vt:lpstr>C 127 - 128</vt:lpstr>
      <vt:lpstr>C 129 - 130</vt:lpstr>
      <vt:lpstr>C 131 - 132</vt:lpstr>
      <vt:lpstr>C 133 - 134</vt:lpstr>
      <vt:lpstr>C 135 </vt:lpstr>
      <vt:lpstr>C-136-137</vt:lpstr>
      <vt:lpstr>C 138 - 139</vt:lpstr>
      <vt:lpstr>C 140 - 141 </vt:lpstr>
      <vt:lpstr>C 142 - C 143</vt:lpstr>
      <vt:lpstr>C 144</vt:lpstr>
      <vt:lpstr>C 145</vt:lpstr>
      <vt:lpstr>C 146</vt:lpstr>
      <vt:lpstr>C-147</vt:lpstr>
      <vt:lpstr>C-148</vt:lpstr>
      <vt:lpstr>C-149</vt:lpstr>
      <vt:lpstr>C-150</vt:lpstr>
      <vt:lpstr>C-151</vt:lpstr>
      <vt:lpstr>C-152</vt:lpstr>
      <vt:lpstr>C-153</vt:lpstr>
      <vt:lpstr>C 154</vt:lpstr>
      <vt:lpstr>G1</vt:lpstr>
      <vt:lpstr>G2</vt:lpstr>
      <vt:lpstr>G3</vt:lpstr>
      <vt:lpstr>G4</vt:lpstr>
      <vt:lpstr>'C 5'!\x</vt:lpstr>
      <vt:lpstr>'C 5'!A</vt:lpstr>
      <vt:lpstr>'C 100 - 101'!A_impresión_IM</vt:lpstr>
      <vt:lpstr>'C 102 - 103'!A_impresión_IM</vt:lpstr>
      <vt:lpstr>'C 104-105'!A_impresión_IM</vt:lpstr>
      <vt:lpstr>'C 106 - 107'!A_impresión_IM</vt:lpstr>
      <vt:lpstr>'C 90'!A_impresión_IM</vt:lpstr>
      <vt:lpstr>'C 91 - 99'!A_IMPRESIÓN_IM</vt:lpstr>
      <vt:lpstr>'C-88'!A_impresión_IM</vt:lpstr>
      <vt:lpstr>'C-89'!A_impresión_IM</vt:lpstr>
      <vt:lpstr>'C -6'!Área_de_impresión</vt:lpstr>
      <vt:lpstr>'C 1 - C 2 - C 3'!Área_de_impresión</vt:lpstr>
      <vt:lpstr>'C 10'!Área_de_impresión</vt:lpstr>
      <vt:lpstr>'C 100 - 101'!Área_de_impresión</vt:lpstr>
      <vt:lpstr>'C 102 - 103'!Área_de_impresión</vt:lpstr>
      <vt:lpstr>'C 104-105'!Área_de_impresión</vt:lpstr>
      <vt:lpstr>'C 106 - 107'!Área_de_impresión</vt:lpstr>
      <vt:lpstr>'C 108 - 109 '!Área_de_impresión</vt:lpstr>
      <vt:lpstr>'C 11'!Área_de_impresión</vt:lpstr>
      <vt:lpstr>'C 110 _ 111'!Área_de_impresión</vt:lpstr>
      <vt:lpstr>'C 12'!Área_de_impresión</vt:lpstr>
      <vt:lpstr>'C 127 - 128'!Área_de_impresión</vt:lpstr>
      <vt:lpstr>'C 129 - 130'!Área_de_impresión</vt:lpstr>
      <vt:lpstr>'C 13'!Área_de_impresión</vt:lpstr>
      <vt:lpstr>'C 131 - 132'!Área_de_impresión</vt:lpstr>
      <vt:lpstr>'C 133 - 134'!Área_de_impresión</vt:lpstr>
      <vt:lpstr>'C 135 '!Área_de_impresión</vt:lpstr>
      <vt:lpstr>'C 14'!Área_de_impresión</vt:lpstr>
      <vt:lpstr>'C 140 - 141 '!Área_de_impresión</vt:lpstr>
      <vt:lpstr>'C 142 - C 143'!Área_de_impresión</vt:lpstr>
      <vt:lpstr>'C 144'!Área_de_impresión</vt:lpstr>
      <vt:lpstr>'C 145'!Área_de_impresión</vt:lpstr>
      <vt:lpstr>'C 146'!Área_de_impresión</vt:lpstr>
      <vt:lpstr>'C 15'!Área_de_impresión</vt:lpstr>
      <vt:lpstr>'C 154'!Área_de_impresión</vt:lpstr>
      <vt:lpstr>'C 16'!Área_de_impresión</vt:lpstr>
      <vt:lpstr>'C 17'!Área_de_impresión</vt:lpstr>
      <vt:lpstr>'C 18'!Área_de_impresión</vt:lpstr>
      <vt:lpstr>'C 19'!Área_de_impresión</vt:lpstr>
      <vt:lpstr>'C 20'!Área_de_impresión</vt:lpstr>
      <vt:lpstr>'C 21'!Área_de_impresión</vt:lpstr>
      <vt:lpstr>'C 22'!Área_de_impresión</vt:lpstr>
      <vt:lpstr>'C 23'!Área_de_impresión</vt:lpstr>
      <vt:lpstr>'C 24'!Área_de_impresión</vt:lpstr>
      <vt:lpstr>'C 25'!Área_de_impresión</vt:lpstr>
      <vt:lpstr>'C 26'!Área_de_impresión</vt:lpstr>
      <vt:lpstr>'C 27'!Área_de_impresión</vt:lpstr>
      <vt:lpstr>'C 28'!Área_de_impresión</vt:lpstr>
      <vt:lpstr>'C 29'!Área_de_impresión</vt:lpstr>
      <vt:lpstr>'C 30'!Área_de_impresión</vt:lpstr>
      <vt:lpstr>'C 31'!Área_de_impresión</vt:lpstr>
      <vt:lpstr>'C 32'!Área_de_impresión</vt:lpstr>
      <vt:lpstr>'C 33'!Área_de_impresión</vt:lpstr>
      <vt:lpstr>'C 34'!Área_de_impresión</vt:lpstr>
      <vt:lpstr>'C 35'!Área_de_impresión</vt:lpstr>
      <vt:lpstr>'C 36'!Área_de_impresión</vt:lpstr>
      <vt:lpstr>'C 37'!Área_de_impresión</vt:lpstr>
      <vt:lpstr>'C 38'!Área_de_impresión</vt:lpstr>
      <vt:lpstr>'C 39'!Área_de_impresión</vt:lpstr>
      <vt:lpstr>'C 40'!Área_de_impresión</vt:lpstr>
      <vt:lpstr>'C 41'!Área_de_impresión</vt:lpstr>
      <vt:lpstr>'C 42'!Área_de_impresión</vt:lpstr>
      <vt:lpstr>'C 43'!Área_de_impresión</vt:lpstr>
      <vt:lpstr>'C 44'!Área_de_impresión</vt:lpstr>
      <vt:lpstr>'C 45'!Área_de_impresión</vt:lpstr>
      <vt:lpstr>'C 46'!Área_de_impresión</vt:lpstr>
      <vt:lpstr>'C 47'!Área_de_impresión</vt:lpstr>
      <vt:lpstr>'C 48'!Área_de_impresión</vt:lpstr>
      <vt:lpstr>'C 49'!Área_de_impresión</vt:lpstr>
      <vt:lpstr>'C 5'!Área_de_impresión</vt:lpstr>
      <vt:lpstr>'C 7'!Área_de_impresión</vt:lpstr>
      <vt:lpstr>'C 8'!Área_de_impresión</vt:lpstr>
      <vt:lpstr>'C 86-C87'!Área_de_impresión</vt:lpstr>
      <vt:lpstr>'C 9'!Área_de_impresión</vt:lpstr>
      <vt:lpstr>'C 90'!Área_de_impresión</vt:lpstr>
      <vt:lpstr>'C 91 - 99'!Área_de_impresión</vt:lpstr>
      <vt:lpstr>C_122!Área_de_impresión</vt:lpstr>
      <vt:lpstr>'C-112'!Área_de_impresión</vt:lpstr>
      <vt:lpstr>'C-113'!Área_de_impresión</vt:lpstr>
      <vt:lpstr>'C-115'!Área_de_impresión</vt:lpstr>
      <vt:lpstr>'C-121'!Área_de_impresión</vt:lpstr>
      <vt:lpstr>'C-123'!Área_de_impresión</vt:lpstr>
      <vt:lpstr>'C-124'!Área_de_impresión</vt:lpstr>
      <vt:lpstr>'C-125'!Área_de_impresión</vt:lpstr>
      <vt:lpstr>'C-126'!Área_de_impresión</vt:lpstr>
      <vt:lpstr>'C-136-137'!Área_de_impresión</vt:lpstr>
      <vt:lpstr>'C-147'!Área_de_impresión</vt:lpstr>
      <vt:lpstr>'C-148'!Área_de_impresión</vt:lpstr>
      <vt:lpstr>'C-149'!Área_de_impresión</vt:lpstr>
      <vt:lpstr>'C-150'!Área_de_impresión</vt:lpstr>
      <vt:lpstr>'C-151'!Área_de_impresión</vt:lpstr>
      <vt:lpstr>'C-152'!Área_de_impresión</vt:lpstr>
      <vt:lpstr>'C-153'!Área_de_impresión</vt:lpstr>
      <vt:lpstr>'C-4'!Área_de_impresión</vt:lpstr>
      <vt:lpstr>'C-50'!Área_de_impresión</vt:lpstr>
      <vt:lpstr>'C-51'!Área_de_impresión</vt:lpstr>
      <vt:lpstr>'C-52'!Área_de_impresión</vt:lpstr>
      <vt:lpstr>'C-53'!Área_de_impresión</vt:lpstr>
      <vt:lpstr>'C-54'!Área_de_impresión</vt:lpstr>
      <vt:lpstr>'C-55'!Área_de_impresión</vt:lpstr>
      <vt:lpstr>'C-56'!Área_de_impresión</vt:lpstr>
      <vt:lpstr>'C-57'!Área_de_impresión</vt:lpstr>
      <vt:lpstr>'C-58'!Área_de_impresión</vt:lpstr>
      <vt:lpstr>'C-59'!Área_de_impresión</vt:lpstr>
      <vt:lpstr>'C-60'!Área_de_impresión</vt:lpstr>
      <vt:lpstr>'C-61'!Área_de_impresión</vt:lpstr>
      <vt:lpstr>'C-62'!Área_de_impresión</vt:lpstr>
      <vt:lpstr>'C-63'!Área_de_impresión</vt:lpstr>
      <vt:lpstr>'C-64'!Área_de_impresión</vt:lpstr>
      <vt:lpstr>'C-65'!Área_de_impresión</vt:lpstr>
      <vt:lpstr>'C-66'!Área_de_impresión</vt:lpstr>
      <vt:lpstr>'C-67'!Área_de_impresión</vt:lpstr>
      <vt:lpstr>'C-68'!Área_de_impresión</vt:lpstr>
      <vt:lpstr>'C-69'!Área_de_impresión</vt:lpstr>
      <vt:lpstr>'C-70'!Área_de_impresión</vt:lpstr>
      <vt:lpstr>'C-71'!Área_de_impresión</vt:lpstr>
      <vt:lpstr>'C-72'!Área_de_impresión</vt:lpstr>
      <vt:lpstr>'C-73'!Área_de_impresión</vt:lpstr>
      <vt:lpstr>'C-74'!Área_de_impresión</vt:lpstr>
      <vt:lpstr>'C-75'!Área_de_impresión</vt:lpstr>
      <vt:lpstr>'C-76'!Área_de_impresión</vt:lpstr>
      <vt:lpstr>'C-77'!Área_de_impresión</vt:lpstr>
      <vt:lpstr>'C-78'!Área_de_impresión</vt:lpstr>
      <vt:lpstr>'C-79'!Área_de_impresión</vt:lpstr>
      <vt:lpstr>'C-80'!Área_de_impresión</vt:lpstr>
      <vt:lpstr>'C-81'!Área_de_impresión</vt:lpstr>
      <vt:lpstr>'C-82'!Área_de_impresión</vt:lpstr>
      <vt:lpstr>'C-83'!Área_de_impresión</vt:lpstr>
      <vt:lpstr>'C-84'!Área_de_impresión</vt:lpstr>
      <vt:lpstr>'C-85'!Área_de_impresión</vt:lpstr>
      <vt:lpstr>'C-88'!Área_de_impresión</vt:lpstr>
      <vt:lpstr>'C-89'!Área_de_impresión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elba castro - diseño hojas</dc:creator>
  <cp:keywords/>
  <dc:description/>
  <cp:lastModifiedBy>Microsoft Office User</cp:lastModifiedBy>
  <cp:lastPrinted>2020-08-01T04:36:26Z</cp:lastPrinted>
  <dcterms:created xsi:type="dcterms:W3CDTF">1999-02-26T21:15:02Z</dcterms:created>
  <dcterms:modified xsi:type="dcterms:W3CDTF">2020-08-05T05:58:09Z</dcterms:modified>
  <cp:category/>
</cp:coreProperties>
</file>